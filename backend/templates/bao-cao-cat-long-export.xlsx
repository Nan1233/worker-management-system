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quant\Documents\VSCode\App\backend\templates\"/>
    </mc:Choice>
  </mc:AlternateContent>
  <xr:revisionPtr revIDLastSave="0" documentId="13_ncr:1_{8667EB8F-D4E1-454A-AE8F-305C22F31615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ắt lồng" sheetId="1" r:id="rId1"/>
  </sheets>
  <externalReferences>
    <externalReference r:id="rId2"/>
  </externalReferences>
  <definedNames>
    <definedName name="_Fill" hidden="1">#REF!</definedName>
    <definedName name="_xlnm._FilterDatabase" localSheetId="0" hidden="1">'Cắt lồng'!$A$326:$HK$515</definedName>
    <definedName name="_Order1" hidden="1">255</definedName>
    <definedName name="_Order2" hidden="1">255</definedName>
    <definedName name="_Sort" hidden="1">#REF!</definedName>
    <definedName name="h" hidden="1">{"'Sheet1'!$L$16"}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y" hidden="1">{"'Sheet1'!$L$16"}</definedName>
    <definedName name="_xlnm.Print_Area" localSheetId="0">'Cắt lồng'!$A$1:$EF$515</definedName>
    <definedName name="TU">#REF!</definedName>
    <definedName name="wrn.chi._.tiÆt." hidden="1">{#N/A,#N/A,FALSE,"Chi tiÆt"}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" i="1" l="1"/>
  <c r="Y1" i="1"/>
  <c r="AG1" i="1"/>
  <c r="AC2" i="1"/>
  <c r="AD2" i="1" s="1"/>
  <c r="AG2" i="1"/>
  <c r="AW4" i="1"/>
  <c r="AW6" i="1" s="1" a="1"/>
  <c r="AW6" i="1" s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H6" i="1"/>
  <c r="I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AB6" i="1"/>
  <c r="Z6" i="1" s="1"/>
  <c r="G6" i="1" s="1"/>
  <c r="AC6" i="1"/>
  <c r="AD6" i="1" s="1"/>
  <c r="AJ6" i="1"/>
  <c r="AK6" i="1"/>
  <c r="AL6" i="1"/>
  <c r="AM6" i="1"/>
  <c r="AN6" i="1"/>
  <c r="AO6" i="1"/>
  <c r="AP6" i="1"/>
  <c r="AQ6" i="1"/>
  <c r="AT6" i="1"/>
  <c r="AV6" i="1"/>
  <c r="AX6" i="1" a="1"/>
  <c r="AX6" i="1" s="1"/>
  <c r="BA6" i="1" a="1"/>
  <c r="BA6" i="1" s="1"/>
  <c r="BD6" i="1" a="1"/>
  <c r="BD6" i="1" s="1"/>
  <c r="BG6" i="1" a="1"/>
  <c r="BG6" i="1" s="1"/>
  <c r="BJ6" i="1" a="1"/>
  <c r="BJ6" i="1" s="1"/>
  <c r="BM6" i="1" a="1"/>
  <c r="BM6" i="1" s="1"/>
  <c r="BP6" i="1" a="1"/>
  <c r="BP6" i="1"/>
  <c r="BS6" i="1" a="1"/>
  <c r="BS6" i="1"/>
  <c r="BV6" i="1" a="1"/>
  <c r="BV6" i="1" s="1"/>
  <c r="BY6" i="1" a="1"/>
  <c r="BY6" i="1" s="1"/>
  <c r="CB6" i="1" a="1"/>
  <c r="CB6" i="1" s="1"/>
  <c r="CE6" i="1" a="1"/>
  <c r="CE6" i="1" s="1"/>
  <c r="CH6" i="1" a="1"/>
  <c r="CH6" i="1" s="1"/>
  <c r="CK6" i="1" a="1"/>
  <c r="CK6" i="1" s="1"/>
  <c r="CN6" i="1" a="1"/>
  <c r="CN6" i="1"/>
  <c r="CQ6" i="1" a="1"/>
  <c r="CQ6" i="1"/>
  <c r="CT6" i="1" a="1"/>
  <c r="CT6" i="1" s="1"/>
  <c r="CW6" i="1" a="1"/>
  <c r="CW6" i="1" s="1"/>
  <c r="CZ6" i="1" a="1"/>
  <c r="CZ6" i="1"/>
  <c r="DC6" i="1" a="1"/>
  <c r="DC6" i="1" s="1"/>
  <c r="DF6" i="1" a="1"/>
  <c r="DF6" i="1" s="1"/>
  <c r="DI6" i="1" a="1"/>
  <c r="DI6" i="1" s="1"/>
  <c r="DL6" i="1"/>
  <c r="DO6" i="1" a="1"/>
  <c r="DO6" i="1"/>
  <c r="DR6" i="1" a="1"/>
  <c r="DR6" i="1" s="1"/>
  <c r="DU6" i="1" a="1"/>
  <c r="DU6" i="1" s="1"/>
  <c r="DX6" i="1" a="1"/>
  <c r="DX6" i="1"/>
  <c r="EA6" i="1" a="1"/>
  <c r="EA6" i="1" s="1"/>
  <c r="ED6" i="1" a="1"/>
  <c r="ED6" i="1" s="1"/>
  <c r="EG6" i="1" a="1"/>
  <c r="EG6" i="1"/>
  <c r="EJ6" i="1" a="1"/>
  <c r="EJ6" i="1"/>
  <c r="I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AC7" i="1"/>
  <c r="AJ7" i="1"/>
  <c r="AK7" i="1"/>
  <c r="AL7" i="1"/>
  <c r="AN7" i="1"/>
  <c r="AO7" i="1"/>
  <c r="AP7" i="1"/>
  <c r="AQ7" i="1"/>
  <c r="AT7" i="1"/>
  <c r="H8" i="1"/>
  <c r="I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G8" i="1" s="1"/>
  <c r="AB8" i="1"/>
  <c r="AC8" i="1"/>
  <c r="AF8" i="1" s="1"/>
  <c r="AD8" i="1"/>
  <c r="AJ8" i="1"/>
  <c r="AK8" i="1"/>
  <c r="AL8" i="1"/>
  <c r="AM8" i="1"/>
  <c r="AN8" i="1"/>
  <c r="AO8" i="1"/>
  <c r="AP8" i="1"/>
  <c r="AQ8" i="1"/>
  <c r="AT8" i="1"/>
  <c r="AV8" i="1"/>
  <c r="AW8" i="1" a="1"/>
  <c r="AW8" i="1" s="1"/>
  <c r="AX8" i="1" a="1"/>
  <c r="AX8" i="1"/>
  <c r="BA8" i="1" a="1"/>
  <c r="BA8" i="1"/>
  <c r="BD8" i="1" a="1"/>
  <c r="BD8" i="1"/>
  <c r="BG8" i="1" a="1"/>
  <c r="BG8" i="1" s="1"/>
  <c r="BJ8" i="1" a="1"/>
  <c r="BJ8" i="1"/>
  <c r="BM8" i="1" a="1"/>
  <c r="BM8" i="1" s="1"/>
  <c r="BP8" i="1" a="1"/>
  <c r="BP8" i="1" s="1"/>
  <c r="BS8" i="1" a="1"/>
  <c r="BS8" i="1" s="1"/>
  <c r="BV8" i="1" a="1"/>
  <c r="BV8" i="1" s="1"/>
  <c r="BY8" i="1" a="1"/>
  <c r="BY8" i="1"/>
  <c r="CB8" i="1" a="1"/>
  <c r="CB8" i="1"/>
  <c r="CE8" i="1" a="1"/>
  <c r="CE8" i="1" s="1"/>
  <c r="CH8" i="1" a="1"/>
  <c r="CH8" i="1"/>
  <c r="CK8" i="1" a="1"/>
  <c r="CK8" i="1" s="1"/>
  <c r="CN8" i="1" a="1"/>
  <c r="CN8" i="1" s="1"/>
  <c r="CQ8" i="1" a="1"/>
  <c r="CQ8" i="1" s="1"/>
  <c r="CT8" i="1" a="1"/>
  <c r="CT8" i="1"/>
  <c r="CW8" i="1" a="1"/>
  <c r="CW8" i="1"/>
  <c r="CZ8" i="1" a="1"/>
  <c r="CZ8" i="1"/>
  <c r="DC8" i="1" a="1"/>
  <c r="DC8" i="1" s="1"/>
  <c r="DF8" i="1" a="1"/>
  <c r="DF8" i="1"/>
  <c r="DI8" i="1" a="1"/>
  <c r="DI8" i="1"/>
  <c r="DL8" i="1" a="1"/>
  <c r="DL8" i="1" s="1"/>
  <c r="DO8" i="1" a="1"/>
  <c r="DO8" i="1" s="1"/>
  <c r="DR8" i="1" a="1"/>
  <c r="DR8" i="1" s="1"/>
  <c r="DU8" i="1" a="1"/>
  <c r="DU8" i="1" s="1"/>
  <c r="DX8" i="1" a="1"/>
  <c r="DX8" i="1" s="1"/>
  <c r="EA8" i="1" a="1"/>
  <c r="EA8" i="1" s="1"/>
  <c r="ED8" i="1" a="1"/>
  <c r="ED8" i="1" s="1"/>
  <c r="EG8" i="1" a="1"/>
  <c r="EG8" i="1" s="1"/>
  <c r="EJ8" i="1" a="1"/>
  <c r="EJ8" i="1" s="1"/>
  <c r="H9" i="1"/>
  <c r="I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AB9" i="1"/>
  <c r="Z9" i="1" s="1"/>
  <c r="G9" i="1" s="1"/>
  <c r="AC9" i="1"/>
  <c r="AJ9" i="1"/>
  <c r="AK9" i="1"/>
  <c r="AL9" i="1"/>
  <c r="AM9" i="1"/>
  <c r="AN9" i="1"/>
  <c r="AO9" i="1"/>
  <c r="AP9" i="1"/>
  <c r="AQ9" i="1"/>
  <c r="AT9" i="1"/>
  <c r="AV9" i="1"/>
  <c r="AW9" i="1" a="1"/>
  <c r="AW9" i="1" s="1"/>
  <c r="AX9" i="1" a="1"/>
  <c r="AX9" i="1"/>
  <c r="BA9" i="1" a="1"/>
  <c r="BA9" i="1"/>
  <c r="BD9" i="1" a="1"/>
  <c r="BD9" i="1"/>
  <c r="BG9" i="1" a="1"/>
  <c r="BG9" i="1" s="1"/>
  <c r="BJ9" i="1" a="1"/>
  <c r="BJ9" i="1"/>
  <c r="BM9" i="1" a="1"/>
  <c r="BM9" i="1"/>
  <c r="BP9" i="1" a="1"/>
  <c r="BP9" i="1" s="1"/>
  <c r="BS9" i="1" a="1"/>
  <c r="BS9" i="1" s="1"/>
  <c r="BV9" i="1" a="1"/>
  <c r="BV9" i="1" s="1"/>
  <c r="BY9" i="1" a="1"/>
  <c r="BY9" i="1" s="1"/>
  <c r="CB9" i="1" a="1"/>
  <c r="CB9" i="1"/>
  <c r="CE9" i="1" a="1"/>
  <c r="CE9" i="1" s="1"/>
  <c r="CH9" i="1" a="1"/>
  <c r="CH9" i="1"/>
  <c r="CK9" i="1" a="1"/>
  <c r="CK9" i="1" s="1"/>
  <c r="CN9" i="1" a="1"/>
  <c r="CN9" i="1" s="1"/>
  <c r="CQ9" i="1" a="1"/>
  <c r="CQ9" i="1" s="1"/>
  <c r="CT9" i="1" a="1"/>
  <c r="CT9" i="1" s="1"/>
  <c r="CW9" i="1" a="1"/>
  <c r="CW9" i="1" s="1"/>
  <c r="CZ9" i="1" a="1"/>
  <c r="CZ9" i="1" s="1"/>
  <c r="DC9" i="1" a="1"/>
  <c r="DC9" i="1" s="1"/>
  <c r="DF9" i="1" a="1"/>
  <c r="DF9" i="1" s="1"/>
  <c r="DI9" i="1" a="1"/>
  <c r="DI9" i="1" s="1"/>
  <c r="DL9" i="1" a="1"/>
  <c r="DL9" i="1" s="1"/>
  <c r="DO9" i="1" a="1"/>
  <c r="DO9" i="1" s="1"/>
  <c r="DR9" i="1" a="1"/>
  <c r="DR9" i="1" s="1"/>
  <c r="DU9" i="1" a="1"/>
  <c r="DU9" i="1"/>
  <c r="DX9" i="1" a="1"/>
  <c r="DX9" i="1"/>
  <c r="EA9" i="1" a="1"/>
  <c r="EA9" i="1" s="1"/>
  <c r="ED9" i="1" a="1"/>
  <c r="ED9" i="1" s="1"/>
  <c r="EG9" i="1" a="1"/>
  <c r="EG9" i="1" s="1"/>
  <c r="EJ9" i="1" a="1"/>
  <c r="EJ9" i="1" s="1"/>
  <c r="H10" i="1"/>
  <c r="I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AB10" i="1"/>
  <c r="Z10" i="1" s="1"/>
  <c r="G10" i="1" s="1"/>
  <c r="AC10" i="1"/>
  <c r="AJ10" i="1"/>
  <c r="AK10" i="1"/>
  <c r="AL10" i="1"/>
  <c r="AM10" i="1"/>
  <c r="AN10" i="1"/>
  <c r="AO10" i="1"/>
  <c r="AP10" i="1"/>
  <c r="AQ10" i="1"/>
  <c r="AT10" i="1"/>
  <c r="AV10" i="1"/>
  <c r="AW10" i="1" a="1"/>
  <c r="AW10" i="1" s="1"/>
  <c r="AX10" i="1" a="1"/>
  <c r="AX10" i="1" s="1"/>
  <c r="BA10" i="1" a="1"/>
  <c r="BA10" i="1"/>
  <c r="BD10" i="1" a="1"/>
  <c r="BD10" i="1" s="1"/>
  <c r="BG10" i="1" a="1"/>
  <c r="BG10" i="1" s="1"/>
  <c r="BJ10" i="1" a="1"/>
  <c r="BJ10" i="1" s="1"/>
  <c r="BM10" i="1" a="1"/>
  <c r="BM10" i="1" s="1"/>
  <c r="BP10" i="1" a="1"/>
  <c r="BP10" i="1" s="1"/>
  <c r="BS10" i="1" a="1"/>
  <c r="BS10" i="1" s="1"/>
  <c r="BV10" i="1" a="1"/>
  <c r="BV10" i="1"/>
  <c r="BY10" i="1" a="1"/>
  <c r="BY10" i="1" s="1"/>
  <c r="CB10" i="1" a="1"/>
  <c r="CB10" i="1" s="1"/>
  <c r="CE10" i="1" a="1"/>
  <c r="CE10" i="1" s="1"/>
  <c r="CH10" i="1" a="1"/>
  <c r="CH10" i="1" s="1"/>
  <c r="CK10" i="1" a="1"/>
  <c r="CK10" i="1" s="1"/>
  <c r="CN10" i="1" a="1"/>
  <c r="CN10" i="1" s="1"/>
  <c r="CQ10" i="1" a="1"/>
  <c r="CQ10" i="1" s="1"/>
  <c r="CT10" i="1" a="1"/>
  <c r="CT10" i="1" s="1"/>
  <c r="CW10" i="1" a="1"/>
  <c r="CW10" i="1" s="1"/>
  <c r="CZ10" i="1" a="1"/>
  <c r="CZ10" i="1"/>
  <c r="DC10" i="1" a="1"/>
  <c r="DC10" i="1" s="1"/>
  <c r="DF10" i="1" a="1"/>
  <c r="DF10" i="1"/>
  <c r="DI10" i="1" a="1"/>
  <c r="DI10" i="1" s="1"/>
  <c r="DL10" i="1" a="1"/>
  <c r="DL10" i="1" s="1"/>
  <c r="DO10" i="1" a="1"/>
  <c r="DO10" i="1"/>
  <c r="DR10" i="1" a="1"/>
  <c r="DR10" i="1" s="1"/>
  <c r="DU10" i="1" a="1"/>
  <c r="DU10" i="1" s="1"/>
  <c r="DX10" i="1" a="1"/>
  <c r="DX10" i="1" s="1"/>
  <c r="EA10" i="1" a="1"/>
  <c r="EA10" i="1"/>
  <c r="ED10" i="1" a="1"/>
  <c r="ED10" i="1" s="1"/>
  <c r="EG10" i="1" a="1"/>
  <c r="EG10" i="1"/>
  <c r="EJ10" i="1" a="1"/>
  <c r="EJ10" i="1" s="1"/>
  <c r="E11" i="1"/>
  <c r="H11" i="1"/>
  <c r="AF11" i="1" s="1"/>
  <c r="I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AB11" i="1"/>
  <c r="Z11" i="1" s="1"/>
  <c r="G11" i="1" s="1"/>
  <c r="AC11" i="1"/>
  <c r="AJ11" i="1"/>
  <c r="AK11" i="1"/>
  <c r="AL11" i="1"/>
  <c r="AM11" i="1"/>
  <c r="AN11" i="1"/>
  <c r="AO11" i="1"/>
  <c r="AP11" i="1"/>
  <c r="AQ11" i="1"/>
  <c r="AT11" i="1"/>
  <c r="AV11" i="1"/>
  <c r="AW11" i="1" a="1"/>
  <c r="AW11" i="1" s="1"/>
  <c r="AX11" i="1" a="1"/>
  <c r="AX11" i="1" s="1"/>
  <c r="BA11" i="1" a="1"/>
  <c r="BA11" i="1"/>
  <c r="BD11" i="1" a="1"/>
  <c r="BD11" i="1" s="1"/>
  <c r="BG11" i="1" a="1"/>
  <c r="BG11" i="1" s="1"/>
  <c r="BJ11" i="1" a="1"/>
  <c r="BJ11" i="1"/>
  <c r="BM11" i="1" a="1"/>
  <c r="BM11" i="1" s="1"/>
  <c r="BP11" i="1" a="1"/>
  <c r="BP11" i="1" s="1"/>
  <c r="BS11" i="1" a="1"/>
  <c r="BS11" i="1"/>
  <c r="BV11" i="1" a="1"/>
  <c r="BV11" i="1" s="1"/>
  <c r="BY11" i="1" a="1"/>
  <c r="BY11" i="1"/>
  <c r="CB11" i="1" a="1"/>
  <c r="CB11" i="1" s="1"/>
  <c r="CE11" i="1" a="1"/>
  <c r="CE11" i="1"/>
  <c r="CH11" i="1" a="1"/>
  <c r="CH11" i="1" s="1"/>
  <c r="CK11" i="1" a="1"/>
  <c r="CK11" i="1" s="1"/>
  <c r="CN11" i="1" a="1"/>
  <c r="CN11" i="1" s="1"/>
  <c r="CQ11" i="1" a="1"/>
  <c r="CQ11" i="1" s="1"/>
  <c r="CT11" i="1" a="1"/>
  <c r="CT11" i="1" s="1"/>
  <c r="CW11" i="1" a="1"/>
  <c r="CW11" i="1" s="1"/>
  <c r="CZ11" i="1" a="1"/>
  <c r="CZ11" i="1" s="1"/>
  <c r="DC11" i="1" a="1"/>
  <c r="DC11" i="1" s="1"/>
  <c r="DF11" i="1" a="1"/>
  <c r="DF11" i="1"/>
  <c r="DI11" i="1" a="1"/>
  <c r="DI11" i="1" s="1"/>
  <c r="DL11" i="1" a="1"/>
  <c r="DL11" i="1" s="1"/>
  <c r="DO11" i="1" a="1"/>
  <c r="DO11" i="1" s="1"/>
  <c r="DR11" i="1" a="1"/>
  <c r="DR11" i="1"/>
  <c r="DU11" i="1" a="1"/>
  <c r="DU11" i="1" s="1"/>
  <c r="DX11" i="1" a="1"/>
  <c r="DX11" i="1" s="1"/>
  <c r="EA11" i="1" a="1"/>
  <c r="EA11" i="1" s="1"/>
  <c r="ED11" i="1" a="1"/>
  <c r="ED11" i="1"/>
  <c r="EG11" i="1" a="1"/>
  <c r="EG11" i="1" s="1"/>
  <c r="EJ11" i="1" a="1"/>
  <c r="EJ11" i="1" s="1"/>
  <c r="D12" i="1"/>
  <c r="E12" i="1"/>
  <c r="H12" i="1"/>
  <c r="I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AB12" i="1"/>
  <c r="AC12" i="1"/>
  <c r="E14" i="1" s="1"/>
  <c r="AF12" i="1"/>
  <c r="AJ12" i="1"/>
  <c r="AK12" i="1"/>
  <c r="AL12" i="1"/>
  <c r="AM12" i="1"/>
  <c r="AN12" i="1"/>
  <c r="AO12" i="1"/>
  <c r="AP12" i="1"/>
  <c r="AQ12" i="1"/>
  <c r="AT12" i="1"/>
  <c r="AV12" i="1"/>
  <c r="AW12" i="1" a="1"/>
  <c r="AW12" i="1" s="1"/>
  <c r="AX12" i="1" a="1"/>
  <c r="AX12" i="1" s="1"/>
  <c r="AY12" i="1" s="1"/>
  <c r="BA12" i="1" a="1"/>
  <c r="BA12" i="1"/>
  <c r="BD12" i="1" a="1"/>
  <c r="BD12" i="1"/>
  <c r="BG12" i="1" a="1"/>
  <c r="BG12" i="1" s="1"/>
  <c r="BJ12" i="1" a="1"/>
  <c r="BJ12" i="1" s="1"/>
  <c r="BM12" i="1" a="1"/>
  <c r="BM12" i="1" s="1"/>
  <c r="BP12" i="1" a="1"/>
  <c r="BP12" i="1" s="1"/>
  <c r="BS12" i="1" a="1"/>
  <c r="BS12" i="1"/>
  <c r="BV12" i="1" a="1"/>
  <c r="BV12" i="1" s="1"/>
  <c r="BY12" i="1" a="1"/>
  <c r="BY12" i="1"/>
  <c r="CB12" i="1" a="1"/>
  <c r="CB12" i="1" s="1"/>
  <c r="CE12" i="1" a="1"/>
  <c r="CE12" i="1" s="1"/>
  <c r="CH12" i="1" a="1"/>
  <c r="CH12" i="1" s="1"/>
  <c r="CK12" i="1" a="1"/>
  <c r="CK12" i="1" s="1"/>
  <c r="CN12" i="1" a="1"/>
  <c r="CN12" i="1" s="1"/>
  <c r="CQ12" i="1" a="1"/>
  <c r="CQ12" i="1" s="1"/>
  <c r="CT12" i="1" a="1"/>
  <c r="CT12" i="1" s="1"/>
  <c r="CW12" i="1" a="1"/>
  <c r="CW12" i="1" s="1"/>
  <c r="CZ12" i="1" a="1"/>
  <c r="CZ12" i="1" s="1"/>
  <c r="DC12" i="1" a="1"/>
  <c r="DC12" i="1" s="1"/>
  <c r="DF12" i="1" a="1"/>
  <c r="DF12" i="1" s="1"/>
  <c r="DI12" i="1" a="1"/>
  <c r="DI12" i="1" s="1"/>
  <c r="DL12" i="1" a="1"/>
  <c r="DL12" i="1" s="1"/>
  <c r="DO12" i="1" a="1"/>
  <c r="DO12" i="1" s="1"/>
  <c r="DR12" i="1" a="1"/>
  <c r="DR12" i="1" s="1"/>
  <c r="DU12" i="1" a="1"/>
  <c r="DU12" i="1" s="1"/>
  <c r="DX12" i="1" a="1"/>
  <c r="DX12" i="1" s="1"/>
  <c r="EA12" i="1" a="1"/>
  <c r="EA12" i="1" s="1"/>
  <c r="ED12" i="1" a="1"/>
  <c r="ED12" i="1" s="1"/>
  <c r="EG12" i="1" a="1"/>
  <c r="EG12" i="1" s="1"/>
  <c r="EJ12" i="1" a="1"/>
  <c r="EJ12" i="1"/>
  <c r="E13" i="1"/>
  <c r="H13" i="1"/>
  <c r="I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AB13" i="1"/>
  <c r="Z13" i="1" s="1"/>
  <c r="G13" i="1" s="1"/>
  <c r="AC13" i="1"/>
  <c r="AJ13" i="1"/>
  <c r="AK13" i="1"/>
  <c r="AL13" i="1"/>
  <c r="AM13" i="1"/>
  <c r="AN13" i="1"/>
  <c r="AO13" i="1"/>
  <c r="AP13" i="1"/>
  <c r="AQ13" i="1"/>
  <c r="AT13" i="1"/>
  <c r="AV13" i="1"/>
  <c r="AW13" i="1" a="1"/>
  <c r="AW13" i="1" s="1"/>
  <c r="AX13" i="1" a="1"/>
  <c r="AX13" i="1" s="1"/>
  <c r="AY13" i="1" s="1"/>
  <c r="BA13" i="1" a="1"/>
  <c r="BA13" i="1" s="1"/>
  <c r="BD13" i="1" a="1"/>
  <c r="BD13" i="1" s="1"/>
  <c r="BG13" i="1" a="1"/>
  <c r="BG13" i="1" s="1"/>
  <c r="BJ13" i="1" a="1"/>
  <c r="BJ13" i="1" s="1"/>
  <c r="BM13" i="1" a="1"/>
  <c r="BM13" i="1" s="1"/>
  <c r="BP13" i="1" a="1"/>
  <c r="BP13" i="1" s="1"/>
  <c r="BS13" i="1" a="1"/>
  <c r="BS13" i="1" s="1"/>
  <c r="BV13" i="1" a="1"/>
  <c r="BV13" i="1" s="1"/>
  <c r="BY13" i="1" a="1"/>
  <c r="BY13" i="1" s="1"/>
  <c r="CB13" i="1" a="1"/>
  <c r="CB13" i="1" s="1"/>
  <c r="CE13" i="1" a="1"/>
  <c r="CE13" i="1"/>
  <c r="CH13" i="1" a="1"/>
  <c r="CH13" i="1" s="1"/>
  <c r="CK13" i="1" a="1"/>
  <c r="CK13" i="1" s="1"/>
  <c r="CN13" i="1" a="1"/>
  <c r="CN13" i="1" s="1"/>
  <c r="CQ13" i="1" a="1"/>
  <c r="CQ13" i="1"/>
  <c r="CT13" i="1" a="1"/>
  <c r="CT13" i="1" s="1"/>
  <c r="CW13" i="1" a="1"/>
  <c r="CW13" i="1" s="1"/>
  <c r="CZ13" i="1" a="1"/>
  <c r="CZ13" i="1" s="1"/>
  <c r="DC13" i="1" a="1"/>
  <c r="DC13" i="1" s="1"/>
  <c r="DF13" i="1" a="1"/>
  <c r="DF13" i="1" s="1"/>
  <c r="DI13" i="1" a="1"/>
  <c r="DI13" i="1"/>
  <c r="DL13" i="1" a="1"/>
  <c r="DL13" i="1" s="1"/>
  <c r="DO13" i="1" a="1"/>
  <c r="DO13" i="1" s="1"/>
  <c r="DR13" i="1" a="1"/>
  <c r="DR13" i="1" s="1"/>
  <c r="DU13" i="1" a="1"/>
  <c r="DU13" i="1" s="1"/>
  <c r="DX13" i="1" a="1"/>
  <c r="DX13" i="1"/>
  <c r="EA13" i="1" a="1"/>
  <c r="EA13" i="1" s="1"/>
  <c r="ED13" i="1" a="1"/>
  <c r="ED13" i="1" s="1"/>
  <c r="EG13" i="1" a="1"/>
  <c r="EG13" i="1"/>
  <c r="EJ13" i="1" a="1"/>
  <c r="EJ13" i="1" s="1"/>
  <c r="H14" i="1"/>
  <c r="I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G14" i="1" s="1"/>
  <c r="AB14" i="1"/>
  <c r="AC14" i="1"/>
  <c r="AJ14" i="1"/>
  <c r="AK14" i="1"/>
  <c r="AL14" i="1"/>
  <c r="AM14" i="1"/>
  <c r="AN14" i="1"/>
  <c r="AO14" i="1"/>
  <c r="AP14" i="1"/>
  <c r="AQ14" i="1"/>
  <c r="AT14" i="1"/>
  <c r="AV14" i="1"/>
  <c r="AW14" i="1" a="1"/>
  <c r="AW14" i="1"/>
  <c r="AX14" i="1" a="1"/>
  <c r="AX14" i="1" s="1"/>
  <c r="BA14" i="1" a="1"/>
  <c r="BA14" i="1" s="1"/>
  <c r="BD14" i="1" a="1"/>
  <c r="BD14" i="1"/>
  <c r="BG14" i="1" a="1"/>
  <c r="BG14" i="1" s="1"/>
  <c r="BJ14" i="1" a="1"/>
  <c r="BJ14" i="1" s="1"/>
  <c r="BM14" i="1" a="1"/>
  <c r="BM14" i="1" s="1"/>
  <c r="BP14" i="1" a="1"/>
  <c r="BP14" i="1" s="1"/>
  <c r="BS14" i="1" a="1"/>
  <c r="BS14" i="1" s="1"/>
  <c r="BV14" i="1" a="1"/>
  <c r="BV14" i="1" s="1"/>
  <c r="BY14" i="1" a="1"/>
  <c r="BY14" i="1" s="1"/>
  <c r="CB14" i="1" a="1"/>
  <c r="CB14" i="1" s="1"/>
  <c r="CE14" i="1" a="1"/>
  <c r="CE14" i="1"/>
  <c r="CH14" i="1" a="1"/>
  <c r="CH14" i="1" s="1"/>
  <c r="CK14" i="1" a="1"/>
  <c r="CK14" i="1" s="1"/>
  <c r="CN14" i="1" a="1"/>
  <c r="CN14" i="1"/>
  <c r="CQ14" i="1" a="1"/>
  <c r="CQ14" i="1" s="1"/>
  <c r="CT14" i="1" a="1"/>
  <c r="CT14" i="1" s="1"/>
  <c r="CW14" i="1" a="1"/>
  <c r="CW14" i="1"/>
  <c r="CZ14" i="1" a="1"/>
  <c r="CZ14" i="1"/>
  <c r="DC14" i="1" a="1"/>
  <c r="DC14" i="1" s="1"/>
  <c r="DF14" i="1" a="1"/>
  <c r="DF14" i="1" s="1"/>
  <c r="DI14" i="1" a="1"/>
  <c r="DI14" i="1" s="1"/>
  <c r="DL14" i="1" a="1"/>
  <c r="DL14" i="1" s="1"/>
  <c r="DO14" i="1" a="1"/>
  <c r="DO14" i="1" s="1"/>
  <c r="DR14" i="1" a="1"/>
  <c r="DR14" i="1"/>
  <c r="DU14" i="1" a="1"/>
  <c r="DU14" i="1" s="1"/>
  <c r="DX14" i="1" a="1"/>
  <c r="DX14" i="1" s="1"/>
  <c r="EA14" i="1" a="1"/>
  <c r="EA14" i="1"/>
  <c r="ED14" i="1" a="1"/>
  <c r="ED14" i="1" s="1"/>
  <c r="EG14" i="1" a="1"/>
  <c r="EG14" i="1"/>
  <c r="EJ14" i="1" a="1"/>
  <c r="EJ14" i="1" s="1"/>
  <c r="E15" i="1"/>
  <c r="H15" i="1"/>
  <c r="I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AB15" i="1"/>
  <c r="Z15" i="1" s="1"/>
  <c r="G15" i="1" s="1"/>
  <c r="AC15" i="1"/>
  <c r="AF15" i="1" s="1"/>
  <c r="AD15" i="1"/>
  <c r="AJ15" i="1"/>
  <c r="AK15" i="1"/>
  <c r="AL15" i="1"/>
  <c r="AM15" i="1"/>
  <c r="AN15" i="1"/>
  <c r="AO15" i="1"/>
  <c r="AP15" i="1"/>
  <c r="AQ15" i="1"/>
  <c r="AT15" i="1"/>
  <c r="AV15" i="1"/>
  <c r="AW15" i="1" a="1"/>
  <c r="AW15" i="1"/>
  <c r="AX15" i="1" a="1"/>
  <c r="AX15" i="1" s="1"/>
  <c r="AY15" i="1" s="1"/>
  <c r="BA15" i="1" a="1"/>
  <c r="BA15" i="1" s="1"/>
  <c r="BD15" i="1" a="1"/>
  <c r="BD15" i="1" s="1"/>
  <c r="BG15" i="1" a="1"/>
  <c r="BG15" i="1" s="1"/>
  <c r="BJ15" i="1" a="1"/>
  <c r="BJ15" i="1" s="1"/>
  <c r="BM15" i="1" a="1"/>
  <c r="BM15" i="1" s="1"/>
  <c r="BP15" i="1" a="1"/>
  <c r="BP15" i="1" s="1"/>
  <c r="BS15" i="1" a="1"/>
  <c r="BS15" i="1" s="1"/>
  <c r="BV15" i="1" a="1"/>
  <c r="BV15" i="1" s="1"/>
  <c r="BY15" i="1" a="1"/>
  <c r="BY15" i="1" s="1"/>
  <c r="CB15" i="1" a="1"/>
  <c r="CB15" i="1" s="1"/>
  <c r="CE15" i="1" a="1"/>
  <c r="CE15" i="1" s="1"/>
  <c r="CH15" i="1" a="1"/>
  <c r="CH15" i="1" s="1"/>
  <c r="CK15" i="1" a="1"/>
  <c r="CK15" i="1" s="1"/>
  <c r="CN15" i="1" a="1"/>
  <c r="CN15" i="1" s="1"/>
  <c r="CQ15" i="1" a="1"/>
  <c r="CQ15" i="1" s="1"/>
  <c r="CT15" i="1" a="1"/>
  <c r="CT15" i="1" s="1"/>
  <c r="CW15" i="1" a="1"/>
  <c r="CW15" i="1" s="1"/>
  <c r="CZ15" i="1" a="1"/>
  <c r="CZ15" i="1" s="1"/>
  <c r="DC15" i="1" a="1"/>
  <c r="DC15" i="1" s="1"/>
  <c r="DF15" i="1" a="1"/>
  <c r="DF15" i="1" s="1"/>
  <c r="DI15" i="1" a="1"/>
  <c r="DI15" i="1"/>
  <c r="DL15" i="1" a="1"/>
  <c r="DL15" i="1"/>
  <c r="DO15" i="1" a="1"/>
  <c r="DO15" i="1" s="1"/>
  <c r="DR15" i="1" a="1"/>
  <c r="DR15" i="1" s="1"/>
  <c r="DU15" i="1" a="1"/>
  <c r="DU15" i="1" s="1"/>
  <c r="DX15" i="1" a="1"/>
  <c r="DX15" i="1" s="1"/>
  <c r="EA15" i="1" a="1"/>
  <c r="EA15" i="1"/>
  <c r="ED15" i="1" a="1"/>
  <c r="ED15" i="1"/>
  <c r="EG15" i="1" a="1"/>
  <c r="EG15" i="1" s="1"/>
  <c r="EJ15" i="1" a="1"/>
  <c r="EJ15" i="1" s="1"/>
  <c r="D16" i="1"/>
  <c r="E16" i="1"/>
  <c r="I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AC16" i="1"/>
  <c r="E17" i="1" s="1"/>
  <c r="AJ16" i="1"/>
  <c r="AK16" i="1"/>
  <c r="AL16" i="1"/>
  <c r="AO16" i="1"/>
  <c r="AP16" i="1"/>
  <c r="AQ16" i="1"/>
  <c r="AT16" i="1"/>
  <c r="H17" i="1"/>
  <c r="I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G17" i="1" s="1"/>
  <c r="AB17" i="1"/>
  <c r="AC17" i="1"/>
  <c r="AF17" i="1" s="1"/>
  <c r="AD17" i="1"/>
  <c r="AJ17" i="1"/>
  <c r="AK17" i="1"/>
  <c r="AL17" i="1"/>
  <c r="AM17" i="1"/>
  <c r="AN17" i="1"/>
  <c r="AO17" i="1"/>
  <c r="AP17" i="1"/>
  <c r="AQ17" i="1"/>
  <c r="AT17" i="1"/>
  <c r="AV17" i="1"/>
  <c r="AW17" i="1" a="1"/>
  <c r="AW17" i="1" s="1"/>
  <c r="AX17" i="1" a="1"/>
  <c r="AX17" i="1"/>
  <c r="BA17" i="1" a="1"/>
  <c r="BA17" i="1" s="1"/>
  <c r="BD17" i="1" a="1"/>
  <c r="BD17" i="1" s="1"/>
  <c r="BG17" i="1" a="1"/>
  <c r="BG17" i="1" s="1"/>
  <c r="BJ17" i="1" a="1"/>
  <c r="BJ17" i="1"/>
  <c r="BM17" i="1" a="1"/>
  <c r="BM17" i="1"/>
  <c r="BP17" i="1" a="1"/>
  <c r="BP17" i="1" s="1"/>
  <c r="BS17" i="1" a="1"/>
  <c r="BS17" i="1"/>
  <c r="BV17" i="1" a="1"/>
  <c r="BV17" i="1"/>
  <c r="BY17" i="1" a="1"/>
  <c r="BY17" i="1" s="1"/>
  <c r="CB17" i="1" a="1"/>
  <c r="CB17" i="1" s="1"/>
  <c r="CE17" i="1" a="1"/>
  <c r="CE17" i="1"/>
  <c r="CH17" i="1" a="1"/>
  <c r="CH17" i="1"/>
  <c r="CK17" i="1" a="1"/>
  <c r="CK17" i="1"/>
  <c r="CN17" i="1" a="1"/>
  <c r="CN17" i="1" s="1"/>
  <c r="CQ17" i="1" a="1"/>
  <c r="CQ17" i="1"/>
  <c r="CT17" i="1" a="1"/>
  <c r="CT17" i="1"/>
  <c r="CW17" i="1" a="1"/>
  <c r="CW17" i="1" s="1"/>
  <c r="CZ17" i="1" a="1"/>
  <c r="CZ17" i="1" s="1"/>
  <c r="DC17" i="1" a="1"/>
  <c r="DC17" i="1"/>
  <c r="DF17" i="1" a="1"/>
  <c r="DF17" i="1" s="1"/>
  <c r="DI17" i="1" a="1"/>
  <c r="DI17" i="1" s="1"/>
  <c r="DL17" i="1" a="1"/>
  <c r="DL17" i="1" s="1"/>
  <c r="DO17" i="1" a="1"/>
  <c r="DO17" i="1" s="1"/>
  <c r="DR17" i="1" a="1"/>
  <c r="DR17" i="1" s="1"/>
  <c r="DU17" i="1" a="1"/>
  <c r="DU17" i="1"/>
  <c r="DX17" i="1" a="1"/>
  <c r="DX17" i="1" s="1"/>
  <c r="EA17" i="1" a="1"/>
  <c r="EA17" i="1" s="1"/>
  <c r="ED17" i="1" a="1"/>
  <c r="ED17" i="1" s="1"/>
  <c r="EG17" i="1" a="1"/>
  <c r="EG17" i="1" s="1"/>
  <c r="EJ17" i="1" a="1"/>
  <c r="EJ17" i="1" s="1"/>
  <c r="D18" i="1"/>
  <c r="H18" i="1"/>
  <c r="I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AB18" i="1"/>
  <c r="AC18" i="1"/>
  <c r="AF18" i="1"/>
  <c r="AJ18" i="1"/>
  <c r="AK18" i="1"/>
  <c r="AL18" i="1"/>
  <c r="AM18" i="1"/>
  <c r="AN18" i="1"/>
  <c r="AO18" i="1"/>
  <c r="AP18" i="1"/>
  <c r="AQ18" i="1"/>
  <c r="AT18" i="1"/>
  <c r="AV18" i="1"/>
  <c r="AW18" i="1" a="1"/>
  <c r="AW18" i="1"/>
  <c r="AX18" i="1" a="1"/>
  <c r="AX18" i="1"/>
  <c r="AY18" i="1" s="1"/>
  <c r="BA18" i="1" a="1"/>
  <c r="BA18" i="1" s="1"/>
  <c r="BD18" i="1" a="1"/>
  <c r="BD18" i="1"/>
  <c r="BG18" i="1" a="1"/>
  <c r="BG18" i="1" s="1"/>
  <c r="BJ18" i="1" a="1"/>
  <c r="BJ18" i="1"/>
  <c r="BM18" i="1" a="1"/>
  <c r="BM18" i="1" s="1"/>
  <c r="BP18" i="1" a="1"/>
  <c r="BP18" i="1" s="1"/>
  <c r="BS18" i="1" a="1"/>
  <c r="BS18" i="1" s="1"/>
  <c r="BV18" i="1" a="1"/>
  <c r="BV18" i="1" s="1"/>
  <c r="BY18" i="1" a="1"/>
  <c r="BY18" i="1" s="1"/>
  <c r="CB18" i="1" a="1"/>
  <c r="CB18" i="1"/>
  <c r="CE18" i="1" a="1"/>
  <c r="CE18" i="1"/>
  <c r="CH18" i="1" a="1"/>
  <c r="CH18" i="1"/>
  <c r="CK18" i="1" a="1"/>
  <c r="CK18" i="1" s="1"/>
  <c r="CN18" i="1" a="1"/>
  <c r="CN18" i="1"/>
  <c r="CQ18" i="1" a="1"/>
  <c r="CQ18" i="1" s="1"/>
  <c r="CT18" i="1" a="1"/>
  <c r="CT18" i="1" s="1"/>
  <c r="CW18" i="1" a="1"/>
  <c r="CW18" i="1" s="1"/>
  <c r="CZ18" i="1" a="1"/>
  <c r="CZ18" i="1" s="1"/>
  <c r="DC18" i="1" a="1"/>
  <c r="DC18" i="1"/>
  <c r="DF18" i="1" a="1"/>
  <c r="DF18" i="1" s="1"/>
  <c r="DI18" i="1" a="1"/>
  <c r="DI18" i="1" s="1"/>
  <c r="DL18" i="1" a="1"/>
  <c r="DL18" i="1"/>
  <c r="DO18" i="1" a="1"/>
  <c r="DO18" i="1" s="1"/>
  <c r="DR18" i="1" a="1"/>
  <c r="DR18" i="1" s="1"/>
  <c r="DU18" i="1" a="1"/>
  <c r="DU18" i="1" s="1"/>
  <c r="DX18" i="1" a="1"/>
  <c r="DX18" i="1" s="1"/>
  <c r="EA18" i="1" a="1"/>
  <c r="EA18" i="1" s="1"/>
  <c r="ED18" i="1" a="1"/>
  <c r="ED18" i="1" s="1"/>
  <c r="EG18" i="1" a="1"/>
  <c r="EG18" i="1"/>
  <c r="EJ18" i="1" a="1"/>
  <c r="EJ18" i="1" s="1"/>
  <c r="E19" i="1"/>
  <c r="H19" i="1"/>
  <c r="I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G19" i="1" s="1"/>
  <c r="AB19" i="1"/>
  <c r="AC19" i="1"/>
  <c r="AD19" i="1" s="1"/>
  <c r="AJ19" i="1"/>
  <c r="AK19" i="1"/>
  <c r="AL19" i="1"/>
  <c r="AM19" i="1"/>
  <c r="AN19" i="1"/>
  <c r="AO19" i="1"/>
  <c r="AP19" i="1"/>
  <c r="AQ19" i="1"/>
  <c r="AT19" i="1"/>
  <c r="AV19" i="1"/>
  <c r="AW19" i="1" a="1"/>
  <c r="AW19" i="1" s="1"/>
  <c r="AX19" i="1" a="1"/>
  <c r="AX19" i="1" s="1"/>
  <c r="BA19" i="1" a="1"/>
  <c r="BA19" i="1" s="1"/>
  <c r="BD19" i="1" a="1"/>
  <c r="BD19" i="1"/>
  <c r="BG19" i="1" a="1"/>
  <c r="BG19" i="1" s="1"/>
  <c r="BJ19" i="1" a="1"/>
  <c r="BJ19" i="1" s="1"/>
  <c r="BM19" i="1" a="1"/>
  <c r="BM19" i="1"/>
  <c r="BP19" i="1" a="1"/>
  <c r="BP19" i="1"/>
  <c r="BS19" i="1" a="1"/>
  <c r="BS19" i="1" s="1"/>
  <c r="BV19" i="1" a="1"/>
  <c r="BV19" i="1" s="1"/>
  <c r="BY19" i="1" a="1"/>
  <c r="BY19" i="1" s="1"/>
  <c r="CB19" i="1" a="1"/>
  <c r="CB19" i="1" s="1"/>
  <c r="CE19" i="1" a="1"/>
  <c r="CE19" i="1" s="1"/>
  <c r="CH19" i="1" a="1"/>
  <c r="CH19" i="1" s="1"/>
  <c r="CK19" i="1" a="1"/>
  <c r="CK19" i="1" s="1"/>
  <c r="CN19" i="1" a="1"/>
  <c r="CN19" i="1" s="1"/>
  <c r="CQ19" i="1" a="1"/>
  <c r="CQ19" i="1" s="1"/>
  <c r="CT19" i="1" a="1"/>
  <c r="CT19" i="1" s="1"/>
  <c r="CW19" i="1" a="1"/>
  <c r="CW19" i="1"/>
  <c r="CZ19" i="1" a="1"/>
  <c r="CZ19" i="1"/>
  <c r="DC19" i="1" a="1"/>
  <c r="DC19" i="1"/>
  <c r="DF19" i="1" a="1"/>
  <c r="DF19" i="1" s="1"/>
  <c r="DI19" i="1" a="1"/>
  <c r="DI19" i="1" s="1"/>
  <c r="DL19" i="1" a="1"/>
  <c r="DL19" i="1" s="1"/>
  <c r="DO19" i="1" a="1"/>
  <c r="DO19" i="1" s="1"/>
  <c r="DR19" i="1" a="1"/>
  <c r="DR19" i="1"/>
  <c r="DU19" i="1" a="1"/>
  <c r="DU19" i="1" s="1"/>
  <c r="DX19" i="1" a="1"/>
  <c r="DX19" i="1" s="1"/>
  <c r="EA19" i="1" a="1"/>
  <c r="EA19" i="1" s="1"/>
  <c r="ED19" i="1" a="1"/>
  <c r="ED19" i="1"/>
  <c r="EG19" i="1" a="1"/>
  <c r="EG19" i="1" s="1"/>
  <c r="EJ19" i="1" a="1"/>
  <c r="EJ19" i="1" s="1"/>
  <c r="D20" i="1"/>
  <c r="E20" i="1"/>
  <c r="H20" i="1"/>
  <c r="I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AB20" i="1"/>
  <c r="AC20" i="1"/>
  <c r="AD20" i="1" s="1"/>
  <c r="AJ20" i="1"/>
  <c r="AK20" i="1"/>
  <c r="AL20" i="1"/>
  <c r="AM20" i="1"/>
  <c r="AN20" i="1"/>
  <c r="AO20" i="1"/>
  <c r="AP20" i="1"/>
  <c r="AQ20" i="1"/>
  <c r="AT20" i="1"/>
  <c r="AV20" i="1"/>
  <c r="AW20" i="1" a="1"/>
  <c r="AW20" i="1" s="1"/>
  <c r="AX20" i="1" a="1"/>
  <c r="AX20" i="1"/>
  <c r="BA20" i="1" a="1"/>
  <c r="BA20" i="1" s="1"/>
  <c r="BA211" i="1" s="1"/>
  <c r="BD20" i="1" a="1"/>
  <c r="BD20" i="1" s="1"/>
  <c r="BG20" i="1" a="1"/>
  <c r="BG20" i="1" s="1"/>
  <c r="BJ20" i="1" a="1"/>
  <c r="BJ20" i="1" s="1"/>
  <c r="BM20" i="1" a="1"/>
  <c r="BM20" i="1" s="1"/>
  <c r="BP20" i="1" a="1"/>
  <c r="BP20" i="1" s="1"/>
  <c r="BS20" i="1" a="1"/>
  <c r="BS20" i="1"/>
  <c r="BV20" i="1" a="1"/>
  <c r="BV20" i="1"/>
  <c r="BY20" i="1" a="1"/>
  <c r="BY20" i="1" s="1"/>
  <c r="CB20" i="1" a="1"/>
  <c r="CB20" i="1" s="1"/>
  <c r="CE20" i="1" a="1"/>
  <c r="CE20" i="1" s="1"/>
  <c r="CH20" i="1" a="1"/>
  <c r="CH20" i="1" s="1"/>
  <c r="CK20" i="1" a="1"/>
  <c r="CK20" i="1" s="1"/>
  <c r="CN20" i="1" a="1"/>
  <c r="CN20" i="1" s="1"/>
  <c r="CQ20" i="1" a="1"/>
  <c r="CQ20" i="1" s="1"/>
  <c r="CT20" i="1" a="1"/>
  <c r="CT20" i="1" s="1"/>
  <c r="CW20" i="1" a="1"/>
  <c r="CW20" i="1"/>
  <c r="CZ20" i="1" a="1"/>
  <c r="CZ20" i="1" s="1"/>
  <c r="DC20" i="1" a="1"/>
  <c r="DC20" i="1" s="1"/>
  <c r="DF20" i="1" a="1"/>
  <c r="DF20" i="1" s="1"/>
  <c r="DI20" i="1" a="1"/>
  <c r="DI20" i="1"/>
  <c r="DL20" i="1" a="1"/>
  <c r="DL20" i="1" s="1"/>
  <c r="DO20" i="1" a="1"/>
  <c r="DO20" i="1" s="1"/>
  <c r="DR20" i="1" a="1"/>
  <c r="DR20" i="1" s="1"/>
  <c r="DU20" i="1" a="1"/>
  <c r="DU20" i="1" s="1"/>
  <c r="DX20" i="1" a="1"/>
  <c r="DX20" i="1"/>
  <c r="EA20" i="1" a="1"/>
  <c r="EA20" i="1" s="1"/>
  <c r="ED20" i="1" a="1"/>
  <c r="ED20" i="1" s="1"/>
  <c r="EG20" i="1" a="1"/>
  <c r="EG20" i="1"/>
  <c r="EJ20" i="1" a="1"/>
  <c r="EJ20" i="1"/>
  <c r="H21" i="1"/>
  <c r="I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AB21" i="1"/>
  <c r="Z21" i="1" s="1"/>
  <c r="G21" i="1" s="1"/>
  <c r="AC21" i="1"/>
  <c r="AJ21" i="1"/>
  <c r="AK21" i="1"/>
  <c r="AL21" i="1"/>
  <c r="AM21" i="1"/>
  <c r="AN21" i="1"/>
  <c r="AO21" i="1"/>
  <c r="AP21" i="1"/>
  <c r="AQ21" i="1"/>
  <c r="AT21" i="1"/>
  <c r="AV21" i="1"/>
  <c r="AW21" i="1" a="1"/>
  <c r="AW21" i="1"/>
  <c r="AX21" i="1" a="1"/>
  <c r="AX21" i="1" s="1"/>
  <c r="AY21" i="1" s="1"/>
  <c r="BA21" i="1" a="1"/>
  <c r="BA21" i="1" s="1"/>
  <c r="BD21" i="1" a="1"/>
  <c r="BD21" i="1" s="1"/>
  <c r="BG21" i="1" a="1"/>
  <c r="BG21" i="1"/>
  <c r="BJ21" i="1" a="1"/>
  <c r="BJ21" i="1" s="1"/>
  <c r="BM21" i="1" a="1"/>
  <c r="BM21" i="1" s="1"/>
  <c r="BP21" i="1" a="1"/>
  <c r="BP21" i="1" s="1"/>
  <c r="BS21" i="1" a="1"/>
  <c r="BS21" i="1"/>
  <c r="BV21" i="1" a="1"/>
  <c r="BV21" i="1" s="1"/>
  <c r="BY21" i="1" a="1"/>
  <c r="BY21" i="1" s="1"/>
  <c r="CB21" i="1" a="1"/>
  <c r="CB21" i="1" s="1"/>
  <c r="CE21" i="1" a="1"/>
  <c r="CE21" i="1"/>
  <c r="CH21" i="1" a="1"/>
  <c r="CH21" i="1" s="1"/>
  <c r="CK21" i="1" a="1"/>
  <c r="CK21" i="1" s="1"/>
  <c r="CN21" i="1" a="1"/>
  <c r="CN21" i="1"/>
  <c r="CQ21" i="1" a="1"/>
  <c r="CQ21" i="1" s="1"/>
  <c r="CT21" i="1" a="1"/>
  <c r="CT21" i="1" s="1"/>
  <c r="CW21" i="1" a="1"/>
  <c r="CW21" i="1" s="1"/>
  <c r="CZ21" i="1" a="1"/>
  <c r="CZ21" i="1" s="1"/>
  <c r="DC21" i="1" a="1"/>
  <c r="DC21" i="1"/>
  <c r="DF21" i="1" a="1"/>
  <c r="DF21" i="1" s="1"/>
  <c r="DI21" i="1" a="1"/>
  <c r="DI21" i="1"/>
  <c r="DL21" i="1" a="1"/>
  <c r="DL21" i="1"/>
  <c r="DO21" i="1" a="1"/>
  <c r="DO21" i="1" s="1"/>
  <c r="DR21" i="1" a="1"/>
  <c r="DR21" i="1" s="1"/>
  <c r="DU21" i="1" a="1"/>
  <c r="DU21" i="1"/>
  <c r="DX21" i="1" a="1"/>
  <c r="DX21" i="1" s="1"/>
  <c r="EA21" i="1" a="1"/>
  <c r="EA21" i="1" s="1"/>
  <c r="ED21" i="1" a="1"/>
  <c r="ED21" i="1" s="1"/>
  <c r="EG21" i="1" a="1"/>
  <c r="EG21" i="1" s="1"/>
  <c r="EJ21" i="1" a="1"/>
  <c r="EJ21" i="1" s="1"/>
  <c r="H22" i="1"/>
  <c r="I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AB22" i="1"/>
  <c r="AC22" i="1"/>
  <c r="AF22" i="1" s="1"/>
  <c r="AJ22" i="1"/>
  <c r="AK22" i="1"/>
  <c r="AL22" i="1"/>
  <c r="AM22" i="1"/>
  <c r="AN22" i="1"/>
  <c r="AO22" i="1"/>
  <c r="AP22" i="1"/>
  <c r="AQ22" i="1"/>
  <c r="AT22" i="1"/>
  <c r="AV22" i="1"/>
  <c r="AW22" i="1" a="1"/>
  <c r="AW22" i="1" s="1"/>
  <c r="AX22" i="1" a="1"/>
  <c r="AX22" i="1" s="1"/>
  <c r="BA22" i="1" a="1"/>
  <c r="BA22" i="1" s="1"/>
  <c r="BD22" i="1" a="1"/>
  <c r="BD22" i="1" s="1"/>
  <c r="BG22" i="1" a="1"/>
  <c r="BG22" i="1"/>
  <c r="BJ22" i="1" a="1"/>
  <c r="BJ22" i="1" s="1"/>
  <c r="BM22" i="1" a="1"/>
  <c r="BM22" i="1" s="1"/>
  <c r="BP22" i="1" a="1"/>
  <c r="BP22" i="1" s="1"/>
  <c r="BS22" i="1" a="1"/>
  <c r="BS22" i="1" s="1"/>
  <c r="BV22" i="1" a="1"/>
  <c r="BV22" i="1" s="1"/>
  <c r="BY22" i="1" a="1"/>
  <c r="BY22" i="1" s="1"/>
  <c r="CB22" i="1" a="1"/>
  <c r="CB22" i="1" s="1"/>
  <c r="CE22" i="1" a="1"/>
  <c r="CE22" i="1" s="1"/>
  <c r="CH22" i="1" a="1"/>
  <c r="CH22" i="1" s="1"/>
  <c r="CK22" i="1" a="1"/>
  <c r="CK22" i="1" s="1"/>
  <c r="CN22" i="1" a="1"/>
  <c r="CN22" i="1" s="1"/>
  <c r="CQ22" i="1" a="1"/>
  <c r="CQ22" i="1" s="1"/>
  <c r="CT22" i="1" a="1"/>
  <c r="CT22" i="1" s="1"/>
  <c r="CW22" i="1" a="1"/>
  <c r="CW22" i="1"/>
  <c r="CZ22" i="1" a="1"/>
  <c r="CZ22" i="1" s="1"/>
  <c r="DC22" i="1" a="1"/>
  <c r="DC22" i="1"/>
  <c r="DF22" i="1" a="1"/>
  <c r="DF22" i="1" s="1"/>
  <c r="DI22" i="1" a="1"/>
  <c r="DI22" i="1" s="1"/>
  <c r="DL22" i="1" a="1"/>
  <c r="DL22" i="1" s="1"/>
  <c r="DO22" i="1" a="1"/>
  <c r="DO22" i="1" s="1"/>
  <c r="DR22" i="1" a="1"/>
  <c r="DR22" i="1" s="1"/>
  <c r="DU22" i="1" a="1"/>
  <c r="DU22" i="1" s="1"/>
  <c r="DX22" i="1" a="1"/>
  <c r="DX22" i="1" s="1"/>
  <c r="EA22" i="1" a="1"/>
  <c r="EA22" i="1" s="1"/>
  <c r="ED22" i="1" a="1"/>
  <c r="ED22" i="1"/>
  <c r="EG22" i="1" a="1"/>
  <c r="EG22" i="1" s="1"/>
  <c r="EJ22" i="1" a="1"/>
  <c r="EJ22" i="1"/>
  <c r="D23" i="1"/>
  <c r="E23" i="1"/>
  <c r="H23" i="1"/>
  <c r="I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AB23" i="1"/>
  <c r="Z23" i="1" s="1"/>
  <c r="G23" i="1" s="1"/>
  <c r="AC23" i="1"/>
  <c r="AJ23" i="1"/>
  <c r="AK23" i="1"/>
  <c r="AL23" i="1"/>
  <c r="AM23" i="1"/>
  <c r="AN23" i="1"/>
  <c r="AO23" i="1"/>
  <c r="AP23" i="1"/>
  <c r="AQ23" i="1"/>
  <c r="AT23" i="1"/>
  <c r="AV23" i="1"/>
  <c r="AW23" i="1" a="1"/>
  <c r="AW23" i="1" s="1"/>
  <c r="AX23" i="1" a="1"/>
  <c r="AX23" i="1" s="1"/>
  <c r="AY23" i="1"/>
  <c r="BA23" i="1" a="1"/>
  <c r="BA23" i="1"/>
  <c r="BD23" i="1" a="1"/>
  <c r="BD23" i="1" s="1"/>
  <c r="BG23" i="1" a="1"/>
  <c r="BG23" i="1"/>
  <c r="BJ23" i="1" a="1"/>
  <c r="BJ23" i="1" s="1"/>
  <c r="BM23" i="1" a="1"/>
  <c r="BM23" i="1" s="1"/>
  <c r="BP23" i="1" a="1"/>
  <c r="BP23" i="1" s="1"/>
  <c r="BS23" i="1" a="1"/>
  <c r="BS23" i="1" s="1"/>
  <c r="BV23" i="1" a="1"/>
  <c r="BV23" i="1" s="1"/>
  <c r="BY23" i="1" a="1"/>
  <c r="BY23" i="1" s="1"/>
  <c r="CB23" i="1" a="1"/>
  <c r="CB23" i="1" s="1"/>
  <c r="CE23" i="1" a="1"/>
  <c r="CE23" i="1"/>
  <c r="CH23" i="1" a="1"/>
  <c r="CH23" i="1" s="1"/>
  <c r="CK23" i="1" a="1"/>
  <c r="CK23" i="1" s="1"/>
  <c r="CN23" i="1" a="1"/>
  <c r="CN23" i="1" s="1"/>
  <c r="CQ23" i="1" a="1"/>
  <c r="CQ23" i="1" s="1"/>
  <c r="CT23" i="1" a="1"/>
  <c r="CT23" i="1" s="1"/>
  <c r="CW23" i="1" a="1"/>
  <c r="CW23" i="1"/>
  <c r="CZ23" i="1" a="1"/>
  <c r="CZ23" i="1" s="1"/>
  <c r="DC23" i="1" a="1"/>
  <c r="DC23" i="1"/>
  <c r="DF23" i="1" a="1"/>
  <c r="DF23" i="1" s="1"/>
  <c r="DI23" i="1" a="1"/>
  <c r="DI23" i="1" s="1"/>
  <c r="DL23" i="1" a="1"/>
  <c r="DL23" i="1" s="1"/>
  <c r="DO23" i="1" a="1"/>
  <c r="DO23" i="1" s="1"/>
  <c r="DR23" i="1" a="1"/>
  <c r="DR23" i="1" s="1"/>
  <c r="DU23" i="1" a="1"/>
  <c r="DU23" i="1" s="1"/>
  <c r="DX23" i="1" a="1"/>
  <c r="DX23" i="1" s="1"/>
  <c r="EA23" i="1" a="1"/>
  <c r="EA23" i="1" s="1"/>
  <c r="ED23" i="1" a="1"/>
  <c r="ED23" i="1" s="1"/>
  <c r="EG23" i="1" a="1"/>
  <c r="EG23" i="1" s="1"/>
  <c r="EJ23" i="1" a="1"/>
  <c r="EJ23" i="1" s="1"/>
  <c r="I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AC24" i="1"/>
  <c r="E24" i="1" s="1"/>
  <c r="AJ24" i="1"/>
  <c r="AK24" i="1"/>
  <c r="AL24" i="1"/>
  <c r="AM24" i="1"/>
  <c r="AN24" i="1"/>
  <c r="AO24" i="1"/>
  <c r="AP24" i="1"/>
  <c r="AQ24" i="1"/>
  <c r="AT24" i="1"/>
  <c r="D25" i="1"/>
  <c r="H25" i="1"/>
  <c r="I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AB25" i="1"/>
  <c r="Z25" i="1" s="1"/>
  <c r="G25" i="1" s="1"/>
  <c r="AC25" i="1"/>
  <c r="AJ25" i="1"/>
  <c r="AK25" i="1"/>
  <c r="AL25" i="1"/>
  <c r="AM25" i="1"/>
  <c r="AN25" i="1"/>
  <c r="AO25" i="1"/>
  <c r="AP25" i="1"/>
  <c r="AQ25" i="1"/>
  <c r="AT25" i="1"/>
  <c r="AV25" i="1"/>
  <c r="AW25" i="1" a="1"/>
  <c r="AW25" i="1" s="1"/>
  <c r="AX25" i="1" a="1"/>
  <c r="AX25" i="1" s="1"/>
  <c r="AY25" i="1" s="1"/>
  <c r="BA25" i="1" a="1"/>
  <c r="BA25" i="1" s="1"/>
  <c r="BD25" i="1" a="1"/>
  <c r="BD25" i="1"/>
  <c r="BG25" i="1" a="1"/>
  <c r="BG25" i="1" s="1"/>
  <c r="BJ25" i="1" a="1"/>
  <c r="BJ25" i="1" s="1"/>
  <c r="BM25" i="1" a="1"/>
  <c r="BM25" i="1" s="1"/>
  <c r="BP25" i="1" a="1"/>
  <c r="BP25" i="1"/>
  <c r="BS25" i="1" a="1"/>
  <c r="BS25" i="1" s="1"/>
  <c r="BV25" i="1" a="1"/>
  <c r="BV25" i="1"/>
  <c r="BY25" i="1" a="1"/>
  <c r="BY25" i="1" s="1"/>
  <c r="CB25" i="1" a="1"/>
  <c r="CB25" i="1" s="1"/>
  <c r="CE25" i="1" a="1"/>
  <c r="CE25" i="1" s="1"/>
  <c r="CH25" i="1" a="1"/>
  <c r="CH25" i="1" s="1"/>
  <c r="CK25" i="1" a="1"/>
  <c r="CK25" i="1" s="1"/>
  <c r="CN25" i="1" a="1"/>
  <c r="CN25" i="1" s="1"/>
  <c r="CQ25" i="1" a="1"/>
  <c r="CQ25" i="1" s="1"/>
  <c r="CT25" i="1" a="1"/>
  <c r="CT25" i="1" s="1"/>
  <c r="CW25" i="1" a="1"/>
  <c r="CW25" i="1" s="1"/>
  <c r="CZ25" i="1" a="1"/>
  <c r="CZ25" i="1" s="1"/>
  <c r="DC25" i="1" a="1"/>
  <c r="DC25" i="1" s="1"/>
  <c r="DF25" i="1" a="1"/>
  <c r="DF25" i="1" s="1"/>
  <c r="DI25" i="1" a="1"/>
  <c r="DI25" i="1" s="1"/>
  <c r="DL25" i="1" a="1"/>
  <c r="DL25" i="1"/>
  <c r="DO25" i="1" a="1"/>
  <c r="DO25" i="1"/>
  <c r="DR25" i="1" a="1"/>
  <c r="DR25" i="1" s="1"/>
  <c r="DU25" i="1" a="1"/>
  <c r="DU25" i="1"/>
  <c r="DX25" i="1" a="1"/>
  <c r="DX25" i="1" s="1"/>
  <c r="EA25" i="1" a="1"/>
  <c r="EA25" i="1" s="1"/>
  <c r="ED25" i="1" a="1"/>
  <c r="ED25" i="1" s="1"/>
  <c r="EG25" i="1" a="1"/>
  <c r="EG25" i="1"/>
  <c r="EJ25" i="1" a="1"/>
  <c r="EJ25" i="1" s="1"/>
  <c r="I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AC26" i="1"/>
  <c r="AJ26" i="1"/>
  <c r="AK26" i="1"/>
  <c r="AL26" i="1"/>
  <c r="AM26" i="1"/>
  <c r="AN26" i="1"/>
  <c r="AO26" i="1"/>
  <c r="AP26" i="1"/>
  <c r="AQ26" i="1"/>
  <c r="AT26" i="1"/>
  <c r="H27" i="1"/>
  <c r="I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G27" i="1" s="1"/>
  <c r="AB27" i="1"/>
  <c r="AC27" i="1"/>
  <c r="AJ27" i="1"/>
  <c r="AK27" i="1"/>
  <c r="AL27" i="1"/>
  <c r="AM27" i="1"/>
  <c r="AN27" i="1"/>
  <c r="AO27" i="1"/>
  <c r="AP27" i="1"/>
  <c r="AQ27" i="1"/>
  <c r="AT27" i="1"/>
  <c r="AV27" i="1"/>
  <c r="AW27" i="1" a="1"/>
  <c r="AW27" i="1" s="1"/>
  <c r="AX27" i="1" a="1"/>
  <c r="AX27" i="1"/>
  <c r="BA27" i="1" a="1"/>
  <c r="BA27" i="1" s="1"/>
  <c r="BD27" i="1" a="1"/>
  <c r="BD27" i="1"/>
  <c r="BG27" i="1" a="1"/>
  <c r="BG27" i="1" s="1"/>
  <c r="BJ27" i="1" a="1"/>
  <c r="BJ27" i="1" s="1"/>
  <c r="BM27" i="1" a="1"/>
  <c r="BM27" i="1" s="1"/>
  <c r="BP27" i="1" a="1"/>
  <c r="BP27" i="1" s="1"/>
  <c r="BS27" i="1" a="1"/>
  <c r="BS27" i="1" s="1"/>
  <c r="BV27" i="1" a="1"/>
  <c r="BV27" i="1"/>
  <c r="BY27" i="1" a="1"/>
  <c r="BY27" i="1" s="1"/>
  <c r="CB27" i="1" a="1"/>
  <c r="CB27" i="1"/>
  <c r="CE27" i="1" a="1"/>
  <c r="CE27" i="1" s="1"/>
  <c r="CH27" i="1" a="1"/>
  <c r="CH27" i="1" s="1"/>
  <c r="CK27" i="1" a="1"/>
  <c r="CK27" i="1" s="1"/>
  <c r="CN27" i="1" a="1"/>
  <c r="CN27" i="1" s="1"/>
  <c r="CQ27" i="1" a="1"/>
  <c r="CQ27" i="1" s="1"/>
  <c r="CT27" i="1" a="1"/>
  <c r="CT27" i="1"/>
  <c r="CW27" i="1" a="1"/>
  <c r="CW27" i="1" s="1"/>
  <c r="CZ27" i="1" a="1"/>
  <c r="CZ27" i="1" s="1"/>
  <c r="DC27" i="1" a="1"/>
  <c r="DC27" i="1" s="1"/>
  <c r="DF27" i="1" a="1"/>
  <c r="DF27" i="1"/>
  <c r="DI27" i="1" a="1"/>
  <c r="DI27" i="1" s="1"/>
  <c r="DL27" i="1" a="1"/>
  <c r="DL27" i="1" s="1"/>
  <c r="DL156" i="1" s="1"/>
  <c r="DO27" i="1" a="1"/>
  <c r="DO27" i="1"/>
  <c r="DR27" i="1" a="1"/>
  <c r="DR27" i="1" s="1"/>
  <c r="DU27" i="1" a="1"/>
  <c r="DU27" i="1" s="1"/>
  <c r="DX27" i="1" a="1"/>
  <c r="DX27" i="1"/>
  <c r="EA27" i="1" a="1"/>
  <c r="EA27" i="1"/>
  <c r="ED27" i="1" a="1"/>
  <c r="ED27" i="1" s="1"/>
  <c r="EG27" i="1" a="1"/>
  <c r="EG27" i="1" s="1"/>
  <c r="EJ27" i="1" a="1"/>
  <c r="EJ27" i="1" s="1"/>
  <c r="H28" i="1"/>
  <c r="I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AB28" i="1"/>
  <c r="Z28" i="1" s="1"/>
  <c r="G28" i="1" s="1"/>
  <c r="AC28" i="1"/>
  <c r="AJ28" i="1"/>
  <c r="AK28" i="1"/>
  <c r="AL28" i="1"/>
  <c r="AM28" i="1"/>
  <c r="AN28" i="1"/>
  <c r="AO28" i="1"/>
  <c r="AP28" i="1"/>
  <c r="AQ28" i="1"/>
  <c r="AT28" i="1"/>
  <c r="AV28" i="1"/>
  <c r="AW28" i="1" a="1"/>
  <c r="AW28" i="1" s="1"/>
  <c r="AX28" i="1" a="1"/>
  <c r="AX28" i="1"/>
  <c r="BA28" i="1" a="1"/>
  <c r="BA28" i="1" s="1"/>
  <c r="BD28" i="1" a="1"/>
  <c r="BD28" i="1"/>
  <c r="BG28" i="1" a="1"/>
  <c r="BG28" i="1" s="1"/>
  <c r="BJ28" i="1" a="1"/>
  <c r="BJ28" i="1" s="1"/>
  <c r="BM28" i="1" a="1"/>
  <c r="BM28" i="1"/>
  <c r="BP28" i="1" a="1"/>
  <c r="BP28" i="1"/>
  <c r="BS28" i="1" a="1"/>
  <c r="BS28" i="1" s="1"/>
  <c r="BV28" i="1" a="1"/>
  <c r="BV28" i="1" s="1"/>
  <c r="BY28" i="1" a="1"/>
  <c r="BY28" i="1" s="1"/>
  <c r="CB28" i="1" a="1"/>
  <c r="CB28" i="1"/>
  <c r="CE28" i="1" a="1"/>
  <c r="CE28" i="1" s="1"/>
  <c r="CH28" i="1" a="1"/>
  <c r="CH28" i="1"/>
  <c r="CK28" i="1" a="1"/>
  <c r="CK28" i="1" s="1"/>
  <c r="CN28" i="1" a="1"/>
  <c r="CN28" i="1" s="1"/>
  <c r="CQ28" i="1" a="1"/>
  <c r="CQ28" i="1"/>
  <c r="CT28" i="1" a="1"/>
  <c r="CT28" i="1"/>
  <c r="CW28" i="1" a="1"/>
  <c r="CW28" i="1" s="1"/>
  <c r="CZ28" i="1" a="1"/>
  <c r="CZ28" i="1"/>
  <c r="DC28" i="1" a="1"/>
  <c r="DC28" i="1" s="1"/>
  <c r="DF28" i="1" a="1"/>
  <c r="DF28" i="1" s="1"/>
  <c r="DI28" i="1" a="1"/>
  <c r="DI28" i="1"/>
  <c r="DL28" i="1" a="1"/>
  <c r="DL28" i="1"/>
  <c r="DO28" i="1" a="1"/>
  <c r="DO28" i="1" s="1"/>
  <c r="DR28" i="1" a="1"/>
  <c r="DR28" i="1" s="1"/>
  <c r="DU28" i="1" a="1"/>
  <c r="DU28" i="1"/>
  <c r="DX28" i="1" a="1"/>
  <c r="DX28" i="1"/>
  <c r="EA28" i="1" a="1"/>
  <c r="EA28" i="1" s="1"/>
  <c r="ED28" i="1" a="1"/>
  <c r="ED28" i="1"/>
  <c r="EG28" i="1" a="1"/>
  <c r="EG28" i="1" s="1"/>
  <c r="EJ28" i="1" a="1"/>
  <c r="EJ28" i="1" s="1"/>
  <c r="I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AC29" i="1"/>
  <c r="AJ29" i="1"/>
  <c r="AK29" i="1"/>
  <c r="AL29" i="1"/>
  <c r="AM29" i="1"/>
  <c r="AN29" i="1"/>
  <c r="AO29" i="1"/>
  <c r="AP29" i="1"/>
  <c r="AQ29" i="1"/>
  <c r="AT29" i="1"/>
  <c r="I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AC30" i="1"/>
  <c r="AJ30" i="1"/>
  <c r="AK30" i="1"/>
  <c r="AL30" i="1"/>
  <c r="AM30" i="1"/>
  <c r="AN30" i="1"/>
  <c r="AO30" i="1"/>
  <c r="AP30" i="1"/>
  <c r="AQ30" i="1"/>
  <c r="AT30" i="1"/>
  <c r="H31" i="1"/>
  <c r="AF31" i="1" s="1"/>
  <c r="I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G31" i="1" s="1"/>
  <c r="AB31" i="1"/>
  <c r="AC31" i="1"/>
  <c r="AJ31" i="1"/>
  <c r="AK31" i="1"/>
  <c r="AL31" i="1"/>
  <c r="AM31" i="1"/>
  <c r="AN31" i="1"/>
  <c r="AO31" i="1"/>
  <c r="AP31" i="1"/>
  <c r="AQ31" i="1"/>
  <c r="AT31" i="1"/>
  <c r="AV31" i="1"/>
  <c r="AW31" i="1" a="1"/>
  <c r="AW31" i="1" s="1"/>
  <c r="AX31" i="1" a="1"/>
  <c r="AX31" i="1" s="1"/>
  <c r="BA31" i="1" a="1"/>
  <c r="BA31" i="1" s="1"/>
  <c r="BD31" i="1" a="1"/>
  <c r="BD31" i="1" s="1"/>
  <c r="BG31" i="1" a="1"/>
  <c r="BG31" i="1" s="1"/>
  <c r="BJ31" i="1" a="1"/>
  <c r="BJ31" i="1"/>
  <c r="BM31" i="1" a="1"/>
  <c r="BM31" i="1"/>
  <c r="BP31" i="1" a="1"/>
  <c r="BP31" i="1" s="1"/>
  <c r="BS31" i="1" a="1"/>
  <c r="BS31" i="1" s="1"/>
  <c r="BV31" i="1" a="1"/>
  <c r="BV31" i="1" s="1"/>
  <c r="BY31" i="1" a="1"/>
  <c r="BY31" i="1" s="1"/>
  <c r="CB31" i="1" a="1"/>
  <c r="CB31" i="1" s="1"/>
  <c r="CE31" i="1" a="1"/>
  <c r="CE31" i="1" s="1"/>
  <c r="CH31" i="1" a="1"/>
  <c r="CH31" i="1" s="1"/>
  <c r="CK31" i="1" a="1"/>
  <c r="CK31" i="1" s="1"/>
  <c r="CN31" i="1" a="1"/>
  <c r="CN31" i="1" s="1"/>
  <c r="CQ31" i="1" a="1"/>
  <c r="CQ31" i="1"/>
  <c r="CT31" i="1" a="1"/>
  <c r="CT31" i="1" s="1"/>
  <c r="CW31" i="1" a="1"/>
  <c r="CW31" i="1" s="1"/>
  <c r="CZ31" i="1" a="1"/>
  <c r="CZ31" i="1" s="1"/>
  <c r="DC31" i="1" a="1"/>
  <c r="DC31" i="1"/>
  <c r="DF31" i="1" a="1"/>
  <c r="DF31" i="1"/>
  <c r="DI31" i="1" a="1"/>
  <c r="DI31" i="1" s="1"/>
  <c r="DL31" i="1" a="1"/>
  <c r="DL31" i="1" s="1"/>
  <c r="DO31" i="1" a="1"/>
  <c r="DO31" i="1" s="1"/>
  <c r="DR31" i="1" a="1"/>
  <c r="DR31" i="1" s="1"/>
  <c r="DU31" i="1" a="1"/>
  <c r="DU31" i="1"/>
  <c r="DX31" i="1" a="1"/>
  <c r="DX31" i="1" s="1"/>
  <c r="EA31" i="1" a="1"/>
  <c r="EA31" i="1" s="1"/>
  <c r="ED31" i="1" a="1"/>
  <c r="ED31" i="1" s="1"/>
  <c r="EG31" i="1" a="1"/>
  <c r="EG31" i="1" s="1"/>
  <c r="EJ31" i="1" a="1"/>
  <c r="EJ31" i="1" s="1"/>
  <c r="H32" i="1"/>
  <c r="I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AB32" i="1"/>
  <c r="Z32" i="1" s="1"/>
  <c r="G32" i="1" s="1"/>
  <c r="AC32" i="1"/>
  <c r="AJ32" i="1"/>
  <c r="AK32" i="1"/>
  <c r="AL32" i="1"/>
  <c r="AM32" i="1"/>
  <c r="AN32" i="1"/>
  <c r="AO32" i="1"/>
  <c r="AP32" i="1"/>
  <c r="AQ32" i="1"/>
  <c r="AT32" i="1"/>
  <c r="AV32" i="1"/>
  <c r="AW32" i="1" a="1"/>
  <c r="AW32" i="1" s="1"/>
  <c r="AX32" i="1" a="1"/>
  <c r="AX32" i="1" s="1"/>
  <c r="BA32" i="1" a="1"/>
  <c r="BA32" i="1" s="1"/>
  <c r="BD32" i="1" a="1"/>
  <c r="BD32" i="1" s="1"/>
  <c r="BG32" i="1" a="1"/>
  <c r="BG32" i="1" s="1"/>
  <c r="BJ32" i="1" a="1"/>
  <c r="BJ32" i="1"/>
  <c r="BM32" i="1" a="1"/>
  <c r="BM32" i="1" s="1"/>
  <c r="BP32" i="1" a="1"/>
  <c r="BP32" i="1" s="1"/>
  <c r="BS32" i="1" a="1"/>
  <c r="BS32" i="1" s="1"/>
  <c r="BV32" i="1" a="1"/>
  <c r="BV32" i="1" s="1"/>
  <c r="BY32" i="1" a="1"/>
  <c r="BY32" i="1" s="1"/>
  <c r="CB32" i="1" a="1"/>
  <c r="CB32" i="1" s="1"/>
  <c r="CE32" i="1" a="1"/>
  <c r="CE32" i="1" s="1"/>
  <c r="CH32" i="1" a="1"/>
  <c r="CH32" i="1" s="1"/>
  <c r="CK32" i="1" a="1"/>
  <c r="CK32" i="1" s="1"/>
  <c r="CN32" i="1" a="1"/>
  <c r="CN32" i="1" s="1"/>
  <c r="CQ32" i="1" a="1"/>
  <c r="CQ32" i="1" s="1"/>
  <c r="CT32" i="1" a="1"/>
  <c r="CT32" i="1" s="1"/>
  <c r="CW32" i="1" a="1"/>
  <c r="CW32" i="1" s="1"/>
  <c r="CZ32" i="1" a="1"/>
  <c r="CZ32" i="1" s="1"/>
  <c r="DC32" i="1" a="1"/>
  <c r="DC32" i="1" s="1"/>
  <c r="DF32" i="1" a="1"/>
  <c r="DF32" i="1" s="1"/>
  <c r="DI32" i="1" a="1"/>
  <c r="DI32" i="1" s="1"/>
  <c r="DL32" i="1" a="1"/>
  <c r="DL32" i="1" s="1"/>
  <c r="DO32" i="1" a="1"/>
  <c r="DO32" i="1" s="1"/>
  <c r="DR32" i="1" a="1"/>
  <c r="DR32" i="1" s="1"/>
  <c r="DR163" i="1" s="1"/>
  <c r="DU32" i="1" a="1"/>
  <c r="DU32" i="1" s="1"/>
  <c r="DX32" i="1" a="1"/>
  <c r="DX32" i="1" s="1"/>
  <c r="EA32" i="1" a="1"/>
  <c r="EA32" i="1" s="1"/>
  <c r="ED32" i="1" a="1"/>
  <c r="ED32" i="1" s="1"/>
  <c r="EG32" i="1" a="1"/>
  <c r="EG32" i="1" s="1"/>
  <c r="EJ32" i="1" a="1"/>
  <c r="EJ32" i="1" s="1"/>
  <c r="H33" i="1"/>
  <c r="I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AB33" i="1"/>
  <c r="Z33" i="1" s="1"/>
  <c r="G33" i="1" s="1"/>
  <c r="AC33" i="1"/>
  <c r="AJ33" i="1"/>
  <c r="AK33" i="1"/>
  <c r="AL33" i="1"/>
  <c r="AM33" i="1"/>
  <c r="AN33" i="1"/>
  <c r="AO33" i="1"/>
  <c r="AP33" i="1"/>
  <c r="AQ33" i="1"/>
  <c r="AT33" i="1"/>
  <c r="AV33" i="1"/>
  <c r="AW33" i="1" a="1"/>
  <c r="AW33" i="1" s="1"/>
  <c r="AX33" i="1" a="1"/>
  <c r="AX33" i="1" s="1"/>
  <c r="BA33" i="1" a="1"/>
  <c r="BA33" i="1" s="1"/>
  <c r="BD33" i="1" a="1"/>
  <c r="BD33" i="1" s="1"/>
  <c r="BG33" i="1" a="1"/>
  <c r="BG33" i="1" s="1"/>
  <c r="BJ33" i="1" a="1"/>
  <c r="BJ33" i="1" s="1"/>
  <c r="BM33" i="1" a="1"/>
  <c r="BM33" i="1" s="1"/>
  <c r="BP33" i="1" a="1"/>
  <c r="BP33" i="1" s="1"/>
  <c r="BS33" i="1" a="1"/>
  <c r="BS33" i="1"/>
  <c r="BV33" i="1" a="1"/>
  <c r="BV33" i="1" s="1"/>
  <c r="BY33" i="1" a="1"/>
  <c r="BY33" i="1" s="1"/>
  <c r="CB33" i="1" a="1"/>
  <c r="CB33" i="1" s="1"/>
  <c r="CE33" i="1" a="1"/>
  <c r="CE33" i="1"/>
  <c r="CH33" i="1" a="1"/>
  <c r="CH33" i="1" s="1"/>
  <c r="CK33" i="1" a="1"/>
  <c r="CK33" i="1" s="1"/>
  <c r="CN33" i="1" a="1"/>
  <c r="CN33" i="1" s="1"/>
  <c r="CQ33" i="1" a="1"/>
  <c r="CQ33" i="1" s="1"/>
  <c r="CT33" i="1" a="1"/>
  <c r="CT33" i="1" s="1"/>
  <c r="CW33" i="1" a="1"/>
  <c r="CW33" i="1" s="1"/>
  <c r="CZ33" i="1" a="1"/>
  <c r="CZ33" i="1" s="1"/>
  <c r="DC33" i="1" a="1"/>
  <c r="DC33" i="1"/>
  <c r="DF33" i="1" a="1"/>
  <c r="DF33" i="1" s="1"/>
  <c r="DI33" i="1" a="1"/>
  <c r="DI33" i="1" s="1"/>
  <c r="DL33" i="1" a="1"/>
  <c r="DL33" i="1" s="1"/>
  <c r="DO33" i="1" a="1"/>
  <c r="DO33" i="1" s="1"/>
  <c r="DR33" i="1" a="1"/>
  <c r="DR33" i="1" s="1"/>
  <c r="DU33" i="1" a="1"/>
  <c r="DU33" i="1" s="1"/>
  <c r="DX33" i="1" a="1"/>
  <c r="DX33" i="1" s="1"/>
  <c r="EA33" i="1" a="1"/>
  <c r="EA33" i="1" s="1"/>
  <c r="ED33" i="1" a="1"/>
  <c r="ED33" i="1" s="1"/>
  <c r="EG33" i="1" a="1"/>
  <c r="EG33" i="1" s="1"/>
  <c r="EJ33" i="1" a="1"/>
  <c r="EJ33" i="1" s="1"/>
  <c r="H34" i="1"/>
  <c r="I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AB34" i="1"/>
  <c r="Z34" i="1" s="1"/>
  <c r="G34" i="1" s="1"/>
  <c r="AC34" i="1"/>
  <c r="AJ34" i="1"/>
  <c r="AK34" i="1"/>
  <c r="AL34" i="1"/>
  <c r="AO34" i="1"/>
  <c r="AP34" i="1"/>
  <c r="AQ34" i="1"/>
  <c r="AT34" i="1"/>
  <c r="AV34" i="1"/>
  <c r="AW34" i="1" a="1"/>
  <c r="AW34" i="1" s="1"/>
  <c r="AX34" i="1" a="1"/>
  <c r="AX34" i="1"/>
  <c r="BA34" i="1" a="1"/>
  <c r="BA34" i="1" s="1"/>
  <c r="BD34" i="1" a="1"/>
  <c r="BD34" i="1" s="1"/>
  <c r="BG34" i="1" a="1"/>
  <c r="BG34" i="1"/>
  <c r="BJ34" i="1" a="1"/>
  <c r="BJ34" i="1" s="1"/>
  <c r="BM34" i="1" a="1"/>
  <c r="BM34" i="1" s="1"/>
  <c r="BP34" i="1" a="1"/>
  <c r="BP34" i="1" s="1"/>
  <c r="BS34" i="1" a="1"/>
  <c r="BS34" i="1"/>
  <c r="BV34" i="1" a="1"/>
  <c r="BV34" i="1" s="1"/>
  <c r="BY34" i="1" a="1"/>
  <c r="BY34" i="1" s="1"/>
  <c r="CB34" i="1" a="1"/>
  <c r="CB34" i="1" s="1"/>
  <c r="CE34" i="1" a="1"/>
  <c r="CE34" i="1" s="1"/>
  <c r="CH34" i="1" a="1"/>
  <c r="CH34" i="1" s="1"/>
  <c r="CK34" i="1" a="1"/>
  <c r="CK34" i="1" s="1"/>
  <c r="CN34" i="1" a="1"/>
  <c r="CN34" i="1" s="1"/>
  <c r="CQ34" i="1" a="1"/>
  <c r="CQ34" i="1"/>
  <c r="CT34" i="1" a="1"/>
  <c r="CT34" i="1" s="1"/>
  <c r="CW34" i="1" a="1"/>
  <c r="CW34" i="1" s="1"/>
  <c r="CZ34" i="1" a="1"/>
  <c r="CZ34" i="1" s="1"/>
  <c r="DC34" i="1" a="1"/>
  <c r="DC34" i="1"/>
  <c r="DF34" i="1" a="1"/>
  <c r="DF34" i="1" s="1"/>
  <c r="DI34" i="1" a="1"/>
  <c r="DI34" i="1" s="1"/>
  <c r="DL34" i="1" a="1"/>
  <c r="DL34" i="1" s="1"/>
  <c r="DO34" i="1" a="1"/>
  <c r="DO34" i="1" s="1"/>
  <c r="DR34" i="1" a="1"/>
  <c r="DR34" i="1" s="1"/>
  <c r="DU34" i="1" a="1"/>
  <c r="DU34" i="1" s="1"/>
  <c r="DX34" i="1" a="1"/>
  <c r="DX34" i="1" s="1"/>
  <c r="EA34" i="1" a="1"/>
  <c r="EA34" i="1" s="1"/>
  <c r="ED34" i="1" a="1"/>
  <c r="ED34" i="1"/>
  <c r="EG34" i="1" a="1"/>
  <c r="EG34" i="1" s="1"/>
  <c r="EJ34" i="1" a="1"/>
  <c r="EJ34" i="1" s="1"/>
  <c r="I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AC35" i="1"/>
  <c r="AJ35" i="1"/>
  <c r="AK35" i="1"/>
  <c r="AL35" i="1"/>
  <c r="AM35" i="1"/>
  <c r="AN35" i="1"/>
  <c r="G36" i="1"/>
  <c r="H36" i="1"/>
  <c r="I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AB36" i="1"/>
  <c r="Z36" i="1" s="1"/>
  <c r="AC36" i="1"/>
  <c r="AD36" i="1" s="1"/>
  <c r="AJ36" i="1"/>
  <c r="AK36" i="1"/>
  <c r="AL36" i="1"/>
  <c r="AM36" i="1"/>
  <c r="AN36" i="1"/>
  <c r="AO36" i="1"/>
  <c r="AP36" i="1"/>
  <c r="AQ36" i="1"/>
  <c r="AT36" i="1"/>
  <c r="AV36" i="1"/>
  <c r="AW36" i="1" a="1"/>
  <c r="AW36" i="1" s="1"/>
  <c r="AX36" i="1" a="1"/>
  <c r="AX36" i="1" s="1"/>
  <c r="BA36" i="1" a="1"/>
  <c r="BA36" i="1" s="1"/>
  <c r="BD36" i="1" a="1"/>
  <c r="BD36" i="1" s="1"/>
  <c r="BG36" i="1" a="1"/>
  <c r="BG36" i="1" s="1"/>
  <c r="BJ36" i="1" a="1"/>
  <c r="BJ36" i="1" s="1"/>
  <c r="BM36" i="1" a="1"/>
  <c r="BM36" i="1" s="1"/>
  <c r="BP36" i="1" a="1"/>
  <c r="BP36" i="1"/>
  <c r="BS36" i="1" a="1"/>
  <c r="BS36" i="1" s="1"/>
  <c r="BV36" i="1" a="1"/>
  <c r="BV36" i="1" s="1"/>
  <c r="BY36" i="1" a="1"/>
  <c r="BY36" i="1" s="1"/>
  <c r="CB36" i="1" a="1"/>
  <c r="CB36" i="1" s="1"/>
  <c r="CE36" i="1" a="1"/>
  <c r="CE36" i="1" s="1"/>
  <c r="CH36" i="1" a="1"/>
  <c r="CH36" i="1" s="1"/>
  <c r="CK36" i="1" a="1"/>
  <c r="CK36" i="1" s="1"/>
  <c r="CN36" i="1" a="1"/>
  <c r="CN36" i="1" s="1"/>
  <c r="CQ36" i="1" a="1"/>
  <c r="CQ36" i="1" s="1"/>
  <c r="CT36" i="1" a="1"/>
  <c r="CT36" i="1" s="1"/>
  <c r="CW36" i="1" a="1"/>
  <c r="CW36" i="1" s="1"/>
  <c r="CZ36" i="1" a="1"/>
  <c r="CZ36" i="1"/>
  <c r="DC36" i="1" a="1"/>
  <c r="DC36" i="1" s="1"/>
  <c r="DF36" i="1" a="1"/>
  <c r="DF36" i="1" s="1"/>
  <c r="DI36" i="1" a="1"/>
  <c r="DI36" i="1" s="1"/>
  <c r="DL36" i="1" a="1"/>
  <c r="DL36" i="1" s="1"/>
  <c r="DO36" i="1" a="1"/>
  <c r="DO36" i="1"/>
  <c r="DO172" i="1" s="1"/>
  <c r="DR36" i="1" a="1"/>
  <c r="DR36" i="1"/>
  <c r="DU36" i="1" a="1"/>
  <c r="DU36" i="1" s="1"/>
  <c r="DX36" i="1" a="1"/>
  <c r="DX36" i="1" s="1"/>
  <c r="EA36" i="1" a="1"/>
  <c r="EA36" i="1" s="1"/>
  <c r="ED36" i="1" a="1"/>
  <c r="ED36" i="1" s="1"/>
  <c r="EG36" i="1" a="1"/>
  <c r="EG36" i="1" s="1"/>
  <c r="EJ36" i="1" a="1"/>
  <c r="EJ36" i="1" s="1"/>
  <c r="E37" i="1"/>
  <c r="I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AC37" i="1"/>
  <c r="AJ37" i="1"/>
  <c r="AK37" i="1"/>
  <c r="AL37" i="1"/>
  <c r="AM37" i="1"/>
  <c r="AN37" i="1"/>
  <c r="AO37" i="1"/>
  <c r="AP37" i="1"/>
  <c r="AQ37" i="1"/>
  <c r="AT37" i="1"/>
  <c r="H38" i="1"/>
  <c r="AF38" i="1" s="1"/>
  <c r="I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AB38" i="1"/>
  <c r="Z38" i="1" s="1"/>
  <c r="G38" i="1" s="1"/>
  <c r="AC38" i="1"/>
  <c r="AD38" i="1" s="1"/>
  <c r="AJ38" i="1"/>
  <c r="AK38" i="1"/>
  <c r="AL38" i="1"/>
  <c r="AM38" i="1"/>
  <c r="AN38" i="1"/>
  <c r="AO38" i="1"/>
  <c r="AP38" i="1"/>
  <c r="AQ38" i="1"/>
  <c r="AT38" i="1"/>
  <c r="AV38" i="1"/>
  <c r="AW38" i="1" a="1"/>
  <c r="AW38" i="1" s="1"/>
  <c r="AX38" i="1" a="1"/>
  <c r="AX38" i="1"/>
  <c r="BA38" i="1" a="1"/>
  <c r="BA38" i="1" s="1"/>
  <c r="BD38" i="1" a="1"/>
  <c r="BD38" i="1" s="1"/>
  <c r="BG38" i="1" a="1"/>
  <c r="BG38" i="1" s="1"/>
  <c r="BJ38" i="1" a="1"/>
  <c r="BJ38" i="1"/>
  <c r="BM38" i="1" a="1"/>
  <c r="BM38" i="1" s="1"/>
  <c r="BP38" i="1" a="1"/>
  <c r="BP38" i="1" s="1"/>
  <c r="BS38" i="1" a="1"/>
  <c r="BS38" i="1" s="1"/>
  <c r="BV38" i="1" a="1"/>
  <c r="BV38" i="1" s="1"/>
  <c r="BY38" i="1" a="1"/>
  <c r="BY38" i="1"/>
  <c r="CB38" i="1" a="1"/>
  <c r="CB38" i="1" s="1"/>
  <c r="CE38" i="1" a="1"/>
  <c r="CE38" i="1" s="1"/>
  <c r="CH38" i="1" a="1"/>
  <c r="CH38" i="1" s="1"/>
  <c r="CK38" i="1" a="1"/>
  <c r="CK38" i="1" s="1"/>
  <c r="CN38" i="1" a="1"/>
  <c r="CN38" i="1" s="1"/>
  <c r="CQ38" i="1" a="1"/>
  <c r="CQ38" i="1" s="1"/>
  <c r="CT38" i="1" a="1"/>
  <c r="CT38" i="1" s="1"/>
  <c r="CW38" i="1" a="1"/>
  <c r="CW38" i="1" s="1"/>
  <c r="CZ38" i="1" a="1"/>
  <c r="CZ38" i="1"/>
  <c r="DC38" i="1" a="1"/>
  <c r="DC38" i="1" s="1"/>
  <c r="DF38" i="1" a="1"/>
  <c r="DF38" i="1"/>
  <c r="DI38" i="1" a="1"/>
  <c r="DI38" i="1" s="1"/>
  <c r="DL38" i="1" a="1"/>
  <c r="DL38" i="1" s="1"/>
  <c r="DO38" i="1" a="1"/>
  <c r="DO38" i="1" s="1"/>
  <c r="DR38" i="1" a="1"/>
  <c r="DR38" i="1" s="1"/>
  <c r="DU38" i="1" a="1"/>
  <c r="DU38" i="1" s="1"/>
  <c r="DX38" i="1" a="1"/>
  <c r="DX38" i="1" s="1"/>
  <c r="EA38" i="1" a="1"/>
  <c r="EA38" i="1" s="1"/>
  <c r="ED38" i="1" a="1"/>
  <c r="ED38" i="1" s="1"/>
  <c r="EG38" i="1" a="1"/>
  <c r="EG38" i="1"/>
  <c r="EJ38" i="1" a="1"/>
  <c r="EJ38" i="1"/>
  <c r="H39" i="1"/>
  <c r="AF39" i="1" s="1"/>
  <c r="I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G39" i="1" s="1"/>
  <c r="AB39" i="1"/>
  <c r="AC39" i="1"/>
  <c r="AD39" i="1"/>
  <c r="AJ39" i="1"/>
  <c r="AK39" i="1"/>
  <c r="AL39" i="1"/>
  <c r="AM39" i="1"/>
  <c r="AN39" i="1"/>
  <c r="AO39" i="1"/>
  <c r="AP39" i="1"/>
  <c r="AQ39" i="1"/>
  <c r="AT39" i="1"/>
  <c r="AV39" i="1"/>
  <c r="AW39" i="1" a="1"/>
  <c r="AW39" i="1"/>
  <c r="AX39" i="1" a="1"/>
  <c r="AX39" i="1" s="1"/>
  <c r="BA39" i="1" a="1"/>
  <c r="BA39" i="1"/>
  <c r="BD39" i="1" a="1"/>
  <c r="BD39" i="1" s="1"/>
  <c r="BG39" i="1" a="1"/>
  <c r="BG39" i="1" s="1"/>
  <c r="BJ39" i="1" a="1"/>
  <c r="BJ39" i="1"/>
  <c r="BM39" i="1" a="1"/>
  <c r="BM39" i="1" s="1"/>
  <c r="BP39" i="1" a="1"/>
  <c r="BP39" i="1" s="1"/>
  <c r="BS39" i="1" a="1"/>
  <c r="BS39" i="1" s="1"/>
  <c r="BV39" i="1" a="1"/>
  <c r="BV39" i="1" s="1"/>
  <c r="BY39" i="1" a="1"/>
  <c r="BY39" i="1" s="1"/>
  <c r="CB39" i="1" a="1"/>
  <c r="CB39" i="1"/>
  <c r="CE39" i="1" a="1"/>
  <c r="CE39" i="1" s="1"/>
  <c r="CH39" i="1" a="1"/>
  <c r="CH39" i="1" s="1"/>
  <c r="CK39" i="1" a="1"/>
  <c r="CK39" i="1" s="1"/>
  <c r="CN39" i="1" a="1"/>
  <c r="CN39" i="1" s="1"/>
  <c r="CQ39" i="1" a="1"/>
  <c r="CQ39" i="1" s="1"/>
  <c r="CT39" i="1" a="1"/>
  <c r="CT39" i="1" s="1"/>
  <c r="CW39" i="1" a="1"/>
  <c r="CW39" i="1"/>
  <c r="CZ39" i="1" a="1"/>
  <c r="CZ39" i="1" s="1"/>
  <c r="CZ179" i="1" s="1"/>
  <c r="DC39" i="1" a="1"/>
  <c r="DC39" i="1" s="1"/>
  <c r="DF39" i="1" a="1"/>
  <c r="DF39" i="1"/>
  <c r="DI39" i="1" a="1"/>
  <c r="DI39" i="1" s="1"/>
  <c r="DL39" i="1" a="1"/>
  <c r="DL39" i="1" s="1"/>
  <c r="DO39" i="1" a="1"/>
  <c r="DO39" i="1" s="1"/>
  <c r="DR39" i="1" a="1"/>
  <c r="DR39" i="1" s="1"/>
  <c r="DU39" i="1" a="1"/>
  <c r="DU39" i="1" s="1"/>
  <c r="DX39" i="1" a="1"/>
  <c r="DX39" i="1" s="1"/>
  <c r="EA39" i="1" a="1"/>
  <c r="EA39" i="1"/>
  <c r="ED39" i="1" a="1"/>
  <c r="ED39" i="1" s="1"/>
  <c r="EG39" i="1" a="1"/>
  <c r="EG39" i="1"/>
  <c r="EJ39" i="1" a="1"/>
  <c r="EJ39" i="1" s="1"/>
  <c r="H40" i="1"/>
  <c r="I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G40" i="1" s="1"/>
  <c r="AB40" i="1"/>
  <c r="AC40" i="1"/>
  <c r="AJ40" i="1"/>
  <c r="AK40" i="1"/>
  <c r="AL40" i="1"/>
  <c r="AM40" i="1"/>
  <c r="AN40" i="1"/>
  <c r="AO40" i="1"/>
  <c r="AP40" i="1"/>
  <c r="AQ40" i="1"/>
  <c r="AT40" i="1"/>
  <c r="AV40" i="1"/>
  <c r="AW40" i="1" a="1"/>
  <c r="AW40" i="1" s="1"/>
  <c r="AW180" i="1" s="1"/>
  <c r="AX40" i="1" a="1"/>
  <c r="AX40" i="1" s="1"/>
  <c r="BA40" i="1" a="1"/>
  <c r="BA40" i="1" s="1"/>
  <c r="BD40" i="1" a="1"/>
  <c r="BD40" i="1" s="1"/>
  <c r="BG40" i="1" a="1"/>
  <c r="BG40" i="1" s="1"/>
  <c r="BJ40" i="1" a="1"/>
  <c r="BJ40" i="1"/>
  <c r="BM40" i="1" a="1"/>
  <c r="BM40" i="1" s="1"/>
  <c r="BP40" i="1" a="1"/>
  <c r="BP40" i="1"/>
  <c r="BS40" i="1" a="1"/>
  <c r="BS40" i="1" s="1"/>
  <c r="BV40" i="1" a="1"/>
  <c r="BV40" i="1"/>
  <c r="BY40" i="1" a="1"/>
  <c r="BY40" i="1" s="1"/>
  <c r="CB40" i="1" a="1"/>
  <c r="CB40" i="1" s="1"/>
  <c r="CE40" i="1" a="1"/>
  <c r="CE40" i="1" s="1"/>
  <c r="CH40" i="1" a="1"/>
  <c r="CH40" i="1" s="1"/>
  <c r="CK40" i="1" a="1"/>
  <c r="CK40" i="1" s="1"/>
  <c r="CN40" i="1" a="1"/>
  <c r="CN40" i="1"/>
  <c r="CQ40" i="1" a="1"/>
  <c r="CQ40" i="1" s="1"/>
  <c r="CT40" i="1" a="1"/>
  <c r="CT40" i="1"/>
  <c r="CW40" i="1" a="1"/>
  <c r="CW40" i="1"/>
  <c r="CZ40" i="1" a="1"/>
  <c r="CZ40" i="1"/>
  <c r="DC40" i="1" a="1"/>
  <c r="DC40" i="1" s="1"/>
  <c r="DF40" i="1" a="1"/>
  <c r="DF40" i="1" s="1"/>
  <c r="DI40" i="1" a="1"/>
  <c r="DI40" i="1" s="1"/>
  <c r="DL40" i="1" a="1"/>
  <c r="DL40" i="1" s="1"/>
  <c r="DO40" i="1" a="1"/>
  <c r="DO40" i="1" s="1"/>
  <c r="DR40" i="1" a="1"/>
  <c r="DR40" i="1" s="1"/>
  <c r="DU40" i="1" a="1"/>
  <c r="DU40" i="1"/>
  <c r="DX40" i="1" a="1"/>
  <c r="DX40" i="1" s="1"/>
  <c r="EA40" i="1" a="1"/>
  <c r="EA40" i="1" s="1"/>
  <c r="ED40" i="1" a="1"/>
  <c r="ED40" i="1" s="1"/>
  <c r="EG40" i="1" a="1"/>
  <c r="EG40" i="1" s="1"/>
  <c r="EJ40" i="1" a="1"/>
  <c r="EJ40" i="1" s="1"/>
  <c r="I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AC41" i="1"/>
  <c r="AJ41" i="1"/>
  <c r="AK41" i="1"/>
  <c r="AL41" i="1"/>
  <c r="AM41" i="1"/>
  <c r="AM34" i="1" s="1"/>
  <c r="AN41" i="1"/>
  <c r="AN34" i="1" s="1"/>
  <c r="AO41" i="1"/>
  <c r="AO35" i="1" s="1"/>
  <c r="AP41" i="1"/>
  <c r="AP35" i="1" s="1"/>
  <c r="AQ41" i="1"/>
  <c r="AQ35" i="1" s="1"/>
  <c r="AT41" i="1"/>
  <c r="AT35" i="1" s="1"/>
  <c r="H42" i="1"/>
  <c r="I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AB42" i="1"/>
  <c r="Z42" i="1" s="1"/>
  <c r="G42" i="1" s="1"/>
  <c r="AC42" i="1"/>
  <c r="AD42" i="1" s="1"/>
  <c r="AJ42" i="1"/>
  <c r="AK42" i="1"/>
  <c r="AL42" i="1"/>
  <c r="AM42" i="1"/>
  <c r="AN42" i="1"/>
  <c r="AO42" i="1"/>
  <c r="AP42" i="1"/>
  <c r="AQ42" i="1"/>
  <c r="AT42" i="1"/>
  <c r="AV42" i="1"/>
  <c r="AW42" i="1" a="1"/>
  <c r="AW42" i="1" s="1"/>
  <c r="AX42" i="1" a="1"/>
  <c r="AX42" i="1" s="1"/>
  <c r="BA42" i="1" a="1"/>
  <c r="BA42" i="1" s="1"/>
  <c r="BD42" i="1" a="1"/>
  <c r="BD42" i="1"/>
  <c r="BG42" i="1" a="1"/>
  <c r="BG42" i="1" s="1"/>
  <c r="BJ42" i="1" a="1"/>
  <c r="BJ42" i="1" s="1"/>
  <c r="BM42" i="1" a="1"/>
  <c r="BM42" i="1" s="1"/>
  <c r="BP42" i="1" a="1"/>
  <c r="BP42" i="1" s="1"/>
  <c r="BS42" i="1" a="1"/>
  <c r="BS42" i="1" s="1"/>
  <c r="BV42" i="1" a="1"/>
  <c r="BV42" i="1" s="1"/>
  <c r="BY42" i="1" a="1"/>
  <c r="BY42" i="1" s="1"/>
  <c r="CB42" i="1" a="1"/>
  <c r="CB42" i="1" s="1"/>
  <c r="CE42" i="1" a="1"/>
  <c r="CE42" i="1" s="1"/>
  <c r="CH42" i="1" a="1"/>
  <c r="CH42" i="1" s="1"/>
  <c r="CK42" i="1" a="1"/>
  <c r="CK42" i="1" s="1"/>
  <c r="CN42" i="1" a="1"/>
  <c r="CN42" i="1" s="1"/>
  <c r="CQ42" i="1" a="1"/>
  <c r="CQ42" i="1" s="1"/>
  <c r="CT42" i="1" a="1"/>
  <c r="CT42" i="1"/>
  <c r="CW42" i="1" a="1"/>
  <c r="CW42" i="1" s="1"/>
  <c r="CZ42" i="1" a="1"/>
  <c r="CZ42" i="1" s="1"/>
  <c r="DC42" i="1" a="1"/>
  <c r="DC42" i="1" s="1"/>
  <c r="DF42" i="1" a="1"/>
  <c r="DF42" i="1" s="1"/>
  <c r="DI42" i="1" a="1"/>
  <c r="DI42" i="1" s="1"/>
  <c r="DL42" i="1" a="1"/>
  <c r="DL42" i="1" s="1"/>
  <c r="DO42" i="1" a="1"/>
  <c r="DO42" i="1" s="1"/>
  <c r="DR42" i="1" a="1"/>
  <c r="DR42" i="1" s="1"/>
  <c r="DU42" i="1" a="1"/>
  <c r="DU42" i="1" s="1"/>
  <c r="DX42" i="1" a="1"/>
  <c r="DX42" i="1" s="1"/>
  <c r="EA42" i="1" a="1"/>
  <c r="EA42" i="1" s="1"/>
  <c r="ED42" i="1" a="1"/>
  <c r="ED42" i="1" s="1"/>
  <c r="EG42" i="1" a="1"/>
  <c r="EG42" i="1" s="1"/>
  <c r="EJ42" i="1" a="1"/>
  <c r="EJ42" i="1" s="1"/>
  <c r="E43" i="1"/>
  <c r="H43" i="1"/>
  <c r="AF43" i="1" s="1"/>
  <c r="I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AB43" i="1"/>
  <c r="D43" i="1" s="1"/>
  <c r="AC43" i="1"/>
  <c r="AD43" i="1" s="1"/>
  <c r="AJ43" i="1"/>
  <c r="AK43" i="1"/>
  <c r="AL43" i="1"/>
  <c r="AM43" i="1"/>
  <c r="AN43" i="1"/>
  <c r="AO43" i="1"/>
  <c r="AP43" i="1"/>
  <c r="AQ43" i="1"/>
  <c r="AT43" i="1"/>
  <c r="AV43" i="1"/>
  <c r="AW43" i="1" a="1"/>
  <c r="AW43" i="1" s="1"/>
  <c r="AX43" i="1" a="1"/>
  <c r="AX43" i="1"/>
  <c r="BA43" i="1" a="1"/>
  <c r="BA43" i="1" s="1"/>
  <c r="BD43" i="1" a="1"/>
  <c r="BD43" i="1" s="1"/>
  <c r="BG43" i="1" a="1"/>
  <c r="BG43" i="1" s="1"/>
  <c r="BJ43" i="1" a="1"/>
  <c r="BJ43" i="1" s="1"/>
  <c r="BM43" i="1" a="1"/>
  <c r="BM43" i="1" s="1"/>
  <c r="BP43" i="1" a="1"/>
  <c r="BP43" i="1"/>
  <c r="BS43" i="1" a="1"/>
  <c r="BS43" i="1" s="1"/>
  <c r="BV43" i="1" a="1"/>
  <c r="BV43" i="1" s="1"/>
  <c r="BY43" i="1" a="1"/>
  <c r="BY43" i="1" s="1"/>
  <c r="CB43" i="1" a="1"/>
  <c r="CB43" i="1" s="1"/>
  <c r="CE43" i="1" a="1"/>
  <c r="CE43" i="1" s="1"/>
  <c r="CH43" i="1" a="1"/>
  <c r="CH43" i="1" s="1"/>
  <c r="CK43" i="1" a="1"/>
  <c r="CK43" i="1" s="1"/>
  <c r="CN43" i="1" a="1"/>
  <c r="CN43" i="1"/>
  <c r="CQ43" i="1" a="1"/>
  <c r="CQ43" i="1"/>
  <c r="CT43" i="1" a="1"/>
  <c r="CT43" i="1"/>
  <c r="CW43" i="1" a="1"/>
  <c r="CW43" i="1" s="1"/>
  <c r="CZ43" i="1" a="1"/>
  <c r="CZ43" i="1"/>
  <c r="DC43" i="1" a="1"/>
  <c r="DC43" i="1" s="1"/>
  <c r="DF43" i="1" a="1"/>
  <c r="DF43" i="1" s="1"/>
  <c r="DI43" i="1" a="1"/>
  <c r="DI43" i="1" s="1"/>
  <c r="DL43" i="1" a="1"/>
  <c r="DL43" i="1"/>
  <c r="DO43" i="1" a="1"/>
  <c r="DO43" i="1"/>
  <c r="DR43" i="1" a="1"/>
  <c r="DR43" i="1" s="1"/>
  <c r="DU43" i="1" a="1"/>
  <c r="DU43" i="1" s="1"/>
  <c r="DX43" i="1" a="1"/>
  <c r="DX43" i="1" s="1"/>
  <c r="EA43" i="1" a="1"/>
  <c r="EA43" i="1" s="1"/>
  <c r="ED43" i="1" a="1"/>
  <c r="ED43" i="1"/>
  <c r="EG43" i="1" a="1"/>
  <c r="EG43" i="1"/>
  <c r="EJ43" i="1" a="1"/>
  <c r="EJ43" i="1" s="1"/>
  <c r="D44" i="1"/>
  <c r="H44" i="1"/>
  <c r="I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AB44" i="1"/>
  <c r="Z44" i="1" s="1"/>
  <c r="G44" i="1" s="1"/>
  <c r="AC44" i="1"/>
  <c r="AJ44" i="1"/>
  <c r="AK44" i="1"/>
  <c r="AL44" i="1"/>
  <c r="AM44" i="1"/>
  <c r="AN44" i="1"/>
  <c r="AO44" i="1"/>
  <c r="AP44" i="1"/>
  <c r="AQ44" i="1"/>
  <c r="AT44" i="1"/>
  <c r="AV44" i="1"/>
  <c r="AW44" i="1" a="1"/>
  <c r="AW44" i="1"/>
  <c r="AY44" i="1" s="1"/>
  <c r="AX44" i="1" a="1"/>
  <c r="AX44" i="1" s="1"/>
  <c r="BA44" i="1" a="1"/>
  <c r="BA44" i="1" s="1"/>
  <c r="BD44" i="1" a="1"/>
  <c r="BD44" i="1"/>
  <c r="BG44" i="1" a="1"/>
  <c r="BG44" i="1" s="1"/>
  <c r="BJ44" i="1" a="1"/>
  <c r="BJ44" i="1"/>
  <c r="BM44" i="1" a="1"/>
  <c r="BM44" i="1" s="1"/>
  <c r="BP44" i="1" a="1"/>
  <c r="BP44" i="1" s="1"/>
  <c r="BP191" i="1" s="1"/>
  <c r="BS44" i="1" a="1"/>
  <c r="BS44" i="1" s="1"/>
  <c r="BV44" i="1" a="1"/>
  <c r="BV44" i="1" s="1"/>
  <c r="BY44" i="1" a="1"/>
  <c r="BY44" i="1" s="1"/>
  <c r="CB44" i="1" a="1"/>
  <c r="CB44" i="1" s="1"/>
  <c r="CE44" i="1" a="1"/>
  <c r="CE44" i="1" s="1"/>
  <c r="CH44" i="1" a="1"/>
  <c r="CH44" i="1"/>
  <c r="CK44" i="1" a="1"/>
  <c r="CK44" i="1"/>
  <c r="CN44" i="1" a="1"/>
  <c r="CN44" i="1"/>
  <c r="CQ44" i="1" a="1"/>
  <c r="CQ44" i="1" s="1"/>
  <c r="CT44" i="1" a="1"/>
  <c r="CT44" i="1" s="1"/>
  <c r="CW44" i="1" a="1"/>
  <c r="CW44" i="1" s="1"/>
  <c r="CZ44" i="1" a="1"/>
  <c r="CZ44" i="1" s="1"/>
  <c r="DC44" i="1" a="1"/>
  <c r="DC44" i="1" s="1"/>
  <c r="DF44" i="1" a="1"/>
  <c r="DF44" i="1" s="1"/>
  <c r="DI44" i="1" a="1"/>
  <c r="DI44" i="1" s="1"/>
  <c r="DL44" i="1" a="1"/>
  <c r="DL44" i="1" s="1"/>
  <c r="DO44" i="1" a="1"/>
  <c r="DO44" i="1" s="1"/>
  <c r="DR44" i="1" a="1"/>
  <c r="DR44" i="1" s="1"/>
  <c r="DU44" i="1" a="1"/>
  <c r="DU44" i="1" s="1"/>
  <c r="DU191" i="1" s="1"/>
  <c r="DX44" i="1" a="1"/>
  <c r="DX44" i="1"/>
  <c r="EA44" i="1" a="1"/>
  <c r="EA44" i="1" s="1"/>
  <c r="ED44" i="1" a="1"/>
  <c r="ED44" i="1" s="1"/>
  <c r="EG44" i="1" a="1"/>
  <c r="EG44" i="1" s="1"/>
  <c r="EJ44" i="1" a="1"/>
  <c r="EJ44" i="1" s="1"/>
  <c r="H45" i="1"/>
  <c r="I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G45" i="1" s="1"/>
  <c r="AB45" i="1"/>
  <c r="D45" i="1" s="1"/>
  <c r="AC45" i="1"/>
  <c r="AD45" i="1" s="1"/>
  <c r="AJ45" i="1"/>
  <c r="AK45" i="1"/>
  <c r="AL45" i="1"/>
  <c r="AM45" i="1"/>
  <c r="AN45" i="1"/>
  <c r="AO45" i="1"/>
  <c r="AP45" i="1"/>
  <c r="AQ45" i="1"/>
  <c r="AT45" i="1"/>
  <c r="AV45" i="1"/>
  <c r="AW45" i="1" a="1"/>
  <c r="AW45" i="1"/>
  <c r="AX45" i="1" a="1"/>
  <c r="AX45" i="1"/>
  <c r="BA45" i="1" a="1"/>
  <c r="BA45" i="1" s="1"/>
  <c r="BD45" i="1" a="1"/>
  <c r="BD45" i="1" s="1"/>
  <c r="BG45" i="1" a="1"/>
  <c r="BG45" i="1" s="1"/>
  <c r="BJ45" i="1" a="1"/>
  <c r="BJ45" i="1" s="1"/>
  <c r="BM45" i="1" a="1"/>
  <c r="BM45" i="1" s="1"/>
  <c r="BP45" i="1" a="1"/>
  <c r="BP45" i="1" s="1"/>
  <c r="BS45" i="1" a="1"/>
  <c r="BS45" i="1" s="1"/>
  <c r="BV45" i="1" a="1"/>
  <c r="BV45" i="1" s="1"/>
  <c r="BY45" i="1" a="1"/>
  <c r="BY45" i="1" s="1"/>
  <c r="CB45" i="1" a="1"/>
  <c r="CB45" i="1"/>
  <c r="CE45" i="1" a="1"/>
  <c r="CE45" i="1"/>
  <c r="CH45" i="1" a="1"/>
  <c r="CH45" i="1"/>
  <c r="CK45" i="1" a="1"/>
  <c r="CK45" i="1" s="1"/>
  <c r="CN45" i="1" a="1"/>
  <c r="CN45" i="1" s="1"/>
  <c r="CQ45" i="1" a="1"/>
  <c r="CQ45" i="1" s="1"/>
  <c r="CT45" i="1" a="1"/>
  <c r="CT45" i="1" s="1"/>
  <c r="CW45" i="1" a="1"/>
  <c r="CW45" i="1" s="1"/>
  <c r="CZ45" i="1" a="1"/>
  <c r="CZ45" i="1" s="1"/>
  <c r="DC45" i="1" a="1"/>
  <c r="DC45" i="1" s="1"/>
  <c r="DF45" i="1" a="1"/>
  <c r="DF45" i="1" s="1"/>
  <c r="DI45" i="1" a="1"/>
  <c r="DI45" i="1" s="1"/>
  <c r="DL45" i="1" a="1"/>
  <c r="DL45" i="1"/>
  <c r="DO45" i="1" a="1"/>
  <c r="DO45" i="1"/>
  <c r="DR45" i="1" a="1"/>
  <c r="DR45" i="1" s="1"/>
  <c r="DU45" i="1" a="1"/>
  <c r="DU45" i="1" s="1"/>
  <c r="DX45" i="1" a="1"/>
  <c r="DX45" i="1" s="1"/>
  <c r="EA45" i="1" a="1"/>
  <c r="EA45" i="1" s="1"/>
  <c r="ED45" i="1" a="1"/>
  <c r="ED45" i="1" s="1"/>
  <c r="EG45" i="1" a="1"/>
  <c r="EG45" i="1"/>
  <c r="EJ45" i="1" a="1"/>
  <c r="EJ45" i="1" s="1"/>
  <c r="H46" i="1"/>
  <c r="AF46" i="1" s="1"/>
  <c r="I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AB46" i="1"/>
  <c r="D46" i="1" s="1"/>
  <c r="AC46" i="1"/>
  <c r="E46" i="1" s="1"/>
  <c r="AD46" i="1"/>
  <c r="AJ46" i="1"/>
  <c r="AK46" i="1"/>
  <c r="AL46" i="1"/>
  <c r="AM46" i="1"/>
  <c r="AN46" i="1"/>
  <c r="AO46" i="1"/>
  <c r="AP46" i="1"/>
  <c r="AQ46" i="1"/>
  <c r="AT46" i="1"/>
  <c r="AV46" i="1"/>
  <c r="AW46" i="1" a="1"/>
  <c r="AW46" i="1"/>
  <c r="AX46" i="1" a="1"/>
  <c r="AX46" i="1"/>
  <c r="AY46" i="1" s="1"/>
  <c r="BA46" i="1" a="1"/>
  <c r="BA46" i="1"/>
  <c r="BD46" i="1" a="1"/>
  <c r="BD46" i="1" s="1"/>
  <c r="BG46" i="1" a="1"/>
  <c r="BG46" i="1" s="1"/>
  <c r="BJ46" i="1" a="1"/>
  <c r="BJ46" i="1" s="1"/>
  <c r="BM46" i="1" a="1"/>
  <c r="BM46" i="1" s="1"/>
  <c r="BP46" i="1" a="1"/>
  <c r="BP46" i="1"/>
  <c r="BS46" i="1" a="1"/>
  <c r="BS46" i="1" s="1"/>
  <c r="BV46" i="1" a="1"/>
  <c r="BV46" i="1" s="1"/>
  <c r="BY46" i="1" a="1"/>
  <c r="BY46" i="1"/>
  <c r="CB46" i="1" a="1"/>
  <c r="CB46" i="1" s="1"/>
  <c r="CE46" i="1" a="1"/>
  <c r="CE46" i="1" s="1"/>
  <c r="CH46" i="1" a="1"/>
  <c r="CH46" i="1" s="1"/>
  <c r="CK46" i="1" a="1"/>
  <c r="CK46" i="1" s="1"/>
  <c r="CN46" i="1" a="1"/>
  <c r="CN46" i="1" s="1"/>
  <c r="CQ46" i="1" a="1"/>
  <c r="CQ46" i="1" s="1"/>
  <c r="CT46" i="1" a="1"/>
  <c r="CT46" i="1"/>
  <c r="CW46" i="1" a="1"/>
  <c r="CW46" i="1"/>
  <c r="CZ46" i="1" a="1"/>
  <c r="CZ46" i="1" s="1"/>
  <c r="DC46" i="1" a="1"/>
  <c r="DC46" i="1" s="1"/>
  <c r="DF46" i="1" a="1"/>
  <c r="DF46" i="1"/>
  <c r="DI46" i="1" a="1"/>
  <c r="DI46" i="1" s="1"/>
  <c r="DL46" i="1" a="1"/>
  <c r="DL46" i="1" s="1"/>
  <c r="DO46" i="1" a="1"/>
  <c r="DO46" i="1" s="1"/>
  <c r="DR46" i="1" a="1"/>
  <c r="DR46" i="1" s="1"/>
  <c r="DU46" i="1" a="1"/>
  <c r="DU46" i="1" s="1"/>
  <c r="DX46" i="1" a="1"/>
  <c r="DX46" i="1" s="1"/>
  <c r="EA46" i="1" a="1"/>
  <c r="EA46" i="1"/>
  <c r="ED46" i="1" a="1"/>
  <c r="ED46" i="1" s="1"/>
  <c r="EG46" i="1" a="1"/>
  <c r="EG46" i="1"/>
  <c r="EJ46" i="1" a="1"/>
  <c r="EJ46" i="1" s="1"/>
  <c r="H47" i="1"/>
  <c r="I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AB47" i="1"/>
  <c r="D47" i="1" s="1"/>
  <c r="AC47" i="1"/>
  <c r="AD47" i="1" s="1"/>
  <c r="AJ47" i="1"/>
  <c r="AK47" i="1"/>
  <c r="AL47" i="1"/>
  <c r="AM47" i="1"/>
  <c r="AN47" i="1"/>
  <c r="AO47" i="1"/>
  <c r="AP47" i="1"/>
  <c r="AQ47" i="1"/>
  <c r="AT47" i="1"/>
  <c r="AV47" i="1"/>
  <c r="AW47" i="1" a="1"/>
  <c r="AW47" i="1" s="1"/>
  <c r="AX47" i="1" a="1"/>
  <c r="AX47" i="1"/>
  <c r="BA47" i="1" a="1"/>
  <c r="BA47" i="1" s="1"/>
  <c r="BD47" i="1" a="1"/>
  <c r="BD47" i="1" s="1"/>
  <c r="BG47" i="1" a="1"/>
  <c r="BG47" i="1" s="1"/>
  <c r="BJ47" i="1" a="1"/>
  <c r="BJ47" i="1" s="1"/>
  <c r="BM47" i="1" a="1"/>
  <c r="BM47" i="1" s="1"/>
  <c r="BP47" i="1" a="1"/>
  <c r="BP47" i="1"/>
  <c r="BS47" i="1" a="1"/>
  <c r="BS47" i="1"/>
  <c r="BV47" i="1" a="1"/>
  <c r="BV47" i="1" s="1"/>
  <c r="BY47" i="1" a="1"/>
  <c r="BY47" i="1" s="1"/>
  <c r="CB47" i="1" a="1"/>
  <c r="CB47" i="1" s="1"/>
  <c r="CE47" i="1" a="1"/>
  <c r="CE47" i="1" s="1"/>
  <c r="CH47" i="1" a="1"/>
  <c r="CH47" i="1" s="1"/>
  <c r="CK47" i="1" a="1"/>
  <c r="CK47" i="1" s="1"/>
  <c r="CN47" i="1" a="1"/>
  <c r="CN47" i="1" s="1"/>
  <c r="CQ47" i="1" a="1"/>
  <c r="CQ47" i="1" s="1"/>
  <c r="CT47" i="1" a="1"/>
  <c r="CT47" i="1" s="1"/>
  <c r="CW47" i="1" a="1"/>
  <c r="CW47" i="1" s="1"/>
  <c r="CZ47" i="1" a="1"/>
  <c r="CZ47" i="1"/>
  <c r="DC47" i="1" a="1"/>
  <c r="DC47" i="1" s="1"/>
  <c r="DF47" i="1" a="1"/>
  <c r="DF47" i="1" s="1"/>
  <c r="DI47" i="1" a="1"/>
  <c r="DI47" i="1" s="1"/>
  <c r="DL47" i="1" a="1"/>
  <c r="DL47" i="1" s="1"/>
  <c r="DO47" i="1" a="1"/>
  <c r="DO47" i="1"/>
  <c r="DR47" i="1" a="1"/>
  <c r="DR47" i="1" s="1"/>
  <c r="DU47" i="1" a="1"/>
  <c r="DU47" i="1" s="1"/>
  <c r="DX47" i="1" a="1"/>
  <c r="DX47" i="1" s="1"/>
  <c r="EA47" i="1" a="1"/>
  <c r="EA47" i="1"/>
  <c r="ED47" i="1" a="1"/>
  <c r="ED47" i="1"/>
  <c r="EG47" i="1" a="1"/>
  <c r="EG47" i="1"/>
  <c r="EJ47" i="1" a="1"/>
  <c r="EJ47" i="1" s="1"/>
  <c r="E48" i="1"/>
  <c r="H48" i="1"/>
  <c r="AF48" i="1" s="1"/>
  <c r="I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AB48" i="1"/>
  <c r="D48" i="1" s="1"/>
  <c r="AC48" i="1"/>
  <c r="AJ48" i="1"/>
  <c r="AK48" i="1"/>
  <c r="AL48" i="1"/>
  <c r="AM48" i="1"/>
  <c r="AN48" i="1"/>
  <c r="AO48" i="1"/>
  <c r="AP48" i="1"/>
  <c r="AQ48" i="1"/>
  <c r="AT48" i="1"/>
  <c r="AV48" i="1"/>
  <c r="AW48" i="1" a="1"/>
  <c r="AW48" i="1" s="1"/>
  <c r="AX48" i="1" a="1"/>
  <c r="AX48" i="1"/>
  <c r="BA48" i="1" a="1"/>
  <c r="BA48" i="1" s="1"/>
  <c r="BD48" i="1" a="1"/>
  <c r="BD48" i="1" s="1"/>
  <c r="BG48" i="1" a="1"/>
  <c r="BG48" i="1" s="1"/>
  <c r="BJ48" i="1" a="1"/>
  <c r="BJ48" i="1" s="1"/>
  <c r="BM48" i="1" a="1"/>
  <c r="BM48" i="1"/>
  <c r="BP48" i="1" a="1"/>
  <c r="BP48" i="1" s="1"/>
  <c r="BS48" i="1" a="1"/>
  <c r="BS48" i="1" s="1"/>
  <c r="BV48" i="1" a="1"/>
  <c r="BV48" i="1"/>
  <c r="BY48" i="1" a="1"/>
  <c r="BY48" i="1" s="1"/>
  <c r="CB48" i="1" a="1"/>
  <c r="CB48" i="1"/>
  <c r="CE48" i="1" a="1"/>
  <c r="CE48" i="1" s="1"/>
  <c r="CH48" i="1" a="1"/>
  <c r="CH48" i="1" s="1"/>
  <c r="CK48" i="1" a="1"/>
  <c r="CK48" i="1"/>
  <c r="CN48" i="1" a="1"/>
  <c r="CN48" i="1" s="1"/>
  <c r="CQ48" i="1" a="1"/>
  <c r="CQ48" i="1" s="1"/>
  <c r="CT48" i="1" a="1"/>
  <c r="CT48" i="1"/>
  <c r="CW48" i="1" a="1"/>
  <c r="CW48" i="1" s="1"/>
  <c r="CZ48" i="1" a="1"/>
  <c r="CZ48" i="1"/>
  <c r="DC48" i="1" a="1"/>
  <c r="DC48" i="1" s="1"/>
  <c r="DF48" i="1" a="1"/>
  <c r="DF48" i="1"/>
  <c r="DI48" i="1" a="1"/>
  <c r="DI48" i="1"/>
  <c r="DL48" i="1" a="1"/>
  <c r="DL48" i="1"/>
  <c r="DO48" i="1" a="1"/>
  <c r="DO48" i="1" s="1"/>
  <c r="DR48" i="1" a="1"/>
  <c r="DR48" i="1" s="1"/>
  <c r="DU48" i="1" a="1"/>
  <c r="DU48" i="1"/>
  <c r="DX48" i="1" a="1"/>
  <c r="DX48" i="1" s="1"/>
  <c r="EA48" i="1" a="1"/>
  <c r="EA48" i="1"/>
  <c r="ED48" i="1" a="1"/>
  <c r="ED48" i="1" s="1"/>
  <c r="EG48" i="1" a="1"/>
  <c r="EG48" i="1"/>
  <c r="EJ48" i="1" a="1"/>
  <c r="EJ48" i="1" s="1"/>
  <c r="H49" i="1"/>
  <c r="I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AB49" i="1"/>
  <c r="AC49" i="1"/>
  <c r="AJ49" i="1"/>
  <c r="AK49" i="1"/>
  <c r="AL49" i="1"/>
  <c r="AM49" i="1"/>
  <c r="AN49" i="1"/>
  <c r="AO49" i="1"/>
  <c r="AP49" i="1"/>
  <c r="AQ49" i="1"/>
  <c r="AT49" i="1"/>
  <c r="AV49" i="1"/>
  <c r="AW49" i="1" a="1"/>
  <c r="AW49" i="1" s="1"/>
  <c r="AX49" i="1" a="1"/>
  <c r="AX49" i="1" s="1"/>
  <c r="AY49" i="1" s="1"/>
  <c r="BA49" i="1" a="1"/>
  <c r="BA49" i="1" s="1"/>
  <c r="BD49" i="1" a="1"/>
  <c r="BD49" i="1" s="1"/>
  <c r="BG49" i="1" a="1"/>
  <c r="BG49" i="1"/>
  <c r="BJ49" i="1" a="1"/>
  <c r="BJ49" i="1" s="1"/>
  <c r="BM49" i="1" a="1"/>
  <c r="BM49" i="1" s="1"/>
  <c r="BP49" i="1" a="1"/>
  <c r="BP49" i="1"/>
  <c r="BS49" i="1" a="1"/>
  <c r="BS49" i="1" s="1"/>
  <c r="BV49" i="1" a="1"/>
  <c r="BV49" i="1"/>
  <c r="BY49" i="1" a="1"/>
  <c r="BY49" i="1" s="1"/>
  <c r="CB49" i="1" a="1"/>
  <c r="CB49" i="1" s="1"/>
  <c r="CE49" i="1" a="1"/>
  <c r="CE49" i="1" s="1"/>
  <c r="CH49" i="1" a="1"/>
  <c r="CH49" i="1" s="1"/>
  <c r="CK49" i="1" a="1"/>
  <c r="CK49" i="1" s="1"/>
  <c r="CN49" i="1" a="1"/>
  <c r="CN49" i="1" s="1"/>
  <c r="CQ49" i="1" a="1"/>
  <c r="CQ49" i="1" s="1"/>
  <c r="CT49" i="1" a="1"/>
  <c r="CT49" i="1" s="1"/>
  <c r="CW49" i="1" a="1"/>
  <c r="CW49" i="1" s="1"/>
  <c r="CZ49" i="1" a="1"/>
  <c r="CZ49" i="1" s="1"/>
  <c r="DC49" i="1" a="1"/>
  <c r="DC49" i="1" s="1"/>
  <c r="DF49" i="1" a="1"/>
  <c r="DF49" i="1"/>
  <c r="DI49" i="1" a="1"/>
  <c r="DI49" i="1" s="1"/>
  <c r="DL49" i="1" a="1"/>
  <c r="DL49" i="1"/>
  <c r="DO49" i="1" a="1"/>
  <c r="DO49" i="1" s="1"/>
  <c r="DR49" i="1" a="1"/>
  <c r="DR49" i="1" s="1"/>
  <c r="DU49" i="1" a="1"/>
  <c r="DU49" i="1" s="1"/>
  <c r="DX49" i="1" a="1"/>
  <c r="DX49" i="1" s="1"/>
  <c r="EA49" i="1" a="1"/>
  <c r="EA49" i="1"/>
  <c r="ED49" i="1" a="1"/>
  <c r="ED49" i="1" s="1"/>
  <c r="EG49" i="1" a="1"/>
  <c r="EG49" i="1" s="1"/>
  <c r="EJ49" i="1" a="1"/>
  <c r="EJ49" i="1" s="1"/>
  <c r="H50" i="1"/>
  <c r="I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AB50" i="1"/>
  <c r="D50" i="1" s="1"/>
  <c r="AC50" i="1"/>
  <c r="AF50" i="1"/>
  <c r="AJ50" i="1"/>
  <c r="AK50" i="1"/>
  <c r="AL50" i="1"/>
  <c r="AM50" i="1"/>
  <c r="AN50" i="1"/>
  <c r="AO50" i="1"/>
  <c r="AP50" i="1"/>
  <c r="AQ50" i="1"/>
  <c r="AT50" i="1"/>
  <c r="AV50" i="1"/>
  <c r="AW50" i="1" a="1"/>
  <c r="AW50" i="1"/>
  <c r="AX50" i="1" a="1"/>
  <c r="AX50" i="1"/>
  <c r="BA50" i="1" a="1"/>
  <c r="BA50" i="1" s="1"/>
  <c r="BD50" i="1" a="1"/>
  <c r="BD50" i="1" s="1"/>
  <c r="BG50" i="1" a="1"/>
  <c r="BG50" i="1" s="1"/>
  <c r="BJ50" i="1" a="1"/>
  <c r="BJ50" i="1" s="1"/>
  <c r="BM50" i="1" a="1"/>
  <c r="BM50" i="1" s="1"/>
  <c r="BP50" i="1" a="1"/>
  <c r="BP50" i="1"/>
  <c r="BS50" i="1" a="1"/>
  <c r="BS50" i="1" s="1"/>
  <c r="BV50" i="1" a="1"/>
  <c r="BV50" i="1" s="1"/>
  <c r="BY50" i="1" a="1"/>
  <c r="BY50" i="1" s="1"/>
  <c r="CB50" i="1" a="1"/>
  <c r="CB50" i="1" s="1"/>
  <c r="CE50" i="1" a="1"/>
  <c r="CE50" i="1" s="1"/>
  <c r="CH50" i="1" a="1"/>
  <c r="CH50" i="1"/>
  <c r="CK50" i="1" a="1"/>
  <c r="CK50" i="1"/>
  <c r="CN50" i="1" a="1"/>
  <c r="CN50" i="1" s="1"/>
  <c r="CQ50" i="1" a="1"/>
  <c r="CQ50" i="1" s="1"/>
  <c r="CT50" i="1" a="1"/>
  <c r="CT50" i="1" s="1"/>
  <c r="CW50" i="1" a="1"/>
  <c r="CW50" i="1" s="1"/>
  <c r="CZ50" i="1" a="1"/>
  <c r="CZ50" i="1" s="1"/>
  <c r="DC50" i="1" a="1"/>
  <c r="DC50" i="1" s="1"/>
  <c r="DF50" i="1" a="1"/>
  <c r="DF50" i="1" s="1"/>
  <c r="DI50" i="1" a="1"/>
  <c r="DI50" i="1" s="1"/>
  <c r="DL50" i="1" a="1"/>
  <c r="DL50" i="1" s="1"/>
  <c r="DO50" i="1" a="1"/>
  <c r="DO50" i="1"/>
  <c r="DR50" i="1" a="1"/>
  <c r="DR50" i="1"/>
  <c r="DU50" i="1" a="1"/>
  <c r="DU50" i="1" s="1"/>
  <c r="DX50" i="1" a="1"/>
  <c r="DX50" i="1" s="1"/>
  <c r="EA50" i="1" a="1"/>
  <c r="EA50" i="1" s="1"/>
  <c r="ED50" i="1" a="1"/>
  <c r="ED50" i="1" s="1"/>
  <c r="EG50" i="1" a="1"/>
  <c r="EG50" i="1" s="1"/>
  <c r="EJ50" i="1" a="1"/>
  <c r="EJ50" i="1" s="1"/>
  <c r="D51" i="1"/>
  <c r="E51" i="1"/>
  <c r="G51" i="1"/>
  <c r="H51" i="1"/>
  <c r="AF51" i="1" s="1"/>
  <c r="I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D51" i="1"/>
  <c r="AJ51" i="1"/>
  <c r="AK51" i="1"/>
  <c r="AL51" i="1"/>
  <c r="AM51" i="1"/>
  <c r="AN51" i="1"/>
  <c r="AO51" i="1"/>
  <c r="AP51" i="1"/>
  <c r="AQ51" i="1"/>
  <c r="AT51" i="1"/>
  <c r="AV51" i="1"/>
  <c r="AW51" i="1" a="1"/>
  <c r="AW51" i="1" s="1"/>
  <c r="AX51" i="1" a="1"/>
  <c r="AX51" i="1" s="1"/>
  <c r="BA51" i="1" a="1"/>
  <c r="BA51" i="1" s="1"/>
  <c r="BD51" i="1" a="1"/>
  <c r="BD51" i="1"/>
  <c r="BG51" i="1" a="1"/>
  <c r="BG51" i="1"/>
  <c r="BJ51" i="1" a="1"/>
  <c r="BJ51" i="1" s="1"/>
  <c r="BM51" i="1" a="1"/>
  <c r="BM51" i="1" s="1"/>
  <c r="BP51" i="1" a="1"/>
  <c r="BP51" i="1" s="1"/>
  <c r="BS51" i="1" a="1"/>
  <c r="BS51" i="1" s="1"/>
  <c r="BV51" i="1" a="1"/>
  <c r="BV51" i="1" s="1"/>
  <c r="BY51" i="1" a="1"/>
  <c r="BY51" i="1" s="1"/>
  <c r="CB51" i="1" a="1"/>
  <c r="CB51" i="1" s="1"/>
  <c r="CE51" i="1" a="1"/>
  <c r="CE51" i="1"/>
  <c r="CH51" i="1" a="1"/>
  <c r="CH51" i="1" s="1"/>
  <c r="CK51" i="1" a="1"/>
  <c r="CK51" i="1" s="1"/>
  <c r="CN51" i="1" a="1"/>
  <c r="CN51" i="1"/>
  <c r="CQ51" i="1" a="1"/>
  <c r="CQ51" i="1"/>
  <c r="CT51" i="1" a="1"/>
  <c r="CT51" i="1" s="1"/>
  <c r="CW51" i="1" a="1"/>
  <c r="CW51" i="1" s="1"/>
  <c r="CZ51" i="1" a="1"/>
  <c r="CZ51" i="1"/>
  <c r="DC51" i="1" a="1"/>
  <c r="DC51" i="1" s="1"/>
  <c r="DF51" i="1" a="1"/>
  <c r="DF51" i="1" s="1"/>
  <c r="DI51" i="1" a="1"/>
  <c r="DI51" i="1" s="1"/>
  <c r="DL51" i="1" a="1"/>
  <c r="DL51" i="1" s="1"/>
  <c r="DO51" i="1" a="1"/>
  <c r="DO51" i="1"/>
  <c r="DR51" i="1" a="1"/>
  <c r="DR51" i="1" s="1"/>
  <c r="DU51" i="1" a="1"/>
  <c r="DU51" i="1" s="1"/>
  <c r="DX51" i="1" a="1"/>
  <c r="DX51" i="1" s="1"/>
  <c r="EA51" i="1" a="1"/>
  <c r="EA51" i="1" s="1"/>
  <c r="ED51" i="1" a="1"/>
  <c r="ED51" i="1"/>
  <c r="EG51" i="1" a="1"/>
  <c r="EG51" i="1"/>
  <c r="EJ51" i="1" a="1"/>
  <c r="EJ51" i="1" s="1"/>
  <c r="D52" i="1"/>
  <c r="E52" i="1"/>
  <c r="H52" i="1"/>
  <c r="AF52" i="1" s="1"/>
  <c r="I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G52" i="1" s="1"/>
  <c r="AB52" i="1"/>
  <c r="AC52" i="1"/>
  <c r="AD52" i="1" s="1"/>
  <c r="AJ52" i="1"/>
  <c r="AK52" i="1"/>
  <c r="AL52" i="1"/>
  <c r="AM52" i="1"/>
  <c r="AN52" i="1"/>
  <c r="AO52" i="1"/>
  <c r="AP52" i="1"/>
  <c r="AQ52" i="1"/>
  <c r="AT52" i="1"/>
  <c r="AV52" i="1"/>
  <c r="AW52" i="1" a="1"/>
  <c r="AW52" i="1"/>
  <c r="AX52" i="1" a="1"/>
  <c r="AX52" i="1" s="1"/>
  <c r="BA52" i="1" a="1"/>
  <c r="BA52" i="1" s="1"/>
  <c r="BD52" i="1" a="1"/>
  <c r="BD52" i="1" s="1"/>
  <c r="BG52" i="1" a="1"/>
  <c r="BG52" i="1" s="1"/>
  <c r="BJ52" i="1" a="1"/>
  <c r="BJ52" i="1"/>
  <c r="BM52" i="1" a="1"/>
  <c r="BM52" i="1" s="1"/>
  <c r="BP52" i="1" a="1"/>
  <c r="BP52" i="1" s="1"/>
  <c r="BS52" i="1" a="1"/>
  <c r="BS52" i="1" s="1"/>
  <c r="BV52" i="1" a="1"/>
  <c r="BV52" i="1"/>
  <c r="BY52" i="1" a="1"/>
  <c r="BY52" i="1" s="1"/>
  <c r="CB52" i="1" a="1"/>
  <c r="CB52" i="1" s="1"/>
  <c r="CE52" i="1" a="1"/>
  <c r="CE52" i="1" s="1"/>
  <c r="CH52" i="1" a="1"/>
  <c r="CH52" i="1" s="1"/>
  <c r="CK52" i="1" a="1"/>
  <c r="CK52" i="1"/>
  <c r="CN52" i="1" a="1"/>
  <c r="CN52" i="1"/>
  <c r="CQ52" i="1" a="1"/>
  <c r="CQ52" i="1" s="1"/>
  <c r="CT52" i="1" a="1"/>
  <c r="CT52" i="1"/>
  <c r="CW52" i="1" a="1"/>
  <c r="CW52" i="1" s="1"/>
  <c r="CZ52" i="1" a="1"/>
  <c r="CZ52" i="1" s="1"/>
  <c r="DC52" i="1" a="1"/>
  <c r="DC52" i="1" s="1"/>
  <c r="DF52" i="1" a="1"/>
  <c r="DF52" i="1"/>
  <c r="DI52" i="1" a="1"/>
  <c r="DI52" i="1" s="1"/>
  <c r="DL52" i="1" a="1"/>
  <c r="DL52" i="1" s="1"/>
  <c r="DO52" i="1" a="1"/>
  <c r="DO52" i="1" s="1"/>
  <c r="DR52" i="1" a="1"/>
  <c r="DR52" i="1" s="1"/>
  <c r="DU52" i="1" a="1"/>
  <c r="DU52" i="1"/>
  <c r="DX52" i="1" a="1"/>
  <c r="DX52" i="1" s="1"/>
  <c r="EA52" i="1" a="1"/>
  <c r="EA52" i="1" s="1"/>
  <c r="ED52" i="1" a="1"/>
  <c r="ED52" i="1" s="1"/>
  <c r="EG52" i="1" a="1"/>
  <c r="EG52" i="1"/>
  <c r="EJ52" i="1" a="1"/>
  <c r="EJ52" i="1" s="1"/>
  <c r="I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AC53" i="1"/>
  <c r="AJ53" i="1"/>
  <c r="AK53" i="1"/>
  <c r="AL53" i="1"/>
  <c r="AM53" i="1"/>
  <c r="AN53" i="1"/>
  <c r="AO53" i="1"/>
  <c r="AP53" i="1"/>
  <c r="AQ53" i="1"/>
  <c r="AT53" i="1"/>
  <c r="D54" i="1"/>
  <c r="H54" i="1"/>
  <c r="I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G54" i="1" s="1"/>
  <c r="AB54" i="1"/>
  <c r="AC54" i="1"/>
  <c r="E54" i="1" s="1"/>
  <c r="AD54" i="1"/>
  <c r="AJ54" i="1"/>
  <c r="AK54" i="1"/>
  <c r="AL54" i="1"/>
  <c r="AM54" i="1"/>
  <c r="AN54" i="1"/>
  <c r="AO54" i="1"/>
  <c r="AP54" i="1"/>
  <c r="AQ54" i="1"/>
  <c r="AT54" i="1"/>
  <c r="AV54" i="1"/>
  <c r="AW54" i="1" a="1"/>
  <c r="AW54" i="1" s="1"/>
  <c r="AX54" i="1" a="1"/>
  <c r="AX54" i="1"/>
  <c r="BA54" i="1" a="1"/>
  <c r="BA54" i="1"/>
  <c r="BD54" i="1" a="1"/>
  <c r="BD54" i="1" s="1"/>
  <c r="BG54" i="1" a="1"/>
  <c r="BG54" i="1" s="1"/>
  <c r="BJ54" i="1" a="1"/>
  <c r="BJ54" i="1"/>
  <c r="BM54" i="1" a="1"/>
  <c r="BM54" i="1" s="1"/>
  <c r="BP54" i="1" a="1"/>
  <c r="BP54" i="1" s="1"/>
  <c r="BS54" i="1" a="1"/>
  <c r="BS54" i="1" s="1"/>
  <c r="BV54" i="1" a="1"/>
  <c r="BV54" i="1" s="1"/>
  <c r="BY54" i="1" a="1"/>
  <c r="BY54" i="1"/>
  <c r="CB54" i="1" a="1"/>
  <c r="CB54" i="1"/>
  <c r="CE54" i="1" a="1"/>
  <c r="CE54" i="1" s="1"/>
  <c r="CH54" i="1" a="1"/>
  <c r="CH54" i="1" s="1"/>
  <c r="CK54" i="1" a="1"/>
  <c r="CK54" i="1" s="1"/>
  <c r="CN54" i="1" a="1"/>
  <c r="CN54" i="1" s="1"/>
  <c r="CQ54" i="1" a="1"/>
  <c r="CQ54" i="1" s="1"/>
  <c r="CT54" i="1" a="1"/>
  <c r="CT54" i="1" s="1"/>
  <c r="CW54" i="1" a="1"/>
  <c r="CW54" i="1" s="1"/>
  <c r="CZ54" i="1" a="1"/>
  <c r="CZ54" i="1" s="1"/>
  <c r="DC54" i="1" a="1"/>
  <c r="DC54" i="1" s="1"/>
  <c r="DF54" i="1" a="1"/>
  <c r="DF54" i="1" s="1"/>
  <c r="DI54" i="1" a="1"/>
  <c r="DI54" i="1" s="1"/>
  <c r="DL54" i="1" a="1"/>
  <c r="DL54" i="1" s="1"/>
  <c r="DO54" i="1" a="1"/>
  <c r="DO54" i="1"/>
  <c r="DR54" i="1" a="1"/>
  <c r="DR54" i="1" s="1"/>
  <c r="DU54" i="1" a="1"/>
  <c r="DU54" i="1" s="1"/>
  <c r="DX54" i="1" a="1"/>
  <c r="DX54" i="1" s="1"/>
  <c r="EA54" i="1" a="1"/>
  <c r="EA54" i="1" s="1"/>
  <c r="ED54" i="1" a="1"/>
  <c r="ED54" i="1" s="1"/>
  <c r="EG54" i="1" a="1"/>
  <c r="EG54" i="1"/>
  <c r="EJ54" i="1" a="1"/>
  <c r="EJ54" i="1" s="1"/>
  <c r="E55" i="1"/>
  <c r="H55" i="1"/>
  <c r="I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AB55" i="1"/>
  <c r="AC55" i="1"/>
  <c r="AJ55" i="1"/>
  <c r="AK55" i="1"/>
  <c r="AL55" i="1"/>
  <c r="AM55" i="1"/>
  <c r="AN55" i="1"/>
  <c r="AO55" i="1"/>
  <c r="AP55" i="1"/>
  <c r="AQ55" i="1"/>
  <c r="AT55" i="1"/>
  <c r="AV55" i="1"/>
  <c r="AW55" i="1" a="1"/>
  <c r="AW55" i="1" s="1"/>
  <c r="AX55" i="1" a="1"/>
  <c r="AX55" i="1" s="1"/>
  <c r="BA55" i="1" a="1"/>
  <c r="BA55" i="1" s="1"/>
  <c r="BD55" i="1" a="1"/>
  <c r="BD55" i="1"/>
  <c r="BG55" i="1" a="1"/>
  <c r="BG55" i="1" s="1"/>
  <c r="BJ55" i="1" a="1"/>
  <c r="BJ55" i="1" s="1"/>
  <c r="BM55" i="1" a="1"/>
  <c r="BM55" i="1" s="1"/>
  <c r="BP55" i="1" a="1"/>
  <c r="BP55" i="1"/>
  <c r="BS55" i="1" a="1"/>
  <c r="BS55" i="1" s="1"/>
  <c r="BV55" i="1" a="1"/>
  <c r="BV55" i="1"/>
  <c r="BY55" i="1" a="1"/>
  <c r="BY55" i="1" s="1"/>
  <c r="CB55" i="1" a="1"/>
  <c r="CB55" i="1"/>
  <c r="CE55" i="1" a="1"/>
  <c r="CE55" i="1" s="1"/>
  <c r="CH55" i="1" a="1"/>
  <c r="CH55" i="1" s="1"/>
  <c r="CK55" i="1" a="1"/>
  <c r="CK55" i="1" s="1"/>
  <c r="CN55" i="1" a="1"/>
  <c r="CN55" i="1" s="1"/>
  <c r="CQ55" i="1" a="1"/>
  <c r="CQ55" i="1" s="1"/>
  <c r="CT55" i="1" a="1"/>
  <c r="CT55" i="1"/>
  <c r="CW55" i="1" a="1"/>
  <c r="CW55" i="1" s="1"/>
  <c r="CZ55" i="1" a="1"/>
  <c r="CZ55" i="1" s="1"/>
  <c r="DC55" i="1" a="1"/>
  <c r="DC55" i="1" s="1"/>
  <c r="DF55" i="1" a="1"/>
  <c r="DF55" i="1" s="1"/>
  <c r="DI55" i="1" a="1"/>
  <c r="DI55" i="1" s="1"/>
  <c r="DL55" i="1" a="1"/>
  <c r="DL55" i="1" s="1"/>
  <c r="DO55" i="1" a="1"/>
  <c r="DO55" i="1" s="1"/>
  <c r="DR55" i="1" a="1"/>
  <c r="DR55" i="1" s="1"/>
  <c r="DU55" i="1" a="1"/>
  <c r="DU55" i="1" s="1"/>
  <c r="DX55" i="1" a="1"/>
  <c r="DX55" i="1" s="1"/>
  <c r="EA55" i="1" a="1"/>
  <c r="EA55" i="1" s="1"/>
  <c r="ED55" i="1" a="1"/>
  <c r="ED55" i="1" s="1"/>
  <c r="EG55" i="1" a="1"/>
  <c r="EG55" i="1" s="1"/>
  <c r="EJ55" i="1" a="1"/>
  <c r="EJ55" i="1" s="1"/>
  <c r="D56" i="1"/>
  <c r="H56" i="1"/>
  <c r="I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G56" i="1" s="1"/>
  <c r="AB56" i="1"/>
  <c r="AC56" i="1"/>
  <c r="E56" i="1" s="1"/>
  <c r="AJ56" i="1"/>
  <c r="AK56" i="1"/>
  <c r="AL56" i="1"/>
  <c r="AM56" i="1"/>
  <c r="AN56" i="1"/>
  <c r="AO56" i="1"/>
  <c r="AP56" i="1"/>
  <c r="AQ56" i="1"/>
  <c r="AT56" i="1"/>
  <c r="AV56" i="1"/>
  <c r="AW56" i="1" a="1"/>
  <c r="AW56" i="1" s="1"/>
  <c r="AX56" i="1" a="1"/>
  <c r="AX56" i="1"/>
  <c r="BA56" i="1" a="1"/>
  <c r="BA56" i="1"/>
  <c r="BD56" i="1" a="1"/>
  <c r="BD56" i="1" s="1"/>
  <c r="BG56" i="1" a="1"/>
  <c r="BG56" i="1" s="1"/>
  <c r="BJ56" i="1" a="1"/>
  <c r="BJ56" i="1"/>
  <c r="BM56" i="1" a="1"/>
  <c r="BM56" i="1" s="1"/>
  <c r="BP56" i="1" a="1"/>
  <c r="BP56" i="1" s="1"/>
  <c r="BS56" i="1" a="1"/>
  <c r="BS56" i="1" s="1"/>
  <c r="BV56" i="1" a="1"/>
  <c r="BV56" i="1" s="1"/>
  <c r="BY56" i="1" a="1"/>
  <c r="BY56" i="1" s="1"/>
  <c r="CB56" i="1" a="1"/>
  <c r="CB56" i="1" s="1"/>
  <c r="CE56" i="1" a="1"/>
  <c r="CE56" i="1" s="1"/>
  <c r="CH56" i="1" a="1"/>
  <c r="CH56" i="1"/>
  <c r="CK56" i="1" a="1"/>
  <c r="CK56" i="1"/>
  <c r="CN56" i="1" a="1"/>
  <c r="CN56" i="1" s="1"/>
  <c r="CQ56" i="1" a="1"/>
  <c r="CQ56" i="1" s="1"/>
  <c r="CT56" i="1" a="1"/>
  <c r="CT56" i="1"/>
  <c r="CW56" i="1" a="1"/>
  <c r="CW56" i="1" s="1"/>
  <c r="CZ56" i="1" a="1"/>
  <c r="CZ56" i="1" s="1"/>
  <c r="DC56" i="1" a="1"/>
  <c r="DC56" i="1" s="1"/>
  <c r="DF56" i="1" a="1"/>
  <c r="DF56" i="1" s="1"/>
  <c r="DI56" i="1" a="1"/>
  <c r="DI56" i="1"/>
  <c r="DL56" i="1" a="1"/>
  <c r="DL56" i="1" s="1"/>
  <c r="DO56" i="1" a="1"/>
  <c r="DO56" i="1" s="1"/>
  <c r="DR56" i="1" a="1"/>
  <c r="DR56" i="1" s="1"/>
  <c r="DU56" i="1" a="1"/>
  <c r="DU56" i="1" s="1"/>
  <c r="DX56" i="1" a="1"/>
  <c r="DX56" i="1"/>
  <c r="EA56" i="1" a="1"/>
  <c r="EA56" i="1" s="1"/>
  <c r="ED56" i="1" a="1"/>
  <c r="ED56" i="1" s="1"/>
  <c r="EG56" i="1" a="1"/>
  <c r="EG56" i="1" s="1"/>
  <c r="EJ56" i="1" a="1"/>
  <c r="EJ56" i="1" s="1"/>
  <c r="I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AJ57" i="1"/>
  <c r="AK57" i="1"/>
  <c r="AL57" i="1"/>
  <c r="AM57" i="1"/>
  <c r="AN57" i="1"/>
  <c r="AO57" i="1"/>
  <c r="AP57" i="1"/>
  <c r="AQ57" i="1"/>
  <c r="AT57" i="1"/>
  <c r="D58" i="1"/>
  <c r="H58" i="1"/>
  <c r="I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G58" i="1" s="1"/>
  <c r="AB58" i="1"/>
  <c r="AC58" i="1"/>
  <c r="AJ58" i="1"/>
  <c r="AK58" i="1"/>
  <c r="AL58" i="1"/>
  <c r="AM58" i="1"/>
  <c r="AN58" i="1"/>
  <c r="AO58" i="1"/>
  <c r="AP58" i="1"/>
  <c r="AQ58" i="1"/>
  <c r="AT58" i="1"/>
  <c r="AV58" i="1"/>
  <c r="AW58" i="1" a="1"/>
  <c r="AW58" i="1" s="1"/>
  <c r="AX58" i="1" a="1"/>
  <c r="AX58" i="1"/>
  <c r="BA58" i="1" a="1"/>
  <c r="BA58" i="1"/>
  <c r="BD58" i="1" a="1"/>
  <c r="BD58" i="1" s="1"/>
  <c r="BG58" i="1" a="1"/>
  <c r="BG58" i="1" s="1"/>
  <c r="BJ58" i="1" a="1"/>
  <c r="BJ58" i="1" s="1"/>
  <c r="BM58" i="1" a="1"/>
  <c r="BM58" i="1"/>
  <c r="BP58" i="1" a="1"/>
  <c r="BP58" i="1" s="1"/>
  <c r="BS58" i="1" a="1"/>
  <c r="BS58" i="1" s="1"/>
  <c r="BV58" i="1" a="1"/>
  <c r="BV58" i="1"/>
  <c r="BY58" i="1" a="1"/>
  <c r="BY58" i="1"/>
  <c r="CB58" i="1" a="1"/>
  <c r="CB58" i="1" s="1"/>
  <c r="CE58" i="1" a="1"/>
  <c r="CE58" i="1" s="1"/>
  <c r="CH58" i="1" a="1"/>
  <c r="CH58" i="1" s="1"/>
  <c r="CK58" i="1" a="1"/>
  <c r="CK58" i="1" s="1"/>
  <c r="CN58" i="1" a="1"/>
  <c r="CN58" i="1" s="1"/>
  <c r="CQ58" i="1" a="1"/>
  <c r="CQ58" i="1" s="1"/>
  <c r="CT58" i="1" a="1"/>
  <c r="CT58" i="1"/>
  <c r="CW58" i="1" a="1"/>
  <c r="CW58" i="1" s="1"/>
  <c r="CZ58" i="1" a="1"/>
  <c r="CZ58" i="1"/>
  <c r="DC58" i="1" a="1"/>
  <c r="DC58" i="1"/>
  <c r="DF58" i="1" a="1"/>
  <c r="DF58" i="1" s="1"/>
  <c r="DI58" i="1" a="1"/>
  <c r="DI58" i="1" s="1"/>
  <c r="DL58" i="1" a="1"/>
  <c r="DL58" i="1" s="1"/>
  <c r="DO58" i="1" a="1"/>
  <c r="DO58" i="1" s="1"/>
  <c r="DR58" i="1" a="1"/>
  <c r="DR58" i="1" s="1"/>
  <c r="DU58" i="1" a="1"/>
  <c r="DU58" i="1" s="1"/>
  <c r="DX58" i="1" a="1"/>
  <c r="DX58" i="1" s="1"/>
  <c r="EA58" i="1" a="1"/>
  <c r="EA58" i="1" s="1"/>
  <c r="ED58" i="1" a="1"/>
  <c r="ED58" i="1" s="1"/>
  <c r="EG58" i="1" a="1"/>
  <c r="EG58" i="1" s="1"/>
  <c r="EJ58" i="1" a="1"/>
  <c r="EJ58" i="1" s="1"/>
  <c r="E59" i="1"/>
  <c r="I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AC59" i="1"/>
  <c r="AJ59" i="1"/>
  <c r="AK59" i="1"/>
  <c r="AL59" i="1"/>
  <c r="AN59" i="1"/>
  <c r="AO59" i="1"/>
  <c r="AP59" i="1"/>
  <c r="AQ59" i="1"/>
  <c r="AT59" i="1"/>
  <c r="H60" i="1"/>
  <c r="I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AB60" i="1"/>
  <c r="D60" i="1" s="1"/>
  <c r="AC60" i="1"/>
  <c r="AD60" i="1" s="1"/>
  <c r="AJ60" i="1"/>
  <c r="AK60" i="1"/>
  <c r="AL60" i="1"/>
  <c r="AM60" i="1"/>
  <c r="AN60" i="1"/>
  <c r="AO60" i="1"/>
  <c r="AP60" i="1"/>
  <c r="AQ60" i="1"/>
  <c r="AT60" i="1"/>
  <c r="AV60" i="1"/>
  <c r="AW60" i="1" a="1"/>
  <c r="AW60" i="1" s="1"/>
  <c r="AX60" i="1" a="1"/>
  <c r="AX60" i="1" s="1"/>
  <c r="BA60" i="1" a="1"/>
  <c r="BA60" i="1" s="1"/>
  <c r="BD60" i="1" a="1"/>
  <c r="BD60" i="1" s="1"/>
  <c r="BG60" i="1" a="1"/>
  <c r="BG60" i="1" s="1"/>
  <c r="BJ60" i="1" a="1"/>
  <c r="BJ60" i="1" s="1"/>
  <c r="BM60" i="1" a="1"/>
  <c r="BM60" i="1" s="1"/>
  <c r="BP60" i="1" a="1"/>
  <c r="BP60" i="1" s="1"/>
  <c r="BS60" i="1" a="1"/>
  <c r="BS60" i="1" s="1"/>
  <c r="BV60" i="1" a="1"/>
  <c r="BV60" i="1"/>
  <c r="BY60" i="1" a="1"/>
  <c r="BY60" i="1"/>
  <c r="CB60" i="1" a="1"/>
  <c r="CB60" i="1" s="1"/>
  <c r="CE60" i="1" a="1"/>
  <c r="CE60" i="1" s="1"/>
  <c r="CH60" i="1" a="1"/>
  <c r="CH60" i="1" s="1"/>
  <c r="CK60" i="1" a="1"/>
  <c r="CK60" i="1"/>
  <c r="CN60" i="1" a="1"/>
  <c r="CN60" i="1" s="1"/>
  <c r="CQ60" i="1" a="1"/>
  <c r="CQ60" i="1" s="1"/>
  <c r="CT60" i="1" a="1"/>
  <c r="CT60" i="1" s="1"/>
  <c r="CW60" i="1" a="1"/>
  <c r="CW60" i="1"/>
  <c r="CZ60" i="1" a="1"/>
  <c r="CZ60" i="1"/>
  <c r="DC60" i="1" a="1"/>
  <c r="DC60" i="1" s="1"/>
  <c r="DF60" i="1" a="1"/>
  <c r="DF60" i="1" s="1"/>
  <c r="DI60" i="1" a="1"/>
  <c r="DI60" i="1"/>
  <c r="DL60" i="1" a="1"/>
  <c r="DL60" i="1" s="1"/>
  <c r="DO60" i="1" a="1"/>
  <c r="DO60" i="1" s="1"/>
  <c r="DR60" i="1" a="1"/>
  <c r="DR60" i="1" s="1"/>
  <c r="DU60" i="1" a="1"/>
  <c r="DU60" i="1" s="1"/>
  <c r="DX60" i="1" a="1"/>
  <c r="DX60" i="1"/>
  <c r="EA60" i="1" a="1"/>
  <c r="EA60" i="1" s="1"/>
  <c r="ED60" i="1" a="1"/>
  <c r="ED60" i="1"/>
  <c r="EG60" i="1" a="1"/>
  <c r="EG60" i="1"/>
  <c r="EJ60" i="1" a="1"/>
  <c r="EJ60" i="1"/>
  <c r="H61" i="1"/>
  <c r="I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AB61" i="1"/>
  <c r="D61" i="1" s="1"/>
  <c r="AC61" i="1"/>
  <c r="AD61" i="1" s="1"/>
  <c r="AJ61" i="1"/>
  <c r="AK61" i="1"/>
  <c r="AL61" i="1"/>
  <c r="AM61" i="1"/>
  <c r="AN61" i="1"/>
  <c r="AO61" i="1"/>
  <c r="AP61" i="1"/>
  <c r="AQ61" i="1"/>
  <c r="AT61" i="1"/>
  <c r="AV61" i="1"/>
  <c r="AW61" i="1" a="1"/>
  <c r="AW61" i="1" s="1"/>
  <c r="AX61" i="1" a="1"/>
  <c r="AX61" i="1"/>
  <c r="BA61" i="1" a="1"/>
  <c r="BA61" i="1"/>
  <c r="BD61" i="1" a="1"/>
  <c r="BD61" i="1" s="1"/>
  <c r="BG61" i="1" a="1"/>
  <c r="BG61" i="1" s="1"/>
  <c r="BJ61" i="1" a="1"/>
  <c r="BJ61" i="1" s="1"/>
  <c r="BM61" i="1" a="1"/>
  <c r="BM61" i="1" s="1"/>
  <c r="BP61" i="1" a="1"/>
  <c r="BP61" i="1" s="1"/>
  <c r="BS61" i="1" a="1"/>
  <c r="BS61" i="1"/>
  <c r="BV61" i="1" a="1"/>
  <c r="BV61" i="1" s="1"/>
  <c r="BY61" i="1" a="1"/>
  <c r="BY61" i="1" s="1"/>
  <c r="CB61" i="1" a="1"/>
  <c r="CB61" i="1" s="1"/>
  <c r="CE61" i="1" a="1"/>
  <c r="CE61" i="1" s="1"/>
  <c r="CH61" i="1" a="1"/>
  <c r="CH61" i="1" s="1"/>
  <c r="CK61" i="1" a="1"/>
  <c r="CK61" i="1"/>
  <c r="CN61" i="1" a="1"/>
  <c r="CN61" i="1" s="1"/>
  <c r="CQ61" i="1" a="1"/>
  <c r="CQ61" i="1" s="1"/>
  <c r="CT61" i="1" a="1"/>
  <c r="CT61" i="1" s="1"/>
  <c r="CW61" i="1" a="1"/>
  <c r="CW61" i="1"/>
  <c r="CZ61" i="1" a="1"/>
  <c r="CZ61" i="1"/>
  <c r="DC61" i="1" a="1"/>
  <c r="DC61" i="1" s="1"/>
  <c r="DF61" i="1" a="1"/>
  <c r="DF61" i="1" s="1"/>
  <c r="DI61" i="1" a="1"/>
  <c r="DI61" i="1"/>
  <c r="DL61" i="1" a="1"/>
  <c r="DL61" i="1" s="1"/>
  <c r="DO61" i="1" a="1"/>
  <c r="DO61" i="1" s="1"/>
  <c r="DR61" i="1" a="1"/>
  <c r="DR61" i="1" s="1"/>
  <c r="DU61" i="1" a="1"/>
  <c r="DU61" i="1" s="1"/>
  <c r="DX61" i="1" a="1"/>
  <c r="DX61" i="1" s="1"/>
  <c r="EA61" i="1" a="1"/>
  <c r="EA61" i="1" s="1"/>
  <c r="ED61" i="1" a="1"/>
  <c r="ED61" i="1"/>
  <c r="EG61" i="1" a="1"/>
  <c r="EG61" i="1" s="1"/>
  <c r="EJ61" i="1" a="1"/>
  <c r="EJ61" i="1" s="1"/>
  <c r="H62" i="1"/>
  <c r="I62" i="1"/>
  <c r="K62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AB62" i="1"/>
  <c r="D62" i="1" s="1"/>
  <c r="AC62" i="1"/>
  <c r="AJ62" i="1"/>
  <c r="AK62" i="1"/>
  <c r="AL62" i="1"/>
  <c r="AM62" i="1"/>
  <c r="AN62" i="1"/>
  <c r="AO62" i="1"/>
  <c r="AP62" i="1"/>
  <c r="AQ62" i="1"/>
  <c r="AT62" i="1"/>
  <c r="AV62" i="1"/>
  <c r="AW62" i="1" a="1"/>
  <c r="AW62" i="1" s="1"/>
  <c r="AX62" i="1" a="1"/>
  <c r="AX62" i="1" s="1"/>
  <c r="BA62" i="1" a="1"/>
  <c r="BA62" i="1" s="1"/>
  <c r="BD62" i="1" a="1"/>
  <c r="BD62" i="1" s="1"/>
  <c r="BG62" i="1" a="1"/>
  <c r="BG62" i="1" s="1"/>
  <c r="BJ62" i="1" a="1"/>
  <c r="BJ62" i="1" s="1"/>
  <c r="BM62" i="1" a="1"/>
  <c r="BM62" i="1" s="1"/>
  <c r="BP62" i="1" a="1"/>
  <c r="BP62" i="1" s="1"/>
  <c r="BS62" i="1" a="1"/>
  <c r="BS62" i="1" s="1"/>
  <c r="BV62" i="1" a="1"/>
  <c r="BV62" i="1"/>
  <c r="BY62" i="1" a="1"/>
  <c r="BY62" i="1"/>
  <c r="CB62" i="1" a="1"/>
  <c r="CB62" i="1"/>
  <c r="CE62" i="1" a="1"/>
  <c r="CE62" i="1" s="1"/>
  <c r="CH62" i="1" a="1"/>
  <c r="CH62" i="1" s="1"/>
  <c r="CK62" i="1" a="1"/>
  <c r="CK62" i="1" s="1"/>
  <c r="CN62" i="1" a="1"/>
  <c r="CN62" i="1" s="1"/>
  <c r="CQ62" i="1" a="1"/>
  <c r="CQ62" i="1"/>
  <c r="CT62" i="1" a="1"/>
  <c r="CT62" i="1"/>
  <c r="CW62" i="1" a="1"/>
  <c r="CW62" i="1"/>
  <c r="CZ62" i="1" a="1"/>
  <c r="CZ62" i="1" s="1"/>
  <c r="DC62" i="1" a="1"/>
  <c r="DC62" i="1" s="1"/>
  <c r="DF62" i="1" a="1"/>
  <c r="DF62" i="1" s="1"/>
  <c r="DI62" i="1" a="1"/>
  <c r="DI62" i="1" s="1"/>
  <c r="DL62" i="1" a="1"/>
  <c r="DL62" i="1" s="1"/>
  <c r="DO62" i="1" a="1"/>
  <c r="DO62" i="1" s="1"/>
  <c r="DR62" i="1" a="1"/>
  <c r="DR62" i="1" s="1"/>
  <c r="DU62" i="1" a="1"/>
  <c r="DU62" i="1" s="1"/>
  <c r="DX62" i="1" a="1"/>
  <c r="DX62" i="1" s="1"/>
  <c r="EA62" i="1" a="1"/>
  <c r="EA62" i="1" s="1"/>
  <c r="ED62" i="1" a="1"/>
  <c r="ED62" i="1" s="1"/>
  <c r="EG62" i="1" a="1"/>
  <c r="EG62" i="1"/>
  <c r="EJ62" i="1" a="1"/>
  <c r="EJ62" i="1"/>
  <c r="I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AC63" i="1"/>
  <c r="AJ63" i="1"/>
  <c r="AK63" i="1"/>
  <c r="AL63" i="1"/>
  <c r="AN63" i="1"/>
  <c r="AO63" i="1"/>
  <c r="AP63" i="1"/>
  <c r="AQ63" i="1"/>
  <c r="AT63" i="1"/>
  <c r="AW66" i="1"/>
  <c r="H68" i="1"/>
  <c r="AB68" i="1" s="1"/>
  <c r="I68" i="1"/>
  <c r="K68" i="1"/>
  <c r="L68" i="1"/>
  <c r="M68" i="1"/>
  <c r="N68" i="1"/>
  <c r="O68" i="1"/>
  <c r="P68" i="1"/>
  <c r="Q68" i="1"/>
  <c r="R68" i="1"/>
  <c r="S68" i="1"/>
  <c r="T68" i="1"/>
  <c r="U68" i="1"/>
  <c r="V68" i="1"/>
  <c r="W68" i="1"/>
  <c r="X68" i="1"/>
  <c r="Y68" i="1"/>
  <c r="AC68" i="1"/>
  <c r="AJ68" i="1"/>
  <c r="AK68" i="1"/>
  <c r="AL68" i="1"/>
  <c r="AM68" i="1"/>
  <c r="AN68" i="1"/>
  <c r="AO68" i="1"/>
  <c r="AP68" i="1"/>
  <c r="AQ68" i="1"/>
  <c r="AT68" i="1"/>
  <c r="AV68" i="1"/>
  <c r="AW68" i="1" a="1"/>
  <c r="AW68" i="1" s="1"/>
  <c r="AX68" i="1" a="1"/>
  <c r="AX68" i="1" s="1"/>
  <c r="BA68" i="1" a="1"/>
  <c r="BA68" i="1"/>
  <c r="BD68" i="1" a="1"/>
  <c r="BD68" i="1" s="1"/>
  <c r="BG68" i="1" a="1"/>
  <c r="BG68" i="1"/>
  <c r="BJ68" i="1" a="1"/>
  <c r="BJ68" i="1" s="1"/>
  <c r="BM68" i="1" a="1"/>
  <c r="BM68" i="1" s="1"/>
  <c r="BP68" i="1" a="1"/>
  <c r="BP68" i="1" s="1"/>
  <c r="BS68" i="1" a="1"/>
  <c r="BS68" i="1" s="1"/>
  <c r="BV68" i="1" a="1"/>
  <c r="BV68" i="1" s="1"/>
  <c r="BY68" i="1" a="1"/>
  <c r="BY68" i="1" s="1"/>
  <c r="CB68" i="1" a="1"/>
  <c r="CB68" i="1" s="1"/>
  <c r="CE68" i="1" a="1"/>
  <c r="CE68" i="1" s="1"/>
  <c r="CH68" i="1" a="1"/>
  <c r="CH68" i="1" s="1"/>
  <c r="CK68" i="1" a="1"/>
  <c r="CK68" i="1" s="1"/>
  <c r="CN68" i="1" a="1"/>
  <c r="CN68" i="1" s="1"/>
  <c r="CQ68" i="1" a="1"/>
  <c r="CQ68" i="1" s="1"/>
  <c r="CT68" i="1" a="1"/>
  <c r="CT68" i="1"/>
  <c r="CW68" i="1" a="1"/>
  <c r="CW68" i="1"/>
  <c r="CZ68" i="1" a="1"/>
  <c r="CZ68" i="1" s="1"/>
  <c r="DC68" i="1" a="1"/>
  <c r="DC68" i="1" s="1"/>
  <c r="DF68" i="1" a="1"/>
  <c r="DF68" i="1"/>
  <c r="DI68" i="1" a="1"/>
  <c r="DI68" i="1" s="1"/>
  <c r="DL68" i="1" a="1"/>
  <c r="DL68" i="1" s="1"/>
  <c r="DO68" i="1" a="1"/>
  <c r="DO68" i="1" s="1"/>
  <c r="DR68" i="1" a="1"/>
  <c r="DR68" i="1" s="1"/>
  <c r="DU68" i="1" a="1"/>
  <c r="DU68" i="1" s="1"/>
  <c r="DX68" i="1" a="1"/>
  <c r="DX68" i="1"/>
  <c r="EA68" i="1" a="1"/>
  <c r="EA68" i="1" s="1"/>
  <c r="ED68" i="1" a="1"/>
  <c r="ED68" i="1"/>
  <c r="EG68" i="1" a="1"/>
  <c r="EG68" i="1"/>
  <c r="EJ68" i="1" a="1"/>
  <c r="EJ68" i="1" s="1"/>
  <c r="H69" i="1"/>
  <c r="AB69" i="1" s="1"/>
  <c r="Z69" i="1" s="1"/>
  <c r="G69" i="1" s="1"/>
  <c r="I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AC69" i="1"/>
  <c r="AJ69" i="1"/>
  <c r="AK69" i="1"/>
  <c r="AL69" i="1"/>
  <c r="AM69" i="1"/>
  <c r="AN69" i="1"/>
  <c r="AO69" i="1"/>
  <c r="AP69" i="1"/>
  <c r="AQ69" i="1"/>
  <c r="AT69" i="1"/>
  <c r="AV69" i="1"/>
  <c r="AW69" i="1" a="1"/>
  <c r="AW69" i="1" s="1"/>
  <c r="AX69" i="1" a="1"/>
  <c r="AX69" i="1"/>
  <c r="AY69" i="1" s="1"/>
  <c r="BA69" i="1" a="1"/>
  <c r="BA69" i="1" s="1"/>
  <c r="BD69" i="1" a="1"/>
  <c r="BD69" i="1" s="1"/>
  <c r="BG69" i="1" a="1"/>
  <c r="BG69" i="1" s="1"/>
  <c r="BJ69" i="1" a="1"/>
  <c r="BJ69" i="1"/>
  <c r="BM69" i="1" a="1"/>
  <c r="BM69" i="1" s="1"/>
  <c r="BP69" i="1" a="1"/>
  <c r="BP69" i="1" s="1"/>
  <c r="BS69" i="1" a="1"/>
  <c r="BS69" i="1" s="1"/>
  <c r="BV69" i="1" a="1"/>
  <c r="BV69" i="1" s="1"/>
  <c r="BY69" i="1" a="1"/>
  <c r="BY69" i="1" s="1"/>
  <c r="CB69" i="1" a="1"/>
  <c r="CB69" i="1" s="1"/>
  <c r="CE69" i="1" a="1"/>
  <c r="CE69" i="1" s="1"/>
  <c r="CH69" i="1" a="1"/>
  <c r="CH69" i="1"/>
  <c r="CK69" i="1" a="1"/>
  <c r="CK69" i="1"/>
  <c r="CN69" i="1" a="1"/>
  <c r="CN69" i="1" s="1"/>
  <c r="CQ69" i="1" a="1"/>
  <c r="CQ69" i="1" s="1"/>
  <c r="CT69" i="1" a="1"/>
  <c r="CT69" i="1" s="1"/>
  <c r="CW69" i="1" a="1"/>
  <c r="CW69" i="1" s="1"/>
  <c r="CZ69" i="1" a="1"/>
  <c r="CZ69" i="1" s="1"/>
  <c r="DC69" i="1" a="1"/>
  <c r="DC69" i="1" s="1"/>
  <c r="DF69" i="1" a="1"/>
  <c r="DF69" i="1" s="1"/>
  <c r="DI69" i="1" a="1"/>
  <c r="DI69" i="1" s="1"/>
  <c r="DL69" i="1" a="1"/>
  <c r="DL69" i="1" s="1"/>
  <c r="DO69" i="1" a="1"/>
  <c r="DO69" i="1" s="1"/>
  <c r="DR69" i="1" a="1"/>
  <c r="DR69" i="1"/>
  <c r="DU69" i="1" a="1"/>
  <c r="DU69" i="1"/>
  <c r="DX69" i="1" a="1"/>
  <c r="DX69" i="1" s="1"/>
  <c r="EA69" i="1" a="1"/>
  <c r="EA69" i="1" s="1"/>
  <c r="ED69" i="1" a="1"/>
  <c r="ED69" i="1" s="1"/>
  <c r="EG69" i="1" a="1"/>
  <c r="EG69" i="1"/>
  <c r="EJ69" i="1" a="1"/>
  <c r="EJ69" i="1" s="1"/>
  <c r="I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AC70" i="1"/>
  <c r="AJ70" i="1"/>
  <c r="AK70" i="1"/>
  <c r="AL70" i="1"/>
  <c r="AM70" i="1"/>
  <c r="AN70" i="1"/>
  <c r="AO70" i="1"/>
  <c r="AP70" i="1"/>
  <c r="AQ70" i="1"/>
  <c r="AT70" i="1"/>
  <c r="I71" i="1"/>
  <c r="K71" i="1"/>
  <c r="L71" i="1"/>
  <c r="M71" i="1"/>
  <c r="N71" i="1"/>
  <c r="O71" i="1"/>
  <c r="P71" i="1"/>
  <c r="Q71" i="1"/>
  <c r="R71" i="1"/>
  <c r="S71" i="1"/>
  <c r="T71" i="1"/>
  <c r="U71" i="1"/>
  <c r="V71" i="1"/>
  <c r="W71" i="1"/>
  <c r="X71" i="1"/>
  <c r="Y71" i="1"/>
  <c r="AC71" i="1"/>
  <c r="AJ71" i="1"/>
  <c r="AK71" i="1"/>
  <c r="AL71" i="1"/>
  <c r="AM71" i="1"/>
  <c r="AN71" i="1"/>
  <c r="AO71" i="1"/>
  <c r="AP71" i="1"/>
  <c r="AQ71" i="1"/>
  <c r="AT71" i="1"/>
  <c r="H72" i="1"/>
  <c r="AB72" i="1" s="1"/>
  <c r="I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AC72" i="1"/>
  <c r="AJ72" i="1"/>
  <c r="AK72" i="1"/>
  <c r="AL72" i="1"/>
  <c r="AM72" i="1"/>
  <c r="AN72" i="1"/>
  <c r="AO72" i="1"/>
  <c r="AP72" i="1"/>
  <c r="AQ72" i="1"/>
  <c r="AT72" i="1"/>
  <c r="AV72" i="1"/>
  <c r="AW72" i="1" a="1"/>
  <c r="AW72" i="1" s="1"/>
  <c r="AX72" i="1" a="1"/>
  <c r="AX72" i="1"/>
  <c r="BA72" i="1" a="1"/>
  <c r="BA72" i="1"/>
  <c r="BD72" i="1" a="1"/>
  <c r="BD72" i="1"/>
  <c r="BG72" i="1" a="1"/>
  <c r="BG72" i="1" s="1"/>
  <c r="BJ72" i="1" a="1"/>
  <c r="BJ72" i="1"/>
  <c r="BM72" i="1" a="1"/>
  <c r="BM72" i="1" s="1"/>
  <c r="BP72" i="1" a="1"/>
  <c r="BP72" i="1"/>
  <c r="BS72" i="1" a="1"/>
  <c r="BS72" i="1" s="1"/>
  <c r="BV72" i="1" a="1"/>
  <c r="BV72" i="1" s="1"/>
  <c r="BY72" i="1" a="1"/>
  <c r="BY72" i="1"/>
  <c r="CB72" i="1" a="1"/>
  <c r="CB72" i="1"/>
  <c r="CE72" i="1" a="1"/>
  <c r="CE72" i="1" s="1"/>
  <c r="CH72" i="1" a="1"/>
  <c r="CH72" i="1"/>
  <c r="CK72" i="1" a="1"/>
  <c r="CK72" i="1"/>
  <c r="CN72" i="1" a="1"/>
  <c r="CN72" i="1" s="1"/>
  <c r="CQ72" i="1" a="1"/>
  <c r="CQ72" i="1" s="1"/>
  <c r="CT72" i="1" a="1"/>
  <c r="CT72" i="1" s="1"/>
  <c r="CW72" i="1" a="1"/>
  <c r="CW72" i="1"/>
  <c r="CZ72" i="1" a="1"/>
  <c r="CZ72" i="1"/>
  <c r="DC72" i="1" a="1"/>
  <c r="DC72" i="1" s="1"/>
  <c r="DF72" i="1" a="1"/>
  <c r="DF72" i="1" s="1"/>
  <c r="DI72" i="1" a="1"/>
  <c r="DI72" i="1" s="1"/>
  <c r="DL72" i="1" a="1"/>
  <c r="DL72" i="1" s="1"/>
  <c r="DO72" i="1" a="1"/>
  <c r="DO72" i="1" s="1"/>
  <c r="DR72" i="1" a="1"/>
  <c r="DR72" i="1" s="1"/>
  <c r="DU72" i="1" a="1"/>
  <c r="DU72" i="1" s="1"/>
  <c r="DX72" i="1" a="1"/>
  <c r="DX72" i="1"/>
  <c r="EA72" i="1" a="1"/>
  <c r="EA72" i="1" s="1"/>
  <c r="ED72" i="1" a="1"/>
  <c r="ED72" i="1" s="1"/>
  <c r="EG72" i="1" a="1"/>
  <c r="EG72" i="1" s="1"/>
  <c r="EJ72" i="1" a="1"/>
  <c r="EJ72" i="1" s="1"/>
  <c r="H73" i="1"/>
  <c r="AB73" i="1" s="1"/>
  <c r="I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AC73" i="1"/>
  <c r="AF73" i="1" s="1"/>
  <c r="AJ73" i="1"/>
  <c r="AK73" i="1"/>
  <c r="AL73" i="1"/>
  <c r="AM73" i="1"/>
  <c r="AN73" i="1"/>
  <c r="AO73" i="1"/>
  <c r="AP73" i="1"/>
  <c r="AQ73" i="1"/>
  <c r="AT73" i="1"/>
  <c r="AV73" i="1"/>
  <c r="AW73" i="1" a="1"/>
  <c r="AW73" i="1" s="1"/>
  <c r="AY73" i="1" s="1"/>
  <c r="AX73" i="1" a="1"/>
  <c r="AX73" i="1"/>
  <c r="BA73" i="1" a="1"/>
  <c r="BA73" i="1" s="1"/>
  <c r="BD73" i="1" a="1"/>
  <c r="BD73" i="1"/>
  <c r="BG73" i="1" a="1"/>
  <c r="BG73" i="1" s="1"/>
  <c r="BJ73" i="1" a="1"/>
  <c r="BJ73" i="1"/>
  <c r="BM73" i="1" a="1"/>
  <c r="BM73" i="1" s="1"/>
  <c r="BP73" i="1" a="1"/>
  <c r="BP73" i="1" s="1"/>
  <c r="BS73" i="1" a="1"/>
  <c r="BS73" i="1" s="1"/>
  <c r="BV73" i="1" a="1"/>
  <c r="BV73" i="1" s="1"/>
  <c r="BY73" i="1" a="1"/>
  <c r="BY73" i="1" s="1"/>
  <c r="CB73" i="1" a="1"/>
  <c r="CB73" i="1" s="1"/>
  <c r="CE73" i="1" a="1"/>
  <c r="CE73" i="1" s="1"/>
  <c r="CH73" i="1" a="1"/>
  <c r="CH73" i="1"/>
  <c r="CK73" i="1" a="1"/>
  <c r="CK73" i="1"/>
  <c r="CN73" i="1" a="1"/>
  <c r="CN73" i="1" s="1"/>
  <c r="CQ73" i="1" a="1"/>
  <c r="CQ73" i="1" s="1"/>
  <c r="CT73" i="1" a="1"/>
  <c r="CT73" i="1" s="1"/>
  <c r="CW73" i="1" a="1"/>
  <c r="CW73" i="1"/>
  <c r="CZ73" i="1" a="1"/>
  <c r="CZ73" i="1" s="1"/>
  <c r="DC73" i="1" a="1"/>
  <c r="DC73" i="1" s="1"/>
  <c r="DF73" i="1" a="1"/>
  <c r="DF73" i="1"/>
  <c r="DI73" i="1" a="1"/>
  <c r="DI73" i="1"/>
  <c r="DL73" i="1" a="1"/>
  <c r="DL73" i="1" s="1"/>
  <c r="DO73" i="1" a="1"/>
  <c r="DO73" i="1" s="1"/>
  <c r="DR73" i="1" a="1"/>
  <c r="DR73" i="1"/>
  <c r="DU73" i="1" a="1"/>
  <c r="DU73" i="1" s="1"/>
  <c r="DX73" i="1" a="1"/>
  <c r="DX73" i="1"/>
  <c r="EA73" i="1" a="1"/>
  <c r="EA73" i="1" s="1"/>
  <c r="ED73" i="1" a="1"/>
  <c r="ED73" i="1" s="1"/>
  <c r="EG73" i="1" a="1"/>
  <c r="EG73" i="1"/>
  <c r="EJ73" i="1" a="1"/>
  <c r="EJ73" i="1" s="1"/>
  <c r="H74" i="1"/>
  <c r="AB74" i="1" s="1"/>
  <c r="Z74" i="1" s="1"/>
  <c r="G74" i="1" s="1"/>
  <c r="I74" i="1"/>
  <c r="K74" i="1"/>
  <c r="L74" i="1"/>
  <c r="M74" i="1"/>
  <c r="N74" i="1"/>
  <c r="O74" i="1"/>
  <c r="P74" i="1"/>
  <c r="Q74" i="1"/>
  <c r="R74" i="1"/>
  <c r="S74" i="1"/>
  <c r="T74" i="1"/>
  <c r="U74" i="1"/>
  <c r="V74" i="1"/>
  <c r="W74" i="1"/>
  <c r="X74" i="1"/>
  <c r="Y74" i="1"/>
  <c r="AC74" i="1"/>
  <c r="AJ74" i="1"/>
  <c r="AK74" i="1"/>
  <c r="AL74" i="1"/>
  <c r="AM74" i="1"/>
  <c r="AN74" i="1"/>
  <c r="AO74" i="1"/>
  <c r="AP74" i="1"/>
  <c r="AQ74" i="1"/>
  <c r="AT74" i="1"/>
  <c r="AV74" i="1"/>
  <c r="AW74" i="1" a="1"/>
  <c r="AW74" i="1" s="1"/>
  <c r="AX74" i="1" a="1"/>
  <c r="AX74" i="1"/>
  <c r="BA74" i="1" a="1"/>
  <c r="BA74" i="1" s="1"/>
  <c r="BD74" i="1" a="1"/>
  <c r="BD74" i="1" s="1"/>
  <c r="BG74" i="1" a="1"/>
  <c r="BG74" i="1" s="1"/>
  <c r="BJ74" i="1" a="1"/>
  <c r="BJ74" i="1" s="1"/>
  <c r="BM74" i="1" a="1"/>
  <c r="BM74" i="1"/>
  <c r="BP74" i="1" a="1"/>
  <c r="BP74" i="1" s="1"/>
  <c r="BS74" i="1" a="1"/>
  <c r="BS74" i="1" s="1"/>
  <c r="BV74" i="1" a="1"/>
  <c r="BV74" i="1"/>
  <c r="BY74" i="1" a="1"/>
  <c r="BY74" i="1" s="1"/>
  <c r="CB74" i="1" a="1"/>
  <c r="CB74" i="1" s="1"/>
  <c r="CE74" i="1" a="1"/>
  <c r="CE74" i="1" s="1"/>
  <c r="CH74" i="1" a="1"/>
  <c r="CH74" i="1" s="1"/>
  <c r="CK74" i="1" a="1"/>
  <c r="CK74" i="1" s="1"/>
  <c r="CN74" i="1" a="1"/>
  <c r="CN74" i="1" s="1"/>
  <c r="CQ74" i="1" a="1"/>
  <c r="CQ74" i="1" s="1"/>
  <c r="CT74" i="1" a="1"/>
  <c r="CT74" i="1" s="1"/>
  <c r="CW74" i="1" a="1"/>
  <c r="CW74" i="1" s="1"/>
  <c r="CZ74" i="1" a="1"/>
  <c r="CZ74" i="1" s="1"/>
  <c r="DC74" i="1" a="1"/>
  <c r="DC74" i="1" s="1"/>
  <c r="DF74" i="1" a="1"/>
  <c r="DF74" i="1"/>
  <c r="DI74" i="1" a="1"/>
  <c r="DI74" i="1" s="1"/>
  <c r="DL74" i="1" a="1"/>
  <c r="DL74" i="1" s="1"/>
  <c r="DO74" i="1" a="1"/>
  <c r="DO74" i="1" s="1"/>
  <c r="DR74" i="1" a="1"/>
  <c r="DR74" i="1"/>
  <c r="DU74" i="1" a="1"/>
  <c r="DU74" i="1"/>
  <c r="DX74" i="1" a="1"/>
  <c r="DX74" i="1" s="1"/>
  <c r="EA74" i="1" a="1"/>
  <c r="EA74" i="1" s="1"/>
  <c r="ED74" i="1" a="1"/>
  <c r="ED74" i="1"/>
  <c r="EG74" i="1" a="1"/>
  <c r="EG74" i="1" s="1"/>
  <c r="EJ74" i="1" a="1"/>
  <c r="EJ74" i="1"/>
  <c r="H75" i="1"/>
  <c r="AB75" i="1" s="1"/>
  <c r="Z75" i="1" s="1"/>
  <c r="G75" i="1" s="1"/>
  <c r="I75" i="1"/>
  <c r="K75" i="1"/>
  <c r="L75" i="1"/>
  <c r="M75" i="1"/>
  <c r="N75" i="1"/>
  <c r="O75" i="1"/>
  <c r="P75" i="1"/>
  <c r="Q75" i="1"/>
  <c r="R75" i="1"/>
  <c r="S75" i="1"/>
  <c r="T75" i="1"/>
  <c r="U75" i="1"/>
  <c r="V75" i="1"/>
  <c r="W75" i="1"/>
  <c r="X75" i="1"/>
  <c r="Y75" i="1"/>
  <c r="AC75" i="1"/>
  <c r="AJ75" i="1"/>
  <c r="AK75" i="1"/>
  <c r="AL75" i="1"/>
  <c r="AM75" i="1"/>
  <c r="AN75" i="1"/>
  <c r="AO75" i="1"/>
  <c r="AP75" i="1"/>
  <c r="AQ75" i="1"/>
  <c r="AT75" i="1"/>
  <c r="AV75" i="1"/>
  <c r="AW75" i="1" a="1"/>
  <c r="AW75" i="1" s="1"/>
  <c r="AX75" i="1" a="1"/>
  <c r="AX75" i="1"/>
  <c r="AY75" i="1" s="1"/>
  <c r="BA75" i="1" a="1"/>
  <c r="BA75" i="1" s="1"/>
  <c r="BD75" i="1" a="1"/>
  <c r="BD75" i="1" s="1"/>
  <c r="BG75" i="1" a="1"/>
  <c r="BG75" i="1" s="1"/>
  <c r="BJ75" i="1" a="1"/>
  <c r="BJ75" i="1" s="1"/>
  <c r="BM75" i="1" a="1"/>
  <c r="BM75" i="1" s="1"/>
  <c r="BP75" i="1" a="1"/>
  <c r="BP75" i="1" s="1"/>
  <c r="BS75" i="1" a="1"/>
  <c r="BS75" i="1" s="1"/>
  <c r="BV75" i="1" a="1"/>
  <c r="BV75" i="1" s="1"/>
  <c r="BY75" i="1" a="1"/>
  <c r="BY75" i="1" s="1"/>
  <c r="CB75" i="1" a="1"/>
  <c r="CB75" i="1"/>
  <c r="CE75" i="1" a="1"/>
  <c r="CE75" i="1" s="1"/>
  <c r="CH75" i="1" a="1"/>
  <c r="CH75" i="1" s="1"/>
  <c r="CK75" i="1" a="1"/>
  <c r="CK75" i="1" s="1"/>
  <c r="CN75" i="1" a="1"/>
  <c r="CN75" i="1" s="1"/>
  <c r="CQ75" i="1" a="1"/>
  <c r="CQ75" i="1" s="1"/>
  <c r="CT75" i="1" a="1"/>
  <c r="CT75" i="1" s="1"/>
  <c r="CW75" i="1" a="1"/>
  <c r="CW75" i="1" s="1"/>
  <c r="CZ75" i="1" a="1"/>
  <c r="CZ75" i="1" s="1"/>
  <c r="DC75" i="1" a="1"/>
  <c r="DC75" i="1" s="1"/>
  <c r="DF75" i="1" a="1"/>
  <c r="DF75" i="1" s="1"/>
  <c r="DI75" i="1" a="1"/>
  <c r="DI75" i="1" s="1"/>
  <c r="DL75" i="1" a="1"/>
  <c r="DL75" i="1" s="1"/>
  <c r="DO75" i="1" a="1"/>
  <c r="DO75" i="1" s="1"/>
  <c r="DR75" i="1" a="1"/>
  <c r="DR75" i="1" s="1"/>
  <c r="DU75" i="1" a="1"/>
  <c r="DU75" i="1" s="1"/>
  <c r="DX75" i="1" a="1"/>
  <c r="DX75" i="1" s="1"/>
  <c r="EA75" i="1" a="1"/>
  <c r="EA75" i="1" s="1"/>
  <c r="ED75" i="1" a="1"/>
  <c r="ED75" i="1" s="1"/>
  <c r="EG75" i="1" a="1"/>
  <c r="EG75" i="1"/>
  <c r="EJ75" i="1" a="1"/>
  <c r="EJ75" i="1" s="1"/>
  <c r="H76" i="1"/>
  <c r="I76" i="1"/>
  <c r="K76" i="1"/>
  <c r="L76" i="1"/>
  <c r="M76" i="1"/>
  <c r="N76" i="1"/>
  <c r="O76" i="1"/>
  <c r="P76" i="1"/>
  <c r="Q76" i="1"/>
  <c r="R76" i="1"/>
  <c r="S76" i="1"/>
  <c r="T76" i="1"/>
  <c r="U76" i="1"/>
  <c r="V76" i="1"/>
  <c r="W76" i="1"/>
  <c r="X76" i="1"/>
  <c r="Y76" i="1"/>
  <c r="AB76" i="1"/>
  <c r="Z76" i="1" s="1"/>
  <c r="G76" i="1" s="1"/>
  <c r="AC76" i="1"/>
  <c r="AD76" i="1" s="1"/>
  <c r="AJ76" i="1"/>
  <c r="AK76" i="1"/>
  <c r="AL76" i="1"/>
  <c r="AM76" i="1"/>
  <c r="AN76" i="1"/>
  <c r="AO76" i="1"/>
  <c r="AP76" i="1"/>
  <c r="AQ76" i="1"/>
  <c r="AT76" i="1"/>
  <c r="AV76" i="1"/>
  <c r="AW76" i="1" a="1"/>
  <c r="AW76" i="1" s="1"/>
  <c r="AX76" i="1" a="1"/>
  <c r="AX76" i="1" s="1"/>
  <c r="BA76" i="1" a="1"/>
  <c r="BA76" i="1"/>
  <c r="BD76" i="1" a="1"/>
  <c r="BD76" i="1"/>
  <c r="BG76" i="1" a="1"/>
  <c r="BG76" i="1"/>
  <c r="BJ76" i="1" a="1"/>
  <c r="BJ76" i="1"/>
  <c r="BM76" i="1" a="1"/>
  <c r="BM76" i="1" s="1"/>
  <c r="BP76" i="1" a="1"/>
  <c r="BP76" i="1" s="1"/>
  <c r="BS76" i="1" a="1"/>
  <c r="BS76" i="1" s="1"/>
  <c r="BV76" i="1" a="1"/>
  <c r="BV76" i="1"/>
  <c r="BY76" i="1" a="1"/>
  <c r="BY76" i="1" s="1"/>
  <c r="CB76" i="1" a="1"/>
  <c r="CB76" i="1" s="1"/>
  <c r="CE76" i="1" a="1"/>
  <c r="CE76" i="1" s="1"/>
  <c r="CH76" i="1" a="1"/>
  <c r="CH76" i="1" s="1"/>
  <c r="CK76" i="1" a="1"/>
  <c r="CK76" i="1" s="1"/>
  <c r="CN76" i="1" a="1"/>
  <c r="CN76" i="1" s="1"/>
  <c r="CQ76" i="1" a="1"/>
  <c r="CQ76" i="1" s="1"/>
  <c r="CT76" i="1" a="1"/>
  <c r="CT76" i="1" s="1"/>
  <c r="CW76" i="1" a="1"/>
  <c r="CW76" i="1" s="1"/>
  <c r="CZ76" i="1" a="1"/>
  <c r="CZ76" i="1"/>
  <c r="DC76" i="1" a="1"/>
  <c r="DC76" i="1" s="1"/>
  <c r="DF76" i="1" a="1"/>
  <c r="DF76" i="1" s="1"/>
  <c r="DI76" i="1" a="1"/>
  <c r="DI76" i="1" s="1"/>
  <c r="DL76" i="1" a="1"/>
  <c r="DL76" i="1"/>
  <c r="DO76" i="1" a="1"/>
  <c r="DO76" i="1" s="1"/>
  <c r="DR76" i="1" a="1"/>
  <c r="DR76" i="1" s="1"/>
  <c r="DU76" i="1" a="1"/>
  <c r="DU76" i="1" s="1"/>
  <c r="DX76" i="1" a="1"/>
  <c r="DX76" i="1"/>
  <c r="EA76" i="1" a="1"/>
  <c r="EA76" i="1" s="1"/>
  <c r="ED76" i="1" a="1"/>
  <c r="ED76" i="1" s="1"/>
  <c r="EG76" i="1" a="1"/>
  <c r="EG76" i="1"/>
  <c r="EJ76" i="1" a="1"/>
  <c r="EJ76" i="1"/>
  <c r="H77" i="1"/>
  <c r="I77" i="1"/>
  <c r="K77" i="1"/>
  <c r="L77" i="1"/>
  <c r="M77" i="1"/>
  <c r="N77" i="1"/>
  <c r="O77" i="1"/>
  <c r="P77" i="1"/>
  <c r="Q77" i="1"/>
  <c r="R77" i="1"/>
  <c r="S77" i="1"/>
  <c r="T77" i="1"/>
  <c r="U77" i="1"/>
  <c r="V77" i="1"/>
  <c r="W77" i="1"/>
  <c r="X77" i="1"/>
  <c r="Y77" i="1"/>
  <c r="AB77" i="1"/>
  <c r="Z77" i="1" s="1"/>
  <c r="G77" i="1" s="1"/>
  <c r="AC77" i="1"/>
  <c r="AD77" i="1" s="1"/>
  <c r="AJ77" i="1"/>
  <c r="AK77" i="1"/>
  <c r="AL77" i="1"/>
  <c r="AM77" i="1"/>
  <c r="AN77" i="1"/>
  <c r="AO77" i="1"/>
  <c r="AP77" i="1"/>
  <c r="AQ77" i="1"/>
  <c r="AT77" i="1"/>
  <c r="AV77" i="1"/>
  <c r="AW77" i="1" a="1"/>
  <c r="AW77" i="1" s="1"/>
  <c r="AX77" i="1" a="1"/>
  <c r="AX77" i="1"/>
  <c r="BA77" i="1" a="1"/>
  <c r="BA77" i="1" s="1"/>
  <c r="BD77" i="1" a="1"/>
  <c r="BD77" i="1"/>
  <c r="BG77" i="1" a="1"/>
  <c r="BG77" i="1" s="1"/>
  <c r="BJ77" i="1" a="1"/>
  <c r="BJ77" i="1"/>
  <c r="BM77" i="1" a="1"/>
  <c r="BM77" i="1"/>
  <c r="BP77" i="1" a="1"/>
  <c r="BP77" i="1" s="1"/>
  <c r="BS77" i="1" a="1"/>
  <c r="BS77" i="1" s="1"/>
  <c r="BV77" i="1" a="1"/>
  <c r="BV77" i="1" s="1"/>
  <c r="BY77" i="1" a="1"/>
  <c r="BY77" i="1" s="1"/>
  <c r="CB77" i="1" a="1"/>
  <c r="CB77" i="1" s="1"/>
  <c r="CE77" i="1" a="1"/>
  <c r="CE77" i="1" s="1"/>
  <c r="CH77" i="1" a="1"/>
  <c r="CH77" i="1" s="1"/>
  <c r="CK77" i="1" a="1"/>
  <c r="CK77" i="1"/>
  <c r="CN77" i="1" a="1"/>
  <c r="CN77" i="1" s="1"/>
  <c r="CQ77" i="1" a="1"/>
  <c r="CQ77" i="1" s="1"/>
  <c r="CT77" i="1" a="1"/>
  <c r="CT77" i="1" s="1"/>
  <c r="CW77" i="1" a="1"/>
  <c r="CW77" i="1" s="1"/>
  <c r="CZ77" i="1" a="1"/>
  <c r="CZ77" i="1" s="1"/>
  <c r="DC77" i="1" a="1"/>
  <c r="DC77" i="1" s="1"/>
  <c r="DF77" i="1" a="1"/>
  <c r="DF77" i="1" s="1"/>
  <c r="DI77" i="1" a="1"/>
  <c r="DI77" i="1" s="1"/>
  <c r="DL77" i="1" a="1"/>
  <c r="DL77" i="1" s="1"/>
  <c r="DO77" i="1" a="1"/>
  <c r="DO77" i="1" s="1"/>
  <c r="DR77" i="1" a="1"/>
  <c r="DR77" i="1" s="1"/>
  <c r="DU77" i="1" a="1"/>
  <c r="DU77" i="1" s="1"/>
  <c r="DX77" i="1" a="1"/>
  <c r="DX77" i="1" s="1"/>
  <c r="EA77" i="1" a="1"/>
  <c r="EA77" i="1" s="1"/>
  <c r="ED77" i="1" a="1"/>
  <c r="ED77" i="1"/>
  <c r="EG77" i="1" a="1"/>
  <c r="EG77" i="1" s="1"/>
  <c r="EJ77" i="1" a="1"/>
  <c r="EJ77" i="1"/>
  <c r="H78" i="1"/>
  <c r="I78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X78" i="1"/>
  <c r="Y78" i="1"/>
  <c r="AB78" i="1"/>
  <c r="Z78" i="1" s="1"/>
  <c r="G78" i="1" s="1"/>
  <c r="AC78" i="1"/>
  <c r="AJ78" i="1"/>
  <c r="AK78" i="1"/>
  <c r="AL78" i="1"/>
  <c r="AM78" i="1"/>
  <c r="AN78" i="1"/>
  <c r="AO78" i="1"/>
  <c r="AP78" i="1"/>
  <c r="AQ78" i="1"/>
  <c r="AT78" i="1"/>
  <c r="AV78" i="1"/>
  <c r="AW78" i="1" a="1"/>
  <c r="AW78" i="1" s="1"/>
  <c r="AX78" i="1" a="1"/>
  <c r="AX78" i="1"/>
  <c r="AY78" i="1" s="1"/>
  <c r="BA78" i="1" a="1"/>
  <c r="BA78" i="1" s="1"/>
  <c r="BD78" i="1" a="1"/>
  <c r="BD78" i="1" s="1"/>
  <c r="BG78" i="1" a="1"/>
  <c r="BG78" i="1" s="1"/>
  <c r="BJ78" i="1" a="1"/>
  <c r="BJ78" i="1" s="1"/>
  <c r="BM78" i="1" a="1"/>
  <c r="BM78" i="1" s="1"/>
  <c r="BP78" i="1" a="1"/>
  <c r="BP78" i="1" s="1"/>
  <c r="BS78" i="1" a="1"/>
  <c r="BS78" i="1" s="1"/>
  <c r="BV78" i="1" a="1"/>
  <c r="BV78" i="1" s="1"/>
  <c r="BY78" i="1" a="1"/>
  <c r="BY78" i="1" s="1"/>
  <c r="CB78" i="1" a="1"/>
  <c r="CB78" i="1"/>
  <c r="CE78" i="1" a="1"/>
  <c r="CE78" i="1" s="1"/>
  <c r="CH78" i="1" a="1"/>
  <c r="CH78" i="1" s="1"/>
  <c r="CK78" i="1" a="1"/>
  <c r="CK78" i="1"/>
  <c r="CN78" i="1" a="1"/>
  <c r="CN78" i="1" s="1"/>
  <c r="CQ78" i="1" a="1"/>
  <c r="CQ78" i="1" s="1"/>
  <c r="CT78" i="1" a="1"/>
  <c r="CT78" i="1" s="1"/>
  <c r="CW78" i="1" a="1"/>
  <c r="CW78" i="1" s="1"/>
  <c r="CZ78" i="1" a="1"/>
  <c r="CZ78" i="1"/>
  <c r="DC78" i="1" a="1"/>
  <c r="DC78" i="1" s="1"/>
  <c r="DF78" i="1" a="1"/>
  <c r="DF78" i="1" s="1"/>
  <c r="DI78" i="1" a="1"/>
  <c r="DI78" i="1" s="1"/>
  <c r="DL78" i="1" a="1"/>
  <c r="DL78" i="1" s="1"/>
  <c r="DO78" i="1" a="1"/>
  <c r="DO78" i="1" s="1"/>
  <c r="DR78" i="1" a="1"/>
  <c r="DR78" i="1" s="1"/>
  <c r="DU78" i="1" a="1"/>
  <c r="DU78" i="1"/>
  <c r="DX78" i="1" a="1"/>
  <c r="DX78" i="1"/>
  <c r="EA78" i="1" a="1"/>
  <c r="EA78" i="1" s="1"/>
  <c r="ED78" i="1" a="1"/>
  <c r="ED78" i="1" s="1"/>
  <c r="EG78" i="1" a="1"/>
  <c r="EG78" i="1" s="1"/>
  <c r="EJ78" i="1" a="1"/>
  <c r="EJ78" i="1" s="1"/>
  <c r="H79" i="1"/>
  <c r="AB79" i="1" s="1"/>
  <c r="Z79" i="1" s="1"/>
  <c r="G79" i="1" s="1"/>
  <c r="I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Y79" i="1"/>
  <c r="AC79" i="1"/>
  <c r="AJ79" i="1"/>
  <c r="AK79" i="1"/>
  <c r="AL79" i="1"/>
  <c r="AM79" i="1"/>
  <c r="AN79" i="1"/>
  <c r="AO79" i="1"/>
  <c r="AP79" i="1"/>
  <c r="AQ79" i="1"/>
  <c r="AT79" i="1"/>
  <c r="AV79" i="1"/>
  <c r="AW79" i="1" a="1"/>
  <c r="AW79" i="1" s="1"/>
  <c r="AX79" i="1" a="1"/>
  <c r="AX79" i="1"/>
  <c r="AY79" i="1" s="1"/>
  <c r="BA79" i="1" a="1"/>
  <c r="BA79" i="1" s="1"/>
  <c r="BD79" i="1" a="1"/>
  <c r="BD79" i="1"/>
  <c r="BG79" i="1" a="1"/>
  <c r="BG79" i="1" s="1"/>
  <c r="BJ79" i="1" a="1"/>
  <c r="BJ79" i="1"/>
  <c r="BM79" i="1" a="1"/>
  <c r="BM79" i="1"/>
  <c r="BP79" i="1" a="1"/>
  <c r="BP79" i="1" s="1"/>
  <c r="BS79" i="1" a="1"/>
  <c r="BS79" i="1" s="1"/>
  <c r="BV79" i="1" a="1"/>
  <c r="BV79" i="1" s="1"/>
  <c r="BY79" i="1" a="1"/>
  <c r="BY79" i="1" s="1"/>
  <c r="CB79" i="1" a="1"/>
  <c r="CB79" i="1" s="1"/>
  <c r="CE79" i="1" a="1"/>
  <c r="CE79" i="1" s="1"/>
  <c r="CH79" i="1" a="1"/>
  <c r="CH79" i="1"/>
  <c r="CK79" i="1" a="1"/>
  <c r="CK79" i="1" s="1"/>
  <c r="CN79" i="1" a="1"/>
  <c r="CN79" i="1" s="1"/>
  <c r="CQ79" i="1" a="1"/>
  <c r="CQ79" i="1" s="1"/>
  <c r="CT79" i="1" a="1"/>
  <c r="CT79" i="1"/>
  <c r="CW79" i="1" a="1"/>
  <c r="CW79" i="1" s="1"/>
  <c r="CZ79" i="1" a="1"/>
  <c r="CZ79" i="1" s="1"/>
  <c r="DC79" i="1" a="1"/>
  <c r="DC79" i="1" s="1"/>
  <c r="DF79" i="1" a="1"/>
  <c r="DF79" i="1"/>
  <c r="DI79" i="1" a="1"/>
  <c r="DI79" i="1" s="1"/>
  <c r="DL79" i="1" a="1"/>
  <c r="DL79" i="1" s="1"/>
  <c r="DO79" i="1" a="1"/>
  <c r="DO79" i="1" s="1"/>
  <c r="DR79" i="1" a="1"/>
  <c r="DR79" i="1"/>
  <c r="DU79" i="1" a="1"/>
  <c r="DU79" i="1"/>
  <c r="DX79" i="1" a="1"/>
  <c r="DX79" i="1" s="1"/>
  <c r="EA79" i="1" a="1"/>
  <c r="EA79" i="1" s="1"/>
  <c r="ED79" i="1" a="1"/>
  <c r="ED79" i="1" s="1"/>
  <c r="EG79" i="1" a="1"/>
  <c r="EG79" i="1" s="1"/>
  <c r="EJ79" i="1" a="1"/>
  <c r="EJ79" i="1" s="1"/>
  <c r="H80" i="1"/>
  <c r="AB80" i="1" s="1"/>
  <c r="Z80" i="1" s="1"/>
  <c r="G80" i="1" s="1"/>
  <c r="I80" i="1"/>
  <c r="K80" i="1"/>
  <c r="L80" i="1"/>
  <c r="M80" i="1"/>
  <c r="N80" i="1"/>
  <c r="O80" i="1"/>
  <c r="P80" i="1"/>
  <c r="Q80" i="1"/>
  <c r="R80" i="1"/>
  <c r="S80" i="1"/>
  <c r="T80" i="1"/>
  <c r="U80" i="1"/>
  <c r="V80" i="1"/>
  <c r="W80" i="1"/>
  <c r="X80" i="1"/>
  <c r="Y80" i="1"/>
  <c r="AC80" i="1"/>
  <c r="AJ80" i="1"/>
  <c r="AK80" i="1"/>
  <c r="AL80" i="1"/>
  <c r="AM80" i="1"/>
  <c r="AN80" i="1"/>
  <c r="AO80" i="1"/>
  <c r="AP80" i="1"/>
  <c r="AQ80" i="1"/>
  <c r="AT80" i="1"/>
  <c r="AV80" i="1"/>
  <c r="AW80" i="1" a="1"/>
  <c r="AW80" i="1" s="1"/>
  <c r="AX80" i="1" a="1"/>
  <c r="AX80" i="1"/>
  <c r="AY80" i="1" s="1"/>
  <c r="BA80" i="1" a="1"/>
  <c r="BA80" i="1" s="1"/>
  <c r="BD80" i="1" a="1"/>
  <c r="BD80" i="1" s="1"/>
  <c r="BG80" i="1" a="1"/>
  <c r="BG80" i="1" s="1"/>
  <c r="BJ80" i="1" a="1"/>
  <c r="BJ80" i="1"/>
  <c r="BM80" i="1" a="1"/>
  <c r="BM80" i="1"/>
  <c r="BP80" i="1" a="1"/>
  <c r="BP80" i="1" s="1"/>
  <c r="BS80" i="1" a="1"/>
  <c r="BS80" i="1" s="1"/>
  <c r="BV80" i="1" a="1"/>
  <c r="BV80" i="1" s="1"/>
  <c r="BY80" i="1" a="1"/>
  <c r="BY80" i="1"/>
  <c r="CB80" i="1" a="1"/>
  <c r="CB80" i="1" s="1"/>
  <c r="CE80" i="1" a="1"/>
  <c r="CE80" i="1" s="1"/>
  <c r="CH80" i="1" a="1"/>
  <c r="CH80" i="1" s="1"/>
  <c r="CK80" i="1" a="1"/>
  <c r="CK80" i="1"/>
  <c r="CN80" i="1" a="1"/>
  <c r="CN80" i="1" s="1"/>
  <c r="CQ80" i="1" a="1"/>
  <c r="CQ80" i="1" s="1"/>
  <c r="CT80" i="1" a="1"/>
  <c r="CT80" i="1"/>
  <c r="CW80" i="1" a="1"/>
  <c r="CW80" i="1" s="1"/>
  <c r="CZ80" i="1" a="1"/>
  <c r="CZ80" i="1" s="1"/>
  <c r="DC80" i="1" a="1"/>
  <c r="DC80" i="1" s="1"/>
  <c r="DF80" i="1" a="1"/>
  <c r="DF80" i="1" s="1"/>
  <c r="DI80" i="1" a="1"/>
  <c r="DI80" i="1" s="1"/>
  <c r="DL80" i="1" a="1"/>
  <c r="DL80" i="1" s="1"/>
  <c r="DO80" i="1" a="1"/>
  <c r="DO80" i="1" s="1"/>
  <c r="DR80" i="1" a="1"/>
  <c r="DR80" i="1" s="1"/>
  <c r="DU80" i="1" a="1"/>
  <c r="DU80" i="1" s="1"/>
  <c r="DX80" i="1" a="1"/>
  <c r="DX80" i="1"/>
  <c r="EA80" i="1" a="1"/>
  <c r="EA80" i="1" s="1"/>
  <c r="ED80" i="1" a="1"/>
  <c r="ED80" i="1" s="1"/>
  <c r="EG80" i="1" a="1"/>
  <c r="EG80" i="1"/>
  <c r="EJ80" i="1" a="1"/>
  <c r="EJ80" i="1" s="1"/>
  <c r="H81" i="1"/>
  <c r="AB81" i="1" s="1"/>
  <c r="I81" i="1"/>
  <c r="K81" i="1"/>
  <c r="L81" i="1"/>
  <c r="M81" i="1"/>
  <c r="N81" i="1"/>
  <c r="O81" i="1"/>
  <c r="P81" i="1"/>
  <c r="Q81" i="1"/>
  <c r="R81" i="1"/>
  <c r="S81" i="1"/>
  <c r="T81" i="1"/>
  <c r="U81" i="1"/>
  <c r="V81" i="1"/>
  <c r="W81" i="1"/>
  <c r="X81" i="1"/>
  <c r="Y81" i="1"/>
  <c r="AC81" i="1"/>
  <c r="AJ81" i="1"/>
  <c r="AK81" i="1"/>
  <c r="AL81" i="1"/>
  <c r="AM81" i="1"/>
  <c r="AN81" i="1"/>
  <c r="AO81" i="1"/>
  <c r="AP81" i="1"/>
  <c r="AQ81" i="1"/>
  <c r="AT81" i="1"/>
  <c r="AV81" i="1"/>
  <c r="AW81" i="1" a="1"/>
  <c r="AW81" i="1" s="1"/>
  <c r="AX81" i="1" a="1"/>
  <c r="AX81" i="1"/>
  <c r="AY81" i="1" s="1"/>
  <c r="BA81" i="1" a="1"/>
  <c r="BA81" i="1" s="1"/>
  <c r="BD81" i="1" a="1"/>
  <c r="BD81" i="1"/>
  <c r="BG81" i="1" a="1"/>
  <c r="BG81" i="1" s="1"/>
  <c r="BJ81" i="1" a="1"/>
  <c r="BJ81" i="1" s="1"/>
  <c r="BM81" i="1" a="1"/>
  <c r="BM81" i="1"/>
  <c r="BP81" i="1" a="1"/>
  <c r="BP81" i="1"/>
  <c r="BS81" i="1" a="1"/>
  <c r="BS81" i="1" s="1"/>
  <c r="BV81" i="1" a="1"/>
  <c r="BV81" i="1" s="1"/>
  <c r="BY81" i="1" a="1"/>
  <c r="BY81" i="1" s="1"/>
  <c r="CB81" i="1" a="1"/>
  <c r="CB81" i="1" s="1"/>
  <c r="CE81" i="1" a="1"/>
  <c r="CE81" i="1" s="1"/>
  <c r="CH81" i="1" a="1"/>
  <c r="CH81" i="1"/>
  <c r="CK81" i="1" a="1"/>
  <c r="CK81" i="1"/>
  <c r="CN81" i="1" a="1"/>
  <c r="CN81" i="1" s="1"/>
  <c r="CQ81" i="1" a="1"/>
  <c r="CQ81" i="1" s="1"/>
  <c r="CT81" i="1" a="1"/>
  <c r="CT81" i="1"/>
  <c r="CW81" i="1" a="1"/>
  <c r="CW81" i="1" s="1"/>
  <c r="CZ81" i="1" a="1"/>
  <c r="CZ81" i="1" s="1"/>
  <c r="DC81" i="1" a="1"/>
  <c r="DC81" i="1" s="1"/>
  <c r="DF81" i="1" a="1"/>
  <c r="DF81" i="1" s="1"/>
  <c r="DI81" i="1" a="1"/>
  <c r="DI81" i="1" s="1"/>
  <c r="DL81" i="1" a="1"/>
  <c r="DL81" i="1" s="1"/>
  <c r="DO81" i="1" a="1"/>
  <c r="DO81" i="1" s="1"/>
  <c r="DR81" i="1" a="1"/>
  <c r="DR81" i="1" s="1"/>
  <c r="DU81" i="1" a="1"/>
  <c r="DU81" i="1" s="1"/>
  <c r="DX81" i="1" a="1"/>
  <c r="DX81" i="1" s="1"/>
  <c r="EA81" i="1" a="1"/>
  <c r="EA81" i="1" s="1"/>
  <c r="ED81" i="1" a="1"/>
  <c r="ED81" i="1" s="1"/>
  <c r="EG81" i="1" a="1"/>
  <c r="EG81" i="1" s="1"/>
  <c r="EJ81" i="1" a="1"/>
  <c r="EJ81" i="1" s="1"/>
  <c r="H82" i="1"/>
  <c r="AB82" i="1" s="1"/>
  <c r="Z82" i="1" s="1"/>
  <c r="G82" i="1" s="1"/>
  <c r="I82" i="1"/>
  <c r="K82" i="1"/>
  <c r="L82" i="1"/>
  <c r="J82" i="1" s="1"/>
  <c r="M82" i="1"/>
  <c r="N82" i="1"/>
  <c r="O82" i="1"/>
  <c r="P82" i="1"/>
  <c r="Q82" i="1"/>
  <c r="R82" i="1"/>
  <c r="S82" i="1"/>
  <c r="T82" i="1"/>
  <c r="U82" i="1"/>
  <c r="V82" i="1"/>
  <c r="W82" i="1"/>
  <c r="X82" i="1"/>
  <c r="Y82" i="1"/>
  <c r="AC82" i="1"/>
  <c r="AJ82" i="1"/>
  <c r="AK82" i="1"/>
  <c r="AL82" i="1"/>
  <c r="AM82" i="1"/>
  <c r="AN82" i="1"/>
  <c r="AO82" i="1"/>
  <c r="AP82" i="1"/>
  <c r="AQ82" i="1"/>
  <c r="AT82" i="1"/>
  <c r="AV82" i="1"/>
  <c r="AW82" i="1" a="1"/>
  <c r="AW82" i="1" s="1"/>
  <c r="AX82" i="1" a="1"/>
  <c r="AX82" i="1" s="1"/>
  <c r="BA82" i="1" a="1"/>
  <c r="BA82" i="1" s="1"/>
  <c r="BD82" i="1" a="1"/>
  <c r="BD82" i="1" s="1"/>
  <c r="BG82" i="1" a="1"/>
  <c r="BG82" i="1" s="1"/>
  <c r="BJ82" i="1" a="1"/>
  <c r="BJ82" i="1" s="1"/>
  <c r="BM82" i="1" a="1"/>
  <c r="BM82" i="1" s="1"/>
  <c r="BP82" i="1" a="1"/>
  <c r="BP82" i="1" s="1"/>
  <c r="BS82" i="1" a="1"/>
  <c r="BS82" i="1" s="1"/>
  <c r="BV82" i="1" a="1"/>
  <c r="BV82" i="1" s="1"/>
  <c r="BY82" i="1" a="1"/>
  <c r="BY82" i="1"/>
  <c r="CB82" i="1" a="1"/>
  <c r="CB82" i="1" s="1"/>
  <c r="CE82" i="1" a="1"/>
  <c r="CE82" i="1"/>
  <c r="CH82" i="1" a="1"/>
  <c r="CH82" i="1" s="1"/>
  <c r="CK82" i="1" a="1"/>
  <c r="CK82" i="1" s="1"/>
  <c r="CN82" i="1" a="1"/>
  <c r="CN82" i="1" s="1"/>
  <c r="CQ82" i="1" a="1"/>
  <c r="CQ82" i="1"/>
  <c r="CT82" i="1" a="1"/>
  <c r="CT82" i="1" s="1"/>
  <c r="CW82" i="1" a="1"/>
  <c r="CW82" i="1" s="1"/>
  <c r="CZ82" i="1" a="1"/>
  <c r="CZ82" i="1" s="1"/>
  <c r="DC82" i="1" a="1"/>
  <c r="DC82" i="1" s="1"/>
  <c r="DF82" i="1" a="1"/>
  <c r="DF82" i="1" s="1"/>
  <c r="DI82" i="1" a="1"/>
  <c r="DI82" i="1" s="1"/>
  <c r="DL82" i="1" a="1"/>
  <c r="DL82" i="1" s="1"/>
  <c r="DO82" i="1" a="1"/>
  <c r="DO82" i="1" s="1"/>
  <c r="DR82" i="1" a="1"/>
  <c r="DR82" i="1"/>
  <c r="DU82" i="1" a="1"/>
  <c r="DU82" i="1" s="1"/>
  <c r="DX82" i="1" a="1"/>
  <c r="DX82" i="1" s="1"/>
  <c r="EA82" i="1" a="1"/>
  <c r="EA82" i="1"/>
  <c r="ED82" i="1" a="1"/>
  <c r="ED82" i="1" s="1"/>
  <c r="EG82" i="1" a="1"/>
  <c r="EG82" i="1" s="1"/>
  <c r="EJ82" i="1" a="1"/>
  <c r="EJ82" i="1" s="1"/>
  <c r="H83" i="1"/>
  <c r="AB83" i="1" s="1"/>
  <c r="Z83" i="1" s="1"/>
  <c r="G83" i="1" s="1"/>
  <c r="I83" i="1"/>
  <c r="K83" i="1"/>
  <c r="L83" i="1"/>
  <c r="M83" i="1"/>
  <c r="N83" i="1"/>
  <c r="O83" i="1"/>
  <c r="P83" i="1"/>
  <c r="Q83" i="1"/>
  <c r="R83" i="1"/>
  <c r="S83" i="1"/>
  <c r="T83" i="1"/>
  <c r="U83" i="1"/>
  <c r="V83" i="1"/>
  <c r="W83" i="1"/>
  <c r="X83" i="1"/>
  <c r="Y83" i="1"/>
  <c r="AC83" i="1"/>
  <c r="AJ83" i="1"/>
  <c r="AK83" i="1"/>
  <c r="AL83" i="1"/>
  <c r="AM83" i="1"/>
  <c r="AN83" i="1"/>
  <c r="AO83" i="1"/>
  <c r="AP83" i="1"/>
  <c r="AQ83" i="1"/>
  <c r="AT83" i="1"/>
  <c r="AV83" i="1"/>
  <c r="AW83" i="1" a="1"/>
  <c r="AW83" i="1" s="1"/>
  <c r="AX83" i="1" a="1"/>
  <c r="AX83" i="1" s="1"/>
  <c r="BA83" i="1" a="1"/>
  <c r="BA83" i="1" s="1"/>
  <c r="BD83" i="1" a="1"/>
  <c r="BD83" i="1" s="1"/>
  <c r="BG83" i="1" a="1"/>
  <c r="BG83" i="1" s="1"/>
  <c r="BJ83" i="1" a="1"/>
  <c r="BJ83" i="1" s="1"/>
  <c r="BM83" i="1" a="1"/>
  <c r="BM83" i="1" s="1"/>
  <c r="BP83" i="1" a="1"/>
  <c r="BP83" i="1" s="1"/>
  <c r="BS83" i="1" a="1"/>
  <c r="BS83" i="1" s="1"/>
  <c r="BV83" i="1" a="1"/>
  <c r="BV83" i="1" s="1"/>
  <c r="BY83" i="1" a="1"/>
  <c r="BY83" i="1" s="1"/>
  <c r="CB83" i="1" a="1"/>
  <c r="CB83" i="1" s="1"/>
  <c r="CE83" i="1" a="1"/>
  <c r="CE83" i="1"/>
  <c r="CH83" i="1" a="1"/>
  <c r="CH83" i="1" s="1"/>
  <c r="CK83" i="1" a="1"/>
  <c r="CK83" i="1" s="1"/>
  <c r="CN83" i="1" a="1"/>
  <c r="CN83" i="1" s="1"/>
  <c r="CQ83" i="1" a="1"/>
  <c r="CQ83" i="1" s="1"/>
  <c r="CT83" i="1" a="1"/>
  <c r="CT83" i="1" s="1"/>
  <c r="CW83" i="1" a="1"/>
  <c r="CW83" i="1" s="1"/>
  <c r="CZ83" i="1" a="1"/>
  <c r="CZ83" i="1"/>
  <c r="DC83" i="1" a="1"/>
  <c r="DC83" i="1"/>
  <c r="DF83" i="1" a="1"/>
  <c r="DF83" i="1" s="1"/>
  <c r="DI83" i="1" a="1"/>
  <c r="DI83" i="1" s="1"/>
  <c r="DL83" i="1" a="1"/>
  <c r="DL83" i="1" s="1"/>
  <c r="DO83" i="1" a="1"/>
  <c r="DO83" i="1" s="1"/>
  <c r="DR83" i="1" a="1"/>
  <c r="DR83" i="1" s="1"/>
  <c r="DU83" i="1" a="1"/>
  <c r="DU83" i="1" s="1"/>
  <c r="DX83" i="1" a="1"/>
  <c r="DX83" i="1" s="1"/>
  <c r="EA83" i="1" a="1"/>
  <c r="EA83" i="1" s="1"/>
  <c r="ED83" i="1" a="1"/>
  <c r="ED83" i="1" s="1"/>
  <c r="EG83" i="1" a="1"/>
  <c r="EG83" i="1" s="1"/>
  <c r="EJ83" i="1" a="1"/>
  <c r="EJ83" i="1" s="1"/>
  <c r="H84" i="1"/>
  <c r="AB84" i="1" s="1"/>
  <c r="I84" i="1"/>
  <c r="K84" i="1"/>
  <c r="L84" i="1"/>
  <c r="M84" i="1"/>
  <c r="N84" i="1"/>
  <c r="O84" i="1"/>
  <c r="P84" i="1"/>
  <c r="Q84" i="1"/>
  <c r="R84" i="1"/>
  <c r="S84" i="1"/>
  <c r="T84" i="1"/>
  <c r="U84" i="1"/>
  <c r="V84" i="1"/>
  <c r="W84" i="1"/>
  <c r="X84" i="1"/>
  <c r="Y84" i="1"/>
  <c r="AC84" i="1"/>
  <c r="AF84" i="1" s="1"/>
  <c r="AJ84" i="1"/>
  <c r="AK84" i="1"/>
  <c r="AL84" i="1"/>
  <c r="AM84" i="1"/>
  <c r="AN84" i="1"/>
  <c r="AO84" i="1"/>
  <c r="AP84" i="1"/>
  <c r="AQ84" i="1"/>
  <c r="AT84" i="1"/>
  <c r="AV84" i="1"/>
  <c r="AW84" i="1" a="1"/>
  <c r="AW84" i="1" s="1"/>
  <c r="AX84" i="1" a="1"/>
  <c r="AX84" i="1" s="1"/>
  <c r="AY84" i="1" s="1"/>
  <c r="BA84" i="1" a="1"/>
  <c r="BA84" i="1"/>
  <c r="BD84" i="1" a="1"/>
  <c r="BD84" i="1" s="1"/>
  <c r="BG84" i="1" a="1"/>
  <c r="BG84" i="1" s="1"/>
  <c r="BJ84" i="1" a="1"/>
  <c r="BJ84" i="1" s="1"/>
  <c r="BM84" i="1" a="1"/>
  <c r="BM84" i="1" s="1"/>
  <c r="BP84" i="1" a="1"/>
  <c r="BP84" i="1" s="1"/>
  <c r="BS84" i="1" a="1"/>
  <c r="BS84" i="1" s="1"/>
  <c r="BV84" i="1" a="1"/>
  <c r="BV84" i="1" s="1"/>
  <c r="BY84" i="1" a="1"/>
  <c r="BY84" i="1" s="1"/>
  <c r="CB84" i="1" a="1"/>
  <c r="CB84" i="1" s="1"/>
  <c r="CE84" i="1" a="1"/>
  <c r="CE84" i="1" s="1"/>
  <c r="CH84" i="1" a="1"/>
  <c r="CH84" i="1" s="1"/>
  <c r="CK84" i="1" a="1"/>
  <c r="CK84" i="1"/>
  <c r="CN84" i="1" a="1"/>
  <c r="CN84" i="1" s="1"/>
  <c r="CQ84" i="1" a="1"/>
  <c r="CQ84" i="1" s="1"/>
  <c r="CT84" i="1" a="1"/>
  <c r="CT84" i="1" s="1"/>
  <c r="CW84" i="1" a="1"/>
  <c r="CW84" i="1"/>
  <c r="CZ84" i="1" a="1"/>
  <c r="CZ84" i="1" s="1"/>
  <c r="DC84" i="1" a="1"/>
  <c r="DC84" i="1" s="1"/>
  <c r="DF84" i="1" a="1"/>
  <c r="DF84" i="1" s="1"/>
  <c r="DI84" i="1" a="1"/>
  <c r="DI84" i="1" s="1"/>
  <c r="DL84" i="1" a="1"/>
  <c r="DL84" i="1" s="1"/>
  <c r="DO84" i="1" a="1"/>
  <c r="DO84" i="1" s="1"/>
  <c r="DR84" i="1" a="1"/>
  <c r="DR84" i="1" s="1"/>
  <c r="DU84" i="1" a="1"/>
  <c r="DU84" i="1" s="1"/>
  <c r="DX84" i="1" a="1"/>
  <c r="DX84" i="1" s="1"/>
  <c r="EA84" i="1" a="1"/>
  <c r="EA84" i="1" s="1"/>
  <c r="ED84" i="1" a="1"/>
  <c r="ED84" i="1"/>
  <c r="EG84" i="1" a="1"/>
  <c r="EG84" i="1" s="1"/>
  <c r="EJ84" i="1" a="1"/>
  <c r="EJ84" i="1" s="1"/>
  <c r="H85" i="1"/>
  <c r="AB85" i="1" s="1"/>
  <c r="Z85" i="1" s="1"/>
  <c r="G85" i="1" s="1"/>
  <c r="I85" i="1"/>
  <c r="K85" i="1"/>
  <c r="L85" i="1"/>
  <c r="M85" i="1"/>
  <c r="N85" i="1"/>
  <c r="O85" i="1"/>
  <c r="P85" i="1"/>
  <c r="Q85" i="1"/>
  <c r="R85" i="1"/>
  <c r="S85" i="1"/>
  <c r="T85" i="1"/>
  <c r="U85" i="1"/>
  <c r="V85" i="1"/>
  <c r="W85" i="1"/>
  <c r="X85" i="1"/>
  <c r="Y85" i="1"/>
  <c r="AC85" i="1"/>
  <c r="AJ85" i="1"/>
  <c r="AK85" i="1"/>
  <c r="AL85" i="1"/>
  <c r="AM85" i="1"/>
  <c r="AN85" i="1"/>
  <c r="AO85" i="1"/>
  <c r="AP85" i="1"/>
  <c r="AQ85" i="1"/>
  <c r="AT85" i="1"/>
  <c r="AV85" i="1"/>
  <c r="AW85" i="1" a="1"/>
  <c r="AW85" i="1"/>
  <c r="AX85" i="1" a="1"/>
  <c r="AX85" i="1"/>
  <c r="AY85" i="1" s="1"/>
  <c r="BA85" i="1" a="1"/>
  <c r="BA85" i="1" s="1"/>
  <c r="BD85" i="1" a="1"/>
  <c r="BD85" i="1" s="1"/>
  <c r="BG85" i="1" a="1"/>
  <c r="BG85" i="1" s="1"/>
  <c r="BJ85" i="1" a="1"/>
  <c r="BJ85" i="1"/>
  <c r="BM85" i="1" a="1"/>
  <c r="BM85" i="1" s="1"/>
  <c r="BP85" i="1" a="1"/>
  <c r="BP85" i="1"/>
  <c r="BS85" i="1" a="1"/>
  <c r="BS85" i="1" s="1"/>
  <c r="BV85" i="1" a="1"/>
  <c r="BV85" i="1"/>
  <c r="BY85" i="1" a="1"/>
  <c r="BY85" i="1" s="1"/>
  <c r="CB85" i="1" a="1"/>
  <c r="CB85" i="1" s="1"/>
  <c r="CE85" i="1" a="1"/>
  <c r="CE85" i="1" s="1"/>
  <c r="CH85" i="1" a="1"/>
  <c r="CH85" i="1"/>
  <c r="CK85" i="1" a="1"/>
  <c r="CK85" i="1" s="1"/>
  <c r="CN85" i="1" a="1"/>
  <c r="CN85" i="1"/>
  <c r="CQ85" i="1" a="1"/>
  <c r="CQ85" i="1"/>
  <c r="CT85" i="1" a="1"/>
  <c r="CT85" i="1"/>
  <c r="CW85" i="1" a="1"/>
  <c r="CW85" i="1" s="1"/>
  <c r="CZ85" i="1" a="1"/>
  <c r="CZ85" i="1" s="1"/>
  <c r="DC85" i="1" a="1"/>
  <c r="DC85" i="1" s="1"/>
  <c r="DF85" i="1" a="1"/>
  <c r="DF85" i="1" s="1"/>
  <c r="DI85" i="1" a="1"/>
  <c r="DI85" i="1" s="1"/>
  <c r="DL85" i="1" a="1"/>
  <c r="DL85" i="1"/>
  <c r="DO85" i="1" a="1"/>
  <c r="DO85" i="1" s="1"/>
  <c r="DR85" i="1" a="1"/>
  <c r="DR85" i="1"/>
  <c r="DU85" i="1" a="1"/>
  <c r="DU85" i="1" s="1"/>
  <c r="DX85" i="1" a="1"/>
  <c r="DX85" i="1" s="1"/>
  <c r="EA85" i="1" a="1"/>
  <c r="EA85" i="1" s="1"/>
  <c r="ED85" i="1" a="1"/>
  <c r="ED85" i="1" s="1"/>
  <c r="EG85" i="1" a="1"/>
  <c r="EG85" i="1" s="1"/>
  <c r="EJ85" i="1" a="1"/>
  <c r="EJ85" i="1"/>
  <c r="H86" i="1"/>
  <c r="AB86" i="1" s="1"/>
  <c r="Z86" i="1" s="1"/>
  <c r="G86" i="1" s="1"/>
  <c r="I86" i="1"/>
  <c r="K86" i="1"/>
  <c r="L86" i="1"/>
  <c r="M86" i="1"/>
  <c r="N86" i="1"/>
  <c r="O86" i="1"/>
  <c r="P86" i="1"/>
  <c r="Q86" i="1"/>
  <c r="R86" i="1"/>
  <c r="S86" i="1"/>
  <c r="T86" i="1"/>
  <c r="U86" i="1"/>
  <c r="V86" i="1"/>
  <c r="W86" i="1"/>
  <c r="X86" i="1"/>
  <c r="Y86" i="1"/>
  <c r="AC86" i="1"/>
  <c r="AF86" i="1" s="1"/>
  <c r="AJ86" i="1"/>
  <c r="AK86" i="1"/>
  <c r="AL86" i="1"/>
  <c r="AM86" i="1"/>
  <c r="AN86" i="1"/>
  <c r="AO86" i="1"/>
  <c r="AP86" i="1"/>
  <c r="AQ86" i="1"/>
  <c r="AT86" i="1"/>
  <c r="AV86" i="1"/>
  <c r="AW86" i="1" a="1"/>
  <c r="AW86" i="1" s="1"/>
  <c r="AX86" i="1" a="1"/>
  <c r="AX86" i="1" s="1"/>
  <c r="BA86" i="1" a="1"/>
  <c r="BA86" i="1"/>
  <c r="BD86" i="1" a="1"/>
  <c r="BD86" i="1"/>
  <c r="BG86" i="1" a="1"/>
  <c r="BG86" i="1" s="1"/>
  <c r="BJ86" i="1" a="1"/>
  <c r="BJ86" i="1" s="1"/>
  <c r="BM86" i="1" a="1"/>
  <c r="BM86" i="1" s="1"/>
  <c r="BP86" i="1" a="1"/>
  <c r="BP86" i="1" s="1"/>
  <c r="BS86" i="1" a="1"/>
  <c r="BS86" i="1" s="1"/>
  <c r="BV86" i="1" a="1"/>
  <c r="BV86" i="1" s="1"/>
  <c r="BY86" i="1" a="1"/>
  <c r="BY86" i="1" s="1"/>
  <c r="CB86" i="1" a="1"/>
  <c r="CB86" i="1" s="1"/>
  <c r="CE86" i="1" a="1"/>
  <c r="CE86" i="1" s="1"/>
  <c r="CH86" i="1" a="1"/>
  <c r="CH86" i="1" s="1"/>
  <c r="CK86" i="1" a="1"/>
  <c r="CK86" i="1" s="1"/>
  <c r="CN86" i="1" a="1"/>
  <c r="CN86" i="1" s="1"/>
  <c r="CQ86" i="1" a="1"/>
  <c r="CQ86" i="1"/>
  <c r="CT86" i="1" a="1"/>
  <c r="CT86" i="1" s="1"/>
  <c r="CW86" i="1" a="1"/>
  <c r="CW86" i="1" s="1"/>
  <c r="CZ86" i="1" a="1"/>
  <c r="CZ86" i="1"/>
  <c r="DC86" i="1" a="1"/>
  <c r="DC86" i="1" s="1"/>
  <c r="DF86" i="1" a="1"/>
  <c r="DF86" i="1" s="1"/>
  <c r="DI86" i="1" a="1"/>
  <c r="DI86" i="1" s="1"/>
  <c r="DL86" i="1" a="1"/>
  <c r="DL86" i="1" s="1"/>
  <c r="DO86" i="1" a="1"/>
  <c r="DO86" i="1" s="1"/>
  <c r="DR86" i="1" a="1"/>
  <c r="DR86" i="1" s="1"/>
  <c r="DU86" i="1" a="1"/>
  <c r="DU86" i="1" s="1"/>
  <c r="DX86" i="1" a="1"/>
  <c r="DX86" i="1"/>
  <c r="EA86" i="1" a="1"/>
  <c r="EA86" i="1" s="1"/>
  <c r="ED86" i="1" a="1"/>
  <c r="ED86" i="1" s="1"/>
  <c r="EG86" i="1" a="1"/>
  <c r="EG86" i="1" s="1"/>
  <c r="EJ86" i="1" a="1"/>
  <c r="EJ86" i="1" s="1"/>
  <c r="I87" i="1"/>
  <c r="K87" i="1"/>
  <c r="L87" i="1"/>
  <c r="M87" i="1"/>
  <c r="N87" i="1"/>
  <c r="O87" i="1"/>
  <c r="P87" i="1"/>
  <c r="Q87" i="1"/>
  <c r="R87" i="1"/>
  <c r="S87" i="1"/>
  <c r="T87" i="1"/>
  <c r="U87" i="1"/>
  <c r="V87" i="1"/>
  <c r="W87" i="1"/>
  <c r="X87" i="1"/>
  <c r="Y87" i="1"/>
  <c r="AC87" i="1"/>
  <c r="AJ87" i="1"/>
  <c r="AK87" i="1"/>
  <c r="AL87" i="1"/>
  <c r="AM87" i="1"/>
  <c r="AN87" i="1"/>
  <c r="AO87" i="1"/>
  <c r="AP87" i="1"/>
  <c r="AQ87" i="1"/>
  <c r="AT87" i="1"/>
  <c r="H88" i="1"/>
  <c r="I88" i="1"/>
  <c r="K88" i="1"/>
  <c r="L88" i="1"/>
  <c r="M88" i="1"/>
  <c r="N88" i="1"/>
  <c r="O88" i="1"/>
  <c r="P88" i="1"/>
  <c r="Q88" i="1"/>
  <c r="R88" i="1"/>
  <c r="S88" i="1"/>
  <c r="T88" i="1"/>
  <c r="U88" i="1"/>
  <c r="V88" i="1"/>
  <c r="W88" i="1"/>
  <c r="X88" i="1"/>
  <c r="Y88" i="1"/>
  <c r="AB88" i="1"/>
  <c r="Z88" i="1" s="1"/>
  <c r="G88" i="1" s="1"/>
  <c r="AC88" i="1"/>
  <c r="AJ88" i="1"/>
  <c r="AK88" i="1"/>
  <c r="AL88" i="1"/>
  <c r="AM88" i="1"/>
  <c r="AN88" i="1"/>
  <c r="AO88" i="1"/>
  <c r="AP88" i="1"/>
  <c r="AQ88" i="1"/>
  <c r="AT88" i="1"/>
  <c r="AV88" i="1"/>
  <c r="AW88" i="1" a="1"/>
  <c r="AW88" i="1" s="1"/>
  <c r="AX88" i="1" a="1"/>
  <c r="AX88" i="1"/>
  <c r="BA88" i="1" a="1"/>
  <c r="BA88" i="1" s="1"/>
  <c r="BD88" i="1" a="1"/>
  <c r="BD88" i="1" s="1"/>
  <c r="BG88" i="1" a="1"/>
  <c r="BG88" i="1" s="1"/>
  <c r="BJ88" i="1" a="1"/>
  <c r="BJ88" i="1" s="1"/>
  <c r="BM88" i="1" a="1"/>
  <c r="BM88" i="1" s="1"/>
  <c r="BP88" i="1" a="1"/>
  <c r="BP88" i="1" s="1"/>
  <c r="BS88" i="1" a="1"/>
  <c r="BS88" i="1" s="1"/>
  <c r="BV88" i="1" a="1"/>
  <c r="BV88" i="1" s="1"/>
  <c r="BY88" i="1" a="1"/>
  <c r="BY88" i="1" s="1"/>
  <c r="CB88" i="1" a="1"/>
  <c r="CB88" i="1" s="1"/>
  <c r="CE88" i="1" a="1"/>
  <c r="CE88" i="1" s="1"/>
  <c r="CH88" i="1" a="1"/>
  <c r="CH88" i="1" s="1"/>
  <c r="CK88" i="1" a="1"/>
  <c r="CK88" i="1" s="1"/>
  <c r="CN88" i="1" a="1"/>
  <c r="CN88" i="1" s="1"/>
  <c r="CQ88" i="1" a="1"/>
  <c r="CQ88" i="1" s="1"/>
  <c r="CT88" i="1" a="1"/>
  <c r="CT88" i="1"/>
  <c r="CW88" i="1" a="1"/>
  <c r="CW88" i="1"/>
  <c r="CZ88" i="1" a="1"/>
  <c r="CZ88" i="1" s="1"/>
  <c r="DC88" i="1" a="1"/>
  <c r="DC88" i="1" s="1"/>
  <c r="DF88" i="1" a="1"/>
  <c r="DF88" i="1" s="1"/>
  <c r="DI88" i="1" a="1"/>
  <c r="DI88" i="1" s="1"/>
  <c r="DL88" i="1" a="1"/>
  <c r="DL88" i="1" s="1"/>
  <c r="DO88" i="1" a="1"/>
  <c r="DO88" i="1" s="1"/>
  <c r="DR88" i="1" a="1"/>
  <c r="DR88" i="1" s="1"/>
  <c r="DU88" i="1" a="1"/>
  <c r="DU88" i="1" s="1"/>
  <c r="DX88" i="1" a="1"/>
  <c r="DX88" i="1" s="1"/>
  <c r="EA88" i="1" a="1"/>
  <c r="EA88" i="1" s="1"/>
  <c r="ED88" i="1" a="1"/>
  <c r="ED88" i="1" s="1"/>
  <c r="EG88" i="1" a="1"/>
  <c r="EG88" i="1"/>
  <c r="EJ88" i="1" a="1"/>
  <c r="EJ88" i="1" s="1"/>
  <c r="I89" i="1"/>
  <c r="K89" i="1"/>
  <c r="L89" i="1"/>
  <c r="M89" i="1"/>
  <c r="N89" i="1"/>
  <c r="O89" i="1"/>
  <c r="P89" i="1"/>
  <c r="Q89" i="1"/>
  <c r="R89" i="1"/>
  <c r="S89" i="1"/>
  <c r="T89" i="1"/>
  <c r="U89" i="1"/>
  <c r="V89" i="1"/>
  <c r="W89" i="1"/>
  <c r="X89" i="1"/>
  <c r="Y89" i="1"/>
  <c r="AC89" i="1"/>
  <c r="AJ89" i="1"/>
  <c r="AK89" i="1"/>
  <c r="AL89" i="1"/>
  <c r="AM89" i="1"/>
  <c r="AN89" i="1"/>
  <c r="AO89" i="1"/>
  <c r="AP89" i="1"/>
  <c r="AQ89" i="1"/>
  <c r="AT89" i="1"/>
  <c r="H90" i="1"/>
  <c r="I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AB90" i="1"/>
  <c r="Z90" i="1" s="1"/>
  <c r="G90" i="1" s="1"/>
  <c r="AC90" i="1"/>
  <c r="AD90" i="1" s="1"/>
  <c r="AJ90" i="1"/>
  <c r="AK90" i="1"/>
  <c r="AL90" i="1"/>
  <c r="AM90" i="1"/>
  <c r="AN90" i="1"/>
  <c r="AO90" i="1"/>
  <c r="AP90" i="1"/>
  <c r="AQ90" i="1"/>
  <c r="AT90" i="1"/>
  <c r="AV90" i="1"/>
  <c r="AW90" i="1" a="1"/>
  <c r="AW90" i="1" s="1"/>
  <c r="AX90" i="1" a="1"/>
  <c r="AX90" i="1" s="1"/>
  <c r="BA90" i="1" a="1"/>
  <c r="BA90" i="1" s="1"/>
  <c r="BD90" i="1" a="1"/>
  <c r="BD90" i="1" s="1"/>
  <c r="BG90" i="1" a="1"/>
  <c r="BG90" i="1"/>
  <c r="BJ90" i="1" a="1"/>
  <c r="BJ90" i="1" s="1"/>
  <c r="BM90" i="1" a="1"/>
  <c r="BM90" i="1"/>
  <c r="BP90" i="1" a="1"/>
  <c r="BP90" i="1" s="1"/>
  <c r="BS90" i="1" a="1"/>
  <c r="BS90" i="1" s="1"/>
  <c r="BV90" i="1" a="1"/>
  <c r="BV90" i="1" s="1"/>
  <c r="BY90" i="1" a="1"/>
  <c r="BY90" i="1" s="1"/>
  <c r="CB90" i="1" a="1"/>
  <c r="CB90" i="1" s="1"/>
  <c r="CE90" i="1" a="1"/>
  <c r="CE90" i="1" s="1"/>
  <c r="CH90" i="1" a="1"/>
  <c r="CH90" i="1" s="1"/>
  <c r="CK90" i="1" a="1"/>
  <c r="CK90" i="1"/>
  <c r="CN90" i="1" a="1"/>
  <c r="CN90" i="1" s="1"/>
  <c r="CQ90" i="1" a="1"/>
  <c r="CQ90" i="1" s="1"/>
  <c r="CT90" i="1" a="1"/>
  <c r="CT90" i="1" s="1"/>
  <c r="CW90" i="1" a="1"/>
  <c r="CW90" i="1" s="1"/>
  <c r="CZ90" i="1" a="1"/>
  <c r="CZ90" i="1" s="1"/>
  <c r="DC90" i="1" a="1"/>
  <c r="DC90" i="1" s="1"/>
  <c r="DF90" i="1" a="1"/>
  <c r="DF90" i="1" s="1"/>
  <c r="DI90" i="1" a="1"/>
  <c r="DI90" i="1" s="1"/>
  <c r="DL90" i="1" a="1"/>
  <c r="DL90" i="1" s="1"/>
  <c r="DO90" i="1" a="1"/>
  <c r="DO90" i="1" s="1"/>
  <c r="DR90" i="1" a="1"/>
  <c r="DR90" i="1" s="1"/>
  <c r="DU90" i="1" a="1"/>
  <c r="DU90" i="1" s="1"/>
  <c r="DX90" i="1" a="1"/>
  <c r="DX90" i="1" s="1"/>
  <c r="EA90" i="1" a="1"/>
  <c r="EA90" i="1"/>
  <c r="ED90" i="1" a="1"/>
  <c r="ED90" i="1" s="1"/>
  <c r="EG90" i="1" a="1"/>
  <c r="EG90" i="1" s="1"/>
  <c r="EJ90" i="1" a="1"/>
  <c r="EJ90" i="1"/>
  <c r="H91" i="1"/>
  <c r="AB91" i="1" s="1"/>
  <c r="AD91" i="1" s="1"/>
  <c r="I91" i="1"/>
  <c r="K91" i="1"/>
  <c r="L91" i="1"/>
  <c r="M91" i="1"/>
  <c r="N91" i="1"/>
  <c r="O91" i="1"/>
  <c r="P91" i="1"/>
  <c r="Q91" i="1"/>
  <c r="R91" i="1"/>
  <c r="S91" i="1"/>
  <c r="T91" i="1"/>
  <c r="U91" i="1"/>
  <c r="V91" i="1"/>
  <c r="W91" i="1"/>
  <c r="X91" i="1"/>
  <c r="Y91" i="1"/>
  <c r="AC91" i="1"/>
  <c r="AF91" i="1" s="1"/>
  <c r="AJ91" i="1"/>
  <c r="AK91" i="1"/>
  <c r="AL91" i="1"/>
  <c r="AM91" i="1"/>
  <c r="AN91" i="1"/>
  <c r="AO91" i="1"/>
  <c r="AP91" i="1"/>
  <c r="AQ91" i="1"/>
  <c r="AT91" i="1"/>
  <c r="AV91" i="1"/>
  <c r="AW91" i="1" a="1"/>
  <c r="AW91" i="1" s="1"/>
  <c r="AX91" i="1" a="1"/>
  <c r="AX91" i="1"/>
  <c r="BA91" i="1" a="1"/>
  <c r="BA91" i="1" s="1"/>
  <c r="BD91" i="1" a="1"/>
  <c r="BD91" i="1"/>
  <c r="BG91" i="1" a="1"/>
  <c r="BG91" i="1" s="1"/>
  <c r="BJ91" i="1" a="1"/>
  <c r="BJ91" i="1" s="1"/>
  <c r="BM91" i="1" a="1"/>
  <c r="BM91" i="1" s="1"/>
  <c r="BP91" i="1" a="1"/>
  <c r="BP91" i="1"/>
  <c r="BS91" i="1" a="1"/>
  <c r="BS91" i="1" s="1"/>
  <c r="BV91" i="1" a="1"/>
  <c r="BV91" i="1"/>
  <c r="BY91" i="1" a="1"/>
  <c r="BY91" i="1"/>
  <c r="CB91" i="1" a="1"/>
  <c r="CB91" i="1" s="1"/>
  <c r="CE91" i="1" a="1"/>
  <c r="CE91" i="1" s="1"/>
  <c r="CH91" i="1" a="1"/>
  <c r="CH91" i="1" s="1"/>
  <c r="CK91" i="1" a="1"/>
  <c r="CK91" i="1" s="1"/>
  <c r="CN91" i="1" a="1"/>
  <c r="CN91" i="1"/>
  <c r="CQ91" i="1" a="1"/>
  <c r="CQ91" i="1" s="1"/>
  <c r="CT91" i="1" a="1"/>
  <c r="CT91" i="1"/>
  <c r="CW91" i="1" a="1"/>
  <c r="CW91" i="1" s="1"/>
  <c r="CZ91" i="1" a="1"/>
  <c r="CZ91" i="1"/>
  <c r="DC91" i="1" a="1"/>
  <c r="DC91" i="1" s="1"/>
  <c r="DF91" i="1" a="1"/>
  <c r="DF91" i="1" s="1"/>
  <c r="DI91" i="1" a="1"/>
  <c r="DI91" i="1" s="1"/>
  <c r="DL91" i="1" a="1"/>
  <c r="DL91" i="1" s="1"/>
  <c r="DO91" i="1" a="1"/>
  <c r="DO91" i="1" s="1"/>
  <c r="DR91" i="1" a="1"/>
  <c r="DR91" i="1"/>
  <c r="DU91" i="1" a="1"/>
  <c r="DU91" i="1"/>
  <c r="DX91" i="1" a="1"/>
  <c r="DX91" i="1" s="1"/>
  <c r="EA91" i="1" a="1"/>
  <c r="EA91" i="1" s="1"/>
  <c r="ED91" i="1" a="1"/>
  <c r="ED91" i="1" s="1"/>
  <c r="EG91" i="1" a="1"/>
  <c r="EG91" i="1" s="1"/>
  <c r="EJ91" i="1" a="1"/>
  <c r="EJ91" i="1"/>
  <c r="H92" i="1"/>
  <c r="AB92" i="1" s="1"/>
  <c r="Z92" i="1" s="1"/>
  <c r="G92" i="1" s="1"/>
  <c r="I92" i="1"/>
  <c r="K92" i="1"/>
  <c r="L92" i="1"/>
  <c r="M92" i="1"/>
  <c r="N92" i="1"/>
  <c r="O92" i="1"/>
  <c r="P92" i="1"/>
  <c r="Q92" i="1"/>
  <c r="R92" i="1"/>
  <c r="S92" i="1"/>
  <c r="T92" i="1"/>
  <c r="U92" i="1"/>
  <c r="V92" i="1"/>
  <c r="W92" i="1"/>
  <c r="X92" i="1"/>
  <c r="Y92" i="1"/>
  <c r="AC92" i="1"/>
  <c r="AF92" i="1" s="1"/>
  <c r="AJ92" i="1"/>
  <c r="AK92" i="1"/>
  <c r="AL92" i="1"/>
  <c r="AM92" i="1"/>
  <c r="AN92" i="1"/>
  <c r="AO92" i="1"/>
  <c r="AP92" i="1"/>
  <c r="AQ92" i="1"/>
  <c r="AT92" i="1"/>
  <c r="AV92" i="1"/>
  <c r="AW92" i="1" a="1"/>
  <c r="AW92" i="1" s="1"/>
  <c r="AX92" i="1" a="1"/>
  <c r="AX92" i="1" s="1"/>
  <c r="BA92" i="1" a="1"/>
  <c r="BA92" i="1"/>
  <c r="BD92" i="1" a="1"/>
  <c r="BD92" i="1" s="1"/>
  <c r="BG92" i="1" a="1"/>
  <c r="BG92" i="1" s="1"/>
  <c r="BJ92" i="1" a="1"/>
  <c r="BJ92" i="1"/>
  <c r="BM92" i="1" a="1"/>
  <c r="BM92" i="1"/>
  <c r="BP92" i="1" a="1"/>
  <c r="BP92" i="1" s="1"/>
  <c r="BS92" i="1" a="1"/>
  <c r="BS92" i="1" s="1"/>
  <c r="BV92" i="1" a="1"/>
  <c r="BV92" i="1" s="1"/>
  <c r="BY92" i="1" a="1"/>
  <c r="BY92" i="1"/>
  <c r="CB92" i="1" a="1"/>
  <c r="CB92" i="1" s="1"/>
  <c r="CE92" i="1" a="1"/>
  <c r="CE92" i="1" s="1"/>
  <c r="CH92" i="1" a="1"/>
  <c r="CH92" i="1"/>
  <c r="CK92" i="1" a="1"/>
  <c r="CK92" i="1" s="1"/>
  <c r="CN92" i="1" a="1"/>
  <c r="CN92" i="1" s="1"/>
  <c r="CQ92" i="1" a="1"/>
  <c r="CQ92" i="1" s="1"/>
  <c r="CT92" i="1" a="1"/>
  <c r="CT92" i="1" s="1"/>
  <c r="CW92" i="1" a="1"/>
  <c r="CW92" i="1"/>
  <c r="CZ92" i="1" a="1"/>
  <c r="CZ92" i="1" s="1"/>
  <c r="DC92" i="1" a="1"/>
  <c r="DC92" i="1" s="1"/>
  <c r="DF92" i="1" a="1"/>
  <c r="DF92" i="1" s="1"/>
  <c r="DI92" i="1" a="1"/>
  <c r="DI92" i="1" s="1"/>
  <c r="DL92" i="1" a="1"/>
  <c r="DL92" i="1" s="1"/>
  <c r="DO92" i="1" a="1"/>
  <c r="DO92" i="1" s="1"/>
  <c r="DR92" i="1" a="1"/>
  <c r="DR92" i="1" s="1"/>
  <c r="DU92" i="1" a="1"/>
  <c r="DU92" i="1" s="1"/>
  <c r="DX92" i="1" a="1"/>
  <c r="DX92" i="1" s="1"/>
  <c r="EA92" i="1" a="1"/>
  <c r="EA92" i="1"/>
  <c r="ED92" i="1" a="1"/>
  <c r="ED92" i="1"/>
  <c r="EG92" i="1" a="1"/>
  <c r="EG92" i="1" s="1"/>
  <c r="EJ92" i="1" a="1"/>
  <c r="EJ92" i="1" s="1"/>
  <c r="H93" i="1"/>
  <c r="AB93" i="1" s="1"/>
  <c r="Z93" i="1" s="1"/>
  <c r="G93" i="1" s="1"/>
  <c r="I93" i="1"/>
  <c r="K93" i="1"/>
  <c r="L93" i="1"/>
  <c r="M93" i="1"/>
  <c r="N93" i="1"/>
  <c r="O93" i="1"/>
  <c r="P93" i="1"/>
  <c r="Q93" i="1"/>
  <c r="R93" i="1"/>
  <c r="S93" i="1"/>
  <c r="T93" i="1"/>
  <c r="U93" i="1"/>
  <c r="V93" i="1"/>
  <c r="W93" i="1"/>
  <c r="X93" i="1"/>
  <c r="Y93" i="1"/>
  <c r="AC93" i="1"/>
  <c r="AJ93" i="1"/>
  <c r="AK93" i="1"/>
  <c r="AL93" i="1"/>
  <c r="AM93" i="1"/>
  <c r="AN93" i="1"/>
  <c r="AO93" i="1"/>
  <c r="AP93" i="1"/>
  <c r="AQ93" i="1"/>
  <c r="AT93" i="1"/>
  <c r="AV93" i="1"/>
  <c r="AW93" i="1" a="1"/>
  <c r="AW93" i="1"/>
  <c r="AX93" i="1" a="1"/>
  <c r="AX93" i="1"/>
  <c r="AY93" i="1" s="1"/>
  <c r="BA93" i="1" a="1"/>
  <c r="BA93" i="1" s="1"/>
  <c r="BD93" i="1" a="1"/>
  <c r="BD93" i="1" s="1"/>
  <c r="BG93" i="1" a="1"/>
  <c r="BG93" i="1" s="1"/>
  <c r="BJ93" i="1" a="1"/>
  <c r="BJ93" i="1" s="1"/>
  <c r="BM93" i="1" a="1"/>
  <c r="BM93" i="1" s="1"/>
  <c r="BP93" i="1" a="1"/>
  <c r="BP93" i="1" s="1"/>
  <c r="BS93" i="1" a="1"/>
  <c r="BS93" i="1"/>
  <c r="BV93" i="1" a="1"/>
  <c r="BV93" i="1"/>
  <c r="BY93" i="1" a="1"/>
  <c r="BY93" i="1"/>
  <c r="CB93" i="1" a="1"/>
  <c r="CB93" i="1" s="1"/>
  <c r="CE93" i="1" a="1"/>
  <c r="CE93" i="1" s="1"/>
  <c r="CH93" i="1" a="1"/>
  <c r="CH93" i="1" s="1"/>
  <c r="CK93" i="1" a="1"/>
  <c r="CK93" i="1"/>
  <c r="CN93" i="1" a="1"/>
  <c r="CN93" i="1" s="1"/>
  <c r="CQ93" i="1" a="1"/>
  <c r="CQ93" i="1" s="1"/>
  <c r="CT93" i="1" a="1"/>
  <c r="CT93" i="1"/>
  <c r="CW93" i="1" a="1"/>
  <c r="CW93" i="1" s="1"/>
  <c r="CZ93" i="1" a="1"/>
  <c r="CZ93" i="1" s="1"/>
  <c r="DC93" i="1" a="1"/>
  <c r="DC93" i="1" s="1"/>
  <c r="DF93" i="1" a="1"/>
  <c r="DF93" i="1" s="1"/>
  <c r="DI93" i="1" a="1"/>
  <c r="DI93" i="1" s="1"/>
  <c r="DL93" i="1" a="1"/>
  <c r="DL93" i="1" s="1"/>
  <c r="DO93" i="1" a="1"/>
  <c r="DO93" i="1"/>
  <c r="DR93" i="1" a="1"/>
  <c r="DR93" i="1" s="1"/>
  <c r="DU93" i="1" a="1"/>
  <c r="DU93" i="1" s="1"/>
  <c r="DX93" i="1" a="1"/>
  <c r="DX93" i="1" s="1"/>
  <c r="EA93" i="1" a="1"/>
  <c r="EA93" i="1" s="1"/>
  <c r="ED93" i="1" a="1"/>
  <c r="ED93" i="1" s="1"/>
  <c r="EG93" i="1" a="1"/>
  <c r="EG93" i="1" s="1"/>
  <c r="EJ93" i="1" a="1"/>
  <c r="EJ93" i="1" s="1"/>
  <c r="H94" i="1"/>
  <c r="I94" i="1"/>
  <c r="K94" i="1"/>
  <c r="L94" i="1"/>
  <c r="M94" i="1"/>
  <c r="N94" i="1"/>
  <c r="O94" i="1"/>
  <c r="P94" i="1"/>
  <c r="Q94" i="1"/>
  <c r="R94" i="1"/>
  <c r="S94" i="1"/>
  <c r="T94" i="1"/>
  <c r="U94" i="1"/>
  <c r="V94" i="1"/>
  <c r="W94" i="1"/>
  <c r="X94" i="1"/>
  <c r="Y94" i="1"/>
  <c r="AB94" i="1"/>
  <c r="Z94" i="1" s="1"/>
  <c r="G94" i="1" s="1"/>
  <c r="AC94" i="1"/>
  <c r="AF94" i="1" s="1"/>
  <c r="AD94" i="1"/>
  <c r="AJ94" i="1"/>
  <c r="AK94" i="1"/>
  <c r="AL94" i="1"/>
  <c r="AM94" i="1"/>
  <c r="AN94" i="1"/>
  <c r="AO94" i="1"/>
  <c r="AP94" i="1"/>
  <c r="AQ94" i="1"/>
  <c r="AT94" i="1"/>
  <c r="AV94" i="1"/>
  <c r="AW94" i="1" a="1"/>
  <c r="AW94" i="1" s="1"/>
  <c r="AX94" i="1" a="1"/>
  <c r="AX94" i="1"/>
  <c r="BA94" i="1" a="1"/>
  <c r="BA94" i="1"/>
  <c r="BD94" i="1" a="1"/>
  <c r="BD94" i="1" s="1"/>
  <c r="BG94" i="1" a="1"/>
  <c r="BG94" i="1" s="1"/>
  <c r="BJ94" i="1" a="1"/>
  <c r="BJ94" i="1" s="1"/>
  <c r="BM94" i="1" a="1"/>
  <c r="BM94" i="1" s="1"/>
  <c r="BP94" i="1" a="1"/>
  <c r="BP94" i="1" s="1"/>
  <c r="BS94" i="1" a="1"/>
  <c r="BS94" i="1" s="1"/>
  <c r="BV94" i="1" a="1"/>
  <c r="BV94" i="1" s="1"/>
  <c r="BY94" i="1" a="1"/>
  <c r="BY94" i="1" s="1"/>
  <c r="CB94" i="1" a="1"/>
  <c r="CB94" i="1" s="1"/>
  <c r="CE94" i="1" a="1"/>
  <c r="CE94" i="1" s="1"/>
  <c r="CH94" i="1" a="1"/>
  <c r="CH94" i="1" s="1"/>
  <c r="CK94" i="1" a="1"/>
  <c r="CK94" i="1"/>
  <c r="CN94" i="1" a="1"/>
  <c r="CN94" i="1" s="1"/>
  <c r="CQ94" i="1" a="1"/>
  <c r="CQ94" i="1" s="1"/>
  <c r="CT94" i="1" a="1"/>
  <c r="CT94" i="1" s="1"/>
  <c r="CW94" i="1" a="1"/>
  <c r="CW94" i="1" s="1"/>
  <c r="CZ94" i="1" a="1"/>
  <c r="CZ94" i="1" s="1"/>
  <c r="DC94" i="1" a="1"/>
  <c r="DC94" i="1"/>
  <c r="DF94" i="1" a="1"/>
  <c r="DF94" i="1" s="1"/>
  <c r="DI94" i="1" a="1"/>
  <c r="DI94" i="1" s="1"/>
  <c r="DL94" i="1" a="1"/>
  <c r="DL94" i="1" s="1"/>
  <c r="DO94" i="1" a="1"/>
  <c r="DO94" i="1"/>
  <c r="DR94" i="1" a="1"/>
  <c r="DR94" i="1" s="1"/>
  <c r="DU94" i="1" a="1"/>
  <c r="DU94" i="1"/>
  <c r="DX94" i="1" a="1"/>
  <c r="DX94" i="1" s="1"/>
  <c r="EA94" i="1" a="1"/>
  <c r="EA94" i="1" s="1"/>
  <c r="ED94" i="1" a="1"/>
  <c r="ED94" i="1" s="1"/>
  <c r="EG94" i="1" a="1"/>
  <c r="EG94" i="1"/>
  <c r="EJ94" i="1" a="1"/>
  <c r="EJ94" i="1" s="1"/>
  <c r="I95" i="1"/>
  <c r="K95" i="1"/>
  <c r="L95" i="1"/>
  <c r="M95" i="1"/>
  <c r="N95" i="1"/>
  <c r="O95" i="1"/>
  <c r="P95" i="1"/>
  <c r="Q95" i="1"/>
  <c r="R95" i="1"/>
  <c r="S95" i="1"/>
  <c r="T95" i="1"/>
  <c r="U95" i="1"/>
  <c r="V95" i="1"/>
  <c r="W95" i="1"/>
  <c r="X95" i="1"/>
  <c r="Y95" i="1"/>
  <c r="AC95" i="1"/>
  <c r="AJ95" i="1"/>
  <c r="AK95" i="1"/>
  <c r="AL95" i="1"/>
  <c r="AM95" i="1"/>
  <c r="AN95" i="1"/>
  <c r="AO95" i="1"/>
  <c r="AP95" i="1"/>
  <c r="AQ95" i="1"/>
  <c r="AT95" i="1"/>
  <c r="I96" i="1"/>
  <c r="K96" i="1"/>
  <c r="L96" i="1"/>
  <c r="M96" i="1"/>
  <c r="N96" i="1"/>
  <c r="O96" i="1"/>
  <c r="P96" i="1"/>
  <c r="Q96" i="1"/>
  <c r="R96" i="1"/>
  <c r="S96" i="1"/>
  <c r="T96" i="1"/>
  <c r="U96" i="1"/>
  <c r="V96" i="1"/>
  <c r="W96" i="1"/>
  <c r="X96" i="1"/>
  <c r="Y96" i="1"/>
  <c r="AC96" i="1"/>
  <c r="AJ96" i="1"/>
  <c r="AK96" i="1"/>
  <c r="AL96" i="1"/>
  <c r="AM96" i="1"/>
  <c r="AN96" i="1"/>
  <c r="AO96" i="1"/>
  <c r="AP96" i="1"/>
  <c r="AQ96" i="1"/>
  <c r="AT96" i="1"/>
  <c r="H97" i="1"/>
  <c r="AB97" i="1" s="1"/>
  <c r="Z97" i="1" s="1"/>
  <c r="G97" i="1" s="1"/>
  <c r="I97" i="1"/>
  <c r="K97" i="1"/>
  <c r="L97" i="1"/>
  <c r="M97" i="1"/>
  <c r="N97" i="1"/>
  <c r="O97" i="1"/>
  <c r="P97" i="1"/>
  <c r="Q97" i="1"/>
  <c r="R97" i="1"/>
  <c r="S97" i="1"/>
  <c r="T97" i="1"/>
  <c r="U97" i="1"/>
  <c r="V97" i="1"/>
  <c r="W97" i="1"/>
  <c r="X97" i="1"/>
  <c r="Y97" i="1"/>
  <c r="AC97" i="1"/>
  <c r="AJ97" i="1"/>
  <c r="AK97" i="1"/>
  <c r="AL97" i="1"/>
  <c r="AM97" i="1"/>
  <c r="AN97" i="1"/>
  <c r="AO97" i="1"/>
  <c r="AP97" i="1"/>
  <c r="AQ97" i="1"/>
  <c r="AT97" i="1"/>
  <c r="AV97" i="1"/>
  <c r="AW97" i="1" a="1"/>
  <c r="AW97" i="1"/>
  <c r="AX97" i="1" a="1"/>
  <c r="AX97" i="1" s="1"/>
  <c r="AY97" i="1" s="1"/>
  <c r="BA97" i="1" a="1"/>
  <c r="BA97" i="1" s="1"/>
  <c r="BD97" i="1" a="1"/>
  <c r="BD97" i="1"/>
  <c r="BG97" i="1" a="1"/>
  <c r="BG97" i="1" s="1"/>
  <c r="BJ97" i="1" a="1"/>
  <c r="BJ97" i="1" s="1"/>
  <c r="BM97" i="1" a="1"/>
  <c r="BM97" i="1" s="1"/>
  <c r="BP97" i="1" a="1"/>
  <c r="BP97" i="1" s="1"/>
  <c r="BS97" i="1" a="1"/>
  <c r="BS97" i="1" s="1"/>
  <c r="BV97" i="1" a="1"/>
  <c r="BV97" i="1"/>
  <c r="BY97" i="1" a="1"/>
  <c r="BY97" i="1" s="1"/>
  <c r="CB97" i="1" a="1"/>
  <c r="CB97" i="1"/>
  <c r="CE97" i="1" a="1"/>
  <c r="CE97" i="1" s="1"/>
  <c r="CH97" i="1" a="1"/>
  <c r="CH97" i="1"/>
  <c r="CK97" i="1" a="1"/>
  <c r="CK97" i="1" s="1"/>
  <c r="CN97" i="1" a="1"/>
  <c r="CN97" i="1"/>
  <c r="CQ97" i="1" a="1"/>
  <c r="CQ97" i="1" s="1"/>
  <c r="CT97" i="1" a="1"/>
  <c r="CT97" i="1" s="1"/>
  <c r="CW97" i="1" a="1"/>
  <c r="CW97" i="1" s="1"/>
  <c r="CZ97" i="1" a="1"/>
  <c r="CZ97" i="1"/>
  <c r="DC97" i="1" a="1"/>
  <c r="DC97" i="1" s="1"/>
  <c r="DF97" i="1" a="1"/>
  <c r="DF97" i="1"/>
  <c r="DI97" i="1" a="1"/>
  <c r="DI97" i="1" s="1"/>
  <c r="DL97" i="1" a="1"/>
  <c r="DL97" i="1" s="1"/>
  <c r="DO97" i="1" a="1"/>
  <c r="DO97" i="1" s="1"/>
  <c r="DR97" i="1" a="1"/>
  <c r="DR97" i="1" s="1"/>
  <c r="DU97" i="1" a="1"/>
  <c r="DU97" i="1" s="1"/>
  <c r="DX97" i="1" a="1"/>
  <c r="DX97" i="1"/>
  <c r="EA97" i="1" a="1"/>
  <c r="EA97" i="1" s="1"/>
  <c r="ED97" i="1" a="1"/>
  <c r="ED97" i="1"/>
  <c r="EG97" i="1" a="1"/>
  <c r="EG97" i="1" s="1"/>
  <c r="EJ97" i="1" a="1"/>
  <c r="EJ97" i="1" s="1"/>
  <c r="I98" i="1"/>
  <c r="K98" i="1"/>
  <c r="L98" i="1"/>
  <c r="M98" i="1"/>
  <c r="N98" i="1"/>
  <c r="O98" i="1"/>
  <c r="P98" i="1"/>
  <c r="Q98" i="1"/>
  <c r="R98" i="1"/>
  <c r="S98" i="1"/>
  <c r="T98" i="1"/>
  <c r="U98" i="1"/>
  <c r="V98" i="1"/>
  <c r="W98" i="1"/>
  <c r="X98" i="1"/>
  <c r="Y98" i="1"/>
  <c r="AC98" i="1"/>
  <c r="AJ98" i="1"/>
  <c r="AK98" i="1"/>
  <c r="AL98" i="1"/>
  <c r="AM98" i="1"/>
  <c r="AN98" i="1"/>
  <c r="AO98" i="1"/>
  <c r="AP98" i="1"/>
  <c r="AQ98" i="1"/>
  <c r="AT98" i="1"/>
  <c r="H99" i="1"/>
  <c r="AB99" i="1" s="1"/>
  <c r="Z99" i="1" s="1"/>
  <c r="G99" i="1" s="1"/>
  <c r="I99" i="1"/>
  <c r="K99" i="1"/>
  <c r="L99" i="1"/>
  <c r="M99" i="1"/>
  <c r="N99" i="1"/>
  <c r="O99" i="1"/>
  <c r="P99" i="1"/>
  <c r="Q99" i="1"/>
  <c r="R99" i="1"/>
  <c r="S99" i="1"/>
  <c r="T99" i="1"/>
  <c r="U99" i="1"/>
  <c r="V99" i="1"/>
  <c r="W99" i="1"/>
  <c r="X99" i="1"/>
  <c r="Y99" i="1"/>
  <c r="AC99" i="1"/>
  <c r="AJ99" i="1"/>
  <c r="AK99" i="1"/>
  <c r="AL99" i="1"/>
  <c r="AM99" i="1"/>
  <c r="AN99" i="1"/>
  <c r="AO99" i="1"/>
  <c r="AP99" i="1"/>
  <c r="AQ99" i="1"/>
  <c r="AT99" i="1"/>
  <c r="AV99" i="1"/>
  <c r="AW99" i="1" a="1"/>
  <c r="AW99" i="1"/>
  <c r="AX99" i="1" a="1"/>
  <c r="AX99" i="1" s="1"/>
  <c r="AY99" i="1" s="1"/>
  <c r="BA99" i="1" a="1"/>
  <c r="BA99" i="1" s="1"/>
  <c r="BD99" i="1" a="1"/>
  <c r="BD99" i="1" s="1"/>
  <c r="BG99" i="1" a="1"/>
  <c r="BG99" i="1" s="1"/>
  <c r="BJ99" i="1" a="1"/>
  <c r="BJ99" i="1" s="1"/>
  <c r="BM99" i="1" a="1"/>
  <c r="BM99" i="1" s="1"/>
  <c r="BP99" i="1" a="1"/>
  <c r="BP99" i="1" s="1"/>
  <c r="BS99" i="1" a="1"/>
  <c r="BS99" i="1" s="1"/>
  <c r="BV99" i="1" a="1"/>
  <c r="BV99" i="1" s="1"/>
  <c r="BY99" i="1" a="1"/>
  <c r="BY99" i="1" s="1"/>
  <c r="CB99" i="1" a="1"/>
  <c r="CB99" i="1"/>
  <c r="CE99" i="1" a="1"/>
  <c r="CE99" i="1" s="1"/>
  <c r="CH99" i="1" a="1"/>
  <c r="CH99" i="1" s="1"/>
  <c r="CK99" i="1" a="1"/>
  <c r="CK99" i="1" s="1"/>
  <c r="CN99" i="1" a="1"/>
  <c r="CN99" i="1" s="1"/>
  <c r="CQ99" i="1" a="1"/>
  <c r="CQ99" i="1" s="1"/>
  <c r="CT99" i="1" a="1"/>
  <c r="CT99" i="1" s="1"/>
  <c r="CW99" i="1" a="1"/>
  <c r="CW99" i="1" s="1"/>
  <c r="CZ99" i="1" a="1"/>
  <c r="CZ99" i="1"/>
  <c r="DC99" i="1" a="1"/>
  <c r="DC99" i="1" s="1"/>
  <c r="DF99" i="1" a="1"/>
  <c r="DF99" i="1"/>
  <c r="DI99" i="1" a="1"/>
  <c r="DI99" i="1" s="1"/>
  <c r="DL99" i="1" a="1"/>
  <c r="DL99" i="1" s="1"/>
  <c r="DO99" i="1" a="1"/>
  <c r="DO99" i="1" s="1"/>
  <c r="DR99" i="1" a="1"/>
  <c r="DR99" i="1"/>
  <c r="DU99" i="1" a="1"/>
  <c r="DU99" i="1" s="1"/>
  <c r="DX99" i="1" a="1"/>
  <c r="DX99" i="1"/>
  <c r="EA99" i="1" a="1"/>
  <c r="EA99" i="1" s="1"/>
  <c r="ED99" i="1" a="1"/>
  <c r="ED99" i="1"/>
  <c r="EG99" i="1" a="1"/>
  <c r="EG99" i="1" s="1"/>
  <c r="EJ99" i="1" a="1"/>
  <c r="EJ99" i="1" s="1"/>
  <c r="H100" i="1"/>
  <c r="I100" i="1"/>
  <c r="K100" i="1"/>
  <c r="L100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Y100" i="1"/>
  <c r="AB100" i="1"/>
  <c r="Z100" i="1" s="1"/>
  <c r="G100" i="1" s="1"/>
  <c r="AC100" i="1"/>
  <c r="AF100" i="1" s="1"/>
  <c r="AJ100" i="1"/>
  <c r="AK100" i="1"/>
  <c r="AL100" i="1"/>
  <c r="AM100" i="1"/>
  <c r="AN100" i="1"/>
  <c r="AO100" i="1"/>
  <c r="AP100" i="1"/>
  <c r="AQ100" i="1"/>
  <c r="AT100" i="1"/>
  <c r="AV100" i="1"/>
  <c r="AW100" i="1" a="1"/>
  <c r="AW100" i="1" s="1"/>
  <c r="AX100" i="1" a="1"/>
  <c r="AX100" i="1" s="1"/>
  <c r="AY100" i="1" s="1"/>
  <c r="BA100" i="1" a="1"/>
  <c r="BA100" i="1" s="1"/>
  <c r="BD100" i="1" a="1"/>
  <c r="BD100" i="1" s="1"/>
  <c r="BG100" i="1" a="1"/>
  <c r="BG100" i="1" s="1"/>
  <c r="BJ100" i="1" a="1"/>
  <c r="BJ100" i="1" s="1"/>
  <c r="BM100" i="1" a="1"/>
  <c r="BM100" i="1"/>
  <c r="BP100" i="1" a="1"/>
  <c r="BP100" i="1" s="1"/>
  <c r="BS100" i="1" a="1"/>
  <c r="BS100" i="1" s="1"/>
  <c r="BV100" i="1" a="1"/>
  <c r="BV100" i="1" s="1"/>
  <c r="BY100" i="1" a="1"/>
  <c r="BY100" i="1" s="1"/>
  <c r="CB100" i="1" a="1"/>
  <c r="CB100" i="1" s="1"/>
  <c r="CE100" i="1" a="1"/>
  <c r="CE100" i="1"/>
  <c r="CH100" i="1" a="1"/>
  <c r="CH100" i="1" s="1"/>
  <c r="CK100" i="1" a="1"/>
  <c r="CK100" i="1" s="1"/>
  <c r="CN100" i="1" a="1"/>
  <c r="CN100" i="1" s="1"/>
  <c r="CQ100" i="1" a="1"/>
  <c r="CQ100" i="1" s="1"/>
  <c r="CT100" i="1" a="1"/>
  <c r="CT100" i="1" s="1"/>
  <c r="CW100" i="1" a="1"/>
  <c r="CW100" i="1" s="1"/>
  <c r="CZ100" i="1" a="1"/>
  <c r="CZ100" i="1" s="1"/>
  <c r="DC100" i="1" a="1"/>
  <c r="DC100" i="1" s="1"/>
  <c r="DF100" i="1" a="1"/>
  <c r="DF100" i="1" s="1"/>
  <c r="DI100" i="1" a="1"/>
  <c r="DI100" i="1"/>
  <c r="DL100" i="1" a="1"/>
  <c r="DL100" i="1" s="1"/>
  <c r="DO100" i="1" a="1"/>
  <c r="DO100" i="1"/>
  <c r="DR100" i="1" a="1"/>
  <c r="DR100" i="1" s="1"/>
  <c r="DU100" i="1" a="1"/>
  <c r="DU100" i="1" s="1"/>
  <c r="DX100" i="1" a="1"/>
  <c r="DX100" i="1" s="1"/>
  <c r="EA100" i="1" a="1"/>
  <c r="EA100" i="1" s="1"/>
  <c r="ED100" i="1" a="1"/>
  <c r="ED100" i="1" s="1"/>
  <c r="EG100" i="1" a="1"/>
  <c r="EG100" i="1"/>
  <c r="EJ100" i="1" a="1"/>
  <c r="EJ100" i="1" s="1"/>
  <c r="H101" i="1"/>
  <c r="AB101" i="1" s="1"/>
  <c r="Z101" i="1" s="1"/>
  <c r="G101" i="1" s="1"/>
  <c r="I101" i="1"/>
  <c r="K101" i="1"/>
  <c r="L101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Y101" i="1"/>
  <c r="AC101" i="1"/>
  <c r="AF101" i="1" s="1"/>
  <c r="AJ101" i="1"/>
  <c r="AK101" i="1"/>
  <c r="AL101" i="1"/>
  <c r="AM101" i="1"/>
  <c r="AN101" i="1"/>
  <c r="AO101" i="1"/>
  <c r="AP101" i="1"/>
  <c r="AQ101" i="1"/>
  <c r="AT101" i="1"/>
  <c r="AV101" i="1"/>
  <c r="AW101" i="1" a="1"/>
  <c r="AW101" i="1"/>
  <c r="AX101" i="1" a="1"/>
  <c r="AX101" i="1"/>
  <c r="AY101" i="1" s="1"/>
  <c r="BA101" i="1" a="1"/>
  <c r="BA101" i="1" s="1"/>
  <c r="BD101" i="1" a="1"/>
  <c r="BD101" i="1" s="1"/>
  <c r="BG101" i="1" a="1"/>
  <c r="BG101" i="1" s="1"/>
  <c r="BJ101" i="1" a="1"/>
  <c r="BJ101" i="1" s="1"/>
  <c r="BM101" i="1" a="1"/>
  <c r="BM101" i="1" s="1"/>
  <c r="BP101" i="1" a="1"/>
  <c r="BP101" i="1"/>
  <c r="BS101" i="1" a="1"/>
  <c r="BS101" i="1" s="1"/>
  <c r="BV101" i="1" a="1"/>
  <c r="BV101" i="1"/>
  <c r="BY101" i="1" a="1"/>
  <c r="BY101" i="1" s="1"/>
  <c r="CB101" i="1" a="1"/>
  <c r="CB101" i="1" s="1"/>
  <c r="CE101" i="1" a="1"/>
  <c r="CE101" i="1" s="1"/>
  <c r="CH101" i="1" a="1"/>
  <c r="CH101" i="1" s="1"/>
  <c r="CK101" i="1" a="1"/>
  <c r="CK101" i="1" s="1"/>
  <c r="CN101" i="1" a="1"/>
  <c r="CN101" i="1" s="1"/>
  <c r="CQ101" i="1" a="1"/>
  <c r="CQ101" i="1"/>
  <c r="CT101" i="1" a="1"/>
  <c r="CT101" i="1" s="1"/>
  <c r="CW101" i="1" a="1"/>
  <c r="CW101" i="1" s="1"/>
  <c r="CZ101" i="1" a="1"/>
  <c r="CZ101" i="1" s="1"/>
  <c r="DC101" i="1" a="1"/>
  <c r="DC101" i="1" s="1"/>
  <c r="DF101" i="1" a="1"/>
  <c r="DF101" i="1"/>
  <c r="DI101" i="1" a="1"/>
  <c r="DI101" i="1" s="1"/>
  <c r="DL101" i="1" a="1"/>
  <c r="DL101" i="1" s="1"/>
  <c r="DO101" i="1" a="1"/>
  <c r="DO101" i="1" s="1"/>
  <c r="DR101" i="1" a="1"/>
  <c r="DR101" i="1" s="1"/>
  <c r="DU101" i="1" a="1"/>
  <c r="DU101" i="1" s="1"/>
  <c r="DX101" i="1" a="1"/>
  <c r="DX101" i="1"/>
  <c r="EA101" i="1" a="1"/>
  <c r="EA101" i="1" s="1"/>
  <c r="ED101" i="1" a="1"/>
  <c r="ED101" i="1" s="1"/>
  <c r="EG101" i="1" a="1"/>
  <c r="EG101" i="1" s="1"/>
  <c r="EJ101" i="1" a="1"/>
  <c r="EJ101" i="1"/>
  <c r="H102" i="1"/>
  <c r="I102" i="1"/>
  <c r="K102" i="1"/>
  <c r="L102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Y102" i="1"/>
  <c r="AB102" i="1"/>
  <c r="Z102" i="1" s="1"/>
  <c r="G102" i="1" s="1"/>
  <c r="AC102" i="1"/>
  <c r="AJ102" i="1"/>
  <c r="AK102" i="1"/>
  <c r="AL102" i="1"/>
  <c r="AM102" i="1"/>
  <c r="AN102" i="1"/>
  <c r="AO102" i="1"/>
  <c r="AP102" i="1"/>
  <c r="AQ102" i="1"/>
  <c r="AT102" i="1"/>
  <c r="AV102" i="1"/>
  <c r="AW102" i="1" a="1"/>
  <c r="AW102" i="1" s="1"/>
  <c r="AX102" i="1" a="1"/>
  <c r="AX102" i="1" s="1"/>
  <c r="AY102" i="1" s="1"/>
  <c r="BA102" i="1" a="1"/>
  <c r="BA102" i="1" s="1"/>
  <c r="BD102" i="1" a="1"/>
  <c r="BD102" i="1" s="1"/>
  <c r="BG102" i="1" a="1"/>
  <c r="BG102" i="1" s="1"/>
  <c r="BJ102" i="1" a="1"/>
  <c r="BJ102" i="1" s="1"/>
  <c r="BM102" i="1" a="1"/>
  <c r="BM102" i="1" s="1"/>
  <c r="BP102" i="1" a="1"/>
  <c r="BP102" i="1"/>
  <c r="BS102" i="1" a="1"/>
  <c r="BS102" i="1" s="1"/>
  <c r="BV102" i="1" a="1"/>
  <c r="BV102" i="1" s="1"/>
  <c r="BY102" i="1" a="1"/>
  <c r="BY102" i="1" s="1"/>
  <c r="CB102" i="1" a="1"/>
  <c r="CB102" i="1"/>
  <c r="CE102" i="1" a="1"/>
  <c r="CE102" i="1" s="1"/>
  <c r="CH102" i="1" a="1"/>
  <c r="CH102" i="1" s="1"/>
  <c r="CK102" i="1" a="1"/>
  <c r="CK102" i="1"/>
  <c r="CN102" i="1" a="1"/>
  <c r="CN102" i="1" s="1"/>
  <c r="CQ102" i="1" a="1"/>
  <c r="CQ102" i="1" s="1"/>
  <c r="CT102" i="1" a="1"/>
  <c r="CT102" i="1" s="1"/>
  <c r="CW102" i="1" a="1"/>
  <c r="CW102" i="1" s="1"/>
  <c r="CZ102" i="1" a="1"/>
  <c r="CZ102" i="1"/>
  <c r="DC102" i="1" a="1"/>
  <c r="DC102" i="1" s="1"/>
  <c r="DF102" i="1" a="1"/>
  <c r="DF102" i="1" s="1"/>
  <c r="DI102" i="1" a="1"/>
  <c r="DI102" i="1" s="1"/>
  <c r="DL102" i="1" a="1"/>
  <c r="DL102" i="1" s="1"/>
  <c r="DO102" i="1" a="1"/>
  <c r="DO102" i="1" s="1"/>
  <c r="DR102" i="1" a="1"/>
  <c r="DR102" i="1" s="1"/>
  <c r="DU102" i="1" a="1"/>
  <c r="DU102" i="1" s="1"/>
  <c r="DX102" i="1" a="1"/>
  <c r="DX102" i="1" s="1"/>
  <c r="EA102" i="1" a="1"/>
  <c r="EA102" i="1" s="1"/>
  <c r="ED102" i="1" a="1"/>
  <c r="ED102" i="1" s="1"/>
  <c r="EG102" i="1" a="1"/>
  <c r="EG102" i="1"/>
  <c r="EJ102" i="1" a="1"/>
  <c r="EJ102" i="1"/>
  <c r="H103" i="1"/>
  <c r="AB103" i="1" s="1"/>
  <c r="I103" i="1"/>
  <c r="K103" i="1"/>
  <c r="L103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Y103" i="1"/>
  <c r="AC103" i="1"/>
  <c r="AJ103" i="1"/>
  <c r="AK103" i="1"/>
  <c r="AL103" i="1"/>
  <c r="AM103" i="1"/>
  <c r="AN103" i="1"/>
  <c r="AO103" i="1"/>
  <c r="AP103" i="1"/>
  <c r="AQ103" i="1"/>
  <c r="AT103" i="1"/>
  <c r="AV103" i="1"/>
  <c r="AW103" i="1" a="1"/>
  <c r="AW103" i="1" s="1"/>
  <c r="AX103" i="1" a="1"/>
  <c r="AX103" i="1"/>
  <c r="BA103" i="1" a="1"/>
  <c r="BA103" i="1" s="1"/>
  <c r="BD103" i="1" a="1"/>
  <c r="BD103" i="1" s="1"/>
  <c r="BG103" i="1" a="1"/>
  <c r="BG103" i="1"/>
  <c r="BJ103" i="1" a="1"/>
  <c r="BJ103" i="1" s="1"/>
  <c r="BM103" i="1" a="1"/>
  <c r="BM103" i="1"/>
  <c r="BP103" i="1" a="1"/>
  <c r="BP103" i="1" s="1"/>
  <c r="BS103" i="1" a="1"/>
  <c r="BS103" i="1" s="1"/>
  <c r="BV103" i="1" a="1"/>
  <c r="BV103" i="1"/>
  <c r="BY103" i="1" a="1"/>
  <c r="BY103" i="1" s="1"/>
  <c r="CB103" i="1" a="1"/>
  <c r="CB103" i="1" s="1"/>
  <c r="CE103" i="1" a="1"/>
  <c r="CE103" i="1"/>
  <c r="CH103" i="1" a="1"/>
  <c r="CH103" i="1" s="1"/>
  <c r="CK103" i="1" a="1"/>
  <c r="CK103" i="1" s="1"/>
  <c r="CN103" i="1" a="1"/>
  <c r="CN103" i="1" s="1"/>
  <c r="CQ103" i="1" a="1"/>
  <c r="CQ103" i="1" s="1"/>
  <c r="CT103" i="1" a="1"/>
  <c r="CT103" i="1" s="1"/>
  <c r="CW103" i="1" a="1"/>
  <c r="CW103" i="1"/>
  <c r="CZ103" i="1" a="1"/>
  <c r="CZ103" i="1" s="1"/>
  <c r="DC103" i="1" a="1"/>
  <c r="DC103" i="1"/>
  <c r="DF103" i="1" a="1"/>
  <c r="DF103" i="1" s="1"/>
  <c r="DI103" i="1" a="1"/>
  <c r="DI103" i="1"/>
  <c r="DL103" i="1" a="1"/>
  <c r="DL103" i="1" s="1"/>
  <c r="DO103" i="1" a="1"/>
  <c r="DO103" i="1" s="1"/>
  <c r="DR103" i="1" a="1"/>
  <c r="DR103" i="1" s="1"/>
  <c r="DU103" i="1" a="1"/>
  <c r="DU103" i="1" s="1"/>
  <c r="DX103" i="1" a="1"/>
  <c r="DX103" i="1" s="1"/>
  <c r="EA103" i="1" a="1"/>
  <c r="EA103" i="1" s="1"/>
  <c r="ED103" i="1" a="1"/>
  <c r="ED103" i="1" s="1"/>
  <c r="EG103" i="1" a="1"/>
  <c r="EG103" i="1"/>
  <c r="EJ103" i="1" a="1"/>
  <c r="EJ103" i="1" s="1"/>
  <c r="H104" i="1"/>
  <c r="AB104" i="1" s="1"/>
  <c r="Z104" i="1" s="1"/>
  <c r="G104" i="1" s="1"/>
  <c r="I104" i="1"/>
  <c r="K104" i="1"/>
  <c r="L104" i="1"/>
  <c r="M104" i="1"/>
  <c r="N104" i="1"/>
  <c r="O104" i="1"/>
  <c r="P104" i="1"/>
  <c r="Q104" i="1"/>
  <c r="R104" i="1"/>
  <c r="S104" i="1"/>
  <c r="T104" i="1"/>
  <c r="U104" i="1"/>
  <c r="V104" i="1"/>
  <c r="W104" i="1"/>
  <c r="X104" i="1"/>
  <c r="Y104" i="1"/>
  <c r="AC104" i="1"/>
  <c r="AJ104" i="1"/>
  <c r="AK104" i="1"/>
  <c r="AL104" i="1"/>
  <c r="AM104" i="1"/>
  <c r="AN104" i="1"/>
  <c r="AO104" i="1"/>
  <c r="AP104" i="1"/>
  <c r="AQ104" i="1"/>
  <c r="AT104" i="1"/>
  <c r="AV104" i="1"/>
  <c r="AW104" i="1" a="1"/>
  <c r="AW104" i="1" s="1"/>
  <c r="AX104" i="1" a="1"/>
  <c r="AX104" i="1" s="1"/>
  <c r="BA104" i="1" a="1"/>
  <c r="BA104" i="1" s="1"/>
  <c r="BD104" i="1" a="1"/>
  <c r="BD104" i="1" s="1"/>
  <c r="BG104" i="1" a="1"/>
  <c r="BG104" i="1"/>
  <c r="BJ104" i="1" a="1"/>
  <c r="BJ104" i="1" s="1"/>
  <c r="BM104" i="1" a="1"/>
  <c r="BM104" i="1" s="1"/>
  <c r="BP104" i="1" a="1"/>
  <c r="BP104" i="1" s="1"/>
  <c r="BS104" i="1" a="1"/>
  <c r="BS104" i="1" s="1"/>
  <c r="BV104" i="1" a="1"/>
  <c r="BV104" i="1"/>
  <c r="BY104" i="1" a="1"/>
  <c r="BY104" i="1" s="1"/>
  <c r="CB104" i="1" a="1"/>
  <c r="CB104" i="1" s="1"/>
  <c r="CE104" i="1" a="1"/>
  <c r="CE104" i="1" s="1"/>
  <c r="CH104" i="1" a="1"/>
  <c r="CH104" i="1" s="1"/>
  <c r="CK104" i="1" a="1"/>
  <c r="CK104" i="1" s="1"/>
  <c r="CN104" i="1" a="1"/>
  <c r="CN104" i="1" s="1"/>
  <c r="CQ104" i="1" a="1"/>
  <c r="CQ104" i="1" s="1"/>
  <c r="CT104" i="1" a="1"/>
  <c r="CT104" i="1" s="1"/>
  <c r="CW104" i="1" a="1"/>
  <c r="CW104" i="1" s="1"/>
  <c r="CZ104" i="1" a="1"/>
  <c r="CZ104" i="1" s="1"/>
  <c r="DC104" i="1" a="1"/>
  <c r="DC104" i="1" s="1"/>
  <c r="DF104" i="1" a="1"/>
  <c r="DF104" i="1" s="1"/>
  <c r="DI104" i="1" a="1"/>
  <c r="DI104" i="1" s="1"/>
  <c r="DL104" i="1" a="1"/>
  <c r="DL104" i="1" s="1"/>
  <c r="DO104" i="1" a="1"/>
  <c r="DO104" i="1" s="1"/>
  <c r="DR104" i="1" a="1"/>
  <c r="DR104" i="1" s="1"/>
  <c r="DU104" i="1" a="1"/>
  <c r="DU104" i="1" s="1"/>
  <c r="DX104" i="1" a="1"/>
  <c r="DX104" i="1" s="1"/>
  <c r="EA104" i="1" a="1"/>
  <c r="EA104" i="1" s="1"/>
  <c r="ED104" i="1" a="1"/>
  <c r="ED104" i="1" s="1"/>
  <c r="EG104" i="1" a="1"/>
  <c r="EG104" i="1" s="1"/>
  <c r="EJ104" i="1" a="1"/>
  <c r="EJ104" i="1" s="1"/>
  <c r="H105" i="1"/>
  <c r="I105" i="1"/>
  <c r="K105" i="1"/>
  <c r="L105" i="1"/>
  <c r="M105" i="1"/>
  <c r="N105" i="1"/>
  <c r="O105" i="1"/>
  <c r="P105" i="1"/>
  <c r="Q105" i="1"/>
  <c r="R105" i="1"/>
  <c r="S105" i="1"/>
  <c r="T105" i="1"/>
  <c r="U105" i="1"/>
  <c r="V105" i="1"/>
  <c r="W105" i="1"/>
  <c r="X105" i="1"/>
  <c r="Y105" i="1"/>
  <c r="AB105" i="1"/>
  <c r="Z105" i="1" s="1"/>
  <c r="G105" i="1" s="1"/>
  <c r="AC105" i="1"/>
  <c r="AJ105" i="1"/>
  <c r="AK105" i="1"/>
  <c r="AL105" i="1"/>
  <c r="AM105" i="1"/>
  <c r="AN105" i="1"/>
  <c r="AO105" i="1"/>
  <c r="AP105" i="1"/>
  <c r="AQ105" i="1"/>
  <c r="AT105" i="1"/>
  <c r="AV105" i="1"/>
  <c r="AW105" i="1" a="1"/>
  <c r="AW105" i="1"/>
  <c r="AX105" i="1" a="1"/>
  <c r="AX105" i="1" s="1"/>
  <c r="AY105" i="1" s="1"/>
  <c r="BA105" i="1" a="1"/>
  <c r="BA105" i="1" s="1"/>
  <c r="BD105" i="1" a="1"/>
  <c r="BD105" i="1" s="1"/>
  <c r="BG105" i="1" a="1"/>
  <c r="BG105" i="1"/>
  <c r="BJ105" i="1" a="1"/>
  <c r="BJ105" i="1" s="1"/>
  <c r="BM105" i="1" a="1"/>
  <c r="BM105" i="1" s="1"/>
  <c r="BP105" i="1" a="1"/>
  <c r="BP105" i="1"/>
  <c r="BS105" i="1" a="1"/>
  <c r="BS105" i="1" s="1"/>
  <c r="BV105" i="1" a="1"/>
  <c r="BV105" i="1" s="1"/>
  <c r="BY105" i="1" a="1"/>
  <c r="BY105" i="1" s="1"/>
  <c r="CB105" i="1" a="1"/>
  <c r="CB105" i="1"/>
  <c r="CE105" i="1" a="1"/>
  <c r="CE105" i="1"/>
  <c r="CH105" i="1" a="1"/>
  <c r="CH105" i="1" s="1"/>
  <c r="CK105" i="1" a="1"/>
  <c r="CK105" i="1" s="1"/>
  <c r="CN105" i="1" a="1"/>
  <c r="CN105" i="1"/>
  <c r="CQ105" i="1" a="1"/>
  <c r="CQ105" i="1"/>
  <c r="CT105" i="1" a="1"/>
  <c r="CT105" i="1" s="1"/>
  <c r="CW105" i="1" a="1"/>
  <c r="CW105" i="1" s="1"/>
  <c r="CZ105" i="1" a="1"/>
  <c r="CZ105" i="1" s="1"/>
  <c r="DC105" i="1" a="1"/>
  <c r="DC105" i="1"/>
  <c r="DF105" i="1" a="1"/>
  <c r="DF105" i="1" s="1"/>
  <c r="DI105" i="1" a="1"/>
  <c r="DI105" i="1" s="1"/>
  <c r="DL105" i="1" a="1"/>
  <c r="DL105" i="1"/>
  <c r="DO105" i="1" a="1"/>
  <c r="DO105" i="1" s="1"/>
  <c r="DR105" i="1" a="1"/>
  <c r="DR105" i="1" s="1"/>
  <c r="DU105" i="1" a="1"/>
  <c r="DU105" i="1" s="1"/>
  <c r="DX105" i="1" a="1"/>
  <c r="DX105" i="1" s="1"/>
  <c r="EA105" i="1" a="1"/>
  <c r="EA105" i="1"/>
  <c r="ED105" i="1" a="1"/>
  <c r="ED105" i="1" s="1"/>
  <c r="EG105" i="1" a="1"/>
  <c r="EG105" i="1" s="1"/>
  <c r="EJ105" i="1" a="1"/>
  <c r="EJ105" i="1"/>
  <c r="H106" i="1"/>
  <c r="I106" i="1"/>
  <c r="K106" i="1"/>
  <c r="L106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Y106" i="1"/>
  <c r="Z106" i="1"/>
  <c r="G106" i="1" s="1"/>
  <c r="AB106" i="1"/>
  <c r="AC106" i="1"/>
  <c r="AF106" i="1" s="1"/>
  <c r="AJ106" i="1"/>
  <c r="AK106" i="1"/>
  <c r="AL106" i="1"/>
  <c r="AM106" i="1"/>
  <c r="AN106" i="1"/>
  <c r="AO106" i="1"/>
  <c r="AP106" i="1"/>
  <c r="AQ106" i="1"/>
  <c r="AT106" i="1"/>
  <c r="AV106" i="1"/>
  <c r="AW106" i="1" a="1"/>
  <c r="AW106" i="1" s="1"/>
  <c r="AX106" i="1" a="1"/>
  <c r="AX106" i="1" s="1"/>
  <c r="BA106" i="1" a="1"/>
  <c r="BA106" i="1" s="1"/>
  <c r="BD106" i="1" a="1"/>
  <c r="BD106" i="1" s="1"/>
  <c r="BG106" i="1" a="1"/>
  <c r="BG106" i="1" s="1"/>
  <c r="BJ106" i="1" a="1"/>
  <c r="BJ106" i="1" s="1"/>
  <c r="BM106" i="1" a="1"/>
  <c r="BM106" i="1" s="1"/>
  <c r="BP106" i="1" a="1"/>
  <c r="BP106" i="1"/>
  <c r="BS106" i="1" a="1"/>
  <c r="BS106" i="1" s="1"/>
  <c r="BV106" i="1" a="1"/>
  <c r="BV106" i="1" s="1"/>
  <c r="BY106" i="1" a="1"/>
  <c r="BY106" i="1" s="1"/>
  <c r="CB106" i="1" a="1"/>
  <c r="CB106" i="1"/>
  <c r="CE106" i="1" a="1"/>
  <c r="CE106" i="1" s="1"/>
  <c r="CH106" i="1" a="1"/>
  <c r="CH106" i="1" s="1"/>
  <c r="CK106" i="1" a="1"/>
  <c r="CK106" i="1"/>
  <c r="CN106" i="1" a="1"/>
  <c r="CN106" i="1" s="1"/>
  <c r="CQ106" i="1" a="1"/>
  <c r="CQ106" i="1" s="1"/>
  <c r="CT106" i="1" a="1"/>
  <c r="CT106" i="1" s="1"/>
  <c r="CW106" i="1" a="1"/>
  <c r="CW106" i="1" s="1"/>
  <c r="CZ106" i="1" a="1"/>
  <c r="CZ106" i="1"/>
  <c r="DC106" i="1" a="1"/>
  <c r="DC106" i="1" s="1"/>
  <c r="DF106" i="1" a="1"/>
  <c r="DF106" i="1" s="1"/>
  <c r="DI106" i="1" a="1"/>
  <c r="DI106" i="1" s="1"/>
  <c r="DL106" i="1" a="1"/>
  <c r="DL106" i="1" s="1"/>
  <c r="DO106" i="1" a="1"/>
  <c r="DO106" i="1" s="1"/>
  <c r="DR106" i="1" a="1"/>
  <c r="DR106" i="1" s="1"/>
  <c r="DU106" i="1" a="1"/>
  <c r="DU106" i="1" s="1"/>
  <c r="DX106" i="1" a="1"/>
  <c r="DX106" i="1" s="1"/>
  <c r="EA106" i="1" a="1"/>
  <c r="EA106" i="1" s="1"/>
  <c r="ED106" i="1" a="1"/>
  <c r="ED106" i="1" s="1"/>
  <c r="EG106" i="1" a="1"/>
  <c r="EG106" i="1"/>
  <c r="EJ106" i="1" a="1"/>
  <c r="EJ106" i="1"/>
  <c r="I107" i="1"/>
  <c r="K107" i="1"/>
  <c r="L107" i="1"/>
  <c r="M107" i="1"/>
  <c r="N107" i="1"/>
  <c r="O107" i="1"/>
  <c r="P107" i="1"/>
  <c r="Q107" i="1"/>
  <c r="R107" i="1"/>
  <c r="S107" i="1"/>
  <c r="T107" i="1"/>
  <c r="U107" i="1"/>
  <c r="V107" i="1"/>
  <c r="W107" i="1"/>
  <c r="X107" i="1"/>
  <c r="Y107" i="1"/>
  <c r="AC107" i="1"/>
  <c r="AJ107" i="1"/>
  <c r="AK107" i="1"/>
  <c r="AL107" i="1"/>
  <c r="AM107" i="1"/>
  <c r="AN107" i="1"/>
  <c r="AO107" i="1"/>
  <c r="AP107" i="1"/>
  <c r="AQ107" i="1"/>
  <c r="AT107" i="1"/>
  <c r="H108" i="1"/>
  <c r="AB108" i="1" s="1"/>
  <c r="Z108" i="1" s="1"/>
  <c r="G108" i="1" s="1"/>
  <c r="I108" i="1"/>
  <c r="K108" i="1"/>
  <c r="L108" i="1"/>
  <c r="M108" i="1"/>
  <c r="N108" i="1"/>
  <c r="O108" i="1"/>
  <c r="P108" i="1"/>
  <c r="Q108" i="1"/>
  <c r="R108" i="1"/>
  <c r="S108" i="1"/>
  <c r="T108" i="1"/>
  <c r="U108" i="1"/>
  <c r="V108" i="1"/>
  <c r="W108" i="1"/>
  <c r="X108" i="1"/>
  <c r="Y108" i="1"/>
  <c r="AC108" i="1"/>
  <c r="AJ108" i="1"/>
  <c r="AK108" i="1"/>
  <c r="AL108" i="1"/>
  <c r="AM108" i="1"/>
  <c r="AN108" i="1"/>
  <c r="AO108" i="1"/>
  <c r="AP108" i="1"/>
  <c r="AQ108" i="1"/>
  <c r="AT108" i="1"/>
  <c r="AV108" i="1"/>
  <c r="AW108" i="1" a="1"/>
  <c r="AW108" i="1" s="1"/>
  <c r="AY108" i="1" s="1"/>
  <c r="AX108" i="1" a="1"/>
  <c r="AX108" i="1"/>
  <c r="BA108" i="1" a="1"/>
  <c r="BA108" i="1" s="1"/>
  <c r="BD108" i="1" a="1"/>
  <c r="BD108" i="1" s="1"/>
  <c r="BG108" i="1" a="1"/>
  <c r="BG108" i="1" s="1"/>
  <c r="BJ108" i="1" a="1"/>
  <c r="BJ108" i="1"/>
  <c r="BM108" i="1" a="1"/>
  <c r="BM108" i="1" s="1"/>
  <c r="BP108" i="1" a="1"/>
  <c r="BP108" i="1" s="1"/>
  <c r="BS108" i="1" a="1"/>
  <c r="BS108" i="1" s="1"/>
  <c r="BV108" i="1" a="1"/>
  <c r="BV108" i="1" s="1"/>
  <c r="BY108" i="1" a="1"/>
  <c r="BY108" i="1" s="1"/>
  <c r="CB108" i="1" a="1"/>
  <c r="CB108" i="1" s="1"/>
  <c r="CE108" i="1" a="1"/>
  <c r="CE108" i="1" s="1"/>
  <c r="CH108" i="1" a="1"/>
  <c r="CH108" i="1"/>
  <c r="CK108" i="1" a="1"/>
  <c r="CK108" i="1" s="1"/>
  <c r="CN108" i="1" a="1"/>
  <c r="CN108" i="1" s="1"/>
  <c r="CQ108" i="1" a="1"/>
  <c r="CQ108" i="1" s="1"/>
  <c r="CT108" i="1" a="1"/>
  <c r="CT108" i="1" s="1"/>
  <c r="CW108" i="1" a="1"/>
  <c r="CW108" i="1" s="1"/>
  <c r="CZ108" i="1" a="1"/>
  <c r="CZ108" i="1" s="1"/>
  <c r="DC108" i="1" a="1"/>
  <c r="DC108" i="1" s="1"/>
  <c r="DF108" i="1" a="1"/>
  <c r="DF108" i="1"/>
  <c r="DI108" i="1" a="1"/>
  <c r="DI108" i="1" s="1"/>
  <c r="DL108" i="1" a="1"/>
  <c r="DL108" i="1" s="1"/>
  <c r="DO108" i="1" a="1"/>
  <c r="DO108" i="1" s="1"/>
  <c r="DR108" i="1" a="1"/>
  <c r="DR108" i="1" s="1"/>
  <c r="DU108" i="1" a="1"/>
  <c r="DU108" i="1" s="1"/>
  <c r="DX108" i="1" a="1"/>
  <c r="DX108" i="1" s="1"/>
  <c r="EA108" i="1" a="1"/>
  <c r="EA108" i="1" s="1"/>
  <c r="ED108" i="1" a="1"/>
  <c r="ED108" i="1" s="1"/>
  <c r="EG108" i="1" a="1"/>
  <c r="EG108" i="1" s="1"/>
  <c r="EJ108" i="1" a="1"/>
  <c r="EJ108" i="1" s="1"/>
  <c r="H109" i="1"/>
  <c r="AB109" i="1" s="1"/>
  <c r="Z109" i="1" s="1"/>
  <c r="G109" i="1" s="1"/>
  <c r="I109" i="1"/>
  <c r="K109" i="1"/>
  <c r="L109" i="1"/>
  <c r="M109" i="1"/>
  <c r="N109" i="1"/>
  <c r="O109" i="1"/>
  <c r="P109" i="1"/>
  <c r="Q109" i="1"/>
  <c r="R109" i="1"/>
  <c r="S109" i="1"/>
  <c r="T109" i="1"/>
  <c r="U109" i="1"/>
  <c r="V109" i="1"/>
  <c r="W109" i="1"/>
  <c r="X109" i="1"/>
  <c r="Y109" i="1"/>
  <c r="AC109" i="1"/>
  <c r="AJ109" i="1"/>
  <c r="AK109" i="1"/>
  <c r="AL109" i="1"/>
  <c r="AM109" i="1"/>
  <c r="AN109" i="1"/>
  <c r="AO109" i="1"/>
  <c r="AP109" i="1"/>
  <c r="AQ109" i="1"/>
  <c r="AT109" i="1"/>
  <c r="AV109" i="1"/>
  <c r="AW109" i="1" a="1"/>
  <c r="AW109" i="1" s="1"/>
  <c r="AX109" i="1" a="1"/>
  <c r="AX109" i="1"/>
  <c r="AY109" i="1" s="1"/>
  <c r="BA109" i="1" a="1"/>
  <c r="BA109" i="1" s="1"/>
  <c r="BD109" i="1" a="1"/>
  <c r="BD109" i="1" s="1"/>
  <c r="BG109" i="1" a="1"/>
  <c r="BG109" i="1"/>
  <c r="BJ109" i="1" a="1"/>
  <c r="BJ109" i="1" s="1"/>
  <c r="BM109" i="1" a="1"/>
  <c r="BM109" i="1" s="1"/>
  <c r="BP109" i="1" a="1"/>
  <c r="BP109" i="1"/>
  <c r="BS109" i="1" a="1"/>
  <c r="BS109" i="1" s="1"/>
  <c r="BV109" i="1" a="1"/>
  <c r="BV109" i="1" s="1"/>
  <c r="BY109" i="1" a="1"/>
  <c r="BY109" i="1" s="1"/>
  <c r="CB109" i="1" a="1"/>
  <c r="CB109" i="1" s="1"/>
  <c r="CE109" i="1" a="1"/>
  <c r="CE109" i="1"/>
  <c r="CH109" i="1" a="1"/>
  <c r="CH109" i="1" s="1"/>
  <c r="CK109" i="1" a="1"/>
  <c r="CK109" i="1" s="1"/>
  <c r="CN109" i="1" a="1"/>
  <c r="CN109" i="1"/>
  <c r="CQ109" i="1" a="1"/>
  <c r="CQ109" i="1" s="1"/>
  <c r="CT109" i="1" a="1"/>
  <c r="CT109" i="1"/>
  <c r="CW109" i="1" a="1"/>
  <c r="CW109" i="1" s="1"/>
  <c r="CZ109" i="1" a="1"/>
  <c r="CZ109" i="1" s="1"/>
  <c r="DC109" i="1" a="1"/>
  <c r="DC109" i="1" s="1"/>
  <c r="DF109" i="1" a="1"/>
  <c r="DF109" i="1" s="1"/>
  <c r="DI109" i="1" a="1"/>
  <c r="DI109" i="1" s="1"/>
  <c r="DL109" i="1" a="1"/>
  <c r="DL109" i="1" s="1"/>
  <c r="DO109" i="1" a="1"/>
  <c r="DO109" i="1"/>
  <c r="DR109" i="1" a="1"/>
  <c r="DR109" i="1"/>
  <c r="DU109" i="1" a="1"/>
  <c r="DU109" i="1" s="1"/>
  <c r="DX109" i="1" a="1"/>
  <c r="DX109" i="1" s="1"/>
  <c r="EA109" i="1" a="1"/>
  <c r="EA109" i="1"/>
  <c r="ED109" i="1" a="1"/>
  <c r="ED109" i="1" s="1"/>
  <c r="EG109" i="1" a="1"/>
  <c r="EG109" i="1" s="1"/>
  <c r="EJ109" i="1" a="1"/>
  <c r="EJ109" i="1" s="1"/>
  <c r="H110" i="1"/>
  <c r="AF110" i="1" s="1"/>
  <c r="I110" i="1"/>
  <c r="K110" i="1"/>
  <c r="L110" i="1"/>
  <c r="M110" i="1"/>
  <c r="N110" i="1"/>
  <c r="O110" i="1"/>
  <c r="P110" i="1"/>
  <c r="Q110" i="1"/>
  <c r="R110" i="1"/>
  <c r="S110" i="1"/>
  <c r="T110" i="1"/>
  <c r="U110" i="1"/>
  <c r="V110" i="1"/>
  <c r="W110" i="1"/>
  <c r="X110" i="1"/>
  <c r="Y110" i="1"/>
  <c r="AC110" i="1"/>
  <c r="AJ110" i="1"/>
  <c r="AK110" i="1"/>
  <c r="AL110" i="1"/>
  <c r="AM110" i="1"/>
  <c r="AN110" i="1"/>
  <c r="AO110" i="1"/>
  <c r="AP110" i="1"/>
  <c r="AQ110" i="1"/>
  <c r="AT110" i="1"/>
  <c r="AV110" i="1"/>
  <c r="AW110" i="1" a="1"/>
  <c r="AW110" i="1"/>
  <c r="AX110" i="1" a="1"/>
  <c r="AX110" i="1" s="1"/>
  <c r="BA110" i="1" a="1"/>
  <c r="BA110" i="1" s="1"/>
  <c r="BD110" i="1" a="1"/>
  <c r="BD110" i="1"/>
  <c r="BG110" i="1" a="1"/>
  <c r="BG110" i="1" s="1"/>
  <c r="BJ110" i="1" a="1"/>
  <c r="BJ110" i="1" s="1"/>
  <c r="BM110" i="1" a="1"/>
  <c r="BM110" i="1" s="1"/>
  <c r="BP110" i="1" a="1"/>
  <c r="BP110" i="1" s="1"/>
  <c r="BS110" i="1" a="1"/>
  <c r="BS110" i="1" s="1"/>
  <c r="BV110" i="1" a="1"/>
  <c r="BV110" i="1" s="1"/>
  <c r="BY110" i="1" a="1"/>
  <c r="BY110" i="1" s="1"/>
  <c r="CB110" i="1" a="1"/>
  <c r="CB110" i="1" s="1"/>
  <c r="CE110" i="1" a="1"/>
  <c r="CE110" i="1" s="1"/>
  <c r="CH110" i="1" a="1"/>
  <c r="CH110" i="1" s="1"/>
  <c r="CK110" i="1" a="1"/>
  <c r="CK110" i="1" s="1"/>
  <c r="CN110" i="1" a="1"/>
  <c r="CN110" i="1"/>
  <c r="CQ110" i="1" a="1"/>
  <c r="CQ110" i="1" s="1"/>
  <c r="CT110" i="1" a="1"/>
  <c r="CT110" i="1" s="1"/>
  <c r="CW110" i="1" a="1"/>
  <c r="CW110" i="1" s="1"/>
  <c r="CZ110" i="1" a="1"/>
  <c r="CZ110" i="1" s="1"/>
  <c r="DC110" i="1" a="1"/>
  <c r="DC110" i="1"/>
  <c r="DF110" i="1" a="1"/>
  <c r="DF110" i="1" s="1"/>
  <c r="DI110" i="1" a="1"/>
  <c r="DI110" i="1" s="1"/>
  <c r="DL110" i="1" a="1"/>
  <c r="DL110" i="1"/>
  <c r="DO110" i="1" a="1"/>
  <c r="DO110" i="1" s="1"/>
  <c r="DR110" i="1" a="1"/>
  <c r="DR110" i="1" s="1"/>
  <c r="DU110" i="1" a="1"/>
  <c r="DU110" i="1" s="1"/>
  <c r="DX110" i="1" a="1"/>
  <c r="DX110" i="1" s="1"/>
  <c r="EA110" i="1" a="1"/>
  <c r="EA110" i="1"/>
  <c r="ED110" i="1" a="1"/>
  <c r="ED110" i="1" s="1"/>
  <c r="EG110" i="1" a="1"/>
  <c r="EG110" i="1" s="1"/>
  <c r="EJ110" i="1" a="1"/>
  <c r="EJ110" i="1"/>
  <c r="H111" i="1"/>
  <c r="AB111" i="1" s="1"/>
  <c r="Z111" i="1" s="1"/>
  <c r="G111" i="1" s="1"/>
  <c r="I111" i="1"/>
  <c r="K111" i="1"/>
  <c r="L111" i="1"/>
  <c r="M111" i="1"/>
  <c r="N111" i="1"/>
  <c r="O111" i="1"/>
  <c r="P111" i="1"/>
  <c r="Q111" i="1"/>
  <c r="R111" i="1"/>
  <c r="S111" i="1"/>
  <c r="T111" i="1"/>
  <c r="U111" i="1"/>
  <c r="V111" i="1"/>
  <c r="W111" i="1"/>
  <c r="X111" i="1"/>
  <c r="Y111" i="1"/>
  <c r="AC111" i="1"/>
  <c r="AF111" i="1"/>
  <c r="AJ111" i="1"/>
  <c r="AK111" i="1"/>
  <c r="AL111" i="1"/>
  <c r="AM111" i="1"/>
  <c r="AN111" i="1"/>
  <c r="AO111" i="1"/>
  <c r="AP111" i="1"/>
  <c r="AQ111" i="1"/>
  <c r="AT111" i="1"/>
  <c r="AV111" i="1"/>
  <c r="AW111" i="1" a="1"/>
  <c r="AW111" i="1" s="1"/>
  <c r="AX111" i="1" a="1"/>
  <c r="AX111" i="1" s="1"/>
  <c r="AY111" i="1" s="1"/>
  <c r="BA111" i="1" a="1"/>
  <c r="BA111" i="1" s="1"/>
  <c r="BD111" i="1" a="1"/>
  <c r="BD111" i="1" s="1"/>
  <c r="BG111" i="1" a="1"/>
  <c r="BG111" i="1" s="1"/>
  <c r="BJ111" i="1" a="1"/>
  <c r="BJ111" i="1" s="1"/>
  <c r="BM111" i="1" a="1"/>
  <c r="BM111" i="1" s="1"/>
  <c r="BP111" i="1" a="1"/>
  <c r="BP111" i="1" s="1"/>
  <c r="BS111" i="1" a="1"/>
  <c r="BS111" i="1" s="1"/>
  <c r="BV111" i="1" a="1"/>
  <c r="BV111" i="1" s="1"/>
  <c r="BY111" i="1" a="1"/>
  <c r="BY111" i="1" s="1"/>
  <c r="CB111" i="1" a="1"/>
  <c r="CB111" i="1" s="1"/>
  <c r="CE111" i="1" a="1"/>
  <c r="CE111" i="1" s="1"/>
  <c r="CH111" i="1" a="1"/>
  <c r="CH111" i="1"/>
  <c r="CK111" i="1" a="1"/>
  <c r="CK111" i="1" s="1"/>
  <c r="CN111" i="1" a="1"/>
  <c r="CN111" i="1" s="1"/>
  <c r="CQ111" i="1" a="1"/>
  <c r="CQ111" i="1" s="1"/>
  <c r="CT111" i="1" a="1"/>
  <c r="CT111" i="1" s="1"/>
  <c r="CW111" i="1" a="1"/>
  <c r="CW111" i="1" s="1"/>
  <c r="CZ111" i="1" a="1"/>
  <c r="CZ111" i="1" s="1"/>
  <c r="DC111" i="1" a="1"/>
  <c r="DC111" i="1" s="1"/>
  <c r="DF111" i="1" a="1"/>
  <c r="DF111" i="1"/>
  <c r="DI111" i="1" a="1"/>
  <c r="DI111" i="1" s="1"/>
  <c r="DL111" i="1" a="1"/>
  <c r="DL111" i="1" s="1"/>
  <c r="DO111" i="1" a="1"/>
  <c r="DO111" i="1"/>
  <c r="DR111" i="1" a="1"/>
  <c r="DR111" i="1" s="1"/>
  <c r="DU111" i="1" a="1"/>
  <c r="DU111" i="1" s="1"/>
  <c r="DX111" i="1" a="1"/>
  <c r="DX111" i="1" s="1"/>
  <c r="EA111" i="1" a="1"/>
  <c r="EA111" i="1" s="1"/>
  <c r="ED111" i="1" a="1"/>
  <c r="ED111" i="1"/>
  <c r="EG111" i="1" a="1"/>
  <c r="EG111" i="1" s="1"/>
  <c r="EJ111" i="1" a="1"/>
  <c r="EJ111" i="1" s="1"/>
  <c r="H112" i="1"/>
  <c r="I112" i="1"/>
  <c r="K112" i="1"/>
  <c r="L112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Y112" i="1"/>
  <c r="AB112" i="1"/>
  <c r="Z112" i="1" s="1"/>
  <c r="G112" i="1" s="1"/>
  <c r="AC112" i="1"/>
  <c r="AJ112" i="1"/>
  <c r="AK112" i="1"/>
  <c r="AL112" i="1"/>
  <c r="AM112" i="1"/>
  <c r="AN112" i="1"/>
  <c r="AO112" i="1"/>
  <c r="AP112" i="1"/>
  <c r="AQ112" i="1"/>
  <c r="AT112" i="1"/>
  <c r="AV112" i="1"/>
  <c r="AW112" i="1" a="1"/>
  <c r="AW112" i="1" s="1"/>
  <c r="AX112" i="1" a="1"/>
  <c r="AX112" i="1" s="1"/>
  <c r="BA112" i="1" a="1"/>
  <c r="BA112" i="1" s="1"/>
  <c r="BD112" i="1" a="1"/>
  <c r="BD112" i="1" s="1"/>
  <c r="BG112" i="1" a="1"/>
  <c r="BG112" i="1" s="1"/>
  <c r="BJ112" i="1" a="1"/>
  <c r="BJ112" i="1"/>
  <c r="BM112" i="1" a="1"/>
  <c r="BM112" i="1" s="1"/>
  <c r="BP112" i="1" a="1"/>
  <c r="BP112" i="1" s="1"/>
  <c r="BS112" i="1" a="1"/>
  <c r="BS112" i="1"/>
  <c r="BV112" i="1" a="1"/>
  <c r="BV112" i="1"/>
  <c r="BY112" i="1" a="1"/>
  <c r="BY112" i="1" s="1"/>
  <c r="CB112" i="1" a="1"/>
  <c r="CB112" i="1" s="1"/>
  <c r="CE112" i="1" a="1"/>
  <c r="CE112" i="1" s="1"/>
  <c r="CH112" i="1" a="1"/>
  <c r="CH112" i="1"/>
  <c r="CK112" i="1" a="1"/>
  <c r="CK112" i="1" s="1"/>
  <c r="CN112" i="1" a="1"/>
  <c r="CN112" i="1" s="1"/>
  <c r="CQ112" i="1" a="1"/>
  <c r="CQ112" i="1"/>
  <c r="CT112" i="1" a="1"/>
  <c r="CT112" i="1" s="1"/>
  <c r="CW112" i="1" a="1"/>
  <c r="CW112" i="1" s="1"/>
  <c r="CZ112" i="1" a="1"/>
  <c r="CZ112" i="1" s="1"/>
  <c r="DC112" i="1" a="1"/>
  <c r="DC112" i="1"/>
  <c r="DF112" i="1" a="1"/>
  <c r="DF112" i="1" s="1"/>
  <c r="DI112" i="1" a="1"/>
  <c r="DI112" i="1" s="1"/>
  <c r="DL112" i="1" a="1"/>
  <c r="DL112" i="1" s="1"/>
  <c r="DO112" i="1" a="1"/>
  <c r="DO112" i="1"/>
  <c r="DR112" i="1" a="1"/>
  <c r="DR112" i="1" s="1"/>
  <c r="DU112" i="1" a="1"/>
  <c r="DU112" i="1" s="1"/>
  <c r="DX112" i="1" a="1"/>
  <c r="DX112" i="1" s="1"/>
  <c r="EA112" i="1" a="1"/>
  <c r="EA112" i="1" s="1"/>
  <c r="ED112" i="1" a="1"/>
  <c r="ED112" i="1"/>
  <c r="EG112" i="1" a="1"/>
  <c r="EG112" i="1" s="1"/>
  <c r="EJ112" i="1" a="1"/>
  <c r="EJ112" i="1" s="1"/>
  <c r="H113" i="1"/>
  <c r="AB113" i="1" s="1"/>
  <c r="Z113" i="1" s="1"/>
  <c r="G113" i="1" s="1"/>
  <c r="I113" i="1"/>
  <c r="K113" i="1"/>
  <c r="L113" i="1"/>
  <c r="M113" i="1"/>
  <c r="N113" i="1"/>
  <c r="O113" i="1"/>
  <c r="P113" i="1"/>
  <c r="Q113" i="1"/>
  <c r="R113" i="1"/>
  <c r="S113" i="1"/>
  <c r="T113" i="1"/>
  <c r="U113" i="1"/>
  <c r="V113" i="1"/>
  <c r="W113" i="1"/>
  <c r="X113" i="1"/>
  <c r="Y113" i="1"/>
  <c r="AC113" i="1"/>
  <c r="AJ113" i="1"/>
  <c r="AK113" i="1"/>
  <c r="AL113" i="1"/>
  <c r="AM113" i="1"/>
  <c r="AN113" i="1"/>
  <c r="AO113" i="1"/>
  <c r="AP113" i="1"/>
  <c r="AQ113" i="1"/>
  <c r="AT113" i="1"/>
  <c r="AV113" i="1"/>
  <c r="AW113" i="1" a="1"/>
  <c r="AW113" i="1" s="1"/>
  <c r="AX113" i="1" a="1"/>
  <c r="AX113" i="1" s="1"/>
  <c r="BA113" i="1" a="1"/>
  <c r="BA113" i="1" s="1"/>
  <c r="BD113" i="1" a="1"/>
  <c r="BD113" i="1" s="1"/>
  <c r="BG113" i="1" a="1"/>
  <c r="BG113" i="1" s="1"/>
  <c r="BJ113" i="1" a="1"/>
  <c r="BJ113" i="1" s="1"/>
  <c r="BM113" i="1" a="1"/>
  <c r="BM113" i="1" s="1"/>
  <c r="BP113" i="1" a="1"/>
  <c r="BP113" i="1" s="1"/>
  <c r="BS113" i="1" a="1"/>
  <c r="BS113" i="1"/>
  <c r="BV113" i="1" a="1"/>
  <c r="BV113" i="1" s="1"/>
  <c r="BY113" i="1" a="1"/>
  <c r="BY113" i="1" s="1"/>
  <c r="CB113" i="1" a="1"/>
  <c r="CB113" i="1" s="1"/>
  <c r="CE113" i="1" a="1"/>
  <c r="CE113" i="1" s="1"/>
  <c r="CH113" i="1" a="1"/>
  <c r="CH113" i="1" s="1"/>
  <c r="CK113" i="1" a="1"/>
  <c r="CK113" i="1" s="1"/>
  <c r="CN113" i="1" a="1"/>
  <c r="CN113" i="1" s="1"/>
  <c r="CQ113" i="1" a="1"/>
  <c r="CQ113" i="1" s="1"/>
  <c r="CT113" i="1" a="1"/>
  <c r="CT113" i="1" s="1"/>
  <c r="CW113" i="1" a="1"/>
  <c r="CW113" i="1" s="1"/>
  <c r="CZ113" i="1" a="1"/>
  <c r="CZ113" i="1" s="1"/>
  <c r="DC113" i="1" a="1"/>
  <c r="DC113" i="1"/>
  <c r="DF113" i="1" a="1"/>
  <c r="DF113" i="1" s="1"/>
  <c r="DI113" i="1" a="1"/>
  <c r="DI113" i="1" s="1"/>
  <c r="DL113" i="1" a="1"/>
  <c r="DL113" i="1" s="1"/>
  <c r="DO113" i="1" a="1"/>
  <c r="DO113" i="1" s="1"/>
  <c r="DR113" i="1" a="1"/>
  <c r="DR113" i="1" s="1"/>
  <c r="DU113" i="1" a="1"/>
  <c r="DU113" i="1" s="1"/>
  <c r="DX113" i="1" a="1"/>
  <c r="DX113" i="1" s="1"/>
  <c r="EA113" i="1" a="1"/>
  <c r="EA113" i="1"/>
  <c r="ED113" i="1" a="1"/>
  <c r="ED113" i="1" s="1"/>
  <c r="EG113" i="1" a="1"/>
  <c r="EG113" i="1" s="1"/>
  <c r="EJ113" i="1" a="1"/>
  <c r="EJ113" i="1" s="1"/>
  <c r="I114" i="1"/>
  <c r="K114" i="1"/>
  <c r="L114" i="1"/>
  <c r="M114" i="1"/>
  <c r="N114" i="1"/>
  <c r="O114" i="1"/>
  <c r="P114" i="1"/>
  <c r="Q114" i="1"/>
  <c r="R114" i="1"/>
  <c r="S114" i="1"/>
  <c r="T114" i="1"/>
  <c r="U114" i="1"/>
  <c r="V114" i="1"/>
  <c r="W114" i="1"/>
  <c r="X114" i="1"/>
  <c r="Y114" i="1"/>
  <c r="AC114" i="1"/>
  <c r="AJ114" i="1"/>
  <c r="AK114" i="1"/>
  <c r="AL114" i="1"/>
  <c r="AM114" i="1"/>
  <c r="AN114" i="1"/>
  <c r="AO114" i="1"/>
  <c r="AP114" i="1"/>
  <c r="AQ114" i="1"/>
  <c r="AT114" i="1"/>
  <c r="H115" i="1"/>
  <c r="AB115" i="1" s="1"/>
  <c r="Z115" i="1" s="1"/>
  <c r="G115" i="1" s="1"/>
  <c r="I115" i="1"/>
  <c r="K115" i="1"/>
  <c r="L115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Y115" i="1"/>
  <c r="AC115" i="1"/>
  <c r="AJ115" i="1"/>
  <c r="AK115" i="1"/>
  <c r="AL115" i="1"/>
  <c r="AM115" i="1"/>
  <c r="AN115" i="1"/>
  <c r="AO115" i="1"/>
  <c r="AP115" i="1"/>
  <c r="AQ115" i="1"/>
  <c r="AT115" i="1"/>
  <c r="AV115" i="1"/>
  <c r="AW115" i="1" a="1"/>
  <c r="AW115" i="1" s="1"/>
  <c r="AX115" i="1" a="1"/>
  <c r="AX115" i="1" s="1"/>
  <c r="BA115" i="1" a="1"/>
  <c r="BA115" i="1" s="1"/>
  <c r="BD115" i="1" a="1"/>
  <c r="BD115" i="1" s="1"/>
  <c r="BG115" i="1" a="1"/>
  <c r="BG115" i="1" s="1"/>
  <c r="BJ115" i="1" a="1"/>
  <c r="BJ115" i="1" s="1"/>
  <c r="BM115" i="1" a="1"/>
  <c r="BM115" i="1" s="1"/>
  <c r="BP115" i="1" a="1"/>
  <c r="BP115" i="1" s="1"/>
  <c r="BS115" i="1" a="1"/>
  <c r="BS115" i="1"/>
  <c r="BV115" i="1" a="1"/>
  <c r="BV115" i="1" s="1"/>
  <c r="BY115" i="1" a="1"/>
  <c r="BY115" i="1" s="1"/>
  <c r="CB115" i="1" a="1"/>
  <c r="CB115" i="1" s="1"/>
  <c r="CE115" i="1" a="1"/>
  <c r="CE115" i="1"/>
  <c r="CH115" i="1" a="1"/>
  <c r="CH115" i="1" s="1"/>
  <c r="CK115" i="1" a="1"/>
  <c r="CK115" i="1" s="1"/>
  <c r="CN115" i="1" a="1"/>
  <c r="CN115" i="1" s="1"/>
  <c r="CQ115" i="1" a="1"/>
  <c r="CQ115" i="1" s="1"/>
  <c r="CT115" i="1" a="1"/>
  <c r="CT115" i="1"/>
  <c r="CW115" i="1" a="1"/>
  <c r="CW115" i="1" s="1"/>
  <c r="CZ115" i="1" a="1"/>
  <c r="CZ115" i="1" s="1"/>
  <c r="DC115" i="1" a="1"/>
  <c r="DC115" i="1" s="1"/>
  <c r="DF115" i="1" a="1"/>
  <c r="DF115" i="1" s="1"/>
  <c r="DI115" i="1" a="1"/>
  <c r="DI115" i="1"/>
  <c r="DL115" i="1" a="1"/>
  <c r="DL115" i="1" s="1"/>
  <c r="DO115" i="1" a="1"/>
  <c r="DO115" i="1"/>
  <c r="DR115" i="1" a="1"/>
  <c r="DR115" i="1"/>
  <c r="DU115" i="1" a="1"/>
  <c r="DU115" i="1" s="1"/>
  <c r="DX115" i="1" a="1"/>
  <c r="DX115" i="1" s="1"/>
  <c r="EA115" i="1" a="1"/>
  <c r="EA115" i="1"/>
  <c r="ED115" i="1" a="1"/>
  <c r="ED115" i="1" s="1"/>
  <c r="EG115" i="1" a="1"/>
  <c r="EG115" i="1" s="1"/>
  <c r="EJ115" i="1" a="1"/>
  <c r="EJ115" i="1" s="1"/>
  <c r="H116" i="1"/>
  <c r="AB116" i="1" s="1"/>
  <c r="Z116" i="1" s="1"/>
  <c r="G116" i="1" s="1"/>
  <c r="I116" i="1"/>
  <c r="K116" i="1"/>
  <c r="L116" i="1"/>
  <c r="M116" i="1"/>
  <c r="N116" i="1"/>
  <c r="O116" i="1"/>
  <c r="P116" i="1"/>
  <c r="Q116" i="1"/>
  <c r="R116" i="1"/>
  <c r="S116" i="1"/>
  <c r="T116" i="1"/>
  <c r="U116" i="1"/>
  <c r="V116" i="1"/>
  <c r="W116" i="1"/>
  <c r="X116" i="1"/>
  <c r="Y116" i="1"/>
  <c r="AC116" i="1"/>
  <c r="AJ116" i="1"/>
  <c r="AK116" i="1"/>
  <c r="AL116" i="1"/>
  <c r="AM116" i="1"/>
  <c r="AN116" i="1"/>
  <c r="AO116" i="1"/>
  <c r="AP116" i="1"/>
  <c r="AQ116" i="1"/>
  <c r="AT116" i="1"/>
  <c r="AV116" i="1"/>
  <c r="AW116" i="1" a="1"/>
  <c r="AW116" i="1" s="1"/>
  <c r="AX116" i="1" a="1"/>
  <c r="AX116" i="1" s="1"/>
  <c r="BA116" i="1" a="1"/>
  <c r="BA116" i="1" s="1"/>
  <c r="BD116" i="1" a="1"/>
  <c r="BD116" i="1" s="1"/>
  <c r="BG116" i="1" a="1"/>
  <c r="BG116" i="1"/>
  <c r="BJ116" i="1" a="1"/>
  <c r="BJ116" i="1" s="1"/>
  <c r="BM116" i="1" a="1"/>
  <c r="BM116" i="1" s="1"/>
  <c r="BP116" i="1" a="1"/>
  <c r="BP116" i="1" s="1"/>
  <c r="BS116" i="1" a="1"/>
  <c r="BS116" i="1" s="1"/>
  <c r="BV116" i="1" a="1"/>
  <c r="BV116" i="1" s="1"/>
  <c r="BY116" i="1" a="1"/>
  <c r="BY116" i="1" s="1"/>
  <c r="CB116" i="1" a="1"/>
  <c r="CB116" i="1" s="1"/>
  <c r="CE116" i="1" a="1"/>
  <c r="CE116" i="1"/>
  <c r="CH116" i="1" a="1"/>
  <c r="CH116" i="1" s="1"/>
  <c r="CK116" i="1" a="1"/>
  <c r="CK116" i="1" s="1"/>
  <c r="CN116" i="1" a="1"/>
  <c r="CN116" i="1" s="1"/>
  <c r="CQ116" i="1" a="1"/>
  <c r="CQ116" i="1" s="1"/>
  <c r="CT116" i="1" a="1"/>
  <c r="CT116" i="1"/>
  <c r="CW116" i="1" a="1"/>
  <c r="CW116" i="1" s="1"/>
  <c r="CZ116" i="1" a="1"/>
  <c r="CZ116" i="1" s="1"/>
  <c r="DC116" i="1" a="1"/>
  <c r="DC116" i="1"/>
  <c r="DF116" i="1" a="1"/>
  <c r="DF116" i="1" s="1"/>
  <c r="DI116" i="1" a="1"/>
  <c r="DI116" i="1" s="1"/>
  <c r="DL116" i="1" a="1"/>
  <c r="DL116" i="1" s="1"/>
  <c r="DO116" i="1" a="1"/>
  <c r="DO116" i="1" s="1"/>
  <c r="DR116" i="1" a="1"/>
  <c r="DR116" i="1" s="1"/>
  <c r="DU116" i="1" a="1"/>
  <c r="DU116" i="1" s="1"/>
  <c r="DX116" i="1" a="1"/>
  <c r="DX116" i="1" s="1"/>
  <c r="EA116" i="1" a="1"/>
  <c r="EA116" i="1"/>
  <c r="ED116" i="1" a="1"/>
  <c r="ED116" i="1"/>
  <c r="EG116" i="1" a="1"/>
  <c r="EG116" i="1" s="1"/>
  <c r="EJ116" i="1" a="1"/>
  <c r="EJ116" i="1" s="1"/>
  <c r="H117" i="1"/>
  <c r="AB117" i="1" s="1"/>
  <c r="Z117" i="1" s="1"/>
  <c r="G117" i="1" s="1"/>
  <c r="I117" i="1"/>
  <c r="K117" i="1"/>
  <c r="L117" i="1"/>
  <c r="M117" i="1"/>
  <c r="N117" i="1"/>
  <c r="O117" i="1"/>
  <c r="P117" i="1"/>
  <c r="Q117" i="1"/>
  <c r="R117" i="1"/>
  <c r="S117" i="1"/>
  <c r="T117" i="1"/>
  <c r="U117" i="1"/>
  <c r="V117" i="1"/>
  <c r="W117" i="1"/>
  <c r="X117" i="1"/>
  <c r="Y117" i="1"/>
  <c r="AC117" i="1"/>
  <c r="AF117" i="1"/>
  <c r="AJ117" i="1"/>
  <c r="AK117" i="1"/>
  <c r="AL117" i="1"/>
  <c r="AM117" i="1"/>
  <c r="AN117" i="1"/>
  <c r="AO117" i="1"/>
  <c r="AP117" i="1"/>
  <c r="AQ117" i="1"/>
  <c r="AT117" i="1"/>
  <c r="AV117" i="1"/>
  <c r="AW117" i="1" a="1"/>
  <c r="AW117" i="1"/>
  <c r="AX117" i="1" a="1"/>
  <c r="AX117" i="1" s="1"/>
  <c r="AY117" i="1" s="1"/>
  <c r="BA117" i="1" a="1"/>
  <c r="BA117" i="1" s="1"/>
  <c r="BD117" i="1" a="1"/>
  <c r="BD117" i="1" s="1"/>
  <c r="BG117" i="1" a="1"/>
  <c r="BG117" i="1"/>
  <c r="BJ117" i="1" a="1"/>
  <c r="BJ117" i="1" s="1"/>
  <c r="BM117" i="1" a="1"/>
  <c r="BM117" i="1" s="1"/>
  <c r="BP117" i="1" a="1"/>
  <c r="BP117" i="1" s="1"/>
  <c r="BS117" i="1" a="1"/>
  <c r="BS117" i="1" s="1"/>
  <c r="BV117" i="1" a="1"/>
  <c r="BV117" i="1" s="1"/>
  <c r="BY117" i="1" a="1"/>
  <c r="BY117" i="1" s="1"/>
  <c r="CB117" i="1" a="1"/>
  <c r="CB117" i="1" s="1"/>
  <c r="CE117" i="1" a="1"/>
  <c r="CE117" i="1"/>
  <c r="CH117" i="1" a="1"/>
  <c r="CH117" i="1" s="1"/>
  <c r="CK117" i="1" a="1"/>
  <c r="CK117" i="1"/>
  <c r="CN117" i="1" a="1"/>
  <c r="CN117" i="1"/>
  <c r="CQ117" i="1" a="1"/>
  <c r="CQ117" i="1" s="1"/>
  <c r="CT117" i="1" a="1"/>
  <c r="CT117" i="1" s="1"/>
  <c r="CW117" i="1" a="1"/>
  <c r="CW117" i="1" s="1"/>
  <c r="CZ117" i="1" a="1"/>
  <c r="CZ117" i="1" s="1"/>
  <c r="DC117" i="1" a="1"/>
  <c r="DC117" i="1" s="1"/>
  <c r="DF117" i="1" a="1"/>
  <c r="DF117" i="1" s="1"/>
  <c r="DI117" i="1" a="1"/>
  <c r="DI117" i="1"/>
  <c r="DL117" i="1" a="1"/>
  <c r="DL117" i="1" s="1"/>
  <c r="DO117" i="1" a="1"/>
  <c r="DO117" i="1"/>
  <c r="DR117" i="1" a="1"/>
  <c r="DR117" i="1" s="1"/>
  <c r="DU117" i="1" a="1"/>
  <c r="DU117" i="1" s="1"/>
  <c r="DX117" i="1" a="1"/>
  <c r="DX117" i="1" s="1"/>
  <c r="EA117" i="1" a="1"/>
  <c r="EA117" i="1"/>
  <c r="ED117" i="1" a="1"/>
  <c r="ED117" i="1" s="1"/>
  <c r="EG117" i="1" a="1"/>
  <c r="EG117" i="1"/>
  <c r="EJ117" i="1" a="1"/>
  <c r="EJ117" i="1" s="1"/>
  <c r="H118" i="1"/>
  <c r="AB118" i="1" s="1"/>
  <c r="I118" i="1"/>
  <c r="K118" i="1"/>
  <c r="L118" i="1"/>
  <c r="M118" i="1"/>
  <c r="N118" i="1"/>
  <c r="O118" i="1"/>
  <c r="P118" i="1"/>
  <c r="Q118" i="1"/>
  <c r="R118" i="1"/>
  <c r="S118" i="1"/>
  <c r="T118" i="1"/>
  <c r="U118" i="1"/>
  <c r="V118" i="1"/>
  <c r="W118" i="1"/>
  <c r="X118" i="1"/>
  <c r="Y118" i="1"/>
  <c r="AC118" i="1"/>
  <c r="AF118" i="1"/>
  <c r="AJ118" i="1"/>
  <c r="AK118" i="1"/>
  <c r="AL118" i="1"/>
  <c r="AM118" i="1"/>
  <c r="AN118" i="1"/>
  <c r="AO118" i="1"/>
  <c r="AP118" i="1"/>
  <c r="AQ118" i="1"/>
  <c r="AT118" i="1"/>
  <c r="AV118" i="1"/>
  <c r="AW118" i="1" a="1"/>
  <c r="AW118" i="1" s="1"/>
  <c r="AX118" i="1" a="1"/>
  <c r="AX118" i="1" s="1"/>
  <c r="BA118" i="1" a="1"/>
  <c r="BA118" i="1"/>
  <c r="BD118" i="1" a="1"/>
  <c r="BD118" i="1" s="1"/>
  <c r="BG118" i="1" a="1"/>
  <c r="BG118" i="1" s="1"/>
  <c r="BJ118" i="1" a="1"/>
  <c r="BJ118" i="1" s="1"/>
  <c r="BM118" i="1" a="1"/>
  <c r="BM118" i="1" s="1"/>
  <c r="BP118" i="1" a="1"/>
  <c r="BP118" i="1" s="1"/>
  <c r="BS118" i="1" a="1"/>
  <c r="BS118" i="1" s="1"/>
  <c r="BV118" i="1" a="1"/>
  <c r="BV118" i="1" s="1"/>
  <c r="BY118" i="1" a="1"/>
  <c r="BY118" i="1"/>
  <c r="CB118" i="1" a="1"/>
  <c r="CB118" i="1"/>
  <c r="CE118" i="1" a="1"/>
  <c r="CE118" i="1" s="1"/>
  <c r="CH118" i="1" a="1"/>
  <c r="CH118" i="1" s="1"/>
  <c r="CK118" i="1" a="1"/>
  <c r="CK118" i="1" s="1"/>
  <c r="CN118" i="1" a="1"/>
  <c r="CN118" i="1"/>
  <c r="CQ118" i="1" a="1"/>
  <c r="CQ118" i="1" s="1"/>
  <c r="CT118" i="1" a="1"/>
  <c r="CT118" i="1"/>
  <c r="CW118" i="1" a="1"/>
  <c r="CW118" i="1"/>
  <c r="CZ118" i="1" a="1"/>
  <c r="CZ118" i="1" s="1"/>
  <c r="DC118" i="1" a="1"/>
  <c r="DC118" i="1" s="1"/>
  <c r="DF118" i="1" a="1"/>
  <c r="DF118" i="1" s="1"/>
  <c r="DI118" i="1" a="1"/>
  <c r="DI118" i="1" s="1"/>
  <c r="DL118" i="1" a="1"/>
  <c r="DL118" i="1" s="1"/>
  <c r="DO118" i="1" a="1"/>
  <c r="DO118" i="1"/>
  <c r="DR118" i="1" a="1"/>
  <c r="DR118" i="1"/>
  <c r="DU118" i="1" a="1"/>
  <c r="DU118" i="1" s="1"/>
  <c r="DX118" i="1" a="1"/>
  <c r="DX118" i="1" s="1"/>
  <c r="EA118" i="1" a="1"/>
  <c r="EA118" i="1" s="1"/>
  <c r="ED118" i="1" a="1"/>
  <c r="ED118" i="1" s="1"/>
  <c r="EG118" i="1" a="1"/>
  <c r="EG118" i="1" s="1"/>
  <c r="EJ118" i="1" a="1"/>
  <c r="EJ118" i="1" s="1"/>
  <c r="H119" i="1"/>
  <c r="I119" i="1"/>
  <c r="K119" i="1"/>
  <c r="L119" i="1"/>
  <c r="M119" i="1"/>
  <c r="N119" i="1"/>
  <c r="O119" i="1"/>
  <c r="P119" i="1"/>
  <c r="Q119" i="1"/>
  <c r="R119" i="1"/>
  <c r="S119" i="1"/>
  <c r="T119" i="1"/>
  <c r="U119" i="1"/>
  <c r="V119" i="1"/>
  <c r="W119" i="1"/>
  <c r="X119" i="1"/>
  <c r="Y119" i="1"/>
  <c r="AB119" i="1"/>
  <c r="Z119" i="1" s="1"/>
  <c r="G119" i="1" s="1"/>
  <c r="AC119" i="1"/>
  <c r="AF119" i="1" s="1"/>
  <c r="AJ119" i="1"/>
  <c r="AK119" i="1"/>
  <c r="AL119" i="1"/>
  <c r="AM119" i="1"/>
  <c r="AN119" i="1"/>
  <c r="AO119" i="1"/>
  <c r="AP119" i="1"/>
  <c r="AQ119" i="1"/>
  <c r="AT119" i="1"/>
  <c r="AV119" i="1"/>
  <c r="AW119" i="1" a="1"/>
  <c r="AW119" i="1" s="1"/>
  <c r="AX119" i="1" a="1"/>
  <c r="AX119" i="1" s="1"/>
  <c r="BA119" i="1" a="1"/>
  <c r="BA119" i="1"/>
  <c r="BD119" i="1" a="1"/>
  <c r="BD119" i="1" s="1"/>
  <c r="BG119" i="1" a="1"/>
  <c r="BG119" i="1"/>
  <c r="BJ119" i="1" a="1"/>
  <c r="BJ119" i="1"/>
  <c r="BM119" i="1" a="1"/>
  <c r="BM119" i="1" s="1"/>
  <c r="BP119" i="1" a="1"/>
  <c r="BP119" i="1" s="1"/>
  <c r="BS119" i="1" a="1"/>
  <c r="BS119" i="1"/>
  <c r="BV119" i="1" a="1"/>
  <c r="BV119" i="1" s="1"/>
  <c r="BY119" i="1" a="1"/>
  <c r="BY119" i="1" s="1"/>
  <c r="CB119" i="1" a="1"/>
  <c r="CB119" i="1" s="1"/>
  <c r="CE119" i="1" a="1"/>
  <c r="CE119" i="1"/>
  <c r="CH119" i="1" a="1"/>
  <c r="CH119" i="1" s="1"/>
  <c r="CK119" i="1" a="1"/>
  <c r="CK119" i="1"/>
  <c r="CN119" i="1" a="1"/>
  <c r="CN119" i="1" s="1"/>
  <c r="CQ119" i="1" a="1"/>
  <c r="CQ119" i="1" s="1"/>
  <c r="CT119" i="1" a="1"/>
  <c r="CT119" i="1" s="1"/>
  <c r="CW119" i="1" a="1"/>
  <c r="CW119" i="1"/>
  <c r="CZ119" i="1" a="1"/>
  <c r="CZ119" i="1" s="1"/>
  <c r="DC119" i="1" a="1"/>
  <c r="DC119" i="1"/>
  <c r="DF119" i="1" a="1"/>
  <c r="DF119" i="1"/>
  <c r="DI119" i="1" a="1"/>
  <c r="DI119" i="1" s="1"/>
  <c r="DL119" i="1" a="1"/>
  <c r="DL119" i="1" s="1"/>
  <c r="DO119" i="1" a="1"/>
  <c r="DO119" i="1"/>
  <c r="DR119" i="1" a="1"/>
  <c r="DR119" i="1" s="1"/>
  <c r="DU119" i="1" a="1"/>
  <c r="DU119" i="1" s="1"/>
  <c r="DX119" i="1" a="1"/>
  <c r="DX119" i="1" s="1"/>
  <c r="EA119" i="1" a="1"/>
  <c r="EA119" i="1" s="1"/>
  <c r="ED119" i="1" a="1"/>
  <c r="ED119" i="1" s="1"/>
  <c r="EG119" i="1" a="1"/>
  <c r="EG119" i="1" s="1"/>
  <c r="EJ119" i="1" a="1"/>
  <c r="EJ119" i="1" s="1"/>
  <c r="H120" i="1"/>
  <c r="I120" i="1"/>
  <c r="K120" i="1"/>
  <c r="L120" i="1"/>
  <c r="M120" i="1"/>
  <c r="N120" i="1"/>
  <c r="O120" i="1"/>
  <c r="P120" i="1"/>
  <c r="Q120" i="1"/>
  <c r="R120" i="1"/>
  <c r="S120" i="1"/>
  <c r="T120" i="1"/>
  <c r="U120" i="1"/>
  <c r="V120" i="1"/>
  <c r="W120" i="1"/>
  <c r="X120" i="1"/>
  <c r="Y120" i="1"/>
  <c r="AB120" i="1"/>
  <c r="Z120" i="1" s="1"/>
  <c r="G120" i="1" s="1"/>
  <c r="AC120" i="1"/>
  <c r="AJ120" i="1"/>
  <c r="AK120" i="1"/>
  <c r="AL120" i="1"/>
  <c r="AM120" i="1"/>
  <c r="AN120" i="1"/>
  <c r="AO120" i="1"/>
  <c r="AP120" i="1"/>
  <c r="AQ120" i="1"/>
  <c r="AT120" i="1"/>
  <c r="AV120" i="1"/>
  <c r="AW120" i="1" a="1"/>
  <c r="AW120" i="1" s="1"/>
  <c r="AX120" i="1" a="1"/>
  <c r="AX120" i="1"/>
  <c r="BA120" i="1" a="1"/>
  <c r="BA120" i="1" s="1"/>
  <c r="BD120" i="1" a="1"/>
  <c r="BD120" i="1" s="1"/>
  <c r="BG120" i="1" a="1"/>
  <c r="BG120" i="1" s="1"/>
  <c r="BJ120" i="1" a="1"/>
  <c r="BJ120" i="1" s="1"/>
  <c r="BM120" i="1" a="1"/>
  <c r="BM120" i="1"/>
  <c r="BP120" i="1" a="1"/>
  <c r="BP120" i="1" s="1"/>
  <c r="BS120" i="1" a="1"/>
  <c r="BS120" i="1" s="1"/>
  <c r="BV120" i="1" a="1"/>
  <c r="BV120" i="1" s="1"/>
  <c r="BY120" i="1" a="1"/>
  <c r="BY120" i="1" s="1"/>
  <c r="CB120" i="1" a="1"/>
  <c r="CB120" i="1" s="1"/>
  <c r="CE120" i="1" a="1"/>
  <c r="CE120" i="1" s="1"/>
  <c r="CH120" i="1" a="1"/>
  <c r="CH120" i="1" s="1"/>
  <c r="CK120" i="1" a="1"/>
  <c r="CK120" i="1" s="1"/>
  <c r="CN120" i="1" a="1"/>
  <c r="CN120" i="1"/>
  <c r="CQ120" i="1" a="1"/>
  <c r="CQ120" i="1" s="1"/>
  <c r="CT120" i="1" a="1"/>
  <c r="CT120" i="1" s="1"/>
  <c r="CW120" i="1" a="1"/>
  <c r="CW120" i="1" s="1"/>
  <c r="CZ120" i="1" a="1"/>
  <c r="CZ120" i="1"/>
  <c r="DC120" i="1" a="1"/>
  <c r="DC120" i="1"/>
  <c r="DF120" i="1" a="1"/>
  <c r="DF120" i="1" s="1"/>
  <c r="DI120" i="1" a="1"/>
  <c r="DI120" i="1" s="1"/>
  <c r="DL120" i="1" a="1"/>
  <c r="DL120" i="1"/>
  <c r="DO120" i="1" a="1"/>
  <c r="DO120" i="1" s="1"/>
  <c r="DR120" i="1" a="1"/>
  <c r="DR120" i="1" s="1"/>
  <c r="DU120" i="1" a="1"/>
  <c r="DU120" i="1" s="1"/>
  <c r="DX120" i="1" a="1"/>
  <c r="DX120" i="1" s="1"/>
  <c r="EA120" i="1" a="1"/>
  <c r="EA120" i="1" s="1"/>
  <c r="ED120" i="1" a="1"/>
  <c r="ED120" i="1" s="1"/>
  <c r="EG120" i="1" a="1"/>
  <c r="EG120" i="1" s="1"/>
  <c r="EJ120" i="1" a="1"/>
  <c r="EJ120" i="1" s="1"/>
  <c r="H121" i="1"/>
  <c r="I121" i="1"/>
  <c r="K121" i="1"/>
  <c r="L121" i="1"/>
  <c r="M121" i="1"/>
  <c r="N121" i="1"/>
  <c r="O121" i="1"/>
  <c r="P121" i="1"/>
  <c r="Q121" i="1"/>
  <c r="R121" i="1"/>
  <c r="S121" i="1"/>
  <c r="T121" i="1"/>
  <c r="U121" i="1"/>
  <c r="V121" i="1"/>
  <c r="W121" i="1"/>
  <c r="X121" i="1"/>
  <c r="Y121" i="1"/>
  <c r="AC121" i="1"/>
  <c r="AJ121" i="1"/>
  <c r="AK121" i="1"/>
  <c r="AL121" i="1"/>
  <c r="AM121" i="1"/>
  <c r="AN121" i="1"/>
  <c r="AO121" i="1"/>
  <c r="AP121" i="1"/>
  <c r="AQ121" i="1"/>
  <c r="AT121" i="1"/>
  <c r="AV121" i="1"/>
  <c r="AW121" i="1" a="1"/>
  <c r="AW121" i="1" s="1"/>
  <c r="AX121" i="1" a="1"/>
  <c r="AX121" i="1" s="1"/>
  <c r="BA121" i="1" a="1"/>
  <c r="BA121" i="1"/>
  <c r="BD121" i="1" a="1"/>
  <c r="BD121" i="1" s="1"/>
  <c r="BG121" i="1" a="1"/>
  <c r="BG121" i="1" s="1"/>
  <c r="BJ121" i="1" a="1"/>
  <c r="BJ121" i="1" s="1"/>
  <c r="BM121" i="1" a="1"/>
  <c r="BM121" i="1" s="1"/>
  <c r="BP121" i="1" a="1"/>
  <c r="BP121" i="1" s="1"/>
  <c r="BS121" i="1" a="1"/>
  <c r="BS121" i="1" s="1"/>
  <c r="BV121" i="1" a="1"/>
  <c r="BV121" i="1" s="1"/>
  <c r="BY121" i="1" a="1"/>
  <c r="BY121" i="1"/>
  <c r="CB121" i="1" a="1"/>
  <c r="CB121" i="1" s="1"/>
  <c r="CE121" i="1" a="1"/>
  <c r="CE121" i="1" s="1"/>
  <c r="CH121" i="1" a="1"/>
  <c r="CH121" i="1" s="1"/>
  <c r="CK121" i="1" a="1"/>
  <c r="CK121" i="1" s="1"/>
  <c r="CN121" i="1" a="1"/>
  <c r="CN121" i="1"/>
  <c r="CQ121" i="1" a="1"/>
  <c r="CQ121" i="1" s="1"/>
  <c r="CT121" i="1" a="1"/>
  <c r="CT121" i="1" s="1"/>
  <c r="CW121" i="1" a="1"/>
  <c r="CW121" i="1"/>
  <c r="CZ121" i="1" a="1"/>
  <c r="CZ121" i="1" s="1"/>
  <c r="DC121" i="1" a="1"/>
  <c r="DC121" i="1" s="1"/>
  <c r="DF121" i="1" a="1"/>
  <c r="DF121" i="1" s="1"/>
  <c r="DI121" i="1" a="1"/>
  <c r="DI121" i="1" s="1"/>
  <c r="DL121" i="1" a="1"/>
  <c r="DL121" i="1"/>
  <c r="DO121" i="1" a="1"/>
  <c r="DO121" i="1" s="1"/>
  <c r="DR121" i="1" a="1"/>
  <c r="DR121" i="1" s="1"/>
  <c r="DU121" i="1" a="1"/>
  <c r="DU121" i="1"/>
  <c r="DX121" i="1" a="1"/>
  <c r="DX121" i="1" s="1"/>
  <c r="EA121" i="1" a="1"/>
  <c r="EA121" i="1" s="1"/>
  <c r="ED121" i="1" a="1"/>
  <c r="ED121" i="1" s="1"/>
  <c r="EG121" i="1" a="1"/>
  <c r="EG121" i="1" s="1"/>
  <c r="EJ121" i="1" a="1"/>
  <c r="EJ121" i="1" s="1"/>
  <c r="H122" i="1"/>
  <c r="AB122" i="1" s="1"/>
  <c r="Z122" i="1" s="1"/>
  <c r="G122" i="1" s="1"/>
  <c r="I122" i="1"/>
  <c r="K122" i="1"/>
  <c r="L122" i="1"/>
  <c r="M122" i="1"/>
  <c r="N122" i="1"/>
  <c r="O122" i="1"/>
  <c r="P122" i="1"/>
  <c r="Q122" i="1"/>
  <c r="R122" i="1"/>
  <c r="S122" i="1"/>
  <c r="T122" i="1"/>
  <c r="U122" i="1"/>
  <c r="V122" i="1"/>
  <c r="W122" i="1"/>
  <c r="X122" i="1"/>
  <c r="Y122" i="1"/>
  <c r="AC122" i="1"/>
  <c r="AJ122" i="1"/>
  <c r="AK122" i="1"/>
  <c r="AL122" i="1"/>
  <c r="AM122" i="1"/>
  <c r="AN122" i="1"/>
  <c r="AO122" i="1"/>
  <c r="AP122" i="1"/>
  <c r="AQ122" i="1"/>
  <c r="AT122" i="1"/>
  <c r="AV122" i="1"/>
  <c r="AW122" i="1" a="1"/>
  <c r="AW122" i="1" s="1"/>
  <c r="AX122" i="1" a="1"/>
  <c r="AX122" i="1"/>
  <c r="BA122" i="1" a="1"/>
  <c r="BA122" i="1" s="1"/>
  <c r="BD122" i="1" a="1"/>
  <c r="BD122" i="1"/>
  <c r="BG122" i="1" a="1"/>
  <c r="BG122" i="1"/>
  <c r="BJ122" i="1" a="1"/>
  <c r="BJ122" i="1" s="1"/>
  <c r="BM122" i="1" a="1"/>
  <c r="BM122" i="1" s="1"/>
  <c r="BP122" i="1" a="1"/>
  <c r="BP122" i="1" s="1"/>
  <c r="BS122" i="1" a="1"/>
  <c r="BS122" i="1" s="1"/>
  <c r="BV122" i="1" a="1"/>
  <c r="BV122" i="1" s="1"/>
  <c r="BY122" i="1" a="1"/>
  <c r="BY122" i="1" s="1"/>
  <c r="CB122" i="1" a="1"/>
  <c r="CB122" i="1"/>
  <c r="CE122" i="1" a="1"/>
  <c r="CE122" i="1" s="1"/>
  <c r="CH122" i="1" a="1"/>
  <c r="CH122" i="1" s="1"/>
  <c r="CK122" i="1" a="1"/>
  <c r="CK122" i="1" s="1"/>
  <c r="CN122" i="1" a="1"/>
  <c r="CN122" i="1" s="1"/>
  <c r="CQ122" i="1" a="1"/>
  <c r="CQ122" i="1"/>
  <c r="CT122" i="1" a="1"/>
  <c r="CT122" i="1"/>
  <c r="CW122" i="1" a="1"/>
  <c r="CW122" i="1" s="1"/>
  <c r="CZ122" i="1" a="1"/>
  <c r="CZ122" i="1" s="1"/>
  <c r="DC122" i="1" a="1"/>
  <c r="DC122" i="1" s="1"/>
  <c r="DF122" i="1" a="1"/>
  <c r="DF122" i="1"/>
  <c r="DI122" i="1" a="1"/>
  <c r="DI122" i="1" s="1"/>
  <c r="DL122" i="1" a="1"/>
  <c r="DL122" i="1" s="1"/>
  <c r="DO122" i="1" a="1"/>
  <c r="DO122" i="1"/>
  <c r="DR122" i="1" a="1"/>
  <c r="DR122" i="1" s="1"/>
  <c r="DU122" i="1" a="1"/>
  <c r="DU122" i="1" s="1"/>
  <c r="DX122" i="1" a="1"/>
  <c r="DX122" i="1"/>
  <c r="EA122" i="1" a="1"/>
  <c r="EA122" i="1"/>
  <c r="ED122" i="1" a="1"/>
  <c r="ED122" i="1"/>
  <c r="EG122" i="1" a="1"/>
  <c r="EG122" i="1" s="1"/>
  <c r="EJ122" i="1" a="1"/>
  <c r="EJ122" i="1" s="1"/>
  <c r="H123" i="1"/>
  <c r="I123" i="1"/>
  <c r="K123" i="1"/>
  <c r="L123" i="1"/>
  <c r="M123" i="1"/>
  <c r="N123" i="1"/>
  <c r="O123" i="1"/>
  <c r="P123" i="1"/>
  <c r="Q123" i="1"/>
  <c r="R123" i="1"/>
  <c r="S123" i="1"/>
  <c r="T123" i="1"/>
  <c r="U123" i="1"/>
  <c r="V123" i="1"/>
  <c r="W123" i="1"/>
  <c r="X123" i="1"/>
  <c r="Y123" i="1"/>
  <c r="AB123" i="1"/>
  <c r="Z123" i="1" s="1"/>
  <c r="G123" i="1" s="1"/>
  <c r="AC123" i="1"/>
  <c r="AJ123" i="1"/>
  <c r="AK123" i="1"/>
  <c r="AL123" i="1"/>
  <c r="AM123" i="1"/>
  <c r="AN123" i="1"/>
  <c r="AO123" i="1"/>
  <c r="AP123" i="1"/>
  <c r="AQ123" i="1"/>
  <c r="AT123" i="1"/>
  <c r="AV123" i="1"/>
  <c r="AW123" i="1" a="1"/>
  <c r="AW123" i="1" s="1"/>
  <c r="AX123" i="1" a="1"/>
  <c r="AX123" i="1" s="1"/>
  <c r="BA123" i="1" a="1"/>
  <c r="BA123" i="1" s="1"/>
  <c r="BD123" i="1" a="1"/>
  <c r="BD123" i="1" s="1"/>
  <c r="BG123" i="1" a="1"/>
  <c r="BG123" i="1" s="1"/>
  <c r="BJ123" i="1" a="1"/>
  <c r="BJ123" i="1" s="1"/>
  <c r="BM123" i="1" a="1"/>
  <c r="BM123" i="1"/>
  <c r="BP123" i="1" a="1"/>
  <c r="BP123" i="1" s="1"/>
  <c r="BS123" i="1" a="1"/>
  <c r="BS123" i="1"/>
  <c r="BV123" i="1" a="1"/>
  <c r="BV123" i="1" s="1"/>
  <c r="BY123" i="1" a="1"/>
  <c r="BY123" i="1" s="1"/>
  <c r="CB123" i="1" a="1"/>
  <c r="CB123" i="1" s="1"/>
  <c r="CE123" i="1" a="1"/>
  <c r="CE123" i="1"/>
  <c r="CH123" i="1" a="1"/>
  <c r="CH123" i="1" s="1"/>
  <c r="CK123" i="1" a="1"/>
  <c r="CK123" i="1"/>
  <c r="CN123" i="1" a="1"/>
  <c r="CN123" i="1" s="1"/>
  <c r="CQ123" i="1" a="1"/>
  <c r="CQ123" i="1" s="1"/>
  <c r="CT123" i="1" a="1"/>
  <c r="CT123" i="1" s="1"/>
  <c r="CW123" i="1" a="1"/>
  <c r="CW123" i="1" s="1"/>
  <c r="CZ123" i="1" a="1"/>
  <c r="CZ123" i="1" s="1"/>
  <c r="DC123" i="1" a="1"/>
  <c r="DC123" i="1"/>
  <c r="DF123" i="1" a="1"/>
  <c r="DF123" i="1" s="1"/>
  <c r="DI123" i="1" a="1"/>
  <c r="DI123" i="1"/>
  <c r="DL123" i="1" a="1"/>
  <c r="DL123" i="1" s="1"/>
  <c r="DO123" i="1" a="1"/>
  <c r="DO123" i="1" s="1"/>
  <c r="DR123" i="1" a="1"/>
  <c r="DR123" i="1" s="1"/>
  <c r="DU123" i="1" a="1"/>
  <c r="DU123" i="1" s="1"/>
  <c r="DX123" i="1" a="1"/>
  <c r="DX123" i="1" s="1"/>
  <c r="EA123" i="1" a="1"/>
  <c r="EA123" i="1" s="1"/>
  <c r="ED123" i="1" a="1"/>
  <c r="ED123" i="1" s="1"/>
  <c r="EG123" i="1" a="1"/>
  <c r="EG123" i="1" s="1"/>
  <c r="EJ123" i="1" a="1"/>
  <c r="EJ123" i="1" s="1"/>
  <c r="I124" i="1"/>
  <c r="K124" i="1"/>
  <c r="L124" i="1"/>
  <c r="M124" i="1"/>
  <c r="N124" i="1"/>
  <c r="O124" i="1"/>
  <c r="P124" i="1"/>
  <c r="Q124" i="1"/>
  <c r="R124" i="1"/>
  <c r="S124" i="1"/>
  <c r="T124" i="1"/>
  <c r="U124" i="1"/>
  <c r="V124" i="1"/>
  <c r="W124" i="1"/>
  <c r="X124" i="1"/>
  <c r="Y124" i="1"/>
  <c r="AC124" i="1"/>
  <c r="AJ124" i="1"/>
  <c r="AK124" i="1"/>
  <c r="AL124" i="1"/>
  <c r="AM124" i="1"/>
  <c r="AN124" i="1"/>
  <c r="AO124" i="1"/>
  <c r="AP124" i="1"/>
  <c r="AQ124" i="1"/>
  <c r="AT124" i="1"/>
  <c r="H125" i="1"/>
  <c r="AB125" i="1" s="1"/>
  <c r="Z125" i="1" s="1"/>
  <c r="G125" i="1" s="1"/>
  <c r="I125" i="1"/>
  <c r="K125" i="1"/>
  <c r="L125" i="1"/>
  <c r="M125" i="1"/>
  <c r="N125" i="1"/>
  <c r="O125" i="1"/>
  <c r="P125" i="1"/>
  <c r="Q125" i="1"/>
  <c r="R125" i="1"/>
  <c r="S125" i="1"/>
  <c r="T125" i="1"/>
  <c r="U125" i="1"/>
  <c r="V125" i="1"/>
  <c r="W125" i="1"/>
  <c r="X125" i="1"/>
  <c r="Y125" i="1"/>
  <c r="AC125" i="1"/>
  <c r="AJ125" i="1"/>
  <c r="AK125" i="1"/>
  <c r="AL125" i="1"/>
  <c r="AM125" i="1"/>
  <c r="AN125" i="1"/>
  <c r="AO125" i="1"/>
  <c r="AP125" i="1"/>
  <c r="AQ125" i="1"/>
  <c r="AT125" i="1"/>
  <c r="AV125" i="1"/>
  <c r="AW125" i="1" a="1"/>
  <c r="AW125" i="1" s="1"/>
  <c r="AX125" i="1" a="1"/>
  <c r="AX125" i="1" s="1"/>
  <c r="BA125" i="1" a="1"/>
  <c r="BA125" i="1"/>
  <c r="BD125" i="1" a="1"/>
  <c r="BD125" i="1" s="1"/>
  <c r="BG125" i="1" a="1"/>
  <c r="BG125" i="1"/>
  <c r="BJ125" i="1" a="1"/>
  <c r="BJ125" i="1" s="1"/>
  <c r="BM125" i="1" a="1"/>
  <c r="BM125" i="1"/>
  <c r="BP125" i="1" a="1"/>
  <c r="BP125" i="1" s="1"/>
  <c r="BS125" i="1" a="1"/>
  <c r="BS125" i="1" s="1"/>
  <c r="BV125" i="1" a="1"/>
  <c r="BV125" i="1"/>
  <c r="BY125" i="1" a="1"/>
  <c r="BY125" i="1"/>
  <c r="CB125" i="1" a="1"/>
  <c r="CB125" i="1" s="1"/>
  <c r="CE125" i="1" a="1"/>
  <c r="CE125" i="1"/>
  <c r="CH125" i="1" a="1"/>
  <c r="CH125" i="1" s="1"/>
  <c r="CK125" i="1" a="1"/>
  <c r="CK125" i="1"/>
  <c r="CN125" i="1" a="1"/>
  <c r="CN125" i="1" s="1"/>
  <c r="CQ125" i="1" a="1"/>
  <c r="CQ125" i="1" s="1"/>
  <c r="CT125" i="1" a="1"/>
  <c r="CT125" i="1"/>
  <c r="CW125" i="1" a="1"/>
  <c r="CW125" i="1"/>
  <c r="CZ125" i="1" a="1"/>
  <c r="CZ125" i="1" s="1"/>
  <c r="DC125" i="1" a="1"/>
  <c r="DC125" i="1"/>
  <c r="DF125" i="1" a="1"/>
  <c r="DF125" i="1" s="1"/>
  <c r="DI125" i="1" a="1"/>
  <c r="DI125" i="1" s="1"/>
  <c r="DL125" i="1" a="1"/>
  <c r="DL125" i="1" s="1"/>
  <c r="DO125" i="1" a="1"/>
  <c r="DO125" i="1" s="1"/>
  <c r="DR125" i="1" a="1"/>
  <c r="DR125" i="1"/>
  <c r="DU125" i="1" a="1"/>
  <c r="DU125" i="1"/>
  <c r="DX125" i="1" a="1"/>
  <c r="DX125" i="1" s="1"/>
  <c r="EA125" i="1" a="1"/>
  <c r="EA125" i="1" s="1"/>
  <c r="ED125" i="1" a="1"/>
  <c r="ED125" i="1" s="1"/>
  <c r="EG125" i="1" a="1"/>
  <c r="EG125" i="1"/>
  <c r="EJ125" i="1" a="1"/>
  <c r="EJ125" i="1" s="1"/>
  <c r="I126" i="1"/>
  <c r="K126" i="1"/>
  <c r="L126" i="1"/>
  <c r="M126" i="1"/>
  <c r="N126" i="1"/>
  <c r="O126" i="1"/>
  <c r="P126" i="1"/>
  <c r="Q126" i="1"/>
  <c r="R126" i="1"/>
  <c r="S126" i="1"/>
  <c r="T126" i="1"/>
  <c r="U126" i="1"/>
  <c r="V126" i="1"/>
  <c r="W126" i="1"/>
  <c r="X126" i="1"/>
  <c r="Y126" i="1"/>
  <c r="AC126" i="1"/>
  <c r="AJ126" i="1"/>
  <c r="AK126" i="1"/>
  <c r="AL126" i="1"/>
  <c r="AM126" i="1"/>
  <c r="AN126" i="1"/>
  <c r="AO126" i="1"/>
  <c r="AP126" i="1"/>
  <c r="AQ126" i="1"/>
  <c r="AT126" i="1"/>
  <c r="H127" i="1"/>
  <c r="I127" i="1"/>
  <c r="K127" i="1"/>
  <c r="L127" i="1"/>
  <c r="M127" i="1"/>
  <c r="N127" i="1"/>
  <c r="O127" i="1"/>
  <c r="P127" i="1"/>
  <c r="Q127" i="1"/>
  <c r="R127" i="1"/>
  <c r="S127" i="1"/>
  <c r="T127" i="1"/>
  <c r="U127" i="1"/>
  <c r="V127" i="1"/>
  <c r="W127" i="1"/>
  <c r="X127" i="1"/>
  <c r="Y127" i="1"/>
  <c r="AC127" i="1"/>
  <c r="AJ127" i="1"/>
  <c r="AK127" i="1"/>
  <c r="AL127" i="1"/>
  <c r="AM127" i="1"/>
  <c r="AN127" i="1"/>
  <c r="AO127" i="1"/>
  <c r="AP127" i="1"/>
  <c r="AQ127" i="1"/>
  <c r="AT127" i="1"/>
  <c r="AV127" i="1"/>
  <c r="AW127" i="1" a="1"/>
  <c r="AW127" i="1"/>
  <c r="AX127" i="1" a="1"/>
  <c r="AX127" i="1" s="1"/>
  <c r="BA127" i="1" a="1"/>
  <c r="BA127" i="1" s="1"/>
  <c r="BD127" i="1" a="1"/>
  <c r="BD127" i="1" s="1"/>
  <c r="BG127" i="1" a="1"/>
  <c r="BG127" i="1" s="1"/>
  <c r="BJ127" i="1" a="1"/>
  <c r="BJ127" i="1" s="1"/>
  <c r="BM127" i="1" a="1"/>
  <c r="BM127" i="1" s="1"/>
  <c r="BP127" i="1" a="1"/>
  <c r="BP127" i="1" s="1"/>
  <c r="BS127" i="1" a="1"/>
  <c r="BS127" i="1"/>
  <c r="BV127" i="1" a="1"/>
  <c r="BV127" i="1" s="1"/>
  <c r="BY127" i="1" a="1"/>
  <c r="BY127" i="1" s="1"/>
  <c r="CB127" i="1" a="1"/>
  <c r="CB127" i="1" s="1"/>
  <c r="CE127" i="1" a="1"/>
  <c r="CE127" i="1" s="1"/>
  <c r="CH127" i="1" a="1"/>
  <c r="CH127" i="1" s="1"/>
  <c r="CK127" i="1" a="1"/>
  <c r="CK127" i="1" s="1"/>
  <c r="CN127" i="1" a="1"/>
  <c r="CN127" i="1"/>
  <c r="CQ127" i="1" a="1"/>
  <c r="CQ127" i="1"/>
  <c r="CT127" i="1" a="1"/>
  <c r="CT127" i="1" s="1"/>
  <c r="CW127" i="1" a="1"/>
  <c r="CW127" i="1" s="1"/>
  <c r="CZ127" i="1" a="1"/>
  <c r="CZ127" i="1" s="1"/>
  <c r="DC127" i="1" a="1"/>
  <c r="DC127" i="1"/>
  <c r="DF127" i="1" a="1"/>
  <c r="DF127" i="1" s="1"/>
  <c r="DI127" i="1" a="1"/>
  <c r="DI127" i="1" s="1"/>
  <c r="DL127" i="1" a="1"/>
  <c r="DL127" i="1"/>
  <c r="DO127" i="1" a="1"/>
  <c r="DO127" i="1"/>
  <c r="DR127" i="1" a="1"/>
  <c r="DR127" i="1" s="1"/>
  <c r="DU127" i="1" a="1"/>
  <c r="DU127" i="1" s="1"/>
  <c r="DX127" i="1" a="1"/>
  <c r="DX127" i="1" s="1"/>
  <c r="EA127" i="1" a="1"/>
  <c r="EA127" i="1"/>
  <c r="ED127" i="1" a="1"/>
  <c r="ED127" i="1" s="1"/>
  <c r="EG127" i="1" a="1"/>
  <c r="EG127" i="1" s="1"/>
  <c r="EJ127" i="1" a="1"/>
  <c r="EJ127" i="1" s="1"/>
  <c r="H128" i="1"/>
  <c r="AB128" i="1" s="1"/>
  <c r="Z128" i="1" s="1"/>
  <c r="G128" i="1" s="1"/>
  <c r="I128" i="1"/>
  <c r="K128" i="1"/>
  <c r="L128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Y128" i="1"/>
  <c r="AC128" i="1"/>
  <c r="AF128" i="1"/>
  <c r="AJ128" i="1"/>
  <c r="AK128" i="1"/>
  <c r="AL128" i="1"/>
  <c r="AM128" i="1"/>
  <c r="AN128" i="1"/>
  <c r="AO128" i="1"/>
  <c r="AP128" i="1"/>
  <c r="AQ128" i="1"/>
  <c r="AT128" i="1"/>
  <c r="AV128" i="1"/>
  <c r="AW128" i="1" a="1"/>
  <c r="AW128" i="1" s="1"/>
  <c r="AX128" i="1" a="1"/>
  <c r="AX128" i="1" s="1"/>
  <c r="BA128" i="1" a="1"/>
  <c r="BA128" i="1" s="1"/>
  <c r="BD128" i="1" a="1"/>
  <c r="BD128" i="1"/>
  <c r="BG128" i="1" a="1"/>
  <c r="BG128" i="1" s="1"/>
  <c r="BJ128" i="1" a="1"/>
  <c r="BJ128" i="1" s="1"/>
  <c r="BM128" i="1" a="1"/>
  <c r="BM128" i="1" s="1"/>
  <c r="BP128" i="1" a="1"/>
  <c r="BP128" i="1"/>
  <c r="BS128" i="1" a="1"/>
  <c r="BS128" i="1" s="1"/>
  <c r="BV128" i="1" a="1"/>
  <c r="BV128" i="1" s="1"/>
  <c r="BY128" i="1" a="1"/>
  <c r="BY128" i="1" s="1"/>
  <c r="CB128" i="1" a="1"/>
  <c r="CB128" i="1"/>
  <c r="CE128" i="1" a="1"/>
  <c r="CE128" i="1" s="1"/>
  <c r="CH128" i="1" a="1"/>
  <c r="CH128" i="1" s="1"/>
  <c r="CK128" i="1" a="1"/>
  <c r="CK128" i="1" s="1"/>
  <c r="CN128" i="1" a="1"/>
  <c r="CN128" i="1"/>
  <c r="CQ128" i="1" a="1"/>
  <c r="CQ128" i="1" s="1"/>
  <c r="CT128" i="1" a="1"/>
  <c r="CT128" i="1" s="1"/>
  <c r="CW128" i="1" a="1"/>
  <c r="CW128" i="1" s="1"/>
  <c r="CZ128" i="1" a="1"/>
  <c r="CZ128" i="1" s="1"/>
  <c r="DC128" i="1" a="1"/>
  <c r="DC128" i="1" s="1"/>
  <c r="DF128" i="1" a="1"/>
  <c r="DF128" i="1" s="1"/>
  <c r="DI128" i="1" a="1"/>
  <c r="DI128" i="1" s="1"/>
  <c r="DL128" i="1" a="1"/>
  <c r="DL128" i="1" s="1"/>
  <c r="DO128" i="1" a="1"/>
  <c r="DO128" i="1" s="1"/>
  <c r="DR128" i="1" a="1"/>
  <c r="DR128" i="1" s="1"/>
  <c r="DU128" i="1" a="1"/>
  <c r="DU128" i="1" s="1"/>
  <c r="DX128" i="1" a="1"/>
  <c r="DX128" i="1"/>
  <c r="EA128" i="1" a="1"/>
  <c r="EA128" i="1" s="1"/>
  <c r="ED128" i="1" a="1"/>
  <c r="ED128" i="1" s="1"/>
  <c r="EG128" i="1" a="1"/>
  <c r="EG128" i="1" s="1"/>
  <c r="EJ128" i="1" a="1"/>
  <c r="EJ128" i="1" s="1"/>
  <c r="I129" i="1"/>
  <c r="K129" i="1"/>
  <c r="L129" i="1"/>
  <c r="M129" i="1"/>
  <c r="N129" i="1"/>
  <c r="O129" i="1"/>
  <c r="P129" i="1"/>
  <c r="Q129" i="1"/>
  <c r="R129" i="1"/>
  <c r="S129" i="1"/>
  <c r="T129" i="1"/>
  <c r="U129" i="1"/>
  <c r="V129" i="1"/>
  <c r="W129" i="1"/>
  <c r="X129" i="1"/>
  <c r="Y129" i="1"/>
  <c r="AC129" i="1"/>
  <c r="AJ129" i="1"/>
  <c r="AK129" i="1"/>
  <c r="AL129" i="1"/>
  <c r="AM129" i="1"/>
  <c r="AN129" i="1"/>
  <c r="AO129" i="1"/>
  <c r="AP129" i="1"/>
  <c r="AQ129" i="1"/>
  <c r="AT129" i="1"/>
  <c r="H130" i="1"/>
  <c r="AB130" i="1" s="1"/>
  <c r="Z130" i="1" s="1"/>
  <c r="G130" i="1" s="1"/>
  <c r="I130" i="1"/>
  <c r="K130" i="1"/>
  <c r="L130" i="1"/>
  <c r="M130" i="1"/>
  <c r="N130" i="1"/>
  <c r="O130" i="1"/>
  <c r="P130" i="1"/>
  <c r="Q130" i="1"/>
  <c r="R130" i="1"/>
  <c r="S130" i="1"/>
  <c r="T130" i="1"/>
  <c r="U130" i="1"/>
  <c r="V130" i="1"/>
  <c r="W130" i="1"/>
  <c r="X130" i="1"/>
  <c r="Y130" i="1"/>
  <c r="AC130" i="1"/>
  <c r="AJ130" i="1"/>
  <c r="AK130" i="1"/>
  <c r="AL130" i="1"/>
  <c r="AM130" i="1"/>
  <c r="AN130" i="1"/>
  <c r="AO130" i="1"/>
  <c r="AP130" i="1"/>
  <c r="AQ130" i="1"/>
  <c r="AT130" i="1"/>
  <c r="AV130" i="1"/>
  <c r="AW130" i="1" a="1"/>
  <c r="AW130" i="1" s="1"/>
  <c r="AX130" i="1" a="1"/>
  <c r="AX130" i="1"/>
  <c r="BA130" i="1" a="1"/>
  <c r="BA130" i="1" s="1"/>
  <c r="BD130" i="1" a="1"/>
  <c r="BD130" i="1" s="1"/>
  <c r="BG130" i="1" a="1"/>
  <c r="BG130" i="1" s="1"/>
  <c r="BJ130" i="1" a="1"/>
  <c r="BJ130" i="1"/>
  <c r="BM130" i="1" a="1"/>
  <c r="BM130" i="1" s="1"/>
  <c r="BP130" i="1" a="1"/>
  <c r="BP130" i="1" s="1"/>
  <c r="BS130" i="1" a="1"/>
  <c r="BS130" i="1"/>
  <c r="BV130" i="1" a="1"/>
  <c r="BV130" i="1" s="1"/>
  <c r="BY130" i="1" a="1"/>
  <c r="BY130" i="1" s="1"/>
  <c r="CB130" i="1" a="1"/>
  <c r="CB130" i="1" s="1"/>
  <c r="CE130" i="1" a="1"/>
  <c r="CE130" i="1" s="1"/>
  <c r="CH130" i="1" a="1"/>
  <c r="CH130" i="1"/>
  <c r="CK130" i="1" a="1"/>
  <c r="CK130" i="1" s="1"/>
  <c r="CN130" i="1" a="1"/>
  <c r="CN130" i="1"/>
  <c r="CQ130" i="1" a="1"/>
  <c r="CQ130" i="1"/>
  <c r="CT130" i="1" a="1"/>
  <c r="CT130" i="1" s="1"/>
  <c r="CW130" i="1" a="1"/>
  <c r="CW130" i="1" s="1"/>
  <c r="CZ130" i="1" a="1"/>
  <c r="CZ130" i="1" s="1"/>
  <c r="DC130" i="1" a="1"/>
  <c r="DC130" i="1" s="1"/>
  <c r="DF130" i="1" a="1"/>
  <c r="DF130" i="1" s="1"/>
  <c r="DI130" i="1" a="1"/>
  <c r="DI130" i="1" s="1"/>
  <c r="DL130" i="1" a="1"/>
  <c r="DL130" i="1" s="1"/>
  <c r="DO130" i="1" a="1"/>
  <c r="DO130" i="1"/>
  <c r="DR130" i="1" a="1"/>
  <c r="DR130" i="1"/>
  <c r="DU130" i="1" a="1"/>
  <c r="DU130" i="1" s="1"/>
  <c r="DX130" i="1" a="1"/>
  <c r="DX130" i="1" s="1"/>
  <c r="EA130" i="1" a="1"/>
  <c r="EA130" i="1" s="1"/>
  <c r="ED130" i="1" a="1"/>
  <c r="ED130" i="1"/>
  <c r="EG130" i="1" a="1"/>
  <c r="EG130" i="1" s="1"/>
  <c r="EJ130" i="1" a="1"/>
  <c r="EJ130" i="1" s="1"/>
  <c r="I131" i="1"/>
  <c r="K131" i="1"/>
  <c r="L131" i="1"/>
  <c r="M131" i="1"/>
  <c r="N131" i="1"/>
  <c r="O131" i="1"/>
  <c r="P131" i="1"/>
  <c r="Q131" i="1"/>
  <c r="R131" i="1"/>
  <c r="S131" i="1"/>
  <c r="T131" i="1"/>
  <c r="U131" i="1"/>
  <c r="V131" i="1"/>
  <c r="W131" i="1"/>
  <c r="X131" i="1"/>
  <c r="Y131" i="1"/>
  <c r="AC131" i="1"/>
  <c r="AJ131" i="1"/>
  <c r="AK131" i="1"/>
  <c r="AL131" i="1"/>
  <c r="AM131" i="1"/>
  <c r="AN131" i="1"/>
  <c r="AO131" i="1"/>
  <c r="AP131" i="1"/>
  <c r="AQ131" i="1"/>
  <c r="AT131" i="1"/>
  <c r="I132" i="1"/>
  <c r="K132" i="1"/>
  <c r="L132" i="1"/>
  <c r="M132" i="1"/>
  <c r="N132" i="1"/>
  <c r="O132" i="1"/>
  <c r="P132" i="1"/>
  <c r="Q132" i="1"/>
  <c r="R132" i="1"/>
  <c r="S132" i="1"/>
  <c r="T132" i="1"/>
  <c r="U132" i="1"/>
  <c r="V132" i="1"/>
  <c r="W132" i="1"/>
  <c r="X132" i="1"/>
  <c r="Y132" i="1"/>
  <c r="AC132" i="1"/>
  <c r="AJ132" i="1"/>
  <c r="AK132" i="1"/>
  <c r="AL132" i="1"/>
  <c r="AM132" i="1"/>
  <c r="AN132" i="1"/>
  <c r="AO132" i="1"/>
  <c r="AP132" i="1"/>
  <c r="AQ132" i="1"/>
  <c r="AT132" i="1"/>
  <c r="H133" i="1"/>
  <c r="I133" i="1"/>
  <c r="K133" i="1"/>
  <c r="L133" i="1"/>
  <c r="M133" i="1"/>
  <c r="N133" i="1"/>
  <c r="O133" i="1"/>
  <c r="P133" i="1"/>
  <c r="Q133" i="1"/>
  <c r="R133" i="1"/>
  <c r="S133" i="1"/>
  <c r="T133" i="1"/>
  <c r="U133" i="1"/>
  <c r="V133" i="1"/>
  <c r="W133" i="1"/>
  <c r="X133" i="1"/>
  <c r="Y133" i="1"/>
  <c r="AB133" i="1"/>
  <c r="AC133" i="1"/>
  <c r="AF133" i="1" s="1"/>
  <c r="AJ133" i="1"/>
  <c r="AK133" i="1"/>
  <c r="AL133" i="1"/>
  <c r="AM133" i="1"/>
  <c r="AN133" i="1"/>
  <c r="AO133" i="1"/>
  <c r="AP133" i="1"/>
  <c r="AQ133" i="1"/>
  <c r="AT133" i="1"/>
  <c r="AV133" i="1"/>
  <c r="AW133" i="1" a="1"/>
  <c r="AW133" i="1" s="1"/>
  <c r="AX133" i="1" a="1"/>
  <c r="AX133" i="1" s="1"/>
  <c r="BA133" i="1" a="1"/>
  <c r="BA133" i="1"/>
  <c r="BD133" i="1" a="1"/>
  <c r="BD133" i="1" s="1"/>
  <c r="BG133" i="1" a="1"/>
  <c r="BG133" i="1" s="1"/>
  <c r="BJ133" i="1" a="1"/>
  <c r="BJ133" i="1" s="1"/>
  <c r="BM133" i="1" a="1"/>
  <c r="BM133" i="1" s="1"/>
  <c r="BP133" i="1" a="1"/>
  <c r="BP133" i="1" s="1"/>
  <c r="BS133" i="1" a="1"/>
  <c r="BS133" i="1" s="1"/>
  <c r="BV133" i="1" a="1"/>
  <c r="BV133" i="1" s="1"/>
  <c r="BY133" i="1" a="1"/>
  <c r="BY133" i="1"/>
  <c r="CB133" i="1" a="1"/>
  <c r="CB133" i="1" s="1"/>
  <c r="CE133" i="1" a="1"/>
  <c r="CE133" i="1" s="1"/>
  <c r="CH133" i="1" a="1"/>
  <c r="CH133" i="1" s="1"/>
  <c r="CK133" i="1" a="1"/>
  <c r="CK133" i="1"/>
  <c r="CN133" i="1" a="1"/>
  <c r="CN133" i="1" s="1"/>
  <c r="CQ133" i="1" a="1"/>
  <c r="CQ133" i="1" s="1"/>
  <c r="CT133" i="1" a="1"/>
  <c r="CT133" i="1"/>
  <c r="CW133" i="1" a="1"/>
  <c r="CW133" i="1" s="1"/>
  <c r="CZ133" i="1" a="1"/>
  <c r="CZ133" i="1" s="1"/>
  <c r="DC133" i="1" a="1"/>
  <c r="DC133" i="1" s="1"/>
  <c r="DF133" i="1" a="1"/>
  <c r="DF133" i="1" s="1"/>
  <c r="DI133" i="1" a="1"/>
  <c r="DI133" i="1"/>
  <c r="DL133" i="1" a="1"/>
  <c r="DL133" i="1" s="1"/>
  <c r="DO133" i="1" a="1"/>
  <c r="DO133" i="1"/>
  <c r="DR133" i="1" a="1"/>
  <c r="DR133" i="1"/>
  <c r="DU133" i="1" a="1"/>
  <c r="DU133" i="1" s="1"/>
  <c r="DX133" i="1" a="1"/>
  <c r="DX133" i="1"/>
  <c r="EA133" i="1" a="1"/>
  <c r="EA133" i="1" s="1"/>
  <c r="ED133" i="1" a="1"/>
  <c r="ED133" i="1" s="1"/>
  <c r="EG133" i="1" a="1"/>
  <c r="EG133" i="1" s="1"/>
  <c r="EJ133" i="1" a="1"/>
  <c r="EJ133" i="1" s="1"/>
  <c r="I134" i="1"/>
  <c r="K134" i="1"/>
  <c r="L134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Y134" i="1"/>
  <c r="AC134" i="1"/>
  <c r="AJ134" i="1"/>
  <c r="AK134" i="1"/>
  <c r="AL134" i="1"/>
  <c r="AM134" i="1"/>
  <c r="AN134" i="1"/>
  <c r="AO134" i="1"/>
  <c r="AP134" i="1"/>
  <c r="AQ134" i="1"/>
  <c r="AT134" i="1"/>
  <c r="H135" i="1"/>
  <c r="AB135" i="1" s="1"/>
  <c r="Z135" i="1" s="1"/>
  <c r="G135" i="1" s="1"/>
  <c r="I135" i="1"/>
  <c r="K135" i="1"/>
  <c r="L135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Y135" i="1"/>
  <c r="AC135" i="1"/>
  <c r="AJ135" i="1"/>
  <c r="AK135" i="1"/>
  <c r="AL135" i="1"/>
  <c r="AM135" i="1"/>
  <c r="AN135" i="1"/>
  <c r="AO135" i="1"/>
  <c r="AP135" i="1"/>
  <c r="AQ135" i="1"/>
  <c r="AT135" i="1"/>
  <c r="AV135" i="1"/>
  <c r="AW135" i="1" a="1"/>
  <c r="AW135" i="1" s="1"/>
  <c r="AX135" i="1" a="1"/>
  <c r="AX135" i="1" s="1"/>
  <c r="BA135" i="1" a="1"/>
  <c r="BA135" i="1" s="1"/>
  <c r="BD135" i="1" a="1"/>
  <c r="BD135" i="1" s="1"/>
  <c r="BG135" i="1" a="1"/>
  <c r="BG135" i="1" s="1"/>
  <c r="BJ135" i="1" a="1"/>
  <c r="BJ135" i="1" s="1"/>
  <c r="BM135" i="1" a="1"/>
  <c r="BM135" i="1" s="1"/>
  <c r="BP135" i="1" a="1"/>
  <c r="BP135" i="1" s="1"/>
  <c r="BS135" i="1" a="1"/>
  <c r="BS135" i="1" s="1"/>
  <c r="BV135" i="1" a="1"/>
  <c r="BV135" i="1" s="1"/>
  <c r="BY135" i="1" a="1"/>
  <c r="BY135" i="1" s="1"/>
  <c r="CB135" i="1" a="1"/>
  <c r="CB135" i="1" s="1"/>
  <c r="CE135" i="1" a="1"/>
  <c r="CE135" i="1" s="1"/>
  <c r="CH135" i="1" a="1"/>
  <c r="CH135" i="1" s="1"/>
  <c r="CK135" i="1" a="1"/>
  <c r="CK135" i="1" s="1"/>
  <c r="CN135" i="1" a="1"/>
  <c r="CN135" i="1" s="1"/>
  <c r="CQ135" i="1" a="1"/>
  <c r="CQ135" i="1" s="1"/>
  <c r="CT135" i="1" a="1"/>
  <c r="CT135" i="1"/>
  <c r="CW135" i="1" a="1"/>
  <c r="CW135" i="1" s="1"/>
  <c r="CZ135" i="1" a="1"/>
  <c r="CZ135" i="1" s="1"/>
  <c r="DC135" i="1" a="1"/>
  <c r="DC135" i="1"/>
  <c r="DF135" i="1" a="1"/>
  <c r="DF135" i="1" s="1"/>
  <c r="DI135" i="1" a="1"/>
  <c r="DI135" i="1" s="1"/>
  <c r="DL135" i="1" a="1"/>
  <c r="DL135" i="1"/>
  <c r="DO135" i="1" a="1"/>
  <c r="DO135" i="1" s="1"/>
  <c r="DR135" i="1" a="1"/>
  <c r="DR135" i="1" s="1"/>
  <c r="DU135" i="1" a="1"/>
  <c r="DU135" i="1" s="1"/>
  <c r="DX135" i="1" a="1"/>
  <c r="DX135" i="1" s="1"/>
  <c r="EA135" i="1" a="1"/>
  <c r="EA135" i="1"/>
  <c r="ED135" i="1" a="1"/>
  <c r="ED135" i="1" s="1"/>
  <c r="EG135" i="1" a="1"/>
  <c r="EG135" i="1" s="1"/>
  <c r="EJ135" i="1" a="1"/>
  <c r="EJ135" i="1"/>
  <c r="I136" i="1"/>
  <c r="K136" i="1"/>
  <c r="L136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Y136" i="1"/>
  <c r="AC136" i="1"/>
  <c r="AJ136" i="1"/>
  <c r="AK136" i="1"/>
  <c r="AL136" i="1"/>
  <c r="AM136" i="1"/>
  <c r="AN136" i="1"/>
  <c r="AO136" i="1"/>
  <c r="AP136" i="1"/>
  <c r="AQ136" i="1"/>
  <c r="AT136" i="1"/>
  <c r="H137" i="1"/>
  <c r="AB137" i="1" s="1"/>
  <c r="Z137" i="1" s="1"/>
  <c r="G137" i="1" s="1"/>
  <c r="I137" i="1"/>
  <c r="K137" i="1"/>
  <c r="L137" i="1"/>
  <c r="M137" i="1"/>
  <c r="N137" i="1"/>
  <c r="O137" i="1"/>
  <c r="P137" i="1"/>
  <c r="Q137" i="1"/>
  <c r="R137" i="1"/>
  <c r="S137" i="1"/>
  <c r="T137" i="1"/>
  <c r="U137" i="1"/>
  <c r="V137" i="1"/>
  <c r="W137" i="1"/>
  <c r="X137" i="1"/>
  <c r="Y137" i="1"/>
  <c r="AC137" i="1"/>
  <c r="AD137" i="1" s="1"/>
  <c r="AJ137" i="1"/>
  <c r="AK137" i="1"/>
  <c r="AL137" i="1"/>
  <c r="AM137" i="1"/>
  <c r="AN137" i="1"/>
  <c r="AO137" i="1"/>
  <c r="AP137" i="1"/>
  <c r="AQ137" i="1"/>
  <c r="AT137" i="1"/>
  <c r="AV137" i="1"/>
  <c r="AW137" i="1" a="1"/>
  <c r="AW137" i="1" s="1"/>
  <c r="AX137" i="1" a="1"/>
  <c r="AX137" i="1" s="1"/>
  <c r="AY137" i="1" s="1"/>
  <c r="BA137" i="1" a="1"/>
  <c r="BA137" i="1" s="1"/>
  <c r="BD137" i="1" a="1"/>
  <c r="BD137" i="1"/>
  <c r="BG137" i="1" a="1"/>
  <c r="BG137" i="1" s="1"/>
  <c r="BJ137" i="1" a="1"/>
  <c r="BJ137" i="1" s="1"/>
  <c r="BM137" i="1" a="1"/>
  <c r="BM137" i="1" s="1"/>
  <c r="BP137" i="1" a="1"/>
  <c r="BP137" i="1" s="1"/>
  <c r="BS137" i="1" a="1"/>
  <c r="BS137" i="1" s="1"/>
  <c r="BV137" i="1" a="1"/>
  <c r="BV137" i="1"/>
  <c r="BY137" i="1" a="1"/>
  <c r="BY137" i="1" s="1"/>
  <c r="CB137" i="1" a="1"/>
  <c r="CB137" i="1"/>
  <c r="CE137" i="1" a="1"/>
  <c r="CE137" i="1"/>
  <c r="CH137" i="1" a="1"/>
  <c r="CH137" i="1" s="1"/>
  <c r="CK137" i="1" a="1"/>
  <c r="CK137" i="1" s="1"/>
  <c r="CN137" i="1" a="1"/>
  <c r="CN137" i="1" s="1"/>
  <c r="CQ137" i="1" a="1"/>
  <c r="CQ137" i="1" s="1"/>
  <c r="CT137" i="1" a="1"/>
  <c r="CT137" i="1"/>
  <c r="CW137" i="1" a="1"/>
  <c r="CW137" i="1" s="1"/>
  <c r="CZ137" i="1" a="1"/>
  <c r="CZ137" i="1"/>
  <c r="DC137" i="1" a="1"/>
  <c r="DC137" i="1"/>
  <c r="DF137" i="1" a="1"/>
  <c r="DF137" i="1" s="1"/>
  <c r="DI137" i="1" a="1"/>
  <c r="DI137" i="1" s="1"/>
  <c r="DL137" i="1" a="1"/>
  <c r="DL137" i="1" s="1"/>
  <c r="DO137" i="1" a="1"/>
  <c r="DO137" i="1"/>
  <c r="DR137" i="1" a="1"/>
  <c r="DR137" i="1"/>
  <c r="DU137" i="1" a="1"/>
  <c r="DU137" i="1" s="1"/>
  <c r="DX137" i="1" a="1"/>
  <c r="DX137" i="1" s="1"/>
  <c r="EA137" i="1" a="1"/>
  <c r="EA137" i="1"/>
  <c r="ED137" i="1" a="1"/>
  <c r="ED137" i="1" s="1"/>
  <c r="EG137" i="1" a="1"/>
  <c r="EG137" i="1" s="1"/>
  <c r="EJ137" i="1" a="1"/>
  <c r="EJ137" i="1" s="1"/>
  <c r="I138" i="1"/>
  <c r="K138" i="1"/>
  <c r="L138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Y138" i="1"/>
  <c r="AC138" i="1"/>
  <c r="AJ138" i="1"/>
  <c r="AK138" i="1"/>
  <c r="AL138" i="1"/>
  <c r="AM138" i="1"/>
  <c r="AN138" i="1"/>
  <c r="AO138" i="1"/>
  <c r="AP138" i="1"/>
  <c r="AQ138" i="1"/>
  <c r="AT138" i="1"/>
  <c r="H139" i="1"/>
  <c r="AB139" i="1" s="1"/>
  <c r="I139" i="1"/>
  <c r="K139" i="1"/>
  <c r="L139" i="1"/>
  <c r="M139" i="1"/>
  <c r="N139" i="1"/>
  <c r="O139" i="1"/>
  <c r="P139" i="1"/>
  <c r="Q139" i="1"/>
  <c r="R139" i="1"/>
  <c r="S139" i="1"/>
  <c r="T139" i="1"/>
  <c r="U139" i="1"/>
  <c r="V139" i="1"/>
  <c r="W139" i="1"/>
  <c r="X139" i="1"/>
  <c r="Y139" i="1"/>
  <c r="AC139" i="1"/>
  <c r="AF139" i="1"/>
  <c r="AJ139" i="1"/>
  <c r="AK139" i="1"/>
  <c r="AL139" i="1"/>
  <c r="AM139" i="1"/>
  <c r="AN139" i="1"/>
  <c r="AO139" i="1"/>
  <c r="AP139" i="1"/>
  <c r="AQ139" i="1"/>
  <c r="AT139" i="1"/>
  <c r="AV139" i="1"/>
  <c r="AW139" i="1" a="1"/>
  <c r="AW139" i="1"/>
  <c r="AY139" i="1" s="1"/>
  <c r="AX139" i="1" a="1"/>
  <c r="AX139" i="1" s="1"/>
  <c r="BA139" i="1" a="1"/>
  <c r="BA139" i="1"/>
  <c r="BD139" i="1" a="1"/>
  <c r="BD139" i="1" s="1"/>
  <c r="BG139" i="1" a="1"/>
  <c r="BG139" i="1" s="1"/>
  <c r="BJ139" i="1" a="1"/>
  <c r="BJ139" i="1" s="1"/>
  <c r="BM139" i="1" a="1"/>
  <c r="BM139" i="1" s="1"/>
  <c r="BP139" i="1" a="1"/>
  <c r="BP139" i="1"/>
  <c r="BS139" i="1" a="1"/>
  <c r="BS139" i="1" s="1"/>
  <c r="BV139" i="1" a="1"/>
  <c r="BV139" i="1" s="1"/>
  <c r="BY139" i="1" a="1"/>
  <c r="BY139" i="1" s="1"/>
  <c r="CB139" i="1" a="1"/>
  <c r="CB139" i="1" s="1"/>
  <c r="CE139" i="1" a="1"/>
  <c r="CE139" i="1" s="1"/>
  <c r="CH139" i="1" a="1"/>
  <c r="CH139" i="1" s="1"/>
  <c r="CK139" i="1" a="1"/>
  <c r="CK139" i="1" s="1"/>
  <c r="CN139" i="1" a="1"/>
  <c r="CN139" i="1"/>
  <c r="CQ139" i="1" a="1"/>
  <c r="CQ139" i="1" s="1"/>
  <c r="CT139" i="1" a="1"/>
  <c r="CT139" i="1"/>
  <c r="CW139" i="1" a="1"/>
  <c r="CW139" i="1"/>
  <c r="CZ139" i="1" a="1"/>
  <c r="CZ139" i="1" s="1"/>
  <c r="DC139" i="1" a="1"/>
  <c r="DC139" i="1" s="1"/>
  <c r="DF139" i="1" a="1"/>
  <c r="DF139" i="1" s="1"/>
  <c r="DI139" i="1" a="1"/>
  <c r="DI139" i="1" s="1"/>
  <c r="DL139" i="1" a="1"/>
  <c r="DL139" i="1"/>
  <c r="DO139" i="1" a="1"/>
  <c r="DO139" i="1" s="1"/>
  <c r="DR139" i="1" a="1"/>
  <c r="DR139" i="1" s="1"/>
  <c r="DU139" i="1" a="1"/>
  <c r="DU139" i="1"/>
  <c r="DX139" i="1" a="1"/>
  <c r="DX139" i="1" s="1"/>
  <c r="EA139" i="1" a="1"/>
  <c r="EA139" i="1" s="1"/>
  <c r="ED139" i="1" a="1"/>
  <c r="ED139" i="1" s="1"/>
  <c r="EG139" i="1" a="1"/>
  <c r="EG139" i="1" s="1"/>
  <c r="EJ139" i="1" a="1"/>
  <c r="EJ139" i="1" s="1"/>
  <c r="H140" i="1"/>
  <c r="AB140" i="1" s="1"/>
  <c r="I140" i="1"/>
  <c r="K140" i="1"/>
  <c r="L140" i="1"/>
  <c r="M140" i="1"/>
  <c r="N140" i="1"/>
  <c r="O140" i="1"/>
  <c r="P140" i="1"/>
  <c r="Q140" i="1"/>
  <c r="R140" i="1"/>
  <c r="S140" i="1"/>
  <c r="T140" i="1"/>
  <c r="U140" i="1"/>
  <c r="V140" i="1"/>
  <c r="W140" i="1"/>
  <c r="X140" i="1"/>
  <c r="Y140" i="1"/>
  <c r="AC140" i="1"/>
  <c r="AJ140" i="1"/>
  <c r="AK140" i="1"/>
  <c r="AL140" i="1"/>
  <c r="AM140" i="1"/>
  <c r="AN140" i="1"/>
  <c r="AO140" i="1"/>
  <c r="AP140" i="1"/>
  <c r="AQ140" i="1"/>
  <c r="AT140" i="1"/>
  <c r="AV140" i="1"/>
  <c r="AW140" i="1" a="1"/>
  <c r="AW140" i="1" s="1"/>
  <c r="AX140" i="1" a="1"/>
  <c r="AX140" i="1" s="1"/>
  <c r="AY140" i="1" s="1"/>
  <c r="BA140" i="1" a="1"/>
  <c r="BA140" i="1"/>
  <c r="BD140" i="1" a="1"/>
  <c r="BD140" i="1" s="1"/>
  <c r="BG140" i="1" a="1"/>
  <c r="BG140" i="1"/>
  <c r="BJ140" i="1" a="1"/>
  <c r="BJ140" i="1" s="1"/>
  <c r="BM140" i="1" a="1"/>
  <c r="BM140" i="1" s="1"/>
  <c r="BP140" i="1" a="1"/>
  <c r="BP140" i="1" s="1"/>
  <c r="BS140" i="1" a="1"/>
  <c r="BS140" i="1" s="1"/>
  <c r="BV140" i="1" a="1"/>
  <c r="BV140" i="1" s="1"/>
  <c r="BY140" i="1" a="1"/>
  <c r="BY140" i="1"/>
  <c r="CB140" i="1" a="1"/>
  <c r="CB140" i="1" s="1"/>
  <c r="CE140" i="1" a="1"/>
  <c r="CE140" i="1" s="1"/>
  <c r="CH140" i="1" a="1"/>
  <c r="CH140" i="1" s="1"/>
  <c r="CK140" i="1" a="1"/>
  <c r="CK140" i="1" s="1"/>
  <c r="CN140" i="1" a="1"/>
  <c r="CN140" i="1" s="1"/>
  <c r="CQ140" i="1" a="1"/>
  <c r="CQ140" i="1" s="1"/>
  <c r="CT140" i="1" a="1"/>
  <c r="CT140" i="1" s="1"/>
  <c r="CW140" i="1" a="1"/>
  <c r="CW140" i="1" s="1"/>
  <c r="CZ140" i="1" a="1"/>
  <c r="CZ140" i="1" s="1"/>
  <c r="DC140" i="1" a="1"/>
  <c r="DC140" i="1" s="1"/>
  <c r="DF140" i="1" a="1"/>
  <c r="DF140" i="1"/>
  <c r="DI140" i="1" a="1"/>
  <c r="DI140" i="1" s="1"/>
  <c r="DL140" i="1" a="1"/>
  <c r="DL140" i="1" s="1"/>
  <c r="DO140" i="1" a="1"/>
  <c r="DO140" i="1" s="1"/>
  <c r="DR140" i="1" a="1"/>
  <c r="DR140" i="1" s="1"/>
  <c r="DU140" i="1" a="1"/>
  <c r="DU140" i="1"/>
  <c r="DX140" i="1" a="1"/>
  <c r="DX140" i="1" s="1"/>
  <c r="EA140" i="1" a="1"/>
  <c r="EA140" i="1" s="1"/>
  <c r="ED140" i="1" a="1"/>
  <c r="ED140" i="1" s="1"/>
  <c r="EG140" i="1" a="1"/>
  <c r="EG140" i="1" s="1"/>
  <c r="EJ140" i="1" a="1"/>
  <c r="EJ140" i="1" s="1"/>
  <c r="H141" i="1"/>
  <c r="I141" i="1"/>
  <c r="K141" i="1"/>
  <c r="L141" i="1"/>
  <c r="M141" i="1"/>
  <c r="N141" i="1"/>
  <c r="O141" i="1"/>
  <c r="P141" i="1"/>
  <c r="Q141" i="1"/>
  <c r="R141" i="1"/>
  <c r="S141" i="1"/>
  <c r="T141" i="1"/>
  <c r="U141" i="1"/>
  <c r="V141" i="1"/>
  <c r="W141" i="1"/>
  <c r="X141" i="1"/>
  <c r="Y141" i="1"/>
  <c r="AB141" i="1"/>
  <c r="Z141" i="1" s="1"/>
  <c r="G141" i="1" s="1"/>
  <c r="AC141" i="1"/>
  <c r="AF141" i="1" s="1"/>
  <c r="AJ141" i="1"/>
  <c r="AK141" i="1"/>
  <c r="AL141" i="1"/>
  <c r="AM141" i="1"/>
  <c r="AN141" i="1"/>
  <c r="AO141" i="1"/>
  <c r="AP141" i="1"/>
  <c r="AQ141" i="1"/>
  <c r="AT141" i="1"/>
  <c r="AV141" i="1"/>
  <c r="AW141" i="1" a="1"/>
  <c r="AW141" i="1"/>
  <c r="AX141" i="1" a="1"/>
  <c r="AX141" i="1" s="1"/>
  <c r="AY141" i="1" s="1"/>
  <c r="BA141" i="1" a="1"/>
  <c r="BA141" i="1" s="1"/>
  <c r="BD141" i="1" a="1"/>
  <c r="BD141" i="1" s="1"/>
  <c r="BG141" i="1" a="1"/>
  <c r="BG141" i="1" s="1"/>
  <c r="BJ141" i="1" a="1"/>
  <c r="BJ141" i="1" s="1"/>
  <c r="BM141" i="1" a="1"/>
  <c r="BM141" i="1" s="1"/>
  <c r="BP141" i="1" a="1"/>
  <c r="BP141" i="1"/>
  <c r="BS141" i="1" a="1"/>
  <c r="BS141" i="1" s="1"/>
  <c r="BV141" i="1" a="1"/>
  <c r="BV141" i="1" s="1"/>
  <c r="BY141" i="1" a="1"/>
  <c r="BY141" i="1" s="1"/>
  <c r="CB141" i="1" a="1"/>
  <c r="CB141" i="1" s="1"/>
  <c r="CE141" i="1" a="1"/>
  <c r="CE141" i="1"/>
  <c r="CH141" i="1" a="1"/>
  <c r="CH141" i="1" s="1"/>
  <c r="CK141" i="1" a="1"/>
  <c r="CK141" i="1" s="1"/>
  <c r="CN141" i="1" a="1"/>
  <c r="CN141" i="1"/>
  <c r="CQ141" i="1" a="1"/>
  <c r="CQ141" i="1" s="1"/>
  <c r="CT141" i="1" a="1"/>
  <c r="CT141" i="1" s="1"/>
  <c r="CW141" i="1" a="1"/>
  <c r="CW141" i="1" s="1"/>
  <c r="CZ141" i="1" a="1"/>
  <c r="CZ141" i="1" s="1"/>
  <c r="DC141" i="1" a="1"/>
  <c r="DC141" i="1" s="1"/>
  <c r="DF141" i="1" a="1"/>
  <c r="DF141" i="1" s="1"/>
  <c r="DI141" i="1" a="1"/>
  <c r="DI141" i="1" s="1"/>
  <c r="DL141" i="1" a="1"/>
  <c r="DL141" i="1"/>
  <c r="DO141" i="1" a="1"/>
  <c r="DO141" i="1" s="1"/>
  <c r="DR141" i="1" a="1"/>
  <c r="DR141" i="1" s="1"/>
  <c r="DU141" i="1" a="1"/>
  <c r="DU141" i="1" s="1"/>
  <c r="DX141" i="1" a="1"/>
  <c r="DX141" i="1" s="1"/>
  <c r="EA141" i="1" a="1"/>
  <c r="EA141" i="1"/>
  <c r="ED141" i="1" a="1"/>
  <c r="ED141" i="1" s="1"/>
  <c r="EG141" i="1" a="1"/>
  <c r="EG141" i="1" s="1"/>
  <c r="EJ141" i="1" a="1"/>
  <c r="EJ141" i="1"/>
  <c r="I142" i="1"/>
  <c r="K142" i="1"/>
  <c r="L142" i="1"/>
  <c r="M142" i="1"/>
  <c r="N142" i="1"/>
  <c r="O142" i="1"/>
  <c r="P142" i="1"/>
  <c r="Q142" i="1"/>
  <c r="R142" i="1"/>
  <c r="S142" i="1"/>
  <c r="T142" i="1"/>
  <c r="U142" i="1"/>
  <c r="V142" i="1"/>
  <c r="W142" i="1"/>
  <c r="X142" i="1"/>
  <c r="Y142" i="1"/>
  <c r="AC142" i="1"/>
  <c r="AJ142" i="1"/>
  <c r="AK142" i="1"/>
  <c r="AL142" i="1"/>
  <c r="AM142" i="1"/>
  <c r="AN142" i="1"/>
  <c r="AO142" i="1"/>
  <c r="AP142" i="1"/>
  <c r="AQ142" i="1"/>
  <c r="AT142" i="1"/>
  <c r="I143" i="1"/>
  <c r="K143" i="1"/>
  <c r="L143" i="1"/>
  <c r="M143" i="1"/>
  <c r="N143" i="1"/>
  <c r="O143" i="1"/>
  <c r="P143" i="1"/>
  <c r="Q143" i="1"/>
  <c r="R143" i="1"/>
  <c r="S143" i="1"/>
  <c r="T143" i="1"/>
  <c r="U143" i="1"/>
  <c r="V143" i="1"/>
  <c r="W143" i="1"/>
  <c r="X143" i="1"/>
  <c r="Y143" i="1"/>
  <c r="AC143" i="1"/>
  <c r="AJ143" i="1"/>
  <c r="AK143" i="1"/>
  <c r="AL143" i="1"/>
  <c r="AM143" i="1"/>
  <c r="AN143" i="1"/>
  <c r="AO143" i="1"/>
  <c r="AP143" i="1"/>
  <c r="AQ143" i="1"/>
  <c r="AT143" i="1"/>
  <c r="H144" i="1"/>
  <c r="AB144" i="1" s="1"/>
  <c r="Z144" i="1" s="1"/>
  <c r="G144" i="1" s="1"/>
  <c r="I144" i="1"/>
  <c r="K144" i="1"/>
  <c r="L144" i="1"/>
  <c r="M144" i="1"/>
  <c r="N144" i="1"/>
  <c r="O144" i="1"/>
  <c r="P144" i="1"/>
  <c r="Q144" i="1"/>
  <c r="R144" i="1"/>
  <c r="S144" i="1"/>
  <c r="T144" i="1"/>
  <c r="U144" i="1"/>
  <c r="V144" i="1"/>
  <c r="W144" i="1"/>
  <c r="X144" i="1"/>
  <c r="Y144" i="1"/>
  <c r="AC144" i="1"/>
  <c r="AD144" i="1" s="1"/>
  <c r="AJ144" i="1"/>
  <c r="AK144" i="1"/>
  <c r="AL144" i="1"/>
  <c r="AM144" i="1"/>
  <c r="AN144" i="1"/>
  <c r="AO144" i="1"/>
  <c r="AP144" i="1"/>
  <c r="AQ144" i="1"/>
  <c r="AT144" i="1"/>
  <c r="H145" i="1"/>
  <c r="AB145" i="1" s="1"/>
  <c r="Z145" i="1" s="1"/>
  <c r="G145" i="1" s="1"/>
  <c r="I145" i="1"/>
  <c r="K145" i="1"/>
  <c r="L145" i="1"/>
  <c r="M145" i="1"/>
  <c r="N145" i="1"/>
  <c r="O145" i="1"/>
  <c r="P145" i="1"/>
  <c r="Q145" i="1"/>
  <c r="R145" i="1"/>
  <c r="S145" i="1"/>
  <c r="T145" i="1"/>
  <c r="U145" i="1"/>
  <c r="V145" i="1"/>
  <c r="W145" i="1"/>
  <c r="X145" i="1"/>
  <c r="Y145" i="1"/>
  <c r="AC145" i="1"/>
  <c r="AJ145" i="1"/>
  <c r="AK145" i="1"/>
  <c r="AL145" i="1"/>
  <c r="AM145" i="1"/>
  <c r="AN145" i="1"/>
  <c r="AO145" i="1"/>
  <c r="AP145" i="1"/>
  <c r="AQ145" i="1"/>
  <c r="AT145" i="1"/>
  <c r="H146" i="1"/>
  <c r="AB146" i="1" s="1"/>
  <c r="Z146" i="1" s="1"/>
  <c r="G146" i="1" s="1"/>
  <c r="I146" i="1"/>
  <c r="K146" i="1"/>
  <c r="L146" i="1"/>
  <c r="M146" i="1"/>
  <c r="N146" i="1"/>
  <c r="O146" i="1"/>
  <c r="P146" i="1"/>
  <c r="Q146" i="1"/>
  <c r="R146" i="1"/>
  <c r="S146" i="1"/>
  <c r="T146" i="1"/>
  <c r="U146" i="1"/>
  <c r="V146" i="1"/>
  <c r="W146" i="1"/>
  <c r="X146" i="1"/>
  <c r="Y146" i="1"/>
  <c r="AC146" i="1"/>
  <c r="AF146" i="1" s="1"/>
  <c r="AJ146" i="1"/>
  <c r="AK146" i="1"/>
  <c r="AL146" i="1"/>
  <c r="AM146" i="1"/>
  <c r="AN146" i="1"/>
  <c r="AO146" i="1"/>
  <c r="AP146" i="1"/>
  <c r="AQ146" i="1"/>
  <c r="AT146" i="1"/>
  <c r="H147" i="1"/>
  <c r="I147" i="1"/>
  <c r="K147" i="1"/>
  <c r="L147" i="1"/>
  <c r="M147" i="1"/>
  <c r="N147" i="1"/>
  <c r="O147" i="1"/>
  <c r="P147" i="1"/>
  <c r="Q147" i="1"/>
  <c r="R147" i="1"/>
  <c r="S147" i="1"/>
  <c r="T147" i="1"/>
  <c r="U147" i="1"/>
  <c r="V147" i="1"/>
  <c r="W147" i="1"/>
  <c r="X147" i="1"/>
  <c r="Y147" i="1"/>
  <c r="AB147" i="1"/>
  <c r="Z147" i="1" s="1"/>
  <c r="G147" i="1" s="1"/>
  <c r="AC147" i="1"/>
  <c r="AJ147" i="1"/>
  <c r="AK147" i="1"/>
  <c r="AL147" i="1"/>
  <c r="AM147" i="1"/>
  <c r="AN147" i="1"/>
  <c r="AO147" i="1"/>
  <c r="AP147" i="1"/>
  <c r="AQ147" i="1"/>
  <c r="AT147" i="1"/>
  <c r="H148" i="1"/>
  <c r="AB148" i="1" s="1"/>
  <c r="I148" i="1"/>
  <c r="K148" i="1"/>
  <c r="L148" i="1"/>
  <c r="M148" i="1"/>
  <c r="N148" i="1"/>
  <c r="O148" i="1"/>
  <c r="P148" i="1"/>
  <c r="Q148" i="1"/>
  <c r="R148" i="1"/>
  <c r="S148" i="1"/>
  <c r="T148" i="1"/>
  <c r="U148" i="1"/>
  <c r="V148" i="1"/>
  <c r="W148" i="1"/>
  <c r="X148" i="1"/>
  <c r="Y148" i="1"/>
  <c r="AC148" i="1"/>
  <c r="AJ148" i="1"/>
  <c r="AK148" i="1"/>
  <c r="AL148" i="1"/>
  <c r="AM148" i="1"/>
  <c r="AN148" i="1"/>
  <c r="AO148" i="1"/>
  <c r="AP148" i="1"/>
  <c r="AQ148" i="1"/>
  <c r="AT148" i="1"/>
  <c r="H149" i="1"/>
  <c r="AB149" i="1" s="1"/>
  <c r="Z149" i="1" s="1"/>
  <c r="G149" i="1" s="1"/>
  <c r="I149" i="1"/>
  <c r="K149" i="1"/>
  <c r="L149" i="1"/>
  <c r="M149" i="1"/>
  <c r="N149" i="1"/>
  <c r="O149" i="1"/>
  <c r="P149" i="1"/>
  <c r="Q149" i="1"/>
  <c r="R149" i="1"/>
  <c r="S149" i="1"/>
  <c r="T149" i="1"/>
  <c r="U149" i="1"/>
  <c r="V149" i="1"/>
  <c r="W149" i="1"/>
  <c r="X149" i="1"/>
  <c r="Y149" i="1"/>
  <c r="AC149" i="1"/>
  <c r="AD149" i="1" s="1"/>
  <c r="AJ149" i="1"/>
  <c r="AK149" i="1"/>
  <c r="AL149" i="1"/>
  <c r="AM149" i="1"/>
  <c r="AN149" i="1"/>
  <c r="AO149" i="1"/>
  <c r="AP149" i="1"/>
  <c r="AQ149" i="1"/>
  <c r="AT149" i="1"/>
  <c r="H150" i="1"/>
  <c r="I150" i="1"/>
  <c r="K150" i="1"/>
  <c r="L150" i="1"/>
  <c r="M150" i="1"/>
  <c r="N150" i="1"/>
  <c r="O150" i="1"/>
  <c r="P150" i="1"/>
  <c r="Q150" i="1"/>
  <c r="R150" i="1"/>
  <c r="S150" i="1"/>
  <c r="T150" i="1"/>
  <c r="U150" i="1"/>
  <c r="V150" i="1"/>
  <c r="W150" i="1"/>
  <c r="X150" i="1"/>
  <c r="Y150" i="1"/>
  <c r="AB150" i="1"/>
  <c r="AD150" i="1" s="1"/>
  <c r="AC150" i="1"/>
  <c r="AF150" i="1" s="1"/>
  <c r="AJ150" i="1"/>
  <c r="AK150" i="1"/>
  <c r="AL150" i="1"/>
  <c r="AM150" i="1"/>
  <c r="AN150" i="1"/>
  <c r="AO150" i="1"/>
  <c r="AP150" i="1"/>
  <c r="AQ150" i="1"/>
  <c r="AT150" i="1"/>
  <c r="H151" i="1"/>
  <c r="AB151" i="1" s="1"/>
  <c r="I151" i="1"/>
  <c r="K151" i="1"/>
  <c r="L151" i="1"/>
  <c r="M151" i="1"/>
  <c r="N151" i="1"/>
  <c r="O151" i="1"/>
  <c r="P151" i="1"/>
  <c r="Q151" i="1"/>
  <c r="R151" i="1"/>
  <c r="S151" i="1"/>
  <c r="T151" i="1"/>
  <c r="U151" i="1"/>
  <c r="V151" i="1"/>
  <c r="W151" i="1"/>
  <c r="X151" i="1"/>
  <c r="Y151" i="1"/>
  <c r="AC151" i="1"/>
  <c r="AF151" i="1"/>
  <c r="AJ151" i="1"/>
  <c r="AK151" i="1"/>
  <c r="AL151" i="1"/>
  <c r="AM151" i="1"/>
  <c r="AN151" i="1"/>
  <c r="AO151" i="1"/>
  <c r="AP151" i="1"/>
  <c r="AQ151" i="1"/>
  <c r="AT151" i="1"/>
  <c r="H152" i="1"/>
  <c r="AB152" i="1" s="1"/>
  <c r="Z152" i="1" s="1"/>
  <c r="G152" i="1" s="1"/>
  <c r="I152" i="1"/>
  <c r="K152" i="1"/>
  <c r="L152" i="1"/>
  <c r="M152" i="1"/>
  <c r="N152" i="1"/>
  <c r="O152" i="1"/>
  <c r="P152" i="1"/>
  <c r="Q152" i="1"/>
  <c r="R152" i="1"/>
  <c r="S152" i="1"/>
  <c r="T152" i="1"/>
  <c r="U152" i="1"/>
  <c r="V152" i="1"/>
  <c r="W152" i="1"/>
  <c r="X152" i="1"/>
  <c r="Y152" i="1"/>
  <c r="AJ152" i="1"/>
  <c r="AK152" i="1"/>
  <c r="AL152" i="1"/>
  <c r="AM152" i="1"/>
  <c r="AN152" i="1"/>
  <c r="AO152" i="1"/>
  <c r="AP152" i="1"/>
  <c r="AQ152" i="1"/>
  <c r="AT152" i="1"/>
  <c r="AW154" i="1"/>
  <c r="AZ154" i="1" s="1"/>
  <c r="BC154" i="1" s="1"/>
  <c r="BF154" i="1" s="1"/>
  <c r="BI154" i="1" s="1"/>
  <c r="BL154" i="1" s="1"/>
  <c r="BO154" i="1" s="1"/>
  <c r="BR154" i="1" s="1"/>
  <c r="BU154" i="1" s="1"/>
  <c r="BX154" i="1" s="1"/>
  <c r="CA154" i="1" s="1"/>
  <c r="CD154" i="1" s="1"/>
  <c r="CG154" i="1" s="1"/>
  <c r="CJ154" i="1" s="1"/>
  <c r="CM154" i="1" s="1"/>
  <c r="CP154" i="1" s="1"/>
  <c r="CS154" i="1" s="1"/>
  <c r="CV154" i="1" s="1"/>
  <c r="CY154" i="1" s="1"/>
  <c r="DB154" i="1" s="1"/>
  <c r="DE154" i="1" s="1"/>
  <c r="DH154" i="1" s="1"/>
  <c r="DK154" i="1" s="1"/>
  <c r="DN154" i="1" s="1"/>
  <c r="DQ154" i="1" s="1"/>
  <c r="DT154" i="1" s="1"/>
  <c r="DW154" i="1" s="1"/>
  <c r="DZ154" i="1" s="1"/>
  <c r="EC154" i="1" s="1"/>
  <c r="EF154" i="1" s="1"/>
  <c r="EI154" i="1" s="1"/>
  <c r="K155" i="1"/>
  <c r="L155" i="1"/>
  <c r="M155" i="1"/>
  <c r="N155" i="1"/>
  <c r="O155" i="1"/>
  <c r="P155" i="1"/>
  <c r="Q155" i="1"/>
  <c r="R155" i="1"/>
  <c r="S155" i="1"/>
  <c r="T155" i="1"/>
  <c r="U155" i="1"/>
  <c r="V155" i="1"/>
  <c r="W155" i="1"/>
  <c r="X155" i="1"/>
  <c r="Y155" i="1"/>
  <c r="Z155" i="1"/>
  <c r="G156" i="1"/>
  <c r="I156" i="1"/>
  <c r="K156" i="1"/>
  <c r="L156" i="1"/>
  <c r="M156" i="1"/>
  <c r="N156" i="1"/>
  <c r="O156" i="1"/>
  <c r="P156" i="1"/>
  <c r="Q156" i="1"/>
  <c r="R156" i="1"/>
  <c r="S156" i="1"/>
  <c r="T156" i="1"/>
  <c r="U156" i="1"/>
  <c r="V156" i="1"/>
  <c r="W156" i="1"/>
  <c r="X156" i="1"/>
  <c r="Y156" i="1"/>
  <c r="Z156" i="1"/>
  <c r="AC156" i="1"/>
  <c r="AJ156" i="1"/>
  <c r="AK156" i="1"/>
  <c r="AL156" i="1"/>
  <c r="AM156" i="1"/>
  <c r="AN156" i="1"/>
  <c r="AO156" i="1"/>
  <c r="AP156" i="1"/>
  <c r="AQ156" i="1"/>
  <c r="AT156" i="1"/>
  <c r="AV156" i="1"/>
  <c r="AW156" i="1"/>
  <c r="AY156" i="1" s="1"/>
  <c r="AX156" i="1"/>
  <c r="BA156" i="1"/>
  <c r="BD156" i="1"/>
  <c r="BG156" i="1"/>
  <c r="BJ156" i="1"/>
  <c r="BM156" i="1"/>
  <c r="BP156" i="1"/>
  <c r="BS156" i="1"/>
  <c r="BV156" i="1"/>
  <c r="BY156" i="1"/>
  <c r="CB156" i="1"/>
  <c r="CE156" i="1"/>
  <c r="CH156" i="1"/>
  <c r="CK156" i="1"/>
  <c r="CN156" i="1"/>
  <c r="CQ156" i="1"/>
  <c r="CT156" i="1"/>
  <c r="CW156" i="1"/>
  <c r="CZ156" i="1"/>
  <c r="DC156" i="1"/>
  <c r="DF156" i="1"/>
  <c r="DI156" i="1"/>
  <c r="DO156" i="1"/>
  <c r="DR156" i="1"/>
  <c r="DU156" i="1"/>
  <c r="DX156" i="1"/>
  <c r="EA156" i="1"/>
  <c r="ED156" i="1"/>
  <c r="EG156" i="1"/>
  <c r="EJ156" i="1"/>
  <c r="G157" i="1"/>
  <c r="I157" i="1"/>
  <c r="K157" i="1"/>
  <c r="L157" i="1"/>
  <c r="M157" i="1"/>
  <c r="N157" i="1"/>
  <c r="O157" i="1"/>
  <c r="P157" i="1"/>
  <c r="Q157" i="1"/>
  <c r="R157" i="1"/>
  <c r="S157" i="1"/>
  <c r="T157" i="1"/>
  <c r="U157" i="1"/>
  <c r="V157" i="1"/>
  <c r="W157" i="1"/>
  <c r="X157" i="1"/>
  <c r="Y157" i="1"/>
  <c r="Z157" i="1"/>
  <c r="AC157" i="1"/>
  <c r="AJ157" i="1"/>
  <c r="AK157" i="1"/>
  <c r="AL157" i="1"/>
  <c r="AM157" i="1"/>
  <c r="AN157" i="1"/>
  <c r="AO157" i="1"/>
  <c r="AP157" i="1"/>
  <c r="AQ157" i="1"/>
  <c r="AT157" i="1"/>
  <c r="AV157" i="1"/>
  <c r="AW157" i="1"/>
  <c r="AX157" i="1"/>
  <c r="BA157" i="1"/>
  <c r="BD157" i="1"/>
  <c r="BG157" i="1"/>
  <c r="BJ157" i="1"/>
  <c r="BM157" i="1"/>
  <c r="BP157" i="1"/>
  <c r="BS157" i="1"/>
  <c r="BV157" i="1"/>
  <c r="BY157" i="1"/>
  <c r="CB157" i="1"/>
  <c r="CE157" i="1"/>
  <c r="CH157" i="1"/>
  <c r="CK157" i="1"/>
  <c r="CN157" i="1"/>
  <c r="CQ157" i="1"/>
  <c r="CT157" i="1"/>
  <c r="CW157" i="1"/>
  <c r="CZ157" i="1"/>
  <c r="DC157" i="1"/>
  <c r="DF157" i="1"/>
  <c r="DI157" i="1"/>
  <c r="DL157" i="1"/>
  <c r="DO157" i="1"/>
  <c r="DR157" i="1"/>
  <c r="DU157" i="1"/>
  <c r="DX157" i="1"/>
  <c r="EA157" i="1"/>
  <c r="ED157" i="1"/>
  <c r="EG157" i="1"/>
  <c r="EJ157" i="1"/>
  <c r="G158" i="1"/>
  <c r="I158" i="1"/>
  <c r="K158" i="1"/>
  <c r="L158" i="1"/>
  <c r="M158" i="1"/>
  <c r="N158" i="1"/>
  <c r="O158" i="1"/>
  <c r="P158" i="1"/>
  <c r="Q158" i="1"/>
  <c r="R158" i="1"/>
  <c r="S158" i="1"/>
  <c r="T158" i="1"/>
  <c r="U158" i="1"/>
  <c r="V158" i="1"/>
  <c r="W158" i="1"/>
  <c r="X158" i="1"/>
  <c r="Y158" i="1"/>
  <c r="Z158" i="1"/>
  <c r="AC158" i="1"/>
  <c r="AJ158" i="1"/>
  <c r="AK158" i="1"/>
  <c r="AL158" i="1"/>
  <c r="AM158" i="1"/>
  <c r="AN158" i="1"/>
  <c r="AO158" i="1"/>
  <c r="AP158" i="1"/>
  <c r="AQ158" i="1"/>
  <c r="AT158" i="1"/>
  <c r="AV158" i="1"/>
  <c r="G159" i="1"/>
  <c r="I159" i="1"/>
  <c r="K159" i="1"/>
  <c r="L159" i="1"/>
  <c r="M159" i="1"/>
  <c r="N159" i="1"/>
  <c r="O159" i="1"/>
  <c r="P159" i="1"/>
  <c r="Q159" i="1"/>
  <c r="R159" i="1"/>
  <c r="S159" i="1"/>
  <c r="T159" i="1"/>
  <c r="U159" i="1"/>
  <c r="V159" i="1"/>
  <c r="W159" i="1"/>
  <c r="X159" i="1"/>
  <c r="Y159" i="1"/>
  <c r="Z159" i="1"/>
  <c r="AC159" i="1"/>
  <c r="AJ159" i="1"/>
  <c r="AK159" i="1"/>
  <c r="AL159" i="1"/>
  <c r="AM159" i="1"/>
  <c r="AN159" i="1"/>
  <c r="AO159" i="1"/>
  <c r="AP159" i="1"/>
  <c r="AQ159" i="1"/>
  <c r="AT159" i="1"/>
  <c r="AV159" i="1"/>
  <c r="AW159" i="1"/>
  <c r="AX159" i="1"/>
  <c r="AZ159" i="1"/>
  <c r="BA159" i="1"/>
  <c r="BB159" i="1" s="1"/>
  <c r="BC159" i="1"/>
  <c r="BD159" i="1"/>
  <c r="BF159" i="1"/>
  <c r="BH159" i="1" s="1"/>
  <c r="BG159" i="1"/>
  <c r="BI159" i="1"/>
  <c r="BK159" i="1" s="1"/>
  <c r="BJ159" i="1"/>
  <c r="BL159" i="1"/>
  <c r="BN159" i="1" s="1"/>
  <c r="BM159" i="1"/>
  <c r="BO159" i="1"/>
  <c r="BP159" i="1"/>
  <c r="BQ159" i="1" s="1"/>
  <c r="BR159" i="1"/>
  <c r="BS159" i="1"/>
  <c r="BU159" i="1"/>
  <c r="BV159" i="1"/>
  <c r="BW159" i="1" s="1"/>
  <c r="BX159" i="1"/>
  <c r="BY159" i="1"/>
  <c r="CA159" i="1"/>
  <c r="CB159" i="1"/>
  <c r="CC159" i="1" s="1"/>
  <c r="CD159" i="1"/>
  <c r="CE159" i="1"/>
  <c r="CG159" i="1"/>
  <c r="CH159" i="1"/>
  <c r="CI159" i="1" s="1"/>
  <c r="CJ159" i="1"/>
  <c r="CL159" i="1" s="1"/>
  <c r="CK159" i="1"/>
  <c r="CM159" i="1"/>
  <c r="CN159" i="1"/>
  <c r="CO159" i="1" s="1"/>
  <c r="CP159" i="1"/>
  <c r="CQ159" i="1"/>
  <c r="CR159" i="1"/>
  <c r="CS159" i="1"/>
  <c r="CT159" i="1"/>
  <c r="CU159" i="1" s="1"/>
  <c r="CV159" i="1"/>
  <c r="CW159" i="1"/>
  <c r="CX159" i="1" s="1"/>
  <c r="CY159" i="1"/>
  <c r="CZ159" i="1"/>
  <c r="DA159" i="1" s="1"/>
  <c r="DB159" i="1"/>
  <c r="DC159" i="1"/>
  <c r="DE159" i="1"/>
  <c r="DF159" i="1"/>
  <c r="DG159" i="1" s="1"/>
  <c r="DH159" i="1"/>
  <c r="DJ159" i="1" s="1"/>
  <c r="DI159" i="1"/>
  <c r="DK159" i="1"/>
  <c r="DL159" i="1"/>
  <c r="DM159" i="1"/>
  <c r="DN159" i="1"/>
  <c r="DO159" i="1"/>
  <c r="DQ159" i="1"/>
  <c r="DR159" i="1"/>
  <c r="DT159" i="1"/>
  <c r="DU159" i="1"/>
  <c r="DW159" i="1"/>
  <c r="DX159" i="1"/>
  <c r="DZ159" i="1"/>
  <c r="EB159" i="1" s="1"/>
  <c r="EA159" i="1"/>
  <c r="EC159" i="1"/>
  <c r="ED159" i="1"/>
  <c r="EE159" i="1"/>
  <c r="EF159" i="1"/>
  <c r="EH159" i="1" s="1"/>
  <c r="EG159" i="1"/>
  <c r="EI159" i="1"/>
  <c r="EJ159" i="1"/>
  <c r="EK159" i="1" s="1"/>
  <c r="G160" i="1"/>
  <c r="I160" i="1"/>
  <c r="K160" i="1"/>
  <c r="L160" i="1"/>
  <c r="M160" i="1"/>
  <c r="N160" i="1"/>
  <c r="O160" i="1"/>
  <c r="P160" i="1"/>
  <c r="Q160" i="1"/>
  <c r="R160" i="1"/>
  <c r="S160" i="1"/>
  <c r="T160" i="1"/>
  <c r="U160" i="1"/>
  <c r="V160" i="1"/>
  <c r="W160" i="1"/>
  <c r="X160" i="1"/>
  <c r="Y160" i="1"/>
  <c r="Z160" i="1"/>
  <c r="AJ160" i="1"/>
  <c r="AK160" i="1"/>
  <c r="AL160" i="1"/>
  <c r="AM160" i="1"/>
  <c r="AN160" i="1"/>
  <c r="AO160" i="1"/>
  <c r="AP160" i="1"/>
  <c r="AQ160" i="1"/>
  <c r="AT160" i="1"/>
  <c r="AV160" i="1"/>
  <c r="G161" i="1"/>
  <c r="I161" i="1"/>
  <c r="K161" i="1"/>
  <c r="J161" i="1" s="1"/>
  <c r="L161" i="1"/>
  <c r="M161" i="1"/>
  <c r="N161" i="1"/>
  <c r="O161" i="1"/>
  <c r="P161" i="1"/>
  <c r="Q161" i="1"/>
  <c r="R161" i="1"/>
  <c r="S161" i="1"/>
  <c r="T161" i="1"/>
  <c r="U161" i="1"/>
  <c r="V161" i="1"/>
  <c r="W161" i="1"/>
  <c r="X161" i="1"/>
  <c r="Y161" i="1"/>
  <c r="Z161" i="1"/>
  <c r="AC161" i="1"/>
  <c r="AJ161" i="1"/>
  <c r="AK161" i="1"/>
  <c r="AL161" i="1"/>
  <c r="AO161" i="1"/>
  <c r="AP161" i="1"/>
  <c r="AQ161" i="1"/>
  <c r="AT161" i="1"/>
  <c r="AV161" i="1"/>
  <c r="AW161" i="1"/>
  <c r="AX161" i="1"/>
  <c r="BA161" i="1"/>
  <c r="BD161" i="1"/>
  <c r="BG161" i="1"/>
  <c r="BJ161" i="1"/>
  <c r="BM161" i="1"/>
  <c r="BP161" i="1"/>
  <c r="BS161" i="1"/>
  <c r="BV161" i="1"/>
  <c r="BY161" i="1"/>
  <c r="CB161" i="1"/>
  <c r="CE161" i="1"/>
  <c r="CH161" i="1"/>
  <c r="CK161" i="1"/>
  <c r="CN161" i="1"/>
  <c r="CQ161" i="1"/>
  <c r="CT161" i="1"/>
  <c r="CW161" i="1"/>
  <c r="CZ161" i="1"/>
  <c r="DC161" i="1"/>
  <c r="DF161" i="1"/>
  <c r="DI161" i="1"/>
  <c r="DL161" i="1"/>
  <c r="DO161" i="1"/>
  <c r="DR161" i="1"/>
  <c r="DU161" i="1"/>
  <c r="DX161" i="1"/>
  <c r="EA161" i="1"/>
  <c r="ED161" i="1"/>
  <c r="EG161" i="1"/>
  <c r="EJ161" i="1"/>
  <c r="G162" i="1"/>
  <c r="I162" i="1"/>
  <c r="K162" i="1"/>
  <c r="L162" i="1"/>
  <c r="M162" i="1"/>
  <c r="N162" i="1"/>
  <c r="O162" i="1"/>
  <c r="P162" i="1"/>
  <c r="Q162" i="1"/>
  <c r="R162" i="1"/>
  <c r="S162" i="1"/>
  <c r="T162" i="1"/>
  <c r="U162" i="1"/>
  <c r="V162" i="1"/>
  <c r="W162" i="1"/>
  <c r="X162" i="1"/>
  <c r="Y162" i="1"/>
  <c r="Z162" i="1"/>
  <c r="AC162" i="1"/>
  <c r="AJ162" i="1"/>
  <c r="AK162" i="1"/>
  <c r="AL162" i="1"/>
  <c r="AN162" i="1"/>
  <c r="AO162" i="1"/>
  <c r="AP162" i="1"/>
  <c r="AQ162" i="1"/>
  <c r="AT162" i="1"/>
  <c r="AV162" i="1"/>
  <c r="AW162" i="1"/>
  <c r="AX162" i="1"/>
  <c r="AY162" i="1" s="1"/>
  <c r="AZ162" i="1"/>
  <c r="BB162" i="1" s="1"/>
  <c r="BA162" i="1"/>
  <c r="BC162" i="1"/>
  <c r="BE162" i="1" s="1"/>
  <c r="BD162" i="1"/>
  <c r="BF162" i="1"/>
  <c r="BG162" i="1"/>
  <c r="BH162" i="1"/>
  <c r="BI162" i="1"/>
  <c r="BJ162" i="1"/>
  <c r="BK162" i="1"/>
  <c r="BL162" i="1"/>
  <c r="BM162" i="1"/>
  <c r="BN162" i="1" s="1"/>
  <c r="BO162" i="1"/>
  <c r="BP162" i="1"/>
  <c r="BQ162" i="1" s="1"/>
  <c r="BR162" i="1"/>
  <c r="BS162" i="1"/>
  <c r="BT162" i="1" s="1"/>
  <c r="BU162" i="1"/>
  <c r="BV162" i="1"/>
  <c r="BX162" i="1"/>
  <c r="BZ162" i="1" s="1"/>
  <c r="BY162" i="1"/>
  <c r="CA162" i="1"/>
  <c r="CB162" i="1"/>
  <c r="CD162" i="1"/>
  <c r="CE162" i="1"/>
  <c r="CF162" i="1" s="1"/>
  <c r="CG162" i="1"/>
  <c r="CI162" i="1" s="1"/>
  <c r="CH162" i="1"/>
  <c r="CJ162" i="1"/>
  <c r="CK162" i="1"/>
  <c r="CL162" i="1" s="1"/>
  <c r="CM162" i="1"/>
  <c r="CN162" i="1"/>
  <c r="CO162" i="1" s="1"/>
  <c r="CP162" i="1"/>
  <c r="CQ162" i="1"/>
  <c r="CS162" i="1"/>
  <c r="CT162" i="1"/>
  <c r="CV162" i="1"/>
  <c r="CW162" i="1"/>
  <c r="CY162" i="1"/>
  <c r="DA162" i="1" s="1"/>
  <c r="CZ162" i="1"/>
  <c r="DB162" i="1"/>
  <c r="DC162" i="1"/>
  <c r="DE162" i="1"/>
  <c r="DF162" i="1"/>
  <c r="DG162" i="1"/>
  <c r="DH162" i="1"/>
  <c r="DI162" i="1"/>
  <c r="DJ162" i="1" s="1"/>
  <c r="DK162" i="1"/>
  <c r="DL162" i="1"/>
  <c r="DN162" i="1"/>
  <c r="DO162" i="1"/>
  <c r="DQ162" i="1"/>
  <c r="DR162" i="1"/>
  <c r="DS162" i="1" s="1"/>
  <c r="DT162" i="1"/>
  <c r="DU162" i="1"/>
  <c r="DW162" i="1"/>
  <c r="DX162" i="1"/>
  <c r="DZ162" i="1"/>
  <c r="EA162" i="1"/>
  <c r="EB162" i="1" s="1"/>
  <c r="EC162" i="1"/>
  <c r="EE162" i="1" s="1"/>
  <c r="ED162" i="1"/>
  <c r="EF162" i="1"/>
  <c r="EG162" i="1"/>
  <c r="EI162" i="1"/>
  <c r="EJ162" i="1"/>
  <c r="G163" i="1"/>
  <c r="I163" i="1"/>
  <c r="K163" i="1"/>
  <c r="L163" i="1"/>
  <c r="M163" i="1"/>
  <c r="N163" i="1"/>
  <c r="O163" i="1"/>
  <c r="P163" i="1"/>
  <c r="Q163" i="1"/>
  <c r="R163" i="1"/>
  <c r="S163" i="1"/>
  <c r="T163" i="1"/>
  <c r="U163" i="1"/>
  <c r="V163" i="1"/>
  <c r="W163" i="1"/>
  <c r="X163" i="1"/>
  <c r="Y163" i="1"/>
  <c r="Z163" i="1"/>
  <c r="AC163" i="1"/>
  <c r="AJ163" i="1"/>
  <c r="AK163" i="1"/>
  <c r="AL163" i="1"/>
  <c r="AM163" i="1"/>
  <c r="AN163" i="1"/>
  <c r="AO163" i="1"/>
  <c r="AP163" i="1"/>
  <c r="AQ163" i="1"/>
  <c r="AT163" i="1"/>
  <c r="AV163" i="1"/>
  <c r="AW163" i="1"/>
  <c r="AY163" i="1" s="1"/>
  <c r="AX163" i="1"/>
  <c r="BA163" i="1"/>
  <c r="BD163" i="1"/>
  <c r="BG163" i="1"/>
  <c r="BJ163" i="1"/>
  <c r="BM163" i="1"/>
  <c r="BP163" i="1"/>
  <c r="BS163" i="1"/>
  <c r="BV163" i="1"/>
  <c r="BY163" i="1"/>
  <c r="CB163" i="1"/>
  <c r="CE163" i="1"/>
  <c r="CH163" i="1"/>
  <c r="CK163" i="1"/>
  <c r="CN163" i="1"/>
  <c r="CQ163" i="1"/>
  <c r="CT163" i="1"/>
  <c r="CW163" i="1"/>
  <c r="CZ163" i="1"/>
  <c r="DC163" i="1"/>
  <c r="DF163" i="1"/>
  <c r="DI163" i="1"/>
  <c r="DL163" i="1"/>
  <c r="DO163" i="1"/>
  <c r="DU163" i="1"/>
  <c r="DX163" i="1"/>
  <c r="EA163" i="1"/>
  <c r="ED163" i="1"/>
  <c r="EG163" i="1"/>
  <c r="EJ163" i="1"/>
  <c r="G164" i="1"/>
  <c r="I164" i="1"/>
  <c r="K164" i="1"/>
  <c r="L164" i="1"/>
  <c r="M164" i="1"/>
  <c r="N164" i="1"/>
  <c r="O164" i="1"/>
  <c r="P164" i="1"/>
  <c r="Q164" i="1"/>
  <c r="R164" i="1"/>
  <c r="S164" i="1"/>
  <c r="T164" i="1"/>
  <c r="U164" i="1"/>
  <c r="V164" i="1"/>
  <c r="W164" i="1"/>
  <c r="X164" i="1"/>
  <c r="Y164" i="1"/>
  <c r="Z164" i="1"/>
  <c r="AC164" i="1"/>
  <c r="AJ164" i="1"/>
  <c r="AK164" i="1"/>
  <c r="AL164" i="1"/>
  <c r="AM164" i="1"/>
  <c r="AN164" i="1"/>
  <c r="AO164" i="1"/>
  <c r="AP164" i="1"/>
  <c r="AQ164" i="1"/>
  <c r="AT164" i="1"/>
  <c r="AV164" i="1"/>
  <c r="AW164" i="1"/>
  <c r="AX164" i="1"/>
  <c r="AZ164" i="1"/>
  <c r="BA164" i="1"/>
  <c r="BB164" i="1" s="1"/>
  <c r="BC164" i="1"/>
  <c r="BD164" i="1"/>
  <c r="BE164" i="1"/>
  <c r="BF164" i="1"/>
  <c r="BG164" i="1"/>
  <c r="BH164" i="1" s="1"/>
  <c r="BI164" i="1"/>
  <c r="BJ164" i="1"/>
  <c r="BL164" i="1"/>
  <c r="BM164" i="1"/>
  <c r="BN164" i="1" s="1"/>
  <c r="BO164" i="1"/>
  <c r="BP164" i="1"/>
  <c r="BQ164" i="1" s="1"/>
  <c r="BR164" i="1"/>
  <c r="BS164" i="1"/>
  <c r="BU164" i="1"/>
  <c r="BW164" i="1" s="1"/>
  <c r="BV164" i="1"/>
  <c r="BX164" i="1"/>
  <c r="BY164" i="1"/>
  <c r="BZ164" i="1" s="1"/>
  <c r="CA164" i="1"/>
  <c r="CB164" i="1"/>
  <c r="CC164" i="1"/>
  <c r="CD164" i="1"/>
  <c r="CE164" i="1"/>
  <c r="CF164" i="1" s="1"/>
  <c r="CG164" i="1"/>
  <c r="CH164" i="1"/>
  <c r="CJ164" i="1"/>
  <c r="CK164" i="1"/>
  <c r="CM164" i="1"/>
  <c r="CN164" i="1"/>
  <c r="CP164" i="1"/>
  <c r="CR164" i="1" s="1"/>
  <c r="CQ164" i="1"/>
  <c r="CS164" i="1"/>
  <c r="CU164" i="1" s="1"/>
  <c r="CT164" i="1"/>
  <c r="CV164" i="1"/>
  <c r="CW164" i="1"/>
  <c r="CX164" i="1"/>
  <c r="CY164" i="1"/>
  <c r="CZ164" i="1"/>
  <c r="DA164" i="1"/>
  <c r="DB164" i="1"/>
  <c r="DC164" i="1"/>
  <c r="DE164" i="1"/>
  <c r="DF164" i="1"/>
  <c r="DH164" i="1"/>
  <c r="DI164" i="1"/>
  <c r="DK164" i="1"/>
  <c r="DL164" i="1"/>
  <c r="DN164" i="1"/>
  <c r="DP164" i="1" s="1"/>
  <c r="DO164" i="1"/>
  <c r="DQ164" i="1"/>
  <c r="DR164" i="1"/>
  <c r="DT164" i="1"/>
  <c r="DU164" i="1"/>
  <c r="DV164" i="1"/>
  <c r="DW164" i="1"/>
  <c r="DX164" i="1"/>
  <c r="DZ164" i="1"/>
  <c r="EA164" i="1"/>
  <c r="EC164" i="1"/>
  <c r="ED164" i="1"/>
  <c r="EF164" i="1"/>
  <c r="EG164" i="1"/>
  <c r="EI164" i="1"/>
  <c r="EJ164" i="1"/>
  <c r="G165" i="1"/>
  <c r="I165" i="1"/>
  <c r="K165" i="1"/>
  <c r="L165" i="1"/>
  <c r="M165" i="1"/>
  <c r="N165" i="1"/>
  <c r="O165" i="1"/>
  <c r="P165" i="1"/>
  <c r="Q165" i="1"/>
  <c r="R165" i="1"/>
  <c r="S165" i="1"/>
  <c r="T165" i="1"/>
  <c r="U165" i="1"/>
  <c r="V165" i="1"/>
  <c r="W165" i="1"/>
  <c r="X165" i="1"/>
  <c r="Y165" i="1"/>
  <c r="Z165" i="1"/>
  <c r="AC165" i="1"/>
  <c r="AJ165" i="1"/>
  <c r="AK165" i="1"/>
  <c r="AL165" i="1"/>
  <c r="AM165" i="1"/>
  <c r="AN165" i="1"/>
  <c r="AO165" i="1"/>
  <c r="AP165" i="1"/>
  <c r="AQ165" i="1"/>
  <c r="AT165" i="1"/>
  <c r="AV165" i="1"/>
  <c r="AW165" i="1"/>
  <c r="AX165" i="1"/>
  <c r="BA165" i="1"/>
  <c r="BD165" i="1"/>
  <c r="BG165" i="1"/>
  <c r="BJ165" i="1"/>
  <c r="BM165" i="1"/>
  <c r="BP165" i="1"/>
  <c r="BS165" i="1"/>
  <c r="BV165" i="1"/>
  <c r="BY165" i="1"/>
  <c r="CB165" i="1"/>
  <c r="CE165" i="1"/>
  <c r="CH165" i="1"/>
  <c r="CK165" i="1"/>
  <c r="CN165" i="1"/>
  <c r="CQ165" i="1"/>
  <c r="CT165" i="1"/>
  <c r="CW165" i="1"/>
  <c r="CZ165" i="1"/>
  <c r="DC165" i="1"/>
  <c r="DF165" i="1"/>
  <c r="DI165" i="1"/>
  <c r="DL165" i="1"/>
  <c r="DO165" i="1"/>
  <c r="DR165" i="1"/>
  <c r="DU165" i="1"/>
  <c r="DX165" i="1"/>
  <c r="EA165" i="1"/>
  <c r="ED165" i="1"/>
  <c r="EG165" i="1"/>
  <c r="EJ165" i="1"/>
  <c r="G166" i="1"/>
  <c r="I166" i="1"/>
  <c r="K166" i="1"/>
  <c r="L166" i="1"/>
  <c r="M166" i="1"/>
  <c r="N166" i="1"/>
  <c r="O166" i="1"/>
  <c r="P166" i="1"/>
  <c r="Q166" i="1"/>
  <c r="R166" i="1"/>
  <c r="S166" i="1"/>
  <c r="T166" i="1"/>
  <c r="U166" i="1"/>
  <c r="V166" i="1"/>
  <c r="W166" i="1"/>
  <c r="X166" i="1"/>
  <c r="Y166" i="1"/>
  <c r="Z166" i="1"/>
  <c r="AC166" i="1"/>
  <c r="AJ166" i="1"/>
  <c r="AK166" i="1"/>
  <c r="AL166" i="1"/>
  <c r="AM166" i="1"/>
  <c r="AN166" i="1"/>
  <c r="AO166" i="1"/>
  <c r="AP166" i="1"/>
  <c r="AQ166" i="1"/>
  <c r="AT166" i="1"/>
  <c r="AV166" i="1"/>
  <c r="AW166" i="1"/>
  <c r="AY166" i="1" s="1"/>
  <c r="AX166" i="1"/>
  <c r="BA166" i="1"/>
  <c r="BD166" i="1"/>
  <c r="BG166" i="1"/>
  <c r="BJ166" i="1"/>
  <c r="BM166" i="1"/>
  <c r="BP166" i="1"/>
  <c r="BS166" i="1"/>
  <c r="BV166" i="1"/>
  <c r="BY166" i="1"/>
  <c r="CB166" i="1"/>
  <c r="CE166" i="1"/>
  <c r="CH166" i="1"/>
  <c r="CK166" i="1"/>
  <c r="CN166" i="1"/>
  <c r="CQ166" i="1"/>
  <c r="CT166" i="1"/>
  <c r="CW166" i="1"/>
  <c r="CZ166" i="1"/>
  <c r="DC166" i="1"/>
  <c r="DF166" i="1"/>
  <c r="DI166" i="1"/>
  <c r="DL166" i="1"/>
  <c r="DO166" i="1"/>
  <c r="DR166" i="1"/>
  <c r="DU166" i="1"/>
  <c r="DX166" i="1"/>
  <c r="EA166" i="1"/>
  <c r="ED166" i="1"/>
  <c r="EG166" i="1"/>
  <c r="EJ166" i="1"/>
  <c r="G167" i="1"/>
  <c r="I167" i="1"/>
  <c r="K167" i="1"/>
  <c r="L167" i="1"/>
  <c r="M167" i="1"/>
  <c r="N167" i="1"/>
  <c r="O167" i="1"/>
  <c r="P167" i="1"/>
  <c r="Q167" i="1"/>
  <c r="R167" i="1"/>
  <c r="S167" i="1"/>
  <c r="T167" i="1"/>
  <c r="U167" i="1"/>
  <c r="V167" i="1"/>
  <c r="W167" i="1"/>
  <c r="X167" i="1"/>
  <c r="Y167" i="1"/>
  <c r="Z167" i="1"/>
  <c r="AC167" i="1"/>
  <c r="AJ167" i="1"/>
  <c r="AK167" i="1"/>
  <c r="AL167" i="1"/>
  <c r="AM167" i="1"/>
  <c r="AN167" i="1"/>
  <c r="AO167" i="1"/>
  <c r="AP167" i="1"/>
  <c r="AQ167" i="1"/>
  <c r="AT167" i="1"/>
  <c r="AV167" i="1"/>
  <c r="G168" i="1"/>
  <c r="H168" i="1"/>
  <c r="I168" i="1"/>
  <c r="K168" i="1"/>
  <c r="L168" i="1"/>
  <c r="M168" i="1"/>
  <c r="N168" i="1"/>
  <c r="O168" i="1"/>
  <c r="P168" i="1"/>
  <c r="Q168" i="1"/>
  <c r="R168" i="1"/>
  <c r="S168" i="1"/>
  <c r="T168" i="1"/>
  <c r="U168" i="1"/>
  <c r="V168" i="1"/>
  <c r="W168" i="1"/>
  <c r="X168" i="1"/>
  <c r="Y168" i="1"/>
  <c r="Z168" i="1"/>
  <c r="AB168" i="1"/>
  <c r="AC168" i="1"/>
  <c r="AF168" i="1" s="1"/>
  <c r="AH168" i="1"/>
  <c r="AJ168" i="1"/>
  <c r="AK168" i="1"/>
  <c r="AL168" i="1"/>
  <c r="AM168" i="1"/>
  <c r="AN168" i="1"/>
  <c r="AO168" i="1"/>
  <c r="AP168" i="1"/>
  <c r="AQ168" i="1"/>
  <c r="AT168" i="1"/>
  <c r="AV168" i="1"/>
  <c r="AW168" i="1"/>
  <c r="AX168" i="1"/>
  <c r="AY168" i="1" s="1"/>
  <c r="AZ168" i="1"/>
  <c r="BA168" i="1"/>
  <c r="BB168" i="1" s="1"/>
  <c r="BC168" i="1"/>
  <c r="BE168" i="1" s="1"/>
  <c r="BD168" i="1"/>
  <c r="BF168" i="1"/>
  <c r="BG168" i="1"/>
  <c r="BI168" i="1"/>
  <c r="BK168" i="1" s="1"/>
  <c r="BJ168" i="1"/>
  <c r="BL168" i="1"/>
  <c r="BM168" i="1"/>
  <c r="BN168" i="1" s="1"/>
  <c r="BO168" i="1"/>
  <c r="BQ168" i="1" s="1"/>
  <c r="BP168" i="1"/>
  <c r="BR168" i="1"/>
  <c r="BS168" i="1"/>
  <c r="BT168" i="1" s="1"/>
  <c r="BU168" i="1"/>
  <c r="BV168" i="1"/>
  <c r="BW168" i="1" s="1"/>
  <c r="BX168" i="1"/>
  <c r="BY168" i="1"/>
  <c r="CA168" i="1"/>
  <c r="CB168" i="1"/>
  <c r="CD168" i="1"/>
  <c r="CF168" i="1" s="1"/>
  <c r="CE168" i="1"/>
  <c r="CG168" i="1"/>
  <c r="CI168" i="1" s="1"/>
  <c r="CH168" i="1"/>
  <c r="CJ168" i="1"/>
  <c r="CK168" i="1"/>
  <c r="CM168" i="1"/>
  <c r="CN168" i="1"/>
  <c r="CO168" i="1"/>
  <c r="CP168" i="1"/>
  <c r="CQ168" i="1"/>
  <c r="CR168" i="1" s="1"/>
  <c r="CS168" i="1"/>
  <c r="CT168" i="1"/>
  <c r="CV168" i="1"/>
  <c r="CW168" i="1"/>
  <c r="CX168" i="1" s="1"/>
  <c r="CY168" i="1"/>
  <c r="DA168" i="1" s="1"/>
  <c r="CZ168" i="1"/>
  <c r="DB168" i="1"/>
  <c r="DC168" i="1"/>
  <c r="DE168" i="1"/>
  <c r="DF168" i="1"/>
  <c r="DH168" i="1"/>
  <c r="DI168" i="1"/>
  <c r="DJ168" i="1" s="1"/>
  <c r="DK168" i="1"/>
  <c r="DM168" i="1" s="1"/>
  <c r="DL168" i="1"/>
  <c r="DN168" i="1"/>
  <c r="DO168" i="1"/>
  <c r="DQ168" i="1"/>
  <c r="DR168" i="1"/>
  <c r="DS168" i="1" s="1"/>
  <c r="DT168" i="1"/>
  <c r="DU168" i="1"/>
  <c r="DW168" i="1"/>
  <c r="DY168" i="1" s="1"/>
  <c r="DX168" i="1"/>
  <c r="DZ168" i="1"/>
  <c r="EA168" i="1"/>
  <c r="EC168" i="1"/>
  <c r="ED168" i="1"/>
  <c r="EF168" i="1"/>
  <c r="EG168" i="1"/>
  <c r="EH168" i="1" s="1"/>
  <c r="EI168" i="1"/>
  <c r="EJ168" i="1"/>
  <c r="G169" i="1"/>
  <c r="I169" i="1"/>
  <c r="K169" i="1"/>
  <c r="L169" i="1"/>
  <c r="M169" i="1"/>
  <c r="N169" i="1"/>
  <c r="O169" i="1"/>
  <c r="P169" i="1"/>
  <c r="Q169" i="1"/>
  <c r="R169" i="1"/>
  <c r="S169" i="1"/>
  <c r="T169" i="1"/>
  <c r="U169" i="1"/>
  <c r="V169" i="1"/>
  <c r="W169" i="1"/>
  <c r="X169" i="1"/>
  <c r="Y169" i="1"/>
  <c r="Z169" i="1"/>
  <c r="AC169" i="1"/>
  <c r="AJ169" i="1"/>
  <c r="AK169" i="1"/>
  <c r="AL169" i="1"/>
  <c r="AM169" i="1"/>
  <c r="AN169" i="1"/>
  <c r="AO169" i="1"/>
  <c r="AP169" i="1"/>
  <c r="AQ169" i="1"/>
  <c r="AT169" i="1"/>
  <c r="AV169" i="1"/>
  <c r="AW169" i="1"/>
  <c r="AX169" i="1"/>
  <c r="AZ169" i="1"/>
  <c r="BA169" i="1"/>
  <c r="BB169" i="1" s="1"/>
  <c r="BC169" i="1"/>
  <c r="BD169" i="1"/>
  <c r="BF169" i="1"/>
  <c r="BH169" i="1" s="1"/>
  <c r="BG169" i="1"/>
  <c r="BI169" i="1"/>
  <c r="BJ169" i="1"/>
  <c r="BK169" i="1" s="1"/>
  <c r="BL169" i="1"/>
  <c r="BN169" i="1" s="1"/>
  <c r="BM169" i="1"/>
  <c r="BO169" i="1"/>
  <c r="BP169" i="1"/>
  <c r="BQ169" i="1" s="1"/>
  <c r="BR169" i="1"/>
  <c r="BS169" i="1"/>
  <c r="BU169" i="1"/>
  <c r="BV169" i="1"/>
  <c r="BW169" i="1" s="1"/>
  <c r="BX169" i="1"/>
  <c r="BY169" i="1"/>
  <c r="BZ169" i="1" s="1"/>
  <c r="CA169" i="1"/>
  <c r="CC169" i="1" s="1"/>
  <c r="CB169" i="1"/>
  <c r="CD169" i="1"/>
  <c r="CF169" i="1" s="1"/>
  <c r="CE169" i="1"/>
  <c r="CG169" i="1"/>
  <c r="CH169" i="1"/>
  <c r="CJ169" i="1"/>
  <c r="CK169" i="1"/>
  <c r="CL169" i="1"/>
  <c r="CM169" i="1"/>
  <c r="CN169" i="1"/>
  <c r="CP169" i="1"/>
  <c r="CQ169" i="1"/>
  <c r="CR169" i="1" s="1"/>
  <c r="CS169" i="1"/>
  <c r="CT169" i="1"/>
  <c r="CU169" i="1" s="1"/>
  <c r="CV169" i="1"/>
  <c r="CW169" i="1"/>
  <c r="CY169" i="1"/>
  <c r="CZ169" i="1"/>
  <c r="DB169" i="1"/>
  <c r="DC169" i="1"/>
  <c r="DE169" i="1"/>
  <c r="DF169" i="1"/>
  <c r="DG169" i="1" s="1"/>
  <c r="DH169" i="1"/>
  <c r="DI169" i="1"/>
  <c r="DK169" i="1"/>
  <c r="DL169" i="1"/>
  <c r="DM169" i="1" s="1"/>
  <c r="DN169" i="1"/>
  <c r="DO169" i="1"/>
  <c r="DQ169" i="1"/>
  <c r="DR169" i="1"/>
  <c r="DS169" i="1" s="1"/>
  <c r="DT169" i="1"/>
  <c r="DU169" i="1"/>
  <c r="DV169" i="1" s="1"/>
  <c r="DW169" i="1"/>
  <c r="DX169" i="1"/>
  <c r="DZ169" i="1"/>
  <c r="EB169" i="1" s="1"/>
  <c r="EA169" i="1"/>
  <c r="EC169" i="1"/>
  <c r="ED169" i="1"/>
  <c r="EE169" i="1"/>
  <c r="EF169" i="1"/>
  <c r="EG169" i="1"/>
  <c r="EH169" i="1"/>
  <c r="EI169" i="1"/>
  <c r="EJ169" i="1"/>
  <c r="G170" i="1"/>
  <c r="I170" i="1"/>
  <c r="K170" i="1"/>
  <c r="L170" i="1"/>
  <c r="M170" i="1"/>
  <c r="N170" i="1"/>
  <c r="O170" i="1"/>
  <c r="P170" i="1"/>
  <c r="Q170" i="1"/>
  <c r="R170" i="1"/>
  <c r="S170" i="1"/>
  <c r="T170" i="1"/>
  <c r="U170" i="1"/>
  <c r="V170" i="1"/>
  <c r="W170" i="1"/>
  <c r="X170" i="1"/>
  <c r="Y170" i="1"/>
  <c r="Z170" i="1"/>
  <c r="AC170" i="1"/>
  <c r="AJ170" i="1"/>
  <c r="AK170" i="1"/>
  <c r="AL170" i="1"/>
  <c r="AM170" i="1"/>
  <c r="AN170" i="1"/>
  <c r="AO170" i="1"/>
  <c r="AP170" i="1"/>
  <c r="AQ170" i="1"/>
  <c r="AT170" i="1"/>
  <c r="AV170" i="1"/>
  <c r="AW170" i="1"/>
  <c r="AX170" i="1"/>
  <c r="AY170" i="1" s="1"/>
  <c r="AZ170" i="1"/>
  <c r="BA170" i="1"/>
  <c r="BC170" i="1"/>
  <c r="BE170" i="1" s="1"/>
  <c r="BD170" i="1"/>
  <c r="BF170" i="1"/>
  <c r="BG170" i="1"/>
  <c r="BH170" i="1"/>
  <c r="BI170" i="1"/>
  <c r="BK170" i="1" s="1"/>
  <c r="BJ170" i="1"/>
  <c r="BL170" i="1"/>
  <c r="BM170" i="1"/>
  <c r="BN170" i="1" s="1"/>
  <c r="BO170" i="1"/>
  <c r="BP170" i="1"/>
  <c r="BR170" i="1"/>
  <c r="BS170" i="1"/>
  <c r="BT170" i="1" s="1"/>
  <c r="BU170" i="1"/>
  <c r="BV170" i="1"/>
  <c r="BW170" i="1" s="1"/>
  <c r="BX170" i="1"/>
  <c r="BZ170" i="1" s="1"/>
  <c r="BY170" i="1"/>
  <c r="CA170" i="1"/>
  <c r="CB170" i="1"/>
  <c r="CD170" i="1"/>
  <c r="CE170" i="1"/>
  <c r="CF170" i="1" s="1"/>
  <c r="CG170" i="1"/>
  <c r="CH170" i="1"/>
  <c r="CI170" i="1"/>
  <c r="CJ170" i="1"/>
  <c r="CK170" i="1"/>
  <c r="CM170" i="1"/>
  <c r="CN170" i="1"/>
  <c r="CO170" i="1" s="1"/>
  <c r="CP170" i="1"/>
  <c r="CQ170" i="1"/>
  <c r="CR170" i="1" s="1"/>
  <c r="CS170" i="1"/>
  <c r="CT170" i="1"/>
  <c r="CV170" i="1"/>
  <c r="CX170" i="1" s="1"/>
  <c r="CW170" i="1"/>
  <c r="CY170" i="1"/>
  <c r="DA170" i="1" s="1"/>
  <c r="CZ170" i="1"/>
  <c r="DB170" i="1"/>
  <c r="DC170" i="1"/>
  <c r="DD170" i="1" s="1"/>
  <c r="DE170" i="1"/>
  <c r="DF170" i="1"/>
  <c r="DH170" i="1"/>
  <c r="DI170" i="1"/>
  <c r="DJ170" i="1" s="1"/>
  <c r="DK170" i="1"/>
  <c r="DL170" i="1"/>
  <c r="DN170" i="1"/>
  <c r="DO170" i="1"/>
  <c r="DP170" i="1" s="1"/>
  <c r="DQ170" i="1"/>
  <c r="DR170" i="1"/>
  <c r="DS170" i="1" s="1"/>
  <c r="DT170" i="1"/>
  <c r="DV170" i="1" s="1"/>
  <c r="DU170" i="1"/>
  <c r="DW170" i="1"/>
  <c r="DY170" i="1" s="1"/>
  <c r="DX170" i="1"/>
  <c r="DZ170" i="1"/>
  <c r="EA170" i="1"/>
  <c r="EC170" i="1"/>
  <c r="ED170" i="1"/>
  <c r="EE170" i="1"/>
  <c r="EF170" i="1"/>
  <c r="EG170" i="1"/>
  <c r="EI170" i="1"/>
  <c r="EJ170" i="1"/>
  <c r="EK170" i="1" s="1"/>
  <c r="G171" i="1"/>
  <c r="I171" i="1"/>
  <c r="K171" i="1"/>
  <c r="L171" i="1"/>
  <c r="M171" i="1"/>
  <c r="N171" i="1"/>
  <c r="O171" i="1"/>
  <c r="P171" i="1"/>
  <c r="Q171" i="1"/>
  <c r="R171" i="1"/>
  <c r="S171" i="1"/>
  <c r="T171" i="1"/>
  <c r="U171" i="1"/>
  <c r="V171" i="1"/>
  <c r="W171" i="1"/>
  <c r="X171" i="1"/>
  <c r="Y171" i="1"/>
  <c r="Z171" i="1"/>
  <c r="AC171" i="1"/>
  <c r="AJ171" i="1"/>
  <c r="AK171" i="1"/>
  <c r="AL171" i="1"/>
  <c r="AM171" i="1"/>
  <c r="AN171" i="1"/>
  <c r="AO171" i="1"/>
  <c r="AP171" i="1"/>
  <c r="AQ171" i="1"/>
  <c r="AT171" i="1"/>
  <c r="AV171" i="1"/>
  <c r="AW171" i="1"/>
  <c r="AY171" i="1" s="1"/>
  <c r="AX171" i="1"/>
  <c r="AZ171" i="1"/>
  <c r="BA171" i="1"/>
  <c r="BC171" i="1"/>
  <c r="BD171" i="1"/>
  <c r="BE171" i="1" s="1"/>
  <c r="BF171" i="1"/>
  <c r="BG171" i="1"/>
  <c r="BH171" i="1" s="1"/>
  <c r="BI171" i="1"/>
  <c r="BJ171" i="1"/>
  <c r="BL171" i="1"/>
  <c r="BM171" i="1"/>
  <c r="BN171" i="1" s="1"/>
  <c r="BO171" i="1"/>
  <c r="BP171" i="1"/>
  <c r="BR171" i="1"/>
  <c r="BS171" i="1"/>
  <c r="BU171" i="1"/>
  <c r="BV171" i="1"/>
  <c r="BX171" i="1"/>
  <c r="BY171" i="1"/>
  <c r="CA171" i="1"/>
  <c r="CB171" i="1"/>
  <c r="CC171" i="1" s="1"/>
  <c r="CD171" i="1"/>
  <c r="CE171" i="1"/>
  <c r="CF171" i="1" s="1"/>
  <c r="CG171" i="1"/>
  <c r="CH171" i="1"/>
  <c r="CI171" i="1" s="1"/>
  <c r="CJ171" i="1"/>
  <c r="CK171" i="1"/>
  <c r="CL171" i="1" s="1"/>
  <c r="CM171" i="1"/>
  <c r="CN171" i="1"/>
  <c r="CP171" i="1"/>
  <c r="CQ171" i="1"/>
  <c r="CR171" i="1" s="1"/>
  <c r="CS171" i="1"/>
  <c r="CU171" i="1" s="1"/>
  <c r="CT171" i="1"/>
  <c r="CV171" i="1"/>
  <c r="CW171" i="1"/>
  <c r="CY171" i="1"/>
  <c r="CZ171" i="1"/>
  <c r="DB171" i="1"/>
  <c r="DC171" i="1"/>
  <c r="DD171" i="1"/>
  <c r="DE171" i="1"/>
  <c r="DF171" i="1"/>
  <c r="DG171" i="1" s="1"/>
  <c r="DH171" i="1"/>
  <c r="DI171" i="1"/>
  <c r="DK171" i="1"/>
  <c r="DL171" i="1"/>
  <c r="DM171" i="1" s="1"/>
  <c r="DN171" i="1"/>
  <c r="DO171" i="1"/>
  <c r="DQ171" i="1"/>
  <c r="DR171" i="1"/>
  <c r="DT171" i="1"/>
  <c r="DV171" i="1" s="1"/>
  <c r="DU171" i="1"/>
  <c r="DW171" i="1"/>
  <c r="DX171" i="1"/>
  <c r="DY171" i="1" s="1"/>
  <c r="DZ171" i="1"/>
  <c r="EA171" i="1"/>
  <c r="EB171" i="1" s="1"/>
  <c r="EC171" i="1"/>
  <c r="ED171" i="1"/>
  <c r="EF171" i="1"/>
  <c r="EG171" i="1"/>
  <c r="EI171" i="1"/>
  <c r="EJ171" i="1"/>
  <c r="EK171" i="1" s="1"/>
  <c r="G172" i="1"/>
  <c r="I172" i="1"/>
  <c r="K172" i="1"/>
  <c r="L172" i="1"/>
  <c r="M172" i="1"/>
  <c r="N172" i="1"/>
  <c r="O172" i="1"/>
  <c r="P172" i="1"/>
  <c r="Q172" i="1"/>
  <c r="R172" i="1"/>
  <c r="S172" i="1"/>
  <c r="T172" i="1"/>
  <c r="U172" i="1"/>
  <c r="V172" i="1"/>
  <c r="W172" i="1"/>
  <c r="X172" i="1"/>
  <c r="Y172" i="1"/>
  <c r="Z172" i="1"/>
  <c r="AC172" i="1"/>
  <c r="AJ172" i="1"/>
  <c r="AK172" i="1"/>
  <c r="AL172" i="1"/>
  <c r="AM172" i="1"/>
  <c r="AN172" i="1"/>
  <c r="AO172" i="1"/>
  <c r="AP172" i="1"/>
  <c r="AQ172" i="1"/>
  <c r="AT172" i="1"/>
  <c r="AV172" i="1"/>
  <c r="AW172" i="1"/>
  <c r="AX172" i="1"/>
  <c r="BA172" i="1"/>
  <c r="BD172" i="1"/>
  <c r="BG172" i="1"/>
  <c r="BJ172" i="1"/>
  <c r="BM172" i="1"/>
  <c r="BP172" i="1"/>
  <c r="BS172" i="1"/>
  <c r="BV172" i="1"/>
  <c r="BY172" i="1"/>
  <c r="CB172" i="1"/>
  <c r="CE172" i="1"/>
  <c r="CH172" i="1"/>
  <c r="CK172" i="1"/>
  <c r="CN172" i="1"/>
  <c r="CQ172" i="1"/>
  <c r="CT172" i="1"/>
  <c r="CW172" i="1"/>
  <c r="CZ172" i="1"/>
  <c r="DC172" i="1"/>
  <c r="DF172" i="1"/>
  <c r="DI172" i="1"/>
  <c r="DL172" i="1"/>
  <c r="DR172" i="1"/>
  <c r="DU172" i="1"/>
  <c r="DX172" i="1"/>
  <c r="EA172" i="1"/>
  <c r="ED172" i="1"/>
  <c r="EG172" i="1"/>
  <c r="EJ172" i="1"/>
  <c r="G173" i="1"/>
  <c r="I173" i="1"/>
  <c r="K173" i="1"/>
  <c r="L173" i="1"/>
  <c r="M173" i="1"/>
  <c r="N173" i="1"/>
  <c r="O173" i="1"/>
  <c r="P173" i="1"/>
  <c r="Q173" i="1"/>
  <c r="R173" i="1"/>
  <c r="S173" i="1"/>
  <c r="T173" i="1"/>
  <c r="U173" i="1"/>
  <c r="V173" i="1"/>
  <c r="W173" i="1"/>
  <c r="X173" i="1"/>
  <c r="Y173" i="1"/>
  <c r="Z173" i="1"/>
  <c r="AC173" i="1"/>
  <c r="AJ173" i="1"/>
  <c r="AK173" i="1"/>
  <c r="AL173" i="1"/>
  <c r="AM173" i="1"/>
  <c r="AN173" i="1"/>
  <c r="AO173" i="1"/>
  <c r="AP173" i="1"/>
  <c r="AQ173" i="1"/>
  <c r="AT173" i="1"/>
  <c r="AV173" i="1"/>
  <c r="AW173" i="1"/>
  <c r="AX173" i="1"/>
  <c r="AY173" i="1" s="1"/>
  <c r="AZ173" i="1"/>
  <c r="BA173" i="1"/>
  <c r="BB173" i="1"/>
  <c r="BC173" i="1"/>
  <c r="BD173" i="1"/>
  <c r="BF173" i="1"/>
  <c r="BG173" i="1"/>
  <c r="BI173" i="1"/>
  <c r="BJ173" i="1"/>
  <c r="BL173" i="1"/>
  <c r="BM173" i="1"/>
  <c r="BO173" i="1"/>
  <c r="BP173" i="1"/>
  <c r="BQ173" i="1" s="1"/>
  <c r="BR173" i="1"/>
  <c r="BS173" i="1"/>
  <c r="BU173" i="1"/>
  <c r="BV173" i="1"/>
  <c r="BW173" i="1"/>
  <c r="BX173" i="1"/>
  <c r="BY173" i="1"/>
  <c r="BZ173" i="1" s="1"/>
  <c r="CA173" i="1"/>
  <c r="CB173" i="1"/>
  <c r="CD173" i="1"/>
  <c r="CE173" i="1"/>
  <c r="CG173" i="1"/>
  <c r="CH173" i="1"/>
  <c r="CI173" i="1" s="1"/>
  <c r="CJ173" i="1"/>
  <c r="CL173" i="1" s="1"/>
  <c r="CK173" i="1"/>
  <c r="CM173" i="1"/>
  <c r="CN173" i="1"/>
  <c r="CO173" i="1" s="1"/>
  <c r="CP173" i="1"/>
  <c r="CQ173" i="1"/>
  <c r="CR173" i="1" s="1"/>
  <c r="CS173" i="1"/>
  <c r="CU173" i="1" s="1"/>
  <c r="CT173" i="1"/>
  <c r="CV173" i="1"/>
  <c r="CW173" i="1"/>
  <c r="CX173" i="1" s="1"/>
  <c r="CY173" i="1"/>
  <c r="CZ173" i="1"/>
  <c r="DB173" i="1"/>
  <c r="DC173" i="1"/>
  <c r="DE173" i="1"/>
  <c r="DF173" i="1"/>
  <c r="DH173" i="1"/>
  <c r="DJ173" i="1" s="1"/>
  <c r="DI173" i="1"/>
  <c r="DK173" i="1"/>
  <c r="DL173" i="1"/>
  <c r="DM173" i="1"/>
  <c r="DN173" i="1"/>
  <c r="DO173" i="1"/>
  <c r="DQ173" i="1"/>
  <c r="DR173" i="1"/>
  <c r="DT173" i="1"/>
  <c r="DU173" i="1"/>
  <c r="DV173" i="1" s="1"/>
  <c r="DW173" i="1"/>
  <c r="DX173" i="1"/>
  <c r="DZ173" i="1"/>
  <c r="EA173" i="1"/>
  <c r="EB173" i="1" s="1"/>
  <c r="EC173" i="1"/>
  <c r="ED173" i="1"/>
  <c r="EE173" i="1" s="1"/>
  <c r="EF173" i="1"/>
  <c r="EH173" i="1" s="1"/>
  <c r="EG173" i="1"/>
  <c r="EI173" i="1"/>
  <c r="EJ173" i="1"/>
  <c r="EK173" i="1"/>
  <c r="G174" i="1"/>
  <c r="H174" i="1"/>
  <c r="I174" i="1"/>
  <c r="K174" i="1"/>
  <c r="L174" i="1"/>
  <c r="M174" i="1"/>
  <c r="N174" i="1"/>
  <c r="O174" i="1"/>
  <c r="P174" i="1"/>
  <c r="Q174" i="1"/>
  <c r="R174" i="1"/>
  <c r="S174" i="1"/>
  <c r="T174" i="1"/>
  <c r="U174" i="1"/>
  <c r="V174" i="1"/>
  <c r="W174" i="1"/>
  <c r="X174" i="1"/>
  <c r="Y174" i="1"/>
  <c r="Z174" i="1"/>
  <c r="AB174" i="1"/>
  <c r="AC174" i="1"/>
  <c r="AF174" i="1" s="1"/>
  <c r="AH174" i="1"/>
  <c r="AI174" i="1" s="1"/>
  <c r="AJ174" i="1"/>
  <c r="AK174" i="1"/>
  <c r="AL174" i="1"/>
  <c r="AM174" i="1"/>
  <c r="AN174" i="1"/>
  <c r="AO174" i="1"/>
  <c r="AP174" i="1"/>
  <c r="AQ174" i="1"/>
  <c r="AT174" i="1"/>
  <c r="AV174" i="1"/>
  <c r="AW174" i="1"/>
  <c r="AX174" i="1"/>
  <c r="AY174" i="1" s="1"/>
  <c r="AZ174" i="1"/>
  <c r="BA174" i="1"/>
  <c r="BC174" i="1"/>
  <c r="BD174" i="1"/>
  <c r="BF174" i="1"/>
  <c r="BG174" i="1"/>
  <c r="BH174" i="1" s="1"/>
  <c r="BI174" i="1"/>
  <c r="BK174" i="1" s="1"/>
  <c r="BJ174" i="1"/>
  <c r="BL174" i="1"/>
  <c r="BN174" i="1" s="1"/>
  <c r="BM174" i="1"/>
  <c r="BO174" i="1"/>
  <c r="BP174" i="1"/>
  <c r="BQ174" i="1" s="1"/>
  <c r="BR174" i="1"/>
  <c r="BS174" i="1"/>
  <c r="BT174" i="1" s="1"/>
  <c r="BU174" i="1"/>
  <c r="BV174" i="1"/>
  <c r="BW174" i="1" s="1"/>
  <c r="BX174" i="1"/>
  <c r="BY174" i="1"/>
  <c r="CA174" i="1"/>
  <c r="CB174" i="1"/>
  <c r="CD174" i="1"/>
  <c r="CE174" i="1"/>
  <c r="CG174" i="1"/>
  <c r="CH174" i="1"/>
  <c r="CJ174" i="1"/>
  <c r="CK174" i="1"/>
  <c r="CL174" i="1"/>
  <c r="CM174" i="1"/>
  <c r="CN174" i="1"/>
  <c r="CO174" i="1" s="1"/>
  <c r="CP174" i="1"/>
  <c r="CQ174" i="1"/>
  <c r="CS174" i="1"/>
  <c r="CT174" i="1"/>
  <c r="CV174" i="1"/>
  <c r="CW174" i="1"/>
  <c r="CX174" i="1" s="1"/>
  <c r="CY174" i="1"/>
  <c r="CZ174" i="1"/>
  <c r="DA174" i="1" s="1"/>
  <c r="DB174" i="1"/>
  <c r="DC174" i="1"/>
  <c r="DD174" i="1" s="1"/>
  <c r="DE174" i="1"/>
  <c r="DF174" i="1"/>
  <c r="DH174" i="1"/>
  <c r="DI174" i="1"/>
  <c r="DJ174" i="1" s="1"/>
  <c r="DK174" i="1"/>
  <c r="DL174" i="1"/>
  <c r="DM174" i="1" s="1"/>
  <c r="DN174" i="1"/>
  <c r="DO174" i="1"/>
  <c r="DQ174" i="1"/>
  <c r="DR174" i="1"/>
  <c r="DT174" i="1"/>
  <c r="DU174" i="1"/>
  <c r="DV174" i="1" s="1"/>
  <c r="DW174" i="1"/>
  <c r="DX174" i="1"/>
  <c r="DZ174" i="1"/>
  <c r="EA174" i="1"/>
  <c r="EC174" i="1"/>
  <c r="ED174" i="1"/>
  <c r="EF174" i="1"/>
  <c r="EG174" i="1"/>
  <c r="EI174" i="1"/>
  <c r="EJ174" i="1"/>
  <c r="EK174" i="1" s="1"/>
  <c r="G175" i="1"/>
  <c r="H175" i="1"/>
  <c r="AF175" i="1" s="1"/>
  <c r="I175" i="1"/>
  <c r="K175" i="1"/>
  <c r="L175" i="1"/>
  <c r="M175" i="1"/>
  <c r="N175" i="1"/>
  <c r="O175" i="1"/>
  <c r="P175" i="1"/>
  <c r="Q175" i="1"/>
  <c r="R175" i="1"/>
  <c r="S175" i="1"/>
  <c r="T175" i="1"/>
  <c r="U175" i="1"/>
  <c r="V175" i="1"/>
  <c r="W175" i="1"/>
  <c r="X175" i="1"/>
  <c r="Y175" i="1"/>
  <c r="Z175" i="1"/>
  <c r="AB175" i="1"/>
  <c r="AC175" i="1"/>
  <c r="AD175" i="1" s="1"/>
  <c r="AH175" i="1"/>
  <c r="AJ175" i="1"/>
  <c r="AK175" i="1"/>
  <c r="AL175" i="1"/>
  <c r="AM175" i="1"/>
  <c r="AN175" i="1"/>
  <c r="AO175" i="1"/>
  <c r="AP175" i="1"/>
  <c r="AQ175" i="1"/>
  <c r="AT175" i="1"/>
  <c r="AV175" i="1"/>
  <c r="AW175" i="1"/>
  <c r="AX175" i="1"/>
  <c r="AZ175" i="1"/>
  <c r="BA175" i="1"/>
  <c r="BC175" i="1"/>
  <c r="BD175" i="1"/>
  <c r="BF175" i="1"/>
  <c r="BG175" i="1"/>
  <c r="BI175" i="1"/>
  <c r="BJ175" i="1"/>
  <c r="BL175" i="1"/>
  <c r="BM175" i="1"/>
  <c r="BO175" i="1"/>
  <c r="BP175" i="1"/>
  <c r="BR175" i="1"/>
  <c r="BS175" i="1"/>
  <c r="BT175" i="1" s="1"/>
  <c r="BU175" i="1"/>
  <c r="BW175" i="1" s="1"/>
  <c r="BV175" i="1"/>
  <c r="BX175" i="1"/>
  <c r="BY175" i="1"/>
  <c r="CA175" i="1"/>
  <c r="CB175" i="1"/>
  <c r="CC175" i="1" s="1"/>
  <c r="CD175" i="1"/>
  <c r="CE175" i="1"/>
  <c r="CG175" i="1"/>
  <c r="CH175" i="1"/>
  <c r="CJ175" i="1"/>
  <c r="CK175" i="1"/>
  <c r="CM175" i="1"/>
  <c r="CN175" i="1"/>
  <c r="CP175" i="1"/>
  <c r="CQ175" i="1"/>
  <c r="CR175" i="1" s="1"/>
  <c r="CS175" i="1"/>
  <c r="CU175" i="1" s="1"/>
  <c r="CT175" i="1"/>
  <c r="CV175" i="1"/>
  <c r="CW175" i="1"/>
  <c r="CY175" i="1"/>
  <c r="CZ175" i="1"/>
  <c r="DB175" i="1"/>
  <c r="DC175" i="1"/>
  <c r="DE175" i="1"/>
  <c r="DF175" i="1"/>
  <c r="DH175" i="1"/>
  <c r="DI175" i="1"/>
  <c r="DK175" i="1"/>
  <c r="DL175" i="1"/>
  <c r="DM175" i="1"/>
  <c r="DN175" i="1"/>
  <c r="DO175" i="1"/>
  <c r="DP175" i="1" s="1"/>
  <c r="DQ175" i="1"/>
  <c r="DR175" i="1"/>
  <c r="DS175" i="1" s="1"/>
  <c r="DT175" i="1"/>
  <c r="DU175" i="1"/>
  <c r="DW175" i="1"/>
  <c r="DX175" i="1"/>
  <c r="DY175" i="1" s="1"/>
  <c r="DZ175" i="1"/>
  <c r="EA175" i="1"/>
  <c r="EB175" i="1" s="1"/>
  <c r="EC175" i="1"/>
  <c r="ED175" i="1"/>
  <c r="EE175" i="1" s="1"/>
  <c r="EF175" i="1"/>
  <c r="EG175" i="1"/>
  <c r="EH175" i="1"/>
  <c r="EI175" i="1"/>
  <c r="EJ175" i="1"/>
  <c r="G176" i="1"/>
  <c r="H176" i="1"/>
  <c r="I176" i="1"/>
  <c r="K176" i="1"/>
  <c r="L176" i="1"/>
  <c r="M176" i="1"/>
  <c r="N176" i="1"/>
  <c r="O176" i="1"/>
  <c r="P176" i="1"/>
  <c r="Q176" i="1"/>
  <c r="R176" i="1"/>
  <c r="S176" i="1"/>
  <c r="T176" i="1"/>
  <c r="U176" i="1"/>
  <c r="V176" i="1"/>
  <c r="W176" i="1"/>
  <c r="X176" i="1"/>
  <c r="Y176" i="1"/>
  <c r="Z176" i="1"/>
  <c r="AB176" i="1"/>
  <c r="AC176" i="1"/>
  <c r="AH176" i="1"/>
  <c r="AI176" i="1"/>
  <c r="AJ176" i="1"/>
  <c r="AK176" i="1"/>
  <c r="AL176" i="1"/>
  <c r="AM176" i="1"/>
  <c r="AN176" i="1"/>
  <c r="AO176" i="1"/>
  <c r="AP176" i="1"/>
  <c r="AQ176" i="1"/>
  <c r="AT176" i="1"/>
  <c r="AX176" i="1"/>
  <c r="BA176" i="1"/>
  <c r="BD176" i="1"/>
  <c r="BG176" i="1"/>
  <c r="BJ176" i="1"/>
  <c r="BM176" i="1"/>
  <c r="BP176" i="1"/>
  <c r="BS176" i="1"/>
  <c r="BV176" i="1"/>
  <c r="BY176" i="1"/>
  <c r="CB176" i="1"/>
  <c r="CE176" i="1"/>
  <c r="CH176" i="1"/>
  <c r="CK176" i="1"/>
  <c r="CN176" i="1"/>
  <c r="CQ176" i="1"/>
  <c r="CT176" i="1"/>
  <c r="CW176" i="1"/>
  <c r="CZ176" i="1"/>
  <c r="DC176" i="1"/>
  <c r="DF176" i="1"/>
  <c r="DI176" i="1"/>
  <c r="DL176" i="1"/>
  <c r="DO176" i="1"/>
  <c r="DR176" i="1"/>
  <c r="DU176" i="1"/>
  <c r="DX176" i="1"/>
  <c r="EA176" i="1"/>
  <c r="ED176" i="1"/>
  <c r="EG176" i="1"/>
  <c r="EJ176" i="1"/>
  <c r="G177" i="1"/>
  <c r="H177" i="1"/>
  <c r="I177" i="1"/>
  <c r="K177" i="1"/>
  <c r="L177" i="1"/>
  <c r="M177" i="1"/>
  <c r="N177" i="1"/>
  <c r="O177" i="1"/>
  <c r="P177" i="1"/>
  <c r="Q177" i="1"/>
  <c r="R177" i="1"/>
  <c r="S177" i="1"/>
  <c r="T177" i="1"/>
  <c r="U177" i="1"/>
  <c r="V177" i="1"/>
  <c r="W177" i="1"/>
  <c r="X177" i="1"/>
  <c r="Y177" i="1"/>
  <c r="Z177" i="1"/>
  <c r="AB177" i="1"/>
  <c r="AC177" i="1"/>
  <c r="AF177" i="1" s="1"/>
  <c r="AH177" i="1"/>
  <c r="AI177" i="1" s="1"/>
  <c r="AJ177" i="1"/>
  <c r="AK177" i="1"/>
  <c r="AL177" i="1"/>
  <c r="AM177" i="1"/>
  <c r="AN177" i="1"/>
  <c r="AO177" i="1"/>
  <c r="AP177" i="1"/>
  <c r="AQ177" i="1"/>
  <c r="AT177" i="1"/>
  <c r="AV177" i="1"/>
  <c r="AW177" i="1"/>
  <c r="AX177" i="1"/>
  <c r="AZ177" i="1"/>
  <c r="BA177" i="1"/>
  <c r="BC177" i="1"/>
  <c r="BD177" i="1"/>
  <c r="BE177" i="1" s="1"/>
  <c r="BF177" i="1"/>
  <c r="BG177" i="1"/>
  <c r="BI177" i="1"/>
  <c r="BJ177" i="1"/>
  <c r="BK177" i="1" s="1"/>
  <c r="BL177" i="1"/>
  <c r="BM177" i="1"/>
  <c r="BN177" i="1"/>
  <c r="BO177" i="1"/>
  <c r="BP177" i="1"/>
  <c r="BR177" i="1"/>
  <c r="BS177" i="1"/>
  <c r="BT177" i="1" s="1"/>
  <c r="BU177" i="1"/>
  <c r="BV177" i="1"/>
  <c r="BX177" i="1"/>
  <c r="BY177" i="1"/>
  <c r="BZ177" i="1"/>
  <c r="CA177" i="1"/>
  <c r="CB177" i="1"/>
  <c r="CD177" i="1"/>
  <c r="CE177" i="1"/>
  <c r="CF177" i="1" s="1"/>
  <c r="CG177" i="1"/>
  <c r="CH177" i="1"/>
  <c r="CJ177" i="1"/>
  <c r="CK177" i="1"/>
  <c r="CL177" i="1"/>
  <c r="CM177" i="1"/>
  <c r="CN177" i="1"/>
  <c r="CP177" i="1"/>
  <c r="CQ177" i="1"/>
  <c r="CS177" i="1"/>
  <c r="CT177" i="1"/>
  <c r="CU177" i="1" s="1"/>
  <c r="CV177" i="1"/>
  <c r="CW177" i="1"/>
  <c r="CX177" i="1" s="1"/>
  <c r="CY177" i="1"/>
  <c r="CZ177" i="1"/>
  <c r="DA177" i="1" s="1"/>
  <c r="DB177" i="1"/>
  <c r="DC177" i="1"/>
  <c r="DD177" i="1" s="1"/>
  <c r="DE177" i="1"/>
  <c r="DF177" i="1"/>
  <c r="DG177" i="1" s="1"/>
  <c r="DH177" i="1"/>
  <c r="DJ177" i="1" s="1"/>
  <c r="DI177" i="1"/>
  <c r="DK177" i="1"/>
  <c r="DM177" i="1" s="1"/>
  <c r="DL177" i="1"/>
  <c r="DN177" i="1"/>
  <c r="DO177" i="1"/>
  <c r="DP177" i="1" s="1"/>
  <c r="DQ177" i="1"/>
  <c r="DR177" i="1"/>
  <c r="DT177" i="1"/>
  <c r="DU177" i="1"/>
  <c r="DV177" i="1"/>
  <c r="DW177" i="1"/>
  <c r="DX177" i="1"/>
  <c r="DZ177" i="1"/>
  <c r="EA177" i="1"/>
  <c r="EC177" i="1"/>
  <c r="ED177" i="1"/>
  <c r="EF177" i="1"/>
  <c r="EG177" i="1"/>
  <c r="EI177" i="1"/>
  <c r="EJ177" i="1"/>
  <c r="G178" i="1"/>
  <c r="I178" i="1"/>
  <c r="K178" i="1"/>
  <c r="L178" i="1"/>
  <c r="M178" i="1"/>
  <c r="N178" i="1"/>
  <c r="O178" i="1"/>
  <c r="P178" i="1"/>
  <c r="Q178" i="1"/>
  <c r="R178" i="1"/>
  <c r="S178" i="1"/>
  <c r="T178" i="1"/>
  <c r="U178" i="1"/>
  <c r="V178" i="1"/>
  <c r="W178" i="1"/>
  <c r="X178" i="1"/>
  <c r="Y178" i="1"/>
  <c r="Z178" i="1"/>
  <c r="AC178" i="1"/>
  <c r="AJ178" i="1"/>
  <c r="AK178" i="1"/>
  <c r="AL178" i="1"/>
  <c r="AM178" i="1"/>
  <c r="AN178" i="1"/>
  <c r="AO178" i="1"/>
  <c r="AP178" i="1"/>
  <c r="AQ178" i="1"/>
  <c r="AT178" i="1"/>
  <c r="AV178" i="1"/>
  <c r="AW178" i="1"/>
  <c r="AX178" i="1"/>
  <c r="AY178" i="1"/>
  <c r="BA178" i="1"/>
  <c r="BD178" i="1"/>
  <c r="BG178" i="1"/>
  <c r="BJ178" i="1"/>
  <c r="BM178" i="1"/>
  <c r="BP178" i="1"/>
  <c r="BS178" i="1"/>
  <c r="BV178" i="1"/>
  <c r="BY178" i="1"/>
  <c r="CB178" i="1"/>
  <c r="CE178" i="1"/>
  <c r="CH178" i="1"/>
  <c r="CK178" i="1"/>
  <c r="CN178" i="1"/>
  <c r="CQ178" i="1"/>
  <c r="CT178" i="1"/>
  <c r="CW178" i="1"/>
  <c r="CZ178" i="1"/>
  <c r="DC178" i="1"/>
  <c r="DF178" i="1"/>
  <c r="DI178" i="1"/>
  <c r="DL178" i="1"/>
  <c r="DO178" i="1"/>
  <c r="DR178" i="1"/>
  <c r="DU178" i="1"/>
  <c r="DX178" i="1"/>
  <c r="EA178" i="1"/>
  <c r="ED178" i="1"/>
  <c r="EG178" i="1"/>
  <c r="EJ178" i="1"/>
  <c r="G179" i="1"/>
  <c r="I179" i="1"/>
  <c r="K179" i="1"/>
  <c r="L179" i="1"/>
  <c r="M179" i="1"/>
  <c r="N179" i="1"/>
  <c r="O179" i="1"/>
  <c r="P179" i="1"/>
  <c r="Q179" i="1"/>
  <c r="R179" i="1"/>
  <c r="S179" i="1"/>
  <c r="T179" i="1"/>
  <c r="U179" i="1"/>
  <c r="V179" i="1"/>
  <c r="W179" i="1"/>
  <c r="X179" i="1"/>
  <c r="Y179" i="1"/>
  <c r="Z179" i="1"/>
  <c r="AC179" i="1"/>
  <c r="AJ179" i="1"/>
  <c r="AK179" i="1"/>
  <c r="AL179" i="1"/>
  <c r="AM179" i="1"/>
  <c r="AN179" i="1"/>
  <c r="AO179" i="1"/>
  <c r="AP179" i="1"/>
  <c r="AQ179" i="1"/>
  <c r="AT179" i="1"/>
  <c r="AV179" i="1"/>
  <c r="AW179" i="1"/>
  <c r="AX179" i="1"/>
  <c r="AY179" i="1" s="1"/>
  <c r="BA179" i="1"/>
  <c r="BD179" i="1"/>
  <c r="BG179" i="1"/>
  <c r="BJ179" i="1"/>
  <c r="BM179" i="1"/>
  <c r="BP179" i="1"/>
  <c r="BS179" i="1"/>
  <c r="BV179" i="1"/>
  <c r="BY179" i="1"/>
  <c r="CB179" i="1"/>
  <c r="CE179" i="1"/>
  <c r="CH179" i="1"/>
  <c r="CK179" i="1"/>
  <c r="CN179" i="1"/>
  <c r="CQ179" i="1"/>
  <c r="CT179" i="1"/>
  <c r="CW179" i="1"/>
  <c r="DC179" i="1"/>
  <c r="DF179" i="1"/>
  <c r="DI179" i="1"/>
  <c r="DL179" i="1"/>
  <c r="DO179" i="1"/>
  <c r="DR179" i="1"/>
  <c r="DU179" i="1"/>
  <c r="DX179" i="1"/>
  <c r="EA179" i="1"/>
  <c r="ED179" i="1"/>
  <c r="EG179" i="1"/>
  <c r="EJ179" i="1"/>
  <c r="G180" i="1"/>
  <c r="I180" i="1"/>
  <c r="K180" i="1"/>
  <c r="L180" i="1"/>
  <c r="M180" i="1"/>
  <c r="N180" i="1"/>
  <c r="O180" i="1"/>
  <c r="P180" i="1"/>
  <c r="Q180" i="1"/>
  <c r="R180" i="1"/>
  <c r="S180" i="1"/>
  <c r="T180" i="1"/>
  <c r="U180" i="1"/>
  <c r="V180" i="1"/>
  <c r="W180" i="1"/>
  <c r="X180" i="1"/>
  <c r="Y180" i="1"/>
  <c r="Z180" i="1"/>
  <c r="AC180" i="1"/>
  <c r="AJ180" i="1"/>
  <c r="AK180" i="1"/>
  <c r="AL180" i="1"/>
  <c r="AM180" i="1"/>
  <c r="AN180" i="1"/>
  <c r="AO180" i="1"/>
  <c r="AP180" i="1"/>
  <c r="AQ180" i="1"/>
  <c r="AT180" i="1"/>
  <c r="AV180" i="1"/>
  <c r="AX180" i="1"/>
  <c r="BA180" i="1"/>
  <c r="BD180" i="1"/>
  <c r="BG180" i="1"/>
  <c r="BJ180" i="1"/>
  <c r="BM180" i="1"/>
  <c r="BP180" i="1"/>
  <c r="BS180" i="1"/>
  <c r="BV180" i="1"/>
  <c r="BY180" i="1"/>
  <c r="CB180" i="1"/>
  <c r="CE180" i="1"/>
  <c r="CH180" i="1"/>
  <c r="CK180" i="1"/>
  <c r="CN180" i="1"/>
  <c r="CQ180" i="1"/>
  <c r="CT180" i="1"/>
  <c r="CW180" i="1"/>
  <c r="CZ180" i="1"/>
  <c r="DC180" i="1"/>
  <c r="DF180" i="1"/>
  <c r="DI180" i="1"/>
  <c r="DL180" i="1"/>
  <c r="DO180" i="1"/>
  <c r="DR180" i="1"/>
  <c r="DU180" i="1"/>
  <c r="DX180" i="1"/>
  <c r="EA180" i="1"/>
  <c r="ED180" i="1"/>
  <c r="EG180" i="1"/>
  <c r="EJ180" i="1"/>
  <c r="G181" i="1"/>
  <c r="I181" i="1"/>
  <c r="K181" i="1"/>
  <c r="L181" i="1"/>
  <c r="M181" i="1"/>
  <c r="N181" i="1"/>
  <c r="O181" i="1"/>
  <c r="P181" i="1"/>
  <c r="Q181" i="1"/>
  <c r="R181" i="1"/>
  <c r="S181" i="1"/>
  <c r="T181" i="1"/>
  <c r="U181" i="1"/>
  <c r="V181" i="1"/>
  <c r="W181" i="1"/>
  <c r="X181" i="1"/>
  <c r="Y181" i="1"/>
  <c r="Z181" i="1"/>
  <c r="AC181" i="1"/>
  <c r="AJ181" i="1"/>
  <c r="AK181" i="1"/>
  <c r="AL181" i="1"/>
  <c r="AM181" i="1"/>
  <c r="AN181" i="1"/>
  <c r="AO181" i="1"/>
  <c r="AP181" i="1"/>
  <c r="AQ181" i="1"/>
  <c r="AT181" i="1"/>
  <c r="AV181" i="1"/>
  <c r="AW181" i="1"/>
  <c r="AX181" i="1"/>
  <c r="AY181" i="1" s="1"/>
  <c r="AZ181" i="1"/>
  <c r="BB181" i="1" s="1"/>
  <c r="BA181" i="1"/>
  <c r="BC181" i="1"/>
  <c r="BE181" i="1" s="1"/>
  <c r="BD181" i="1"/>
  <c r="BF181" i="1"/>
  <c r="BH181" i="1" s="1"/>
  <c r="BG181" i="1"/>
  <c r="BI181" i="1"/>
  <c r="BJ181" i="1"/>
  <c r="BK181" i="1"/>
  <c r="BL181" i="1"/>
  <c r="BM181" i="1"/>
  <c r="BN181" i="1" s="1"/>
  <c r="BO181" i="1"/>
  <c r="BP181" i="1"/>
  <c r="BR181" i="1"/>
  <c r="BS181" i="1"/>
  <c r="BT181" i="1" s="1"/>
  <c r="BU181" i="1"/>
  <c r="BV181" i="1"/>
  <c r="BX181" i="1"/>
  <c r="BY181" i="1"/>
  <c r="CA181" i="1"/>
  <c r="CC181" i="1" s="1"/>
  <c r="CB181" i="1"/>
  <c r="CD181" i="1"/>
  <c r="CF181" i="1" s="1"/>
  <c r="CE181" i="1"/>
  <c r="CG181" i="1"/>
  <c r="CH181" i="1"/>
  <c r="CI181" i="1"/>
  <c r="CJ181" i="1"/>
  <c r="CK181" i="1"/>
  <c r="CL181" i="1" s="1"/>
  <c r="CM181" i="1"/>
  <c r="CN181" i="1"/>
  <c r="CO181" i="1" s="1"/>
  <c r="CP181" i="1"/>
  <c r="CQ181" i="1"/>
  <c r="CR181" i="1" s="1"/>
  <c r="CS181" i="1"/>
  <c r="CT181" i="1"/>
  <c r="CV181" i="1"/>
  <c r="CX181" i="1" s="1"/>
  <c r="CW181" i="1"/>
  <c r="CY181" i="1"/>
  <c r="DA181" i="1" s="1"/>
  <c r="CZ181" i="1"/>
  <c r="DB181" i="1"/>
  <c r="DC181" i="1"/>
  <c r="DE181" i="1"/>
  <c r="DF181" i="1"/>
  <c r="DG181" i="1" s="1"/>
  <c r="DH181" i="1"/>
  <c r="DI181" i="1"/>
  <c r="DJ181" i="1" s="1"/>
  <c r="DK181" i="1"/>
  <c r="DL181" i="1"/>
  <c r="DM181" i="1" s="1"/>
  <c r="DN181" i="1"/>
  <c r="DO181" i="1"/>
  <c r="DQ181" i="1"/>
  <c r="DR181" i="1"/>
  <c r="DT181" i="1"/>
  <c r="DV181" i="1" s="1"/>
  <c r="DU181" i="1"/>
  <c r="DW181" i="1"/>
  <c r="DX181" i="1"/>
  <c r="DZ181" i="1"/>
  <c r="EB181" i="1" s="1"/>
  <c r="EA181" i="1"/>
  <c r="EC181" i="1"/>
  <c r="ED181" i="1"/>
  <c r="EE181" i="1"/>
  <c r="EF181" i="1"/>
  <c r="EG181" i="1"/>
  <c r="EH181" i="1"/>
  <c r="EI181" i="1"/>
  <c r="EJ181" i="1"/>
  <c r="G182" i="1"/>
  <c r="I182" i="1"/>
  <c r="K182" i="1"/>
  <c r="L182" i="1"/>
  <c r="M182" i="1"/>
  <c r="N182" i="1"/>
  <c r="O182" i="1"/>
  <c r="P182" i="1"/>
  <c r="Q182" i="1"/>
  <c r="R182" i="1"/>
  <c r="S182" i="1"/>
  <c r="T182" i="1"/>
  <c r="U182" i="1"/>
  <c r="V182" i="1"/>
  <c r="W182" i="1"/>
  <c r="X182" i="1"/>
  <c r="Y182" i="1"/>
  <c r="Z182" i="1"/>
  <c r="AC182" i="1"/>
  <c r="AJ182" i="1"/>
  <c r="AK182" i="1"/>
  <c r="AL182" i="1"/>
  <c r="AM182" i="1"/>
  <c r="AN182" i="1"/>
  <c r="AO182" i="1"/>
  <c r="AP182" i="1"/>
  <c r="AQ182" i="1"/>
  <c r="AT182" i="1"/>
  <c r="AV182" i="1"/>
  <c r="AW182" i="1"/>
  <c r="AX182" i="1"/>
  <c r="AZ182" i="1"/>
  <c r="BA182" i="1"/>
  <c r="BC182" i="1"/>
  <c r="BD182" i="1"/>
  <c r="BF182" i="1"/>
  <c r="BG182" i="1"/>
  <c r="BH182" i="1"/>
  <c r="BI182" i="1"/>
  <c r="BJ182" i="1"/>
  <c r="BL182" i="1"/>
  <c r="BM182" i="1"/>
  <c r="BN182" i="1" s="1"/>
  <c r="BO182" i="1"/>
  <c r="BP182" i="1"/>
  <c r="BR182" i="1"/>
  <c r="BS182" i="1"/>
  <c r="BT182" i="1" s="1"/>
  <c r="BU182" i="1"/>
  <c r="BW182" i="1" s="1"/>
  <c r="BV182" i="1"/>
  <c r="BX182" i="1"/>
  <c r="BY182" i="1"/>
  <c r="CA182" i="1"/>
  <c r="CB182" i="1"/>
  <c r="CC182" i="1" s="1"/>
  <c r="CD182" i="1"/>
  <c r="CE182" i="1"/>
  <c r="CF182" i="1" s="1"/>
  <c r="CG182" i="1"/>
  <c r="CH182" i="1"/>
  <c r="CI182" i="1"/>
  <c r="CJ182" i="1"/>
  <c r="CK182" i="1"/>
  <c r="CL182" i="1" s="1"/>
  <c r="CM182" i="1"/>
  <c r="CN182" i="1"/>
  <c r="CO182" i="1" s="1"/>
  <c r="CP182" i="1"/>
  <c r="CQ182" i="1"/>
  <c r="CR182" i="1" s="1"/>
  <c r="CS182" i="1"/>
  <c r="CU182" i="1" s="1"/>
  <c r="CT182" i="1"/>
  <c r="CV182" i="1"/>
  <c r="CW182" i="1"/>
  <c r="CX182" i="1" s="1"/>
  <c r="CY182" i="1"/>
  <c r="CZ182" i="1"/>
  <c r="DA182" i="1" s="1"/>
  <c r="DB182" i="1"/>
  <c r="DC182" i="1"/>
  <c r="DD182" i="1" s="1"/>
  <c r="DE182" i="1"/>
  <c r="DF182" i="1"/>
  <c r="DG182" i="1" s="1"/>
  <c r="DH182" i="1"/>
  <c r="DI182" i="1"/>
  <c r="DK182" i="1"/>
  <c r="DL182" i="1"/>
  <c r="DM182" i="1" s="1"/>
  <c r="DN182" i="1"/>
  <c r="DO182" i="1"/>
  <c r="DQ182" i="1"/>
  <c r="DR182" i="1"/>
  <c r="DT182" i="1"/>
  <c r="DU182" i="1"/>
  <c r="DV182" i="1" s="1"/>
  <c r="DW182" i="1"/>
  <c r="DX182" i="1"/>
  <c r="DZ182" i="1"/>
  <c r="EA182" i="1"/>
  <c r="EB182" i="1"/>
  <c r="EC182" i="1"/>
  <c r="ED182" i="1"/>
  <c r="EE182" i="1" s="1"/>
  <c r="EF182" i="1"/>
  <c r="EG182" i="1"/>
  <c r="EH182" i="1" s="1"/>
  <c r="EI182" i="1"/>
  <c r="EJ182" i="1"/>
  <c r="G183" i="1"/>
  <c r="H183" i="1"/>
  <c r="I183" i="1"/>
  <c r="K183" i="1"/>
  <c r="L183" i="1"/>
  <c r="M183" i="1"/>
  <c r="N183" i="1"/>
  <c r="O183" i="1"/>
  <c r="P183" i="1"/>
  <c r="Q183" i="1"/>
  <c r="R183" i="1"/>
  <c r="S183" i="1"/>
  <c r="T183" i="1"/>
  <c r="U183" i="1"/>
  <c r="V183" i="1"/>
  <c r="W183" i="1"/>
  <c r="X183" i="1"/>
  <c r="Y183" i="1"/>
  <c r="Z183" i="1"/>
  <c r="AB183" i="1"/>
  <c r="AC183" i="1"/>
  <c r="AF183" i="1" s="1"/>
  <c r="AH183" i="1"/>
  <c r="AI183" i="1"/>
  <c r="AJ183" i="1"/>
  <c r="AK183" i="1"/>
  <c r="AL183" i="1"/>
  <c r="AM183" i="1"/>
  <c r="AN183" i="1"/>
  <c r="AO183" i="1"/>
  <c r="AP183" i="1"/>
  <c r="AQ183" i="1"/>
  <c r="AT183" i="1"/>
  <c r="AV183" i="1"/>
  <c r="G184" i="1"/>
  <c r="H184" i="1"/>
  <c r="AF184" i="1" s="1"/>
  <c r="I184" i="1"/>
  <c r="K184" i="1"/>
  <c r="L184" i="1"/>
  <c r="M184" i="1"/>
  <c r="J184" i="1" s="1"/>
  <c r="N184" i="1"/>
  <c r="O184" i="1"/>
  <c r="P184" i="1"/>
  <c r="Q184" i="1"/>
  <c r="R184" i="1"/>
  <c r="S184" i="1"/>
  <c r="T184" i="1"/>
  <c r="U184" i="1"/>
  <c r="V184" i="1"/>
  <c r="W184" i="1"/>
  <c r="X184" i="1"/>
  <c r="Y184" i="1"/>
  <c r="Z184" i="1"/>
  <c r="AB184" i="1"/>
  <c r="AC184" i="1"/>
  <c r="AD184" i="1"/>
  <c r="AH184" i="1"/>
  <c r="AI184" i="1" s="1"/>
  <c r="AJ184" i="1"/>
  <c r="AK184" i="1"/>
  <c r="AL184" i="1"/>
  <c r="AM184" i="1"/>
  <c r="AN184" i="1"/>
  <c r="AO184" i="1"/>
  <c r="AP184" i="1"/>
  <c r="AQ184" i="1"/>
  <c r="AT184" i="1"/>
  <c r="AV184" i="1"/>
  <c r="AW184" i="1"/>
  <c r="AX184" i="1"/>
  <c r="AZ184" i="1"/>
  <c r="BA184" i="1"/>
  <c r="BB184" i="1" s="1"/>
  <c r="BC184" i="1"/>
  <c r="BE184" i="1" s="1"/>
  <c r="BD184" i="1"/>
  <c r="BF184" i="1"/>
  <c r="BG184" i="1"/>
  <c r="BH184" i="1" s="1"/>
  <c r="BI184" i="1"/>
  <c r="BJ184" i="1"/>
  <c r="BL184" i="1"/>
  <c r="BM184" i="1"/>
  <c r="BN184" i="1" s="1"/>
  <c r="BO184" i="1"/>
  <c r="BP184" i="1"/>
  <c r="BQ184" i="1"/>
  <c r="BR184" i="1"/>
  <c r="BS184" i="1"/>
  <c r="BU184" i="1"/>
  <c r="BV184" i="1"/>
  <c r="BX184" i="1"/>
  <c r="BZ184" i="1" s="1"/>
  <c r="BY184" i="1"/>
  <c r="CA184" i="1"/>
  <c r="CB184" i="1"/>
  <c r="CC184" i="1" s="1"/>
  <c r="CD184" i="1"/>
  <c r="CE184" i="1"/>
  <c r="CG184" i="1"/>
  <c r="CH184" i="1"/>
  <c r="CI184" i="1" s="1"/>
  <c r="CJ184" i="1"/>
  <c r="CK184" i="1"/>
  <c r="CM184" i="1"/>
  <c r="CN184" i="1"/>
  <c r="CO184" i="1"/>
  <c r="CP184" i="1"/>
  <c r="CQ184" i="1"/>
  <c r="CS184" i="1"/>
  <c r="CT184" i="1"/>
  <c r="CV184" i="1"/>
  <c r="CW184" i="1"/>
  <c r="CY184" i="1"/>
  <c r="CZ184" i="1"/>
  <c r="DA184" i="1"/>
  <c r="DB184" i="1"/>
  <c r="DC184" i="1"/>
  <c r="DD184" i="1" s="1"/>
  <c r="DE184" i="1"/>
  <c r="DF184" i="1"/>
  <c r="DH184" i="1"/>
  <c r="DI184" i="1"/>
  <c r="DJ184" i="1" s="1"/>
  <c r="DK184" i="1"/>
  <c r="DL184" i="1"/>
  <c r="DM184" i="1" s="1"/>
  <c r="DN184" i="1"/>
  <c r="DO184" i="1"/>
  <c r="DQ184" i="1"/>
  <c r="DR184" i="1"/>
  <c r="DT184" i="1"/>
  <c r="DU184" i="1"/>
  <c r="DV184" i="1"/>
  <c r="DW184" i="1"/>
  <c r="DX184" i="1"/>
  <c r="DY184" i="1"/>
  <c r="DZ184" i="1"/>
  <c r="EA184" i="1"/>
  <c r="EC184" i="1"/>
  <c r="ED184" i="1"/>
  <c r="EE184" i="1" s="1"/>
  <c r="EF184" i="1"/>
  <c r="EG184" i="1"/>
  <c r="EI184" i="1"/>
  <c r="EK184" i="1" s="1"/>
  <c r="EJ184" i="1"/>
  <c r="G185" i="1"/>
  <c r="H185" i="1"/>
  <c r="I185" i="1"/>
  <c r="K185" i="1"/>
  <c r="L185" i="1"/>
  <c r="M185" i="1"/>
  <c r="N185" i="1"/>
  <c r="O185" i="1"/>
  <c r="P185" i="1"/>
  <c r="Q185" i="1"/>
  <c r="R185" i="1"/>
  <c r="J185" i="1" s="1"/>
  <c r="S185" i="1"/>
  <c r="T185" i="1"/>
  <c r="U185" i="1"/>
  <c r="V185" i="1"/>
  <c r="W185" i="1"/>
  <c r="X185" i="1"/>
  <c r="Y185" i="1"/>
  <c r="Z185" i="1"/>
  <c r="AB185" i="1"/>
  <c r="AC185" i="1"/>
  <c r="AD185" i="1" s="1"/>
  <c r="AH185" i="1"/>
  <c r="AI185" i="1" s="1"/>
  <c r="AJ185" i="1"/>
  <c r="AK185" i="1"/>
  <c r="AL185" i="1"/>
  <c r="AM185" i="1"/>
  <c r="AN185" i="1"/>
  <c r="AO185" i="1"/>
  <c r="AP185" i="1"/>
  <c r="AQ185" i="1"/>
  <c r="AT185" i="1"/>
  <c r="AV185" i="1"/>
  <c r="AW185" i="1"/>
  <c r="AX185" i="1"/>
  <c r="AY185" i="1" s="1"/>
  <c r="BA185" i="1"/>
  <c r="BD185" i="1"/>
  <c r="BG185" i="1"/>
  <c r="BJ185" i="1"/>
  <c r="BM185" i="1"/>
  <c r="BP185" i="1"/>
  <c r="BS185" i="1"/>
  <c r="BV185" i="1"/>
  <c r="BY185" i="1"/>
  <c r="CB185" i="1"/>
  <c r="CE185" i="1"/>
  <c r="CH185" i="1"/>
  <c r="CK185" i="1"/>
  <c r="CN185" i="1"/>
  <c r="CQ185" i="1"/>
  <c r="CT185" i="1"/>
  <c r="CW185" i="1"/>
  <c r="CZ185" i="1"/>
  <c r="DC185" i="1"/>
  <c r="DF185" i="1"/>
  <c r="DI185" i="1"/>
  <c r="DL185" i="1"/>
  <c r="DO185" i="1"/>
  <c r="DR185" i="1"/>
  <c r="DU185" i="1"/>
  <c r="DX185" i="1"/>
  <c r="EA185" i="1"/>
  <c r="ED185" i="1"/>
  <c r="EG185" i="1"/>
  <c r="EJ185" i="1"/>
  <c r="G186" i="1"/>
  <c r="H186" i="1"/>
  <c r="I186" i="1"/>
  <c r="K186" i="1"/>
  <c r="L186" i="1"/>
  <c r="M186" i="1"/>
  <c r="N186" i="1"/>
  <c r="O186" i="1"/>
  <c r="P186" i="1"/>
  <c r="Q186" i="1"/>
  <c r="R186" i="1"/>
  <c r="S186" i="1"/>
  <c r="T186" i="1"/>
  <c r="U186" i="1"/>
  <c r="V186" i="1"/>
  <c r="W186" i="1"/>
  <c r="X186" i="1"/>
  <c r="Y186" i="1"/>
  <c r="Z186" i="1"/>
  <c r="AB186" i="1"/>
  <c r="AC186" i="1"/>
  <c r="AF186" i="1" s="1"/>
  <c r="AH186" i="1"/>
  <c r="AI186" i="1" s="1"/>
  <c r="AJ186" i="1"/>
  <c r="AK186" i="1"/>
  <c r="AL186" i="1"/>
  <c r="AM186" i="1"/>
  <c r="AN186" i="1"/>
  <c r="AO186" i="1"/>
  <c r="AP186" i="1"/>
  <c r="AQ186" i="1"/>
  <c r="AT186" i="1"/>
  <c r="AV186" i="1"/>
  <c r="AW186" i="1"/>
  <c r="AX186" i="1"/>
  <c r="AY186" i="1"/>
  <c r="AZ186" i="1"/>
  <c r="BA186" i="1"/>
  <c r="BC186" i="1"/>
  <c r="BD186" i="1"/>
  <c r="BE186" i="1" s="1"/>
  <c r="BF186" i="1"/>
  <c r="BG186" i="1"/>
  <c r="BI186" i="1"/>
  <c r="BJ186" i="1"/>
  <c r="BL186" i="1"/>
  <c r="BN186" i="1" s="1"/>
  <c r="BM186" i="1"/>
  <c r="BO186" i="1"/>
  <c r="BP186" i="1"/>
  <c r="BR186" i="1"/>
  <c r="BS186" i="1"/>
  <c r="BU186" i="1"/>
  <c r="BV186" i="1"/>
  <c r="BW186" i="1"/>
  <c r="BX186" i="1"/>
  <c r="BY186" i="1"/>
  <c r="BZ186" i="1" s="1"/>
  <c r="CA186" i="1"/>
  <c r="CB186" i="1"/>
  <c r="CD186" i="1"/>
  <c r="CE186" i="1"/>
  <c r="CF186" i="1" s="1"/>
  <c r="CG186" i="1"/>
  <c r="CI186" i="1" s="1"/>
  <c r="CH186" i="1"/>
  <c r="CJ186" i="1"/>
  <c r="CK186" i="1"/>
  <c r="CM186" i="1"/>
  <c r="CN186" i="1"/>
  <c r="CP186" i="1"/>
  <c r="CQ186" i="1"/>
  <c r="CR186" i="1"/>
  <c r="CS186" i="1"/>
  <c r="CU186" i="1" s="1"/>
  <c r="CT186" i="1"/>
  <c r="CV186" i="1"/>
  <c r="CW186" i="1"/>
  <c r="CY186" i="1"/>
  <c r="CZ186" i="1"/>
  <c r="DA186" i="1" s="1"/>
  <c r="DB186" i="1"/>
  <c r="DC186" i="1"/>
  <c r="DD186" i="1" s="1"/>
  <c r="DE186" i="1"/>
  <c r="DF186" i="1"/>
  <c r="DH186" i="1"/>
  <c r="DJ186" i="1" s="1"/>
  <c r="DI186" i="1"/>
  <c r="DK186" i="1"/>
  <c r="DL186" i="1"/>
  <c r="DM186" i="1" s="1"/>
  <c r="DN186" i="1"/>
  <c r="DO186" i="1"/>
  <c r="DP186" i="1" s="1"/>
  <c r="DQ186" i="1"/>
  <c r="DR186" i="1"/>
  <c r="DT186" i="1"/>
  <c r="DU186" i="1"/>
  <c r="DV186" i="1" s="1"/>
  <c r="DW186" i="1"/>
  <c r="DX186" i="1"/>
  <c r="DZ186" i="1"/>
  <c r="EA186" i="1"/>
  <c r="EB186" i="1" s="1"/>
  <c r="EC186" i="1"/>
  <c r="EE186" i="1" s="1"/>
  <c r="ED186" i="1"/>
  <c r="EF186" i="1"/>
  <c r="EG186" i="1"/>
  <c r="EI186" i="1"/>
  <c r="EJ186" i="1"/>
  <c r="EK186" i="1" s="1"/>
  <c r="G187" i="1"/>
  <c r="H187" i="1"/>
  <c r="I187" i="1"/>
  <c r="K187" i="1"/>
  <c r="L187" i="1"/>
  <c r="M187" i="1"/>
  <c r="N187" i="1"/>
  <c r="O187" i="1"/>
  <c r="P187" i="1"/>
  <c r="Q187" i="1"/>
  <c r="R187" i="1"/>
  <c r="S187" i="1"/>
  <c r="T187" i="1"/>
  <c r="U187" i="1"/>
  <c r="V187" i="1"/>
  <c r="W187" i="1"/>
  <c r="X187" i="1"/>
  <c r="Y187" i="1"/>
  <c r="Z187" i="1"/>
  <c r="AB187" i="1"/>
  <c r="AC187" i="1"/>
  <c r="AH187" i="1"/>
  <c r="AJ187" i="1"/>
  <c r="AK187" i="1"/>
  <c r="AL187" i="1"/>
  <c r="AM187" i="1"/>
  <c r="AN187" i="1"/>
  <c r="AO187" i="1"/>
  <c r="AP187" i="1"/>
  <c r="AQ187" i="1"/>
  <c r="AT187" i="1"/>
  <c r="AV187" i="1"/>
  <c r="AW187" i="1"/>
  <c r="AX187" i="1"/>
  <c r="AY187" i="1" s="1"/>
  <c r="AZ187" i="1"/>
  <c r="BA187" i="1"/>
  <c r="BC187" i="1"/>
  <c r="BD187" i="1"/>
  <c r="BE187" i="1" s="1"/>
  <c r="BF187" i="1"/>
  <c r="BH187" i="1" s="1"/>
  <c r="BG187" i="1"/>
  <c r="BI187" i="1"/>
  <c r="BJ187" i="1"/>
  <c r="BL187" i="1"/>
  <c r="BM187" i="1"/>
  <c r="BO187" i="1"/>
  <c r="BP187" i="1"/>
  <c r="BQ187" i="1"/>
  <c r="BR187" i="1"/>
  <c r="BS187" i="1"/>
  <c r="BT187" i="1"/>
  <c r="BU187" i="1"/>
  <c r="BV187" i="1"/>
  <c r="BX187" i="1"/>
  <c r="BY187" i="1"/>
  <c r="BZ187" i="1" s="1"/>
  <c r="CA187" i="1"/>
  <c r="CB187" i="1"/>
  <c r="CD187" i="1"/>
  <c r="CE187" i="1"/>
  <c r="CG187" i="1"/>
  <c r="CI187" i="1" s="1"/>
  <c r="CH187" i="1"/>
  <c r="CJ187" i="1"/>
  <c r="CK187" i="1"/>
  <c r="CL187" i="1" s="1"/>
  <c r="CM187" i="1"/>
  <c r="CN187" i="1"/>
  <c r="CO187" i="1" s="1"/>
  <c r="CP187" i="1"/>
  <c r="CQ187" i="1"/>
  <c r="CR187" i="1" s="1"/>
  <c r="CS187" i="1"/>
  <c r="CT187" i="1"/>
  <c r="CU187" i="1" s="1"/>
  <c r="CV187" i="1"/>
  <c r="CW187" i="1"/>
  <c r="CY187" i="1"/>
  <c r="CZ187" i="1"/>
  <c r="DB187" i="1"/>
  <c r="DD187" i="1" s="1"/>
  <c r="DC187" i="1"/>
  <c r="DE187" i="1"/>
  <c r="DF187" i="1"/>
  <c r="DH187" i="1"/>
  <c r="DI187" i="1"/>
  <c r="DJ187" i="1" s="1"/>
  <c r="DK187" i="1"/>
  <c r="DL187" i="1"/>
  <c r="DM187" i="1" s="1"/>
  <c r="DN187" i="1"/>
  <c r="DO187" i="1"/>
  <c r="DP187" i="1"/>
  <c r="DQ187" i="1"/>
  <c r="DR187" i="1"/>
  <c r="DT187" i="1"/>
  <c r="DU187" i="1"/>
  <c r="DW187" i="1"/>
  <c r="DX187" i="1"/>
  <c r="DZ187" i="1"/>
  <c r="EA187" i="1"/>
  <c r="EC187" i="1"/>
  <c r="ED187" i="1"/>
  <c r="EF187" i="1"/>
  <c r="EG187" i="1"/>
  <c r="EH187" i="1" s="1"/>
  <c r="EI187" i="1"/>
  <c r="EJ187" i="1"/>
  <c r="EK187" i="1" s="1"/>
  <c r="G188" i="1"/>
  <c r="H188" i="1"/>
  <c r="I188" i="1"/>
  <c r="K188" i="1"/>
  <c r="L188" i="1"/>
  <c r="M188" i="1"/>
  <c r="N188" i="1"/>
  <c r="O188" i="1"/>
  <c r="P188" i="1"/>
  <c r="Q188" i="1"/>
  <c r="R188" i="1"/>
  <c r="S188" i="1"/>
  <c r="T188" i="1"/>
  <c r="U188" i="1"/>
  <c r="V188" i="1"/>
  <c r="W188" i="1"/>
  <c r="X188" i="1"/>
  <c r="Y188" i="1"/>
  <c r="Z188" i="1"/>
  <c r="AB188" i="1"/>
  <c r="AC188" i="1"/>
  <c r="AF188" i="1" s="1"/>
  <c r="AH188" i="1"/>
  <c r="AI188" i="1" s="1"/>
  <c r="AJ188" i="1"/>
  <c r="AK188" i="1"/>
  <c r="AL188" i="1"/>
  <c r="AM188" i="1"/>
  <c r="AN188" i="1"/>
  <c r="AO188" i="1"/>
  <c r="AP188" i="1"/>
  <c r="AQ188" i="1"/>
  <c r="AT188" i="1"/>
  <c r="AV188" i="1"/>
  <c r="AW188" i="1"/>
  <c r="AX188" i="1"/>
  <c r="AY188" i="1" s="1"/>
  <c r="BA188" i="1"/>
  <c r="BD188" i="1"/>
  <c r="BG188" i="1"/>
  <c r="BJ188" i="1"/>
  <c r="BM188" i="1"/>
  <c r="BP188" i="1"/>
  <c r="BS188" i="1"/>
  <c r="BV188" i="1"/>
  <c r="BY188" i="1"/>
  <c r="CB188" i="1"/>
  <c r="CE188" i="1"/>
  <c r="CH188" i="1"/>
  <c r="CK188" i="1"/>
  <c r="CN188" i="1"/>
  <c r="CQ188" i="1"/>
  <c r="CT188" i="1"/>
  <c r="CW188" i="1"/>
  <c r="CZ188" i="1"/>
  <c r="DC188" i="1"/>
  <c r="DF188" i="1"/>
  <c r="DI188" i="1"/>
  <c r="DL188" i="1"/>
  <c r="DO188" i="1"/>
  <c r="DR188" i="1"/>
  <c r="DU188" i="1"/>
  <c r="DX188" i="1"/>
  <c r="EA188" i="1"/>
  <c r="ED188" i="1"/>
  <c r="EG188" i="1"/>
  <c r="EJ188" i="1"/>
  <c r="G189" i="1"/>
  <c r="H189" i="1"/>
  <c r="I189" i="1"/>
  <c r="K189" i="1"/>
  <c r="J189" i="1" s="1"/>
  <c r="L189" i="1"/>
  <c r="M189" i="1"/>
  <c r="N189" i="1"/>
  <c r="O189" i="1"/>
  <c r="P189" i="1"/>
  <c r="Q189" i="1"/>
  <c r="R189" i="1"/>
  <c r="S189" i="1"/>
  <c r="T189" i="1"/>
  <c r="U189" i="1"/>
  <c r="V189" i="1"/>
  <c r="W189" i="1"/>
  <c r="X189" i="1"/>
  <c r="Y189" i="1"/>
  <c r="Z189" i="1"/>
  <c r="AB189" i="1"/>
  <c r="AD189" i="1" s="1"/>
  <c r="AC189" i="1"/>
  <c r="AF189" i="1" s="1"/>
  <c r="AH189" i="1"/>
  <c r="AI189" i="1" s="1"/>
  <c r="AJ189" i="1"/>
  <c r="AK189" i="1"/>
  <c r="AL189" i="1"/>
  <c r="AM189" i="1"/>
  <c r="AN189" i="1"/>
  <c r="AO189" i="1"/>
  <c r="AP189" i="1"/>
  <c r="AQ189" i="1"/>
  <c r="AT189" i="1"/>
  <c r="AV189" i="1"/>
  <c r="AW189" i="1"/>
  <c r="AX189" i="1"/>
  <c r="AY189" i="1" s="1"/>
  <c r="AZ189" i="1"/>
  <c r="BB189" i="1" s="1"/>
  <c r="BA189" i="1"/>
  <c r="BC189" i="1"/>
  <c r="BD189" i="1"/>
  <c r="BF189" i="1"/>
  <c r="BG189" i="1"/>
  <c r="BH189" i="1" s="1"/>
  <c r="BI189" i="1"/>
  <c r="BJ189" i="1"/>
  <c r="BK189" i="1" s="1"/>
  <c r="BL189" i="1"/>
  <c r="BM189" i="1"/>
  <c r="BO189" i="1"/>
  <c r="BP189" i="1"/>
  <c r="BQ189" i="1" s="1"/>
  <c r="BR189" i="1"/>
  <c r="BS189" i="1"/>
  <c r="BU189" i="1"/>
  <c r="BV189" i="1"/>
  <c r="BX189" i="1"/>
  <c r="BY189" i="1"/>
  <c r="CA189" i="1"/>
  <c r="CB189" i="1"/>
  <c r="CD189" i="1"/>
  <c r="CE189" i="1"/>
  <c r="CF189" i="1" s="1"/>
  <c r="CG189" i="1"/>
  <c r="CH189" i="1"/>
  <c r="CI189" i="1"/>
  <c r="CJ189" i="1"/>
  <c r="CK189" i="1"/>
  <c r="CL189" i="1"/>
  <c r="CM189" i="1"/>
  <c r="CN189" i="1"/>
  <c r="CP189" i="1"/>
  <c r="CQ189" i="1"/>
  <c r="CS189" i="1"/>
  <c r="CT189" i="1"/>
  <c r="CU189" i="1" s="1"/>
  <c r="CV189" i="1"/>
  <c r="CW189" i="1"/>
  <c r="CY189" i="1"/>
  <c r="CZ189" i="1"/>
  <c r="DB189" i="1"/>
  <c r="DC189" i="1"/>
  <c r="DD189" i="1" s="1"/>
  <c r="DE189" i="1"/>
  <c r="DF189" i="1"/>
  <c r="DH189" i="1"/>
  <c r="DI189" i="1"/>
  <c r="DJ189" i="1"/>
  <c r="DK189" i="1"/>
  <c r="DL189" i="1"/>
  <c r="DN189" i="1"/>
  <c r="DO189" i="1"/>
  <c r="DP189" i="1" s="1"/>
  <c r="DQ189" i="1"/>
  <c r="DR189" i="1"/>
  <c r="DS189" i="1" s="1"/>
  <c r="DT189" i="1"/>
  <c r="DU189" i="1"/>
  <c r="DW189" i="1"/>
  <c r="DX189" i="1"/>
  <c r="DZ189" i="1"/>
  <c r="EA189" i="1"/>
  <c r="EC189" i="1"/>
  <c r="ED189" i="1"/>
  <c r="EE189" i="1" s="1"/>
  <c r="EF189" i="1"/>
  <c r="EG189" i="1"/>
  <c r="EI189" i="1"/>
  <c r="EJ189" i="1"/>
  <c r="EK189" i="1" s="1"/>
  <c r="G190" i="1"/>
  <c r="H190" i="1"/>
  <c r="I190" i="1"/>
  <c r="K190" i="1"/>
  <c r="L190" i="1"/>
  <c r="M190" i="1"/>
  <c r="N190" i="1"/>
  <c r="O190" i="1"/>
  <c r="P190" i="1"/>
  <c r="Q190" i="1"/>
  <c r="R190" i="1"/>
  <c r="S190" i="1"/>
  <c r="T190" i="1"/>
  <c r="U190" i="1"/>
  <c r="V190" i="1"/>
  <c r="W190" i="1"/>
  <c r="X190" i="1"/>
  <c r="Y190" i="1"/>
  <c r="Z190" i="1"/>
  <c r="AB190" i="1"/>
  <c r="AC190" i="1"/>
  <c r="AH190" i="1"/>
  <c r="AJ190" i="1"/>
  <c r="AK190" i="1"/>
  <c r="AL190" i="1"/>
  <c r="AM190" i="1"/>
  <c r="AN190" i="1"/>
  <c r="AO190" i="1"/>
  <c r="AP190" i="1"/>
  <c r="AQ190" i="1"/>
  <c r="AT190" i="1"/>
  <c r="AV190" i="1"/>
  <c r="AW190" i="1"/>
  <c r="AX190" i="1"/>
  <c r="BA190" i="1"/>
  <c r="BD190" i="1"/>
  <c r="BG190" i="1"/>
  <c r="BJ190" i="1"/>
  <c r="BM190" i="1"/>
  <c r="BP190" i="1"/>
  <c r="BS190" i="1"/>
  <c r="BV190" i="1"/>
  <c r="BY190" i="1"/>
  <c r="CB190" i="1"/>
  <c r="CE190" i="1"/>
  <c r="CH190" i="1"/>
  <c r="CK190" i="1"/>
  <c r="CN190" i="1"/>
  <c r="CQ190" i="1"/>
  <c r="CT190" i="1"/>
  <c r="CW190" i="1"/>
  <c r="CZ190" i="1"/>
  <c r="DC190" i="1"/>
  <c r="DF190" i="1"/>
  <c r="DI190" i="1"/>
  <c r="DL190" i="1"/>
  <c r="DO190" i="1"/>
  <c r="DR190" i="1"/>
  <c r="DU190" i="1"/>
  <c r="DX190" i="1"/>
  <c r="EA190" i="1"/>
  <c r="ED190" i="1"/>
  <c r="EG190" i="1"/>
  <c r="EJ190" i="1"/>
  <c r="G191" i="1"/>
  <c r="H191" i="1"/>
  <c r="AF191" i="1" s="1"/>
  <c r="I191" i="1"/>
  <c r="K191" i="1"/>
  <c r="L191" i="1"/>
  <c r="M191" i="1"/>
  <c r="N191" i="1"/>
  <c r="O191" i="1"/>
  <c r="P191" i="1"/>
  <c r="Q191" i="1"/>
  <c r="R191" i="1"/>
  <c r="S191" i="1"/>
  <c r="T191" i="1"/>
  <c r="U191" i="1"/>
  <c r="V191" i="1"/>
  <c r="W191" i="1"/>
  <c r="X191" i="1"/>
  <c r="Y191" i="1"/>
  <c r="Z191" i="1"/>
  <c r="AB191" i="1"/>
  <c r="AD191" i="1" s="1"/>
  <c r="AC191" i="1"/>
  <c r="AH191" i="1"/>
  <c r="AI191" i="1" s="1"/>
  <c r="AJ191" i="1"/>
  <c r="AK191" i="1"/>
  <c r="AL191" i="1"/>
  <c r="AM191" i="1"/>
  <c r="AN191" i="1"/>
  <c r="AO191" i="1"/>
  <c r="AP191" i="1"/>
  <c r="AQ191" i="1"/>
  <c r="AT191" i="1"/>
  <c r="AV191" i="1"/>
  <c r="AW191" i="1"/>
  <c r="AX191" i="1"/>
  <c r="AY191" i="1" s="1"/>
  <c r="BA191" i="1"/>
  <c r="BD191" i="1"/>
  <c r="BG191" i="1"/>
  <c r="BJ191" i="1"/>
  <c r="BM191" i="1"/>
  <c r="BS191" i="1"/>
  <c r="BV191" i="1"/>
  <c r="BY191" i="1"/>
  <c r="CB191" i="1"/>
  <c r="CE191" i="1"/>
  <c r="CH191" i="1"/>
  <c r="CK191" i="1"/>
  <c r="CN191" i="1"/>
  <c r="CQ191" i="1"/>
  <c r="CT191" i="1"/>
  <c r="CW191" i="1"/>
  <c r="CZ191" i="1"/>
  <c r="DC191" i="1"/>
  <c r="DF191" i="1"/>
  <c r="DI191" i="1"/>
  <c r="DL191" i="1"/>
  <c r="DO191" i="1"/>
  <c r="DR191" i="1"/>
  <c r="DX191" i="1"/>
  <c r="EA191" i="1"/>
  <c r="ED191" i="1"/>
  <c r="EG191" i="1"/>
  <c r="EJ191" i="1"/>
  <c r="G192" i="1"/>
  <c r="H192" i="1"/>
  <c r="I192" i="1"/>
  <c r="K192" i="1"/>
  <c r="L192" i="1"/>
  <c r="M192" i="1"/>
  <c r="N192" i="1"/>
  <c r="O192" i="1"/>
  <c r="P192" i="1"/>
  <c r="Q192" i="1"/>
  <c r="R192" i="1"/>
  <c r="S192" i="1"/>
  <c r="T192" i="1"/>
  <c r="U192" i="1"/>
  <c r="V192" i="1"/>
  <c r="W192" i="1"/>
  <c r="X192" i="1"/>
  <c r="Y192" i="1"/>
  <c r="Z192" i="1"/>
  <c r="AB192" i="1"/>
  <c r="AC192" i="1"/>
  <c r="AF192" i="1" s="1"/>
  <c r="AD192" i="1"/>
  <c r="AH192" i="1"/>
  <c r="AJ192" i="1"/>
  <c r="AK192" i="1"/>
  <c r="AL192" i="1"/>
  <c r="AM192" i="1"/>
  <c r="AN192" i="1"/>
  <c r="AO192" i="1"/>
  <c r="AP192" i="1"/>
  <c r="AQ192" i="1"/>
  <c r="AT192" i="1"/>
  <c r="AV192" i="1"/>
  <c r="AW192" i="1"/>
  <c r="AX192" i="1"/>
  <c r="AZ192" i="1"/>
  <c r="BA192" i="1"/>
  <c r="BC192" i="1"/>
  <c r="BD192" i="1"/>
  <c r="BE192" i="1"/>
  <c r="BF192" i="1"/>
  <c r="BG192" i="1"/>
  <c r="BI192" i="1"/>
  <c r="BJ192" i="1"/>
  <c r="BK192" i="1" s="1"/>
  <c r="BL192" i="1"/>
  <c r="BM192" i="1"/>
  <c r="BO192" i="1"/>
  <c r="BQ192" i="1" s="1"/>
  <c r="BP192" i="1"/>
  <c r="BR192" i="1"/>
  <c r="BS192" i="1"/>
  <c r="BU192" i="1"/>
  <c r="BV192" i="1"/>
  <c r="BW192" i="1" s="1"/>
  <c r="BX192" i="1"/>
  <c r="BY192" i="1"/>
  <c r="BZ192" i="1"/>
  <c r="CA192" i="1"/>
  <c r="CB192" i="1"/>
  <c r="CD192" i="1"/>
  <c r="CE192" i="1"/>
  <c r="CF192" i="1" s="1"/>
  <c r="CG192" i="1"/>
  <c r="CH192" i="1"/>
  <c r="CJ192" i="1"/>
  <c r="CK192" i="1"/>
  <c r="CL192" i="1" s="1"/>
  <c r="CM192" i="1"/>
  <c r="CN192" i="1"/>
  <c r="CP192" i="1"/>
  <c r="CQ192" i="1"/>
  <c r="CR192" i="1" s="1"/>
  <c r="CS192" i="1"/>
  <c r="CT192" i="1"/>
  <c r="CV192" i="1"/>
  <c r="CW192" i="1"/>
  <c r="CX192" i="1" s="1"/>
  <c r="CY192" i="1"/>
  <c r="CZ192" i="1"/>
  <c r="DA192" i="1"/>
  <c r="DB192" i="1"/>
  <c r="DC192" i="1"/>
  <c r="DD192" i="1" s="1"/>
  <c r="DE192" i="1"/>
  <c r="DF192" i="1"/>
  <c r="DH192" i="1"/>
  <c r="DI192" i="1"/>
  <c r="DK192" i="1"/>
  <c r="DM192" i="1" s="1"/>
  <c r="DL192" i="1"/>
  <c r="DN192" i="1"/>
  <c r="DO192" i="1"/>
  <c r="DP192" i="1" s="1"/>
  <c r="DQ192" i="1"/>
  <c r="DR192" i="1"/>
  <c r="DT192" i="1"/>
  <c r="DU192" i="1"/>
  <c r="DV192" i="1"/>
  <c r="DW192" i="1"/>
  <c r="DX192" i="1"/>
  <c r="DY192" i="1"/>
  <c r="DZ192" i="1"/>
  <c r="EA192" i="1"/>
  <c r="EC192" i="1"/>
  <c r="ED192" i="1"/>
  <c r="EF192" i="1"/>
  <c r="EG192" i="1"/>
  <c r="EI192" i="1"/>
  <c r="EJ192" i="1"/>
  <c r="G193" i="1"/>
  <c r="H193" i="1"/>
  <c r="I193" i="1"/>
  <c r="K193" i="1"/>
  <c r="L193" i="1"/>
  <c r="M193" i="1"/>
  <c r="N193" i="1"/>
  <c r="O193" i="1"/>
  <c r="P193" i="1"/>
  <c r="Q193" i="1"/>
  <c r="R193" i="1"/>
  <c r="S193" i="1"/>
  <c r="T193" i="1"/>
  <c r="U193" i="1"/>
  <c r="V193" i="1"/>
  <c r="W193" i="1"/>
  <c r="X193" i="1"/>
  <c r="Y193" i="1"/>
  <c r="Z193" i="1"/>
  <c r="AB193" i="1"/>
  <c r="AC193" i="1"/>
  <c r="AD193" i="1" s="1"/>
  <c r="AH193" i="1"/>
  <c r="AI193" i="1" s="1"/>
  <c r="AJ193" i="1"/>
  <c r="AK193" i="1"/>
  <c r="AL193" i="1"/>
  <c r="AM193" i="1"/>
  <c r="AN193" i="1"/>
  <c r="AO193" i="1"/>
  <c r="AP193" i="1"/>
  <c r="AQ193" i="1"/>
  <c r="AT193" i="1"/>
  <c r="AV193" i="1"/>
  <c r="AW193" i="1"/>
  <c r="AX193" i="1"/>
  <c r="AZ193" i="1"/>
  <c r="BA193" i="1"/>
  <c r="BB193" i="1" s="1"/>
  <c r="BC193" i="1"/>
  <c r="BD193" i="1"/>
  <c r="BF193" i="1"/>
  <c r="BG193" i="1"/>
  <c r="BI193" i="1"/>
  <c r="BJ193" i="1"/>
  <c r="BK193" i="1" s="1"/>
  <c r="BL193" i="1"/>
  <c r="BM193" i="1"/>
  <c r="BO193" i="1"/>
  <c r="BP193" i="1"/>
  <c r="BR193" i="1"/>
  <c r="BS193" i="1"/>
  <c r="BU193" i="1"/>
  <c r="BV193" i="1"/>
  <c r="BW193" i="1"/>
  <c r="BX193" i="1"/>
  <c r="BY193" i="1"/>
  <c r="BZ193" i="1" s="1"/>
  <c r="CA193" i="1"/>
  <c r="CB193" i="1"/>
  <c r="CD193" i="1"/>
  <c r="CE193" i="1"/>
  <c r="CF193" i="1" s="1"/>
  <c r="CG193" i="1"/>
  <c r="CH193" i="1"/>
  <c r="CI193" i="1" s="1"/>
  <c r="CJ193" i="1"/>
  <c r="CK193" i="1"/>
  <c r="CM193" i="1"/>
  <c r="CO193" i="1" s="1"/>
  <c r="CN193" i="1"/>
  <c r="CP193" i="1"/>
  <c r="CQ193" i="1"/>
  <c r="CS193" i="1"/>
  <c r="CT193" i="1"/>
  <c r="CU193" i="1"/>
  <c r="CV193" i="1"/>
  <c r="CW193" i="1"/>
  <c r="CX193" i="1" s="1"/>
  <c r="CY193" i="1"/>
  <c r="CZ193" i="1"/>
  <c r="DA193" i="1" s="1"/>
  <c r="DB193" i="1"/>
  <c r="DC193" i="1"/>
  <c r="DD193" i="1" s="1"/>
  <c r="DE193" i="1"/>
  <c r="DF193" i="1"/>
  <c r="DG193" i="1" s="1"/>
  <c r="DH193" i="1"/>
  <c r="DJ193" i="1" s="1"/>
  <c r="DI193" i="1"/>
  <c r="DK193" i="1"/>
  <c r="DM193" i="1" s="1"/>
  <c r="DL193" i="1"/>
  <c r="DN193" i="1"/>
  <c r="DO193" i="1"/>
  <c r="DQ193" i="1"/>
  <c r="DR193" i="1"/>
  <c r="DS193" i="1"/>
  <c r="DT193" i="1"/>
  <c r="DU193" i="1"/>
  <c r="DV193" i="1"/>
  <c r="DW193" i="1"/>
  <c r="DX193" i="1"/>
  <c r="DY193" i="1" s="1"/>
  <c r="DZ193" i="1"/>
  <c r="EA193" i="1"/>
  <c r="EB193" i="1" s="1"/>
  <c r="EC193" i="1"/>
  <c r="ED193" i="1"/>
  <c r="EF193" i="1"/>
  <c r="EH193" i="1" s="1"/>
  <c r="EG193" i="1"/>
  <c r="EI193" i="1"/>
  <c r="EK193" i="1" s="1"/>
  <c r="EJ193" i="1"/>
  <c r="G194" i="1"/>
  <c r="H194" i="1"/>
  <c r="I194" i="1"/>
  <c r="K194" i="1"/>
  <c r="L194" i="1"/>
  <c r="M194" i="1"/>
  <c r="N194" i="1"/>
  <c r="O194" i="1"/>
  <c r="P194" i="1"/>
  <c r="Q194" i="1"/>
  <c r="R194" i="1"/>
  <c r="S194" i="1"/>
  <c r="T194" i="1"/>
  <c r="U194" i="1"/>
  <c r="V194" i="1"/>
  <c r="W194" i="1"/>
  <c r="X194" i="1"/>
  <c r="Y194" i="1"/>
  <c r="Z194" i="1"/>
  <c r="AB194" i="1"/>
  <c r="AC194" i="1"/>
  <c r="AH194" i="1"/>
  <c r="AI194" i="1" s="1"/>
  <c r="AJ194" i="1"/>
  <c r="AK194" i="1"/>
  <c r="AL194" i="1"/>
  <c r="AM194" i="1"/>
  <c r="AN194" i="1"/>
  <c r="AO194" i="1"/>
  <c r="AP194" i="1"/>
  <c r="AQ194" i="1"/>
  <c r="AT194" i="1"/>
  <c r="AV194" i="1"/>
  <c r="AW194" i="1"/>
  <c r="AX194" i="1"/>
  <c r="AY194" i="1"/>
  <c r="AZ194" i="1"/>
  <c r="BA194" i="1"/>
  <c r="BC194" i="1"/>
  <c r="BD194" i="1"/>
  <c r="BF194" i="1"/>
  <c r="BG194" i="1"/>
  <c r="BI194" i="1"/>
  <c r="BK194" i="1" s="1"/>
  <c r="BJ194" i="1"/>
  <c r="BL194" i="1"/>
  <c r="BN194" i="1" s="1"/>
  <c r="BM194" i="1"/>
  <c r="BO194" i="1"/>
  <c r="BP194" i="1"/>
  <c r="BQ194" i="1" s="1"/>
  <c r="BR194" i="1"/>
  <c r="BS194" i="1"/>
  <c r="BT194" i="1" s="1"/>
  <c r="BU194" i="1"/>
  <c r="BV194" i="1"/>
  <c r="BX194" i="1"/>
  <c r="BY194" i="1"/>
  <c r="CA194" i="1"/>
  <c r="CB194" i="1"/>
  <c r="CC194" i="1" s="1"/>
  <c r="CD194" i="1"/>
  <c r="CE194" i="1"/>
  <c r="CF194" i="1" s="1"/>
  <c r="CG194" i="1"/>
  <c r="CI194" i="1" s="1"/>
  <c r="CH194" i="1"/>
  <c r="CJ194" i="1"/>
  <c r="CK194" i="1"/>
  <c r="CM194" i="1"/>
  <c r="CN194" i="1"/>
  <c r="CP194" i="1"/>
  <c r="CQ194" i="1"/>
  <c r="CR194" i="1"/>
  <c r="CS194" i="1"/>
  <c r="CT194" i="1"/>
  <c r="CU194" i="1" s="1"/>
  <c r="CV194" i="1"/>
  <c r="CW194" i="1"/>
  <c r="CY194" i="1"/>
  <c r="CZ194" i="1"/>
  <c r="DB194" i="1"/>
  <c r="DC194" i="1"/>
  <c r="DE194" i="1"/>
  <c r="DF194" i="1"/>
  <c r="DH194" i="1"/>
  <c r="DI194" i="1"/>
  <c r="DK194" i="1"/>
  <c r="DL194" i="1"/>
  <c r="DN194" i="1"/>
  <c r="DO194" i="1"/>
  <c r="DP194" i="1"/>
  <c r="DQ194" i="1"/>
  <c r="DR194" i="1"/>
  <c r="DS194" i="1" s="1"/>
  <c r="DT194" i="1"/>
  <c r="DU194" i="1"/>
  <c r="DW194" i="1"/>
  <c r="DX194" i="1"/>
  <c r="DZ194" i="1"/>
  <c r="EA194" i="1"/>
  <c r="EB194" i="1" s="1"/>
  <c r="EC194" i="1"/>
  <c r="ED194" i="1"/>
  <c r="EF194" i="1"/>
  <c r="EG194" i="1"/>
  <c r="EI194" i="1"/>
  <c r="EJ194" i="1"/>
  <c r="G195" i="1"/>
  <c r="H195" i="1"/>
  <c r="I195" i="1"/>
  <c r="K195" i="1"/>
  <c r="L195" i="1"/>
  <c r="M195" i="1"/>
  <c r="N195" i="1"/>
  <c r="O195" i="1"/>
  <c r="P195" i="1"/>
  <c r="Q195" i="1"/>
  <c r="R195" i="1"/>
  <c r="S195" i="1"/>
  <c r="T195" i="1"/>
  <c r="U195" i="1"/>
  <c r="V195" i="1"/>
  <c r="W195" i="1"/>
  <c r="X195" i="1"/>
  <c r="Y195" i="1"/>
  <c r="Z195" i="1"/>
  <c r="AB195" i="1"/>
  <c r="AC195" i="1"/>
  <c r="AH195" i="1"/>
  <c r="AJ195" i="1"/>
  <c r="AK195" i="1"/>
  <c r="AL195" i="1"/>
  <c r="AM195" i="1"/>
  <c r="AN195" i="1"/>
  <c r="AO195" i="1"/>
  <c r="AP195" i="1"/>
  <c r="AQ195" i="1"/>
  <c r="AT195" i="1"/>
  <c r="AV195" i="1"/>
  <c r="AW195" i="1"/>
  <c r="AX195" i="1"/>
  <c r="AZ195" i="1"/>
  <c r="BA195" i="1"/>
  <c r="BC195" i="1"/>
  <c r="BD195" i="1"/>
  <c r="BF195" i="1"/>
  <c r="BH195" i="1" s="1"/>
  <c r="BG195" i="1"/>
  <c r="BI195" i="1"/>
  <c r="BJ195" i="1"/>
  <c r="BL195" i="1"/>
  <c r="BM195" i="1"/>
  <c r="BO195" i="1"/>
  <c r="BP195" i="1"/>
  <c r="BQ195" i="1" s="1"/>
  <c r="BR195" i="1"/>
  <c r="BS195" i="1"/>
  <c r="BT195" i="1" s="1"/>
  <c r="BU195" i="1"/>
  <c r="BV195" i="1"/>
  <c r="BW195" i="1" s="1"/>
  <c r="BX195" i="1"/>
  <c r="BY195" i="1"/>
  <c r="BZ195" i="1" s="1"/>
  <c r="CA195" i="1"/>
  <c r="CB195" i="1"/>
  <c r="CD195" i="1"/>
  <c r="CE195" i="1"/>
  <c r="CG195" i="1"/>
  <c r="CI195" i="1" s="1"/>
  <c r="CH195" i="1"/>
  <c r="CJ195" i="1"/>
  <c r="CK195" i="1"/>
  <c r="CM195" i="1"/>
  <c r="CN195" i="1"/>
  <c r="CO195" i="1"/>
  <c r="CP195" i="1"/>
  <c r="CQ195" i="1"/>
  <c r="CR195" i="1"/>
  <c r="CS195" i="1"/>
  <c r="CT195" i="1"/>
  <c r="CU195" i="1" s="1"/>
  <c r="CV195" i="1"/>
  <c r="CW195" i="1"/>
  <c r="CY195" i="1"/>
  <c r="CZ195" i="1"/>
  <c r="DA195" i="1" s="1"/>
  <c r="DB195" i="1"/>
  <c r="DD195" i="1" s="1"/>
  <c r="DC195" i="1"/>
  <c r="DE195" i="1"/>
  <c r="DG195" i="1" s="1"/>
  <c r="DF195" i="1"/>
  <c r="DH195" i="1"/>
  <c r="DI195" i="1"/>
  <c r="DK195" i="1"/>
  <c r="DM195" i="1" s="1"/>
  <c r="DL195" i="1"/>
  <c r="DN195" i="1"/>
  <c r="DO195" i="1"/>
  <c r="DP195" i="1"/>
  <c r="DQ195" i="1"/>
  <c r="DR195" i="1"/>
  <c r="DT195" i="1"/>
  <c r="DU195" i="1"/>
  <c r="DV195" i="1" s="1"/>
  <c r="DW195" i="1"/>
  <c r="DX195" i="1"/>
  <c r="DZ195" i="1"/>
  <c r="EB195" i="1" s="1"/>
  <c r="EA195" i="1"/>
  <c r="EC195" i="1"/>
  <c r="EE195" i="1" s="1"/>
  <c r="ED195" i="1"/>
  <c r="EF195" i="1"/>
  <c r="EG195" i="1"/>
  <c r="EI195" i="1"/>
  <c r="EJ195" i="1"/>
  <c r="EK195" i="1" s="1"/>
  <c r="G196" i="1"/>
  <c r="H196" i="1"/>
  <c r="I196" i="1"/>
  <c r="K196" i="1"/>
  <c r="L196" i="1"/>
  <c r="M196" i="1"/>
  <c r="N196" i="1"/>
  <c r="O196" i="1"/>
  <c r="P196" i="1"/>
  <c r="Q196" i="1"/>
  <c r="R196" i="1"/>
  <c r="S196" i="1"/>
  <c r="T196" i="1"/>
  <c r="U196" i="1"/>
  <c r="V196" i="1"/>
  <c r="W196" i="1"/>
  <c r="X196" i="1"/>
  <c r="Y196" i="1"/>
  <c r="Z196" i="1"/>
  <c r="AB196" i="1"/>
  <c r="AC196" i="1"/>
  <c r="AI196" i="1" s="1"/>
  <c r="AF196" i="1"/>
  <c r="AH196" i="1"/>
  <c r="AJ196" i="1"/>
  <c r="AK196" i="1"/>
  <c r="AL196" i="1"/>
  <c r="AM196" i="1"/>
  <c r="AN196" i="1"/>
  <c r="AO196" i="1"/>
  <c r="AP196" i="1"/>
  <c r="AQ196" i="1"/>
  <c r="AT196" i="1"/>
  <c r="AV196" i="1"/>
  <c r="AW196" i="1"/>
  <c r="AX196" i="1"/>
  <c r="AZ196" i="1"/>
  <c r="BA196" i="1"/>
  <c r="BB196" i="1" s="1"/>
  <c r="BC196" i="1"/>
  <c r="BD196" i="1"/>
  <c r="BF196" i="1"/>
  <c r="BG196" i="1"/>
  <c r="BI196" i="1"/>
  <c r="BJ196" i="1"/>
  <c r="BK196" i="1" s="1"/>
  <c r="BL196" i="1"/>
  <c r="BM196" i="1"/>
  <c r="BN196" i="1"/>
  <c r="BO196" i="1"/>
  <c r="BP196" i="1"/>
  <c r="BQ196" i="1" s="1"/>
  <c r="BR196" i="1"/>
  <c r="BS196" i="1"/>
  <c r="BU196" i="1"/>
  <c r="BV196" i="1"/>
  <c r="BX196" i="1"/>
  <c r="BY196" i="1"/>
  <c r="CA196" i="1"/>
  <c r="CC196" i="1" s="1"/>
  <c r="CB196" i="1"/>
  <c r="CD196" i="1"/>
  <c r="CE196" i="1"/>
  <c r="CG196" i="1"/>
  <c r="CH196" i="1"/>
  <c r="CI196" i="1" s="1"/>
  <c r="CJ196" i="1"/>
  <c r="CK196" i="1"/>
  <c r="CL196" i="1" s="1"/>
  <c r="CM196" i="1"/>
  <c r="CN196" i="1"/>
  <c r="CO196" i="1" s="1"/>
  <c r="CP196" i="1"/>
  <c r="CQ196" i="1"/>
  <c r="CR196" i="1" s="1"/>
  <c r="CS196" i="1"/>
  <c r="CT196" i="1"/>
  <c r="CU196" i="1" s="1"/>
  <c r="CV196" i="1"/>
  <c r="CW196" i="1"/>
  <c r="CX196" i="1" s="1"/>
  <c r="CY196" i="1"/>
  <c r="DA196" i="1" s="1"/>
  <c r="CZ196" i="1"/>
  <c r="DB196" i="1"/>
  <c r="DD196" i="1" s="1"/>
  <c r="DC196" i="1"/>
  <c r="DE196" i="1"/>
  <c r="DF196" i="1"/>
  <c r="DH196" i="1"/>
  <c r="DI196" i="1"/>
  <c r="DK196" i="1"/>
  <c r="DL196" i="1"/>
  <c r="DM196" i="1"/>
  <c r="DN196" i="1"/>
  <c r="DO196" i="1"/>
  <c r="DQ196" i="1"/>
  <c r="DR196" i="1"/>
  <c r="DT196" i="1"/>
  <c r="DU196" i="1"/>
  <c r="DW196" i="1"/>
  <c r="DY196" i="1" s="1"/>
  <c r="DX196" i="1"/>
  <c r="DZ196" i="1"/>
  <c r="EB196" i="1" s="1"/>
  <c r="EA196" i="1"/>
  <c r="EC196" i="1"/>
  <c r="ED196" i="1"/>
  <c r="EE196" i="1" s="1"/>
  <c r="EF196" i="1"/>
  <c r="EG196" i="1"/>
  <c r="EH196" i="1"/>
  <c r="EI196" i="1"/>
  <c r="EJ196" i="1"/>
  <c r="EK196" i="1" s="1"/>
  <c r="G197" i="1"/>
  <c r="H197" i="1"/>
  <c r="I197" i="1"/>
  <c r="K197" i="1"/>
  <c r="L197" i="1"/>
  <c r="M197" i="1"/>
  <c r="N197" i="1"/>
  <c r="O197" i="1"/>
  <c r="P197" i="1"/>
  <c r="Q197" i="1"/>
  <c r="R197" i="1"/>
  <c r="S197" i="1"/>
  <c r="T197" i="1"/>
  <c r="U197" i="1"/>
  <c r="V197" i="1"/>
  <c r="W197" i="1"/>
  <c r="X197" i="1"/>
  <c r="Y197" i="1"/>
  <c r="Z197" i="1"/>
  <c r="AB197" i="1"/>
  <c r="AC197" i="1"/>
  <c r="AF197" i="1" s="1"/>
  <c r="AH197" i="1"/>
  <c r="AJ197" i="1"/>
  <c r="AK197" i="1"/>
  <c r="AL197" i="1"/>
  <c r="AM197" i="1"/>
  <c r="AN197" i="1"/>
  <c r="AO197" i="1"/>
  <c r="AP197" i="1"/>
  <c r="AQ197" i="1"/>
  <c r="AT197" i="1"/>
  <c r="AV197" i="1"/>
  <c r="AW197" i="1"/>
  <c r="AX197" i="1"/>
  <c r="AZ197" i="1"/>
  <c r="BA197" i="1"/>
  <c r="BC197" i="1"/>
  <c r="BD197" i="1"/>
  <c r="BF197" i="1"/>
  <c r="BG197" i="1"/>
  <c r="BI197" i="1"/>
  <c r="BJ197" i="1"/>
  <c r="BL197" i="1"/>
  <c r="BM197" i="1"/>
  <c r="BN197" i="1" s="1"/>
  <c r="BO197" i="1"/>
  <c r="BP197" i="1"/>
  <c r="BR197" i="1"/>
  <c r="BS197" i="1"/>
  <c r="BT197" i="1" s="1"/>
  <c r="BU197" i="1"/>
  <c r="BV197" i="1"/>
  <c r="BX197" i="1"/>
  <c r="BZ197" i="1" s="1"/>
  <c r="BY197" i="1"/>
  <c r="CA197" i="1"/>
  <c r="CB197" i="1"/>
  <c r="CD197" i="1"/>
  <c r="CE197" i="1"/>
  <c r="CG197" i="1"/>
  <c r="CH197" i="1"/>
  <c r="CI197" i="1"/>
  <c r="CJ197" i="1"/>
  <c r="CK197" i="1"/>
  <c r="CL197" i="1" s="1"/>
  <c r="CM197" i="1"/>
  <c r="CN197" i="1"/>
  <c r="CO197" i="1" s="1"/>
  <c r="CP197" i="1"/>
  <c r="CQ197" i="1"/>
  <c r="CS197" i="1"/>
  <c r="CT197" i="1"/>
  <c r="CV197" i="1"/>
  <c r="CW197" i="1"/>
  <c r="CY197" i="1"/>
  <c r="DA197" i="1" s="1"/>
  <c r="CZ197" i="1"/>
  <c r="DB197" i="1"/>
  <c r="DC197" i="1"/>
  <c r="DE197" i="1"/>
  <c r="DF197" i="1"/>
  <c r="DG197" i="1"/>
  <c r="DH197" i="1"/>
  <c r="DJ197" i="1" s="1"/>
  <c r="DI197" i="1"/>
  <c r="DK197" i="1"/>
  <c r="DL197" i="1"/>
  <c r="DN197" i="1"/>
  <c r="DO197" i="1"/>
  <c r="DQ197" i="1"/>
  <c r="DR197" i="1"/>
  <c r="DS197" i="1" s="1"/>
  <c r="DT197" i="1"/>
  <c r="DV197" i="1" s="1"/>
  <c r="DU197" i="1"/>
  <c r="DW197" i="1"/>
  <c r="DX197" i="1"/>
  <c r="DZ197" i="1"/>
  <c r="EA197" i="1"/>
  <c r="EC197" i="1"/>
  <c r="ED197" i="1"/>
  <c r="EF197" i="1"/>
  <c r="EG197" i="1"/>
  <c r="EI197" i="1"/>
  <c r="EJ197" i="1"/>
  <c r="G198" i="1"/>
  <c r="H198" i="1"/>
  <c r="I198" i="1"/>
  <c r="K198" i="1"/>
  <c r="L198" i="1"/>
  <c r="M198" i="1"/>
  <c r="N198" i="1"/>
  <c r="O198" i="1"/>
  <c r="P198" i="1"/>
  <c r="Q198" i="1"/>
  <c r="R198" i="1"/>
  <c r="S198" i="1"/>
  <c r="T198" i="1"/>
  <c r="U198" i="1"/>
  <c r="V198" i="1"/>
  <c r="W198" i="1"/>
  <c r="X198" i="1"/>
  <c r="Y198" i="1"/>
  <c r="Z198" i="1"/>
  <c r="AB198" i="1"/>
  <c r="AC198" i="1"/>
  <c r="AH198" i="1"/>
  <c r="AI198" i="1"/>
  <c r="AJ198" i="1"/>
  <c r="AK198" i="1"/>
  <c r="AL198" i="1"/>
  <c r="AM198" i="1"/>
  <c r="AN198" i="1"/>
  <c r="AO198" i="1"/>
  <c r="AP198" i="1"/>
  <c r="AQ198" i="1"/>
  <c r="AT198" i="1"/>
  <c r="AV198" i="1"/>
  <c r="AW198" i="1"/>
  <c r="AX198" i="1"/>
  <c r="AZ198" i="1"/>
  <c r="BA198" i="1"/>
  <c r="BC198" i="1"/>
  <c r="BD198" i="1"/>
  <c r="BF198" i="1"/>
  <c r="BG198" i="1"/>
  <c r="BH198" i="1"/>
  <c r="BI198" i="1"/>
  <c r="BK198" i="1" s="1"/>
  <c r="BJ198" i="1"/>
  <c r="BL198" i="1"/>
  <c r="BM198" i="1"/>
  <c r="BN198" i="1" s="1"/>
  <c r="BO198" i="1"/>
  <c r="BP198" i="1"/>
  <c r="BQ198" i="1" s="1"/>
  <c r="BR198" i="1"/>
  <c r="BS198" i="1"/>
  <c r="BT198" i="1" s="1"/>
  <c r="BU198" i="1"/>
  <c r="BW198" i="1" s="1"/>
  <c r="BV198" i="1"/>
  <c r="BX198" i="1"/>
  <c r="BY198" i="1"/>
  <c r="BZ198" i="1" s="1"/>
  <c r="CA198" i="1"/>
  <c r="CB198" i="1"/>
  <c r="CD198" i="1"/>
  <c r="CE198" i="1"/>
  <c r="CG198" i="1"/>
  <c r="CI198" i="1" s="1"/>
  <c r="CH198" i="1"/>
  <c r="CJ198" i="1"/>
  <c r="CK198" i="1"/>
  <c r="CL198" i="1" s="1"/>
  <c r="CM198" i="1"/>
  <c r="CN198" i="1"/>
  <c r="CO198" i="1" s="1"/>
  <c r="CP198" i="1"/>
  <c r="CQ198" i="1"/>
  <c r="CS198" i="1"/>
  <c r="CT198" i="1"/>
  <c r="CV198" i="1"/>
  <c r="CW198" i="1"/>
  <c r="CY198" i="1"/>
  <c r="CZ198" i="1"/>
  <c r="DA198" i="1" s="1"/>
  <c r="DB198" i="1"/>
  <c r="DC198" i="1"/>
  <c r="DD198" i="1" s="1"/>
  <c r="DE198" i="1"/>
  <c r="DF198" i="1"/>
  <c r="DG198" i="1"/>
  <c r="DH198" i="1"/>
  <c r="DI198" i="1"/>
  <c r="DK198" i="1"/>
  <c r="DL198" i="1"/>
  <c r="DN198" i="1"/>
  <c r="DO198" i="1"/>
  <c r="DP198" i="1" s="1"/>
  <c r="DQ198" i="1"/>
  <c r="DR198" i="1"/>
  <c r="DT198" i="1"/>
  <c r="DU198" i="1"/>
  <c r="DV198" i="1" s="1"/>
  <c r="DW198" i="1"/>
  <c r="DX198" i="1"/>
  <c r="DZ198" i="1"/>
  <c r="EA198" i="1"/>
  <c r="EB198" i="1" s="1"/>
  <c r="EC198" i="1"/>
  <c r="ED198" i="1"/>
  <c r="EE198" i="1"/>
  <c r="EF198" i="1"/>
  <c r="EG198" i="1"/>
  <c r="EI198" i="1"/>
  <c r="EJ198" i="1"/>
  <c r="EK198" i="1" s="1"/>
  <c r="G199" i="1"/>
  <c r="I199" i="1"/>
  <c r="K199" i="1"/>
  <c r="L199" i="1"/>
  <c r="M199" i="1"/>
  <c r="N199" i="1"/>
  <c r="O199" i="1"/>
  <c r="P199" i="1"/>
  <c r="Q199" i="1"/>
  <c r="R199" i="1"/>
  <c r="S199" i="1"/>
  <c r="T199" i="1"/>
  <c r="U199" i="1"/>
  <c r="V199" i="1"/>
  <c r="W199" i="1"/>
  <c r="X199" i="1"/>
  <c r="Y199" i="1"/>
  <c r="Z199" i="1"/>
  <c r="AC199" i="1"/>
  <c r="AJ199" i="1"/>
  <c r="AK199" i="1"/>
  <c r="AL199" i="1"/>
  <c r="AM199" i="1"/>
  <c r="AN199" i="1"/>
  <c r="AO199" i="1"/>
  <c r="AP199" i="1"/>
  <c r="AQ199" i="1"/>
  <c r="AT199" i="1"/>
  <c r="AV199" i="1"/>
  <c r="AW199" i="1"/>
  <c r="AX199" i="1"/>
  <c r="AY199" i="1" s="1"/>
  <c r="AZ199" i="1"/>
  <c r="BA199" i="1"/>
  <c r="BB199" i="1" s="1"/>
  <c r="BC199" i="1"/>
  <c r="BD199" i="1"/>
  <c r="BE199" i="1" s="1"/>
  <c r="BF199" i="1"/>
  <c r="BG199" i="1"/>
  <c r="BH199" i="1" s="1"/>
  <c r="BI199" i="1"/>
  <c r="BJ199" i="1"/>
  <c r="BL199" i="1"/>
  <c r="BM199" i="1"/>
  <c r="BN199" i="1" s="1"/>
  <c r="BO199" i="1"/>
  <c r="BP199" i="1"/>
  <c r="BR199" i="1"/>
  <c r="BS199" i="1"/>
  <c r="BU199" i="1"/>
  <c r="BV199" i="1"/>
  <c r="BW199" i="1" s="1"/>
  <c r="BX199" i="1"/>
  <c r="BY199" i="1"/>
  <c r="BZ199" i="1" s="1"/>
  <c r="CA199" i="1"/>
  <c r="CB199" i="1"/>
  <c r="CC199" i="1" s="1"/>
  <c r="CD199" i="1"/>
  <c r="CF199" i="1" s="1"/>
  <c r="CE199" i="1"/>
  <c r="CG199" i="1"/>
  <c r="CH199" i="1"/>
  <c r="CI199" i="1" s="1"/>
  <c r="CJ199" i="1"/>
  <c r="CL199" i="1" s="1"/>
  <c r="CK199" i="1"/>
  <c r="CM199" i="1"/>
  <c r="CN199" i="1"/>
  <c r="CO199" i="1" s="1"/>
  <c r="CP199" i="1"/>
  <c r="CR199" i="1" s="1"/>
  <c r="CQ199" i="1"/>
  <c r="CS199" i="1"/>
  <c r="CT199" i="1"/>
  <c r="CV199" i="1"/>
  <c r="CW199" i="1"/>
  <c r="CY199" i="1"/>
  <c r="DA199" i="1" s="1"/>
  <c r="CZ199" i="1"/>
  <c r="DB199" i="1"/>
  <c r="DD199" i="1" s="1"/>
  <c r="DC199" i="1"/>
  <c r="DE199" i="1"/>
  <c r="DF199" i="1"/>
  <c r="DG199" i="1" s="1"/>
  <c r="DH199" i="1"/>
  <c r="DI199" i="1"/>
  <c r="DJ199" i="1" s="1"/>
  <c r="DK199" i="1"/>
  <c r="DL199" i="1"/>
  <c r="DM199" i="1" s="1"/>
  <c r="DN199" i="1"/>
  <c r="DO199" i="1"/>
  <c r="DQ199" i="1"/>
  <c r="DR199" i="1"/>
  <c r="DS199" i="1" s="1"/>
  <c r="DT199" i="1"/>
  <c r="DU199" i="1"/>
  <c r="DV199" i="1" s="1"/>
  <c r="DW199" i="1"/>
  <c r="DY199" i="1" s="1"/>
  <c r="DX199" i="1"/>
  <c r="DZ199" i="1"/>
  <c r="EA199" i="1"/>
  <c r="EB199" i="1"/>
  <c r="EC199" i="1"/>
  <c r="ED199" i="1"/>
  <c r="EF199" i="1"/>
  <c r="EG199" i="1"/>
  <c r="EH199" i="1" s="1"/>
  <c r="EI199" i="1"/>
  <c r="EJ199" i="1"/>
  <c r="G200" i="1"/>
  <c r="H200" i="1"/>
  <c r="I200" i="1"/>
  <c r="K200" i="1"/>
  <c r="L200" i="1"/>
  <c r="M200" i="1"/>
  <c r="N200" i="1"/>
  <c r="O200" i="1"/>
  <c r="P200" i="1"/>
  <c r="Q200" i="1"/>
  <c r="R200" i="1"/>
  <c r="S200" i="1"/>
  <c r="T200" i="1"/>
  <c r="U200" i="1"/>
  <c r="V200" i="1"/>
  <c r="W200" i="1"/>
  <c r="X200" i="1"/>
  <c r="Y200" i="1"/>
  <c r="Z200" i="1"/>
  <c r="AB200" i="1"/>
  <c r="AD200" i="1" s="1"/>
  <c r="AC200" i="1"/>
  <c r="AF200" i="1" s="1"/>
  <c r="AH200" i="1"/>
  <c r="AJ200" i="1"/>
  <c r="AK200" i="1"/>
  <c r="AL200" i="1"/>
  <c r="AM200" i="1"/>
  <c r="AN200" i="1"/>
  <c r="AO200" i="1"/>
  <c r="AP200" i="1"/>
  <c r="AQ200" i="1"/>
  <c r="AT200" i="1"/>
  <c r="DN200" i="1"/>
  <c r="DO200" i="1"/>
  <c r="DP200" i="1" s="1"/>
  <c r="G201" i="1"/>
  <c r="I201" i="1"/>
  <c r="K201" i="1"/>
  <c r="L201" i="1"/>
  <c r="M201" i="1"/>
  <c r="N201" i="1"/>
  <c r="O201" i="1"/>
  <c r="P201" i="1"/>
  <c r="Q201" i="1"/>
  <c r="R201" i="1"/>
  <c r="S201" i="1"/>
  <c r="T201" i="1"/>
  <c r="U201" i="1"/>
  <c r="V201" i="1"/>
  <c r="W201" i="1"/>
  <c r="X201" i="1"/>
  <c r="Y201" i="1"/>
  <c r="Z201" i="1"/>
  <c r="AC201" i="1"/>
  <c r="AJ201" i="1"/>
  <c r="AK201" i="1"/>
  <c r="AL201" i="1"/>
  <c r="AN201" i="1"/>
  <c r="AO201" i="1"/>
  <c r="AP201" i="1"/>
  <c r="AQ201" i="1"/>
  <c r="AT201" i="1"/>
  <c r="AV201" i="1"/>
  <c r="AW201" i="1"/>
  <c r="AX201" i="1"/>
  <c r="AY201" i="1" s="1"/>
  <c r="AZ201" i="1"/>
  <c r="BA201" i="1"/>
  <c r="BB201" i="1" s="1"/>
  <c r="BC201" i="1"/>
  <c r="BD201" i="1"/>
  <c r="BF201" i="1"/>
  <c r="BG201" i="1"/>
  <c r="BH201" i="1"/>
  <c r="BI201" i="1"/>
  <c r="BJ201" i="1"/>
  <c r="BK201" i="1" s="1"/>
  <c r="BL201" i="1"/>
  <c r="BN201" i="1" s="1"/>
  <c r="BM201" i="1"/>
  <c r="BO201" i="1"/>
  <c r="BP201" i="1"/>
  <c r="BR201" i="1"/>
  <c r="BS201" i="1"/>
  <c r="BU201" i="1"/>
  <c r="BV201" i="1"/>
  <c r="BW201" i="1" s="1"/>
  <c r="BX201" i="1"/>
  <c r="BZ201" i="1" s="1"/>
  <c r="BY201" i="1"/>
  <c r="CA201" i="1"/>
  <c r="CB201" i="1"/>
  <c r="CD201" i="1"/>
  <c r="CE201" i="1"/>
  <c r="CF201" i="1"/>
  <c r="CG201" i="1"/>
  <c r="CH201" i="1"/>
  <c r="CJ201" i="1"/>
  <c r="CK201" i="1"/>
  <c r="CM201" i="1"/>
  <c r="CN201" i="1"/>
  <c r="CO201" i="1" s="1"/>
  <c r="CP201" i="1"/>
  <c r="CQ201" i="1"/>
  <c r="CS201" i="1"/>
  <c r="CU201" i="1" s="1"/>
  <c r="CT201" i="1"/>
  <c r="CV201" i="1"/>
  <c r="CW201" i="1"/>
  <c r="CX201" i="1" s="1"/>
  <c r="CY201" i="1"/>
  <c r="CZ201" i="1"/>
  <c r="DB201" i="1"/>
  <c r="DC201" i="1"/>
  <c r="DE201" i="1"/>
  <c r="DF201" i="1"/>
  <c r="DH201" i="1"/>
  <c r="DI201" i="1"/>
  <c r="DK201" i="1"/>
  <c r="DL201" i="1"/>
  <c r="DM201" i="1" s="1"/>
  <c r="DN201" i="1"/>
  <c r="DO201" i="1"/>
  <c r="DQ201" i="1"/>
  <c r="DS201" i="1" s="1"/>
  <c r="DR201" i="1"/>
  <c r="DT201" i="1"/>
  <c r="DU201" i="1"/>
  <c r="DV201" i="1" s="1"/>
  <c r="DW201" i="1"/>
  <c r="DX201" i="1"/>
  <c r="DZ201" i="1"/>
  <c r="EA201" i="1"/>
  <c r="EB201" i="1"/>
  <c r="EC201" i="1"/>
  <c r="ED201" i="1"/>
  <c r="EF201" i="1"/>
  <c r="EH201" i="1" s="1"/>
  <c r="EG201" i="1"/>
  <c r="EI201" i="1"/>
  <c r="EJ201" i="1"/>
  <c r="EK201" i="1" s="1"/>
  <c r="G202" i="1"/>
  <c r="I202" i="1"/>
  <c r="K202" i="1"/>
  <c r="L202" i="1"/>
  <c r="M202" i="1"/>
  <c r="N202" i="1"/>
  <c r="O202" i="1"/>
  <c r="P202" i="1"/>
  <c r="Q202" i="1"/>
  <c r="R202" i="1"/>
  <c r="S202" i="1"/>
  <c r="T202" i="1"/>
  <c r="U202" i="1"/>
  <c r="V202" i="1"/>
  <c r="W202" i="1"/>
  <c r="X202" i="1"/>
  <c r="Y202" i="1"/>
  <c r="Z202" i="1"/>
  <c r="AC202" i="1"/>
  <c r="AJ202" i="1"/>
  <c r="AK202" i="1"/>
  <c r="AL202" i="1"/>
  <c r="AN202" i="1"/>
  <c r="AO202" i="1"/>
  <c r="AP202" i="1"/>
  <c r="AQ202" i="1"/>
  <c r="AT202" i="1"/>
  <c r="AV202" i="1"/>
  <c r="AW202" i="1"/>
  <c r="AY202" i="1" s="1"/>
  <c r="AX202" i="1"/>
  <c r="AZ202" i="1"/>
  <c r="BA202" i="1"/>
  <c r="BB202" i="1" s="1"/>
  <c r="BC202" i="1"/>
  <c r="BD202" i="1"/>
  <c r="BE202" i="1" s="1"/>
  <c r="BF202" i="1"/>
  <c r="BG202" i="1"/>
  <c r="BI202" i="1"/>
  <c r="BJ202" i="1"/>
  <c r="BL202" i="1"/>
  <c r="BM202" i="1"/>
  <c r="BN202" i="1" s="1"/>
  <c r="BO202" i="1"/>
  <c r="BP202" i="1"/>
  <c r="BR202" i="1"/>
  <c r="BT202" i="1" s="1"/>
  <c r="BS202" i="1"/>
  <c r="BU202" i="1"/>
  <c r="BW202" i="1" s="1"/>
  <c r="BV202" i="1"/>
  <c r="BX202" i="1"/>
  <c r="BY202" i="1"/>
  <c r="BZ202" i="1" s="1"/>
  <c r="CA202" i="1"/>
  <c r="CB202" i="1"/>
  <c r="CC202" i="1" s="1"/>
  <c r="CD202" i="1"/>
  <c r="CE202" i="1"/>
  <c r="CG202" i="1"/>
  <c r="CI202" i="1" s="1"/>
  <c r="CH202" i="1"/>
  <c r="CJ202" i="1"/>
  <c r="CK202" i="1"/>
  <c r="CM202" i="1"/>
  <c r="CN202" i="1"/>
  <c r="CP202" i="1"/>
  <c r="CQ202" i="1"/>
  <c r="CR202" i="1" s="1"/>
  <c r="CS202" i="1"/>
  <c r="CU202" i="1" s="1"/>
  <c r="CT202" i="1"/>
  <c r="CV202" i="1"/>
  <c r="CW202" i="1"/>
  <c r="CY202" i="1"/>
  <c r="CZ202" i="1"/>
  <c r="DA202" i="1"/>
  <c r="DB202" i="1"/>
  <c r="DC202" i="1"/>
  <c r="DD202" i="1" s="1"/>
  <c r="DE202" i="1"/>
  <c r="DG202" i="1" s="1"/>
  <c r="DF202" i="1"/>
  <c r="DH202" i="1"/>
  <c r="DI202" i="1"/>
  <c r="DJ202" i="1" s="1"/>
  <c r="DK202" i="1"/>
  <c r="DL202" i="1"/>
  <c r="DN202" i="1"/>
  <c r="DP202" i="1" s="1"/>
  <c r="DO202" i="1"/>
  <c r="DQ202" i="1"/>
  <c r="DR202" i="1"/>
  <c r="DS202" i="1"/>
  <c r="DT202" i="1"/>
  <c r="DU202" i="1"/>
  <c r="DV202" i="1" s="1"/>
  <c r="DW202" i="1"/>
  <c r="DX202" i="1"/>
  <c r="DY202" i="1" s="1"/>
  <c r="DZ202" i="1"/>
  <c r="EA202" i="1"/>
  <c r="EB202" i="1" s="1"/>
  <c r="EC202" i="1"/>
  <c r="ED202" i="1"/>
  <c r="EF202" i="1"/>
  <c r="EG202" i="1"/>
  <c r="EH202" i="1" s="1"/>
  <c r="EI202" i="1"/>
  <c r="EJ202" i="1"/>
  <c r="EK202" i="1" s="1"/>
  <c r="G203" i="1"/>
  <c r="I203" i="1"/>
  <c r="K203" i="1"/>
  <c r="L203" i="1"/>
  <c r="M203" i="1"/>
  <c r="N203" i="1"/>
  <c r="O203" i="1"/>
  <c r="P203" i="1"/>
  <c r="Q203" i="1"/>
  <c r="R203" i="1"/>
  <c r="S203" i="1"/>
  <c r="T203" i="1"/>
  <c r="U203" i="1"/>
  <c r="V203" i="1"/>
  <c r="W203" i="1"/>
  <c r="X203" i="1"/>
  <c r="Y203" i="1"/>
  <c r="Z203" i="1"/>
  <c r="AC203" i="1"/>
  <c r="AJ203" i="1"/>
  <c r="AK203" i="1"/>
  <c r="AL203" i="1"/>
  <c r="AN203" i="1"/>
  <c r="AO203" i="1"/>
  <c r="AP203" i="1"/>
  <c r="AQ203" i="1"/>
  <c r="AT203" i="1"/>
  <c r="AV203" i="1"/>
  <c r="AW203" i="1"/>
  <c r="AX203" i="1"/>
  <c r="AY203" i="1" s="1"/>
  <c r="AZ203" i="1"/>
  <c r="BA203" i="1"/>
  <c r="BB203" i="1" s="1"/>
  <c r="BC203" i="1"/>
  <c r="BD203" i="1"/>
  <c r="BE203" i="1" s="1"/>
  <c r="BF203" i="1"/>
  <c r="BG203" i="1"/>
  <c r="BI203" i="1"/>
  <c r="BJ203" i="1"/>
  <c r="BK203" i="1" s="1"/>
  <c r="BL203" i="1"/>
  <c r="BM203" i="1"/>
  <c r="BO203" i="1"/>
  <c r="BP203" i="1"/>
  <c r="BQ203" i="1" s="1"/>
  <c r="BR203" i="1"/>
  <c r="BS203" i="1"/>
  <c r="BT203" i="1" s="1"/>
  <c r="BU203" i="1"/>
  <c r="BV203" i="1"/>
  <c r="BX203" i="1"/>
  <c r="BY203" i="1"/>
  <c r="BZ203" i="1" s="1"/>
  <c r="CA203" i="1"/>
  <c r="CB203" i="1"/>
  <c r="CD203" i="1"/>
  <c r="CE203" i="1"/>
  <c r="CG203" i="1"/>
  <c r="CH203" i="1"/>
  <c r="CI203" i="1" s="1"/>
  <c r="CJ203" i="1"/>
  <c r="CK203" i="1"/>
  <c r="CL203" i="1" s="1"/>
  <c r="CM203" i="1"/>
  <c r="CO203" i="1" s="1"/>
  <c r="CN203" i="1"/>
  <c r="CP203" i="1"/>
  <c r="CQ203" i="1"/>
  <c r="CR203" i="1" s="1"/>
  <c r="CS203" i="1"/>
  <c r="CT203" i="1"/>
  <c r="CV203" i="1"/>
  <c r="CW203" i="1"/>
  <c r="CX203" i="1" s="1"/>
  <c r="CY203" i="1"/>
  <c r="CZ203" i="1"/>
  <c r="DB203" i="1"/>
  <c r="DC203" i="1"/>
  <c r="DE203" i="1"/>
  <c r="DF203" i="1"/>
  <c r="DG203" i="1" s="1"/>
  <c r="DH203" i="1"/>
  <c r="DI203" i="1"/>
  <c r="DK203" i="1"/>
  <c r="DL203" i="1"/>
  <c r="DN203" i="1"/>
  <c r="DO203" i="1"/>
  <c r="DP203" i="1"/>
  <c r="DQ203" i="1"/>
  <c r="DR203" i="1"/>
  <c r="DS203" i="1" s="1"/>
  <c r="DT203" i="1"/>
  <c r="DV203" i="1" s="1"/>
  <c r="DU203" i="1"/>
  <c r="DW203" i="1"/>
  <c r="DX203" i="1"/>
  <c r="DZ203" i="1"/>
  <c r="EB203" i="1" s="1"/>
  <c r="EA203" i="1"/>
  <c r="EC203" i="1"/>
  <c r="ED203" i="1"/>
  <c r="EF203" i="1"/>
  <c r="EG203" i="1"/>
  <c r="EI203" i="1"/>
  <c r="EJ203" i="1"/>
  <c r="EK203" i="1"/>
  <c r="G204" i="1"/>
  <c r="H204" i="1"/>
  <c r="I204" i="1"/>
  <c r="K204" i="1"/>
  <c r="L204" i="1"/>
  <c r="M204" i="1"/>
  <c r="N204" i="1"/>
  <c r="O204" i="1"/>
  <c r="P204" i="1"/>
  <c r="Q204" i="1"/>
  <c r="R204" i="1"/>
  <c r="S204" i="1"/>
  <c r="T204" i="1"/>
  <c r="U204" i="1"/>
  <c r="V204" i="1"/>
  <c r="W204" i="1"/>
  <c r="X204" i="1"/>
  <c r="Y204" i="1"/>
  <c r="Z204" i="1"/>
  <c r="AB204" i="1"/>
  <c r="AC204" i="1"/>
  <c r="AF204" i="1"/>
  <c r="AH204" i="1"/>
  <c r="AI204" i="1" s="1"/>
  <c r="AJ204" i="1"/>
  <c r="AK204" i="1"/>
  <c r="AL204" i="1"/>
  <c r="AM204" i="1"/>
  <c r="AN204" i="1"/>
  <c r="AO204" i="1"/>
  <c r="AP204" i="1"/>
  <c r="AQ204" i="1"/>
  <c r="AT204" i="1"/>
  <c r="AV204" i="1"/>
  <c r="AW204" i="1"/>
  <c r="AX204" i="1"/>
  <c r="AY204" i="1" s="1"/>
  <c r="BA204" i="1"/>
  <c r="BD204" i="1"/>
  <c r="BG204" i="1"/>
  <c r="BJ204" i="1"/>
  <c r="BM204" i="1"/>
  <c r="BP204" i="1"/>
  <c r="BS204" i="1"/>
  <c r="BV204" i="1"/>
  <c r="BY204" i="1"/>
  <c r="CB204" i="1"/>
  <c r="CE204" i="1"/>
  <c r="CH204" i="1"/>
  <c r="CK204" i="1"/>
  <c r="CN204" i="1"/>
  <c r="CQ204" i="1"/>
  <c r="CT204" i="1"/>
  <c r="CW204" i="1"/>
  <c r="CZ204" i="1"/>
  <c r="DC204" i="1"/>
  <c r="DF204" i="1"/>
  <c r="DI204" i="1"/>
  <c r="DL204" i="1"/>
  <c r="DN204" i="1"/>
  <c r="DO204" i="1"/>
  <c r="DR204" i="1"/>
  <c r="DU204" i="1"/>
  <c r="DX204" i="1"/>
  <c r="EA204" i="1"/>
  <c r="ED204" i="1"/>
  <c r="EG204" i="1"/>
  <c r="EJ204" i="1"/>
  <c r="G205" i="1"/>
  <c r="H205" i="1"/>
  <c r="I205" i="1"/>
  <c r="K205" i="1"/>
  <c r="L205" i="1"/>
  <c r="M205" i="1"/>
  <c r="N205" i="1"/>
  <c r="O205" i="1"/>
  <c r="P205" i="1"/>
  <c r="Q205" i="1"/>
  <c r="R205" i="1"/>
  <c r="S205" i="1"/>
  <c r="T205" i="1"/>
  <c r="U205" i="1"/>
  <c r="V205" i="1"/>
  <c r="W205" i="1"/>
  <c r="X205" i="1"/>
  <c r="Y205" i="1"/>
  <c r="Z205" i="1"/>
  <c r="AB205" i="1"/>
  <c r="AC205" i="1"/>
  <c r="AF205" i="1"/>
  <c r="AH205" i="1"/>
  <c r="AI205" i="1" s="1"/>
  <c r="AJ205" i="1"/>
  <c r="AK205" i="1"/>
  <c r="AL205" i="1"/>
  <c r="AM205" i="1"/>
  <c r="AN205" i="1"/>
  <c r="AO205" i="1"/>
  <c r="AP205" i="1"/>
  <c r="AQ205" i="1"/>
  <c r="AT205" i="1"/>
  <c r="AV205" i="1"/>
  <c r="AW205" i="1"/>
  <c r="AX205" i="1"/>
  <c r="AY205" i="1" s="1"/>
  <c r="BA205" i="1"/>
  <c r="BD205" i="1"/>
  <c r="BG205" i="1"/>
  <c r="BJ205" i="1"/>
  <c r="BM205" i="1"/>
  <c r="BP205" i="1"/>
  <c r="BS205" i="1"/>
  <c r="BV205" i="1"/>
  <c r="BY205" i="1"/>
  <c r="CB205" i="1"/>
  <c r="CE205" i="1"/>
  <c r="CH205" i="1"/>
  <c r="CK205" i="1"/>
  <c r="CN205" i="1"/>
  <c r="CQ205" i="1"/>
  <c r="CT205" i="1"/>
  <c r="CW205" i="1"/>
  <c r="CZ205" i="1"/>
  <c r="DC205" i="1"/>
  <c r="DF205" i="1"/>
  <c r="DI205" i="1"/>
  <c r="DL205" i="1"/>
  <c r="DN205" i="1"/>
  <c r="DO205" i="1"/>
  <c r="DP205" i="1" s="1"/>
  <c r="DR205" i="1"/>
  <c r="DU205" i="1"/>
  <c r="DX205" i="1"/>
  <c r="EA205" i="1"/>
  <c r="ED205" i="1"/>
  <c r="EG205" i="1"/>
  <c r="EJ205" i="1"/>
  <c r="G206" i="1"/>
  <c r="H206" i="1"/>
  <c r="I206" i="1"/>
  <c r="K206" i="1"/>
  <c r="L206" i="1"/>
  <c r="M206" i="1"/>
  <c r="N206" i="1"/>
  <c r="O206" i="1"/>
  <c r="P206" i="1"/>
  <c r="Q206" i="1"/>
  <c r="R206" i="1"/>
  <c r="S206" i="1"/>
  <c r="T206" i="1"/>
  <c r="U206" i="1"/>
  <c r="V206" i="1"/>
  <c r="W206" i="1"/>
  <c r="X206" i="1"/>
  <c r="Y206" i="1"/>
  <c r="Z206" i="1"/>
  <c r="AB206" i="1"/>
  <c r="AC206" i="1"/>
  <c r="AH206" i="1"/>
  <c r="AI206" i="1" s="1"/>
  <c r="AJ206" i="1"/>
  <c r="AK206" i="1"/>
  <c r="AL206" i="1"/>
  <c r="AM206" i="1"/>
  <c r="AN206" i="1"/>
  <c r="AO206" i="1"/>
  <c r="AP206" i="1"/>
  <c r="AQ206" i="1"/>
  <c r="AT206" i="1"/>
  <c r="AV206" i="1"/>
  <c r="AW206" i="1"/>
  <c r="AX206" i="1"/>
  <c r="AY206" i="1" s="1"/>
  <c r="BA206" i="1"/>
  <c r="BD206" i="1"/>
  <c r="BG206" i="1"/>
  <c r="BJ206" i="1"/>
  <c r="BM206" i="1"/>
  <c r="BP206" i="1"/>
  <c r="BS206" i="1"/>
  <c r="BV206" i="1"/>
  <c r="BY206" i="1"/>
  <c r="CB206" i="1"/>
  <c r="CE206" i="1"/>
  <c r="CH206" i="1"/>
  <c r="CK206" i="1"/>
  <c r="CN206" i="1"/>
  <c r="CQ206" i="1"/>
  <c r="CT206" i="1"/>
  <c r="CW206" i="1"/>
  <c r="CZ206" i="1"/>
  <c r="DC206" i="1"/>
  <c r="DF206" i="1"/>
  <c r="DI206" i="1"/>
  <c r="DL206" i="1"/>
  <c r="DN206" i="1"/>
  <c r="DO206" i="1"/>
  <c r="DP206" i="1" s="1"/>
  <c r="DR206" i="1"/>
  <c r="DU206" i="1"/>
  <c r="DX206" i="1"/>
  <c r="EA206" i="1"/>
  <c r="ED206" i="1"/>
  <c r="EG206" i="1"/>
  <c r="EJ206" i="1"/>
  <c r="G207" i="1"/>
  <c r="H207" i="1"/>
  <c r="I207" i="1"/>
  <c r="K207" i="1"/>
  <c r="L207" i="1"/>
  <c r="M207" i="1"/>
  <c r="N207" i="1"/>
  <c r="O207" i="1"/>
  <c r="P207" i="1"/>
  <c r="Q207" i="1"/>
  <c r="R207" i="1"/>
  <c r="S207" i="1"/>
  <c r="T207" i="1"/>
  <c r="U207" i="1"/>
  <c r="V207" i="1"/>
  <c r="W207" i="1"/>
  <c r="X207" i="1"/>
  <c r="Y207" i="1"/>
  <c r="Z207" i="1"/>
  <c r="AB207" i="1"/>
  <c r="AC207" i="1"/>
  <c r="AD207" i="1" s="1"/>
  <c r="AH207" i="1"/>
  <c r="AJ207" i="1"/>
  <c r="AK207" i="1"/>
  <c r="AL207" i="1"/>
  <c r="AM207" i="1"/>
  <c r="AN207" i="1"/>
  <c r="AO207" i="1"/>
  <c r="AP207" i="1"/>
  <c r="AQ207" i="1"/>
  <c r="AT207" i="1"/>
  <c r="AV207" i="1"/>
  <c r="AW207" i="1"/>
  <c r="AX207" i="1"/>
  <c r="AZ207" i="1"/>
  <c r="BA207" i="1"/>
  <c r="BC207" i="1"/>
  <c r="BE207" i="1" s="1"/>
  <c r="BD207" i="1"/>
  <c r="BF207" i="1"/>
  <c r="BH207" i="1" s="1"/>
  <c r="BG207" i="1"/>
  <c r="BI207" i="1"/>
  <c r="BJ207" i="1"/>
  <c r="BK207" i="1" s="1"/>
  <c r="BL207" i="1"/>
  <c r="BM207" i="1"/>
  <c r="BN207" i="1"/>
  <c r="BO207" i="1"/>
  <c r="BP207" i="1"/>
  <c r="BQ207" i="1" s="1"/>
  <c r="BR207" i="1"/>
  <c r="BS207" i="1"/>
  <c r="BT207" i="1"/>
  <c r="BU207" i="1"/>
  <c r="BV207" i="1"/>
  <c r="BW207" i="1" s="1"/>
  <c r="BX207" i="1"/>
  <c r="BY207" i="1"/>
  <c r="CA207" i="1"/>
  <c r="CB207" i="1"/>
  <c r="CC207" i="1"/>
  <c r="CD207" i="1"/>
  <c r="CE207" i="1"/>
  <c r="CF207" i="1" s="1"/>
  <c r="CG207" i="1"/>
  <c r="CH207" i="1"/>
  <c r="CJ207" i="1"/>
  <c r="CL207" i="1" s="1"/>
  <c r="CK207" i="1"/>
  <c r="CM207" i="1"/>
  <c r="CN207" i="1"/>
  <c r="CP207" i="1"/>
  <c r="CR207" i="1" s="1"/>
  <c r="CQ207" i="1"/>
  <c r="CS207" i="1"/>
  <c r="CT207" i="1"/>
  <c r="CU207" i="1" s="1"/>
  <c r="CV207" i="1"/>
  <c r="CW207" i="1"/>
  <c r="CX207" i="1" s="1"/>
  <c r="CY207" i="1"/>
  <c r="CZ207" i="1"/>
  <c r="DA207" i="1"/>
  <c r="DB207" i="1"/>
  <c r="DC207" i="1"/>
  <c r="DD207" i="1" s="1"/>
  <c r="DE207" i="1"/>
  <c r="DF207" i="1"/>
  <c r="DG207" i="1" s="1"/>
  <c r="DH207" i="1"/>
  <c r="DJ207" i="1" s="1"/>
  <c r="DI207" i="1"/>
  <c r="DK207" i="1"/>
  <c r="DL207" i="1"/>
  <c r="DN207" i="1"/>
  <c r="DO207" i="1"/>
  <c r="DP207" i="1" s="1"/>
  <c r="DQ207" i="1"/>
  <c r="DR207" i="1"/>
  <c r="DT207" i="1"/>
  <c r="DU207" i="1"/>
  <c r="DW207" i="1"/>
  <c r="DX207" i="1"/>
  <c r="DY207" i="1"/>
  <c r="DZ207" i="1"/>
  <c r="EA207" i="1"/>
  <c r="EB207" i="1" s="1"/>
  <c r="EC207" i="1"/>
  <c r="ED207" i="1"/>
  <c r="EF207" i="1"/>
  <c r="EG207" i="1"/>
  <c r="EH207" i="1"/>
  <c r="EI207" i="1"/>
  <c r="EJ207" i="1"/>
  <c r="EK207" i="1" s="1"/>
  <c r="G208" i="1"/>
  <c r="H208" i="1"/>
  <c r="I208" i="1"/>
  <c r="K208" i="1"/>
  <c r="L208" i="1"/>
  <c r="M208" i="1"/>
  <c r="N208" i="1"/>
  <c r="O208" i="1"/>
  <c r="P208" i="1"/>
  <c r="Q208" i="1"/>
  <c r="R208" i="1"/>
  <c r="S208" i="1"/>
  <c r="T208" i="1"/>
  <c r="U208" i="1"/>
  <c r="V208" i="1"/>
  <c r="W208" i="1"/>
  <c r="X208" i="1"/>
  <c r="Y208" i="1"/>
  <c r="Z208" i="1"/>
  <c r="AB208" i="1"/>
  <c r="AC208" i="1"/>
  <c r="AD208" i="1"/>
  <c r="AF208" i="1"/>
  <c r="AH208" i="1"/>
  <c r="AI208" i="1" s="1"/>
  <c r="AJ208" i="1"/>
  <c r="AK208" i="1"/>
  <c r="AL208" i="1"/>
  <c r="AM208" i="1"/>
  <c r="AN208" i="1"/>
  <c r="AO208" i="1"/>
  <c r="AP208" i="1"/>
  <c r="AQ208" i="1"/>
  <c r="AT208" i="1"/>
  <c r="AV208" i="1"/>
  <c r="AW208" i="1"/>
  <c r="AX208" i="1"/>
  <c r="BA208" i="1"/>
  <c r="BD208" i="1"/>
  <c r="BG208" i="1"/>
  <c r="BJ208" i="1"/>
  <c r="BM208" i="1"/>
  <c r="BP208" i="1"/>
  <c r="BS208" i="1"/>
  <c r="BV208" i="1"/>
  <c r="BY208" i="1"/>
  <c r="CB208" i="1"/>
  <c r="CE208" i="1"/>
  <c r="CH208" i="1"/>
  <c r="CK208" i="1"/>
  <c r="CN208" i="1"/>
  <c r="CQ208" i="1"/>
  <c r="CT208" i="1"/>
  <c r="CW208" i="1"/>
  <c r="CZ208" i="1"/>
  <c r="DC208" i="1"/>
  <c r="DF208" i="1"/>
  <c r="DI208" i="1"/>
  <c r="DL208" i="1"/>
  <c r="DN208" i="1"/>
  <c r="DO208" i="1"/>
  <c r="DR208" i="1"/>
  <c r="DU208" i="1"/>
  <c r="DX208" i="1"/>
  <c r="EA208" i="1"/>
  <c r="ED208" i="1"/>
  <c r="EG208" i="1"/>
  <c r="EJ208" i="1"/>
  <c r="G209" i="1"/>
  <c r="H209" i="1"/>
  <c r="I209" i="1"/>
  <c r="K209" i="1"/>
  <c r="L209" i="1"/>
  <c r="M209" i="1"/>
  <c r="N209" i="1"/>
  <c r="O209" i="1"/>
  <c r="P209" i="1"/>
  <c r="Q209" i="1"/>
  <c r="R209" i="1"/>
  <c r="S209" i="1"/>
  <c r="T209" i="1"/>
  <c r="U209" i="1"/>
  <c r="V209" i="1"/>
  <c r="W209" i="1"/>
  <c r="X209" i="1"/>
  <c r="Y209" i="1"/>
  <c r="Z209" i="1"/>
  <c r="AB209" i="1"/>
  <c r="AC209" i="1"/>
  <c r="AI209" i="1" s="1"/>
  <c r="AH209" i="1"/>
  <c r="AJ209" i="1"/>
  <c r="AK209" i="1"/>
  <c r="AL209" i="1"/>
  <c r="AM209" i="1"/>
  <c r="AN209" i="1"/>
  <c r="AO209" i="1"/>
  <c r="AP209" i="1"/>
  <c r="AQ209" i="1"/>
  <c r="AT209" i="1"/>
  <c r="AV209" i="1"/>
  <c r="AW209" i="1"/>
  <c r="AX209" i="1"/>
  <c r="AY209" i="1"/>
  <c r="BA209" i="1"/>
  <c r="BD209" i="1"/>
  <c r="BG209" i="1"/>
  <c r="BJ209" i="1"/>
  <c r="BM209" i="1"/>
  <c r="BP209" i="1"/>
  <c r="BS209" i="1"/>
  <c r="BV209" i="1"/>
  <c r="BY209" i="1"/>
  <c r="CB209" i="1"/>
  <c r="CE209" i="1"/>
  <c r="CH209" i="1"/>
  <c r="CK209" i="1"/>
  <c r="CN209" i="1"/>
  <c r="CQ209" i="1"/>
  <c r="CT209" i="1"/>
  <c r="CW209" i="1"/>
  <c r="CZ209" i="1"/>
  <c r="DC209" i="1"/>
  <c r="DF209" i="1"/>
  <c r="DI209" i="1"/>
  <c r="DL209" i="1"/>
  <c r="DN209" i="1"/>
  <c r="DO209" i="1"/>
  <c r="DR209" i="1"/>
  <c r="DU209" i="1"/>
  <c r="DX209" i="1"/>
  <c r="EA209" i="1"/>
  <c r="ED209" i="1"/>
  <c r="EG209" i="1"/>
  <c r="EJ209" i="1"/>
  <c r="G210" i="1"/>
  <c r="H210" i="1"/>
  <c r="I210" i="1"/>
  <c r="K210" i="1"/>
  <c r="L210" i="1"/>
  <c r="M210" i="1"/>
  <c r="N210" i="1"/>
  <c r="O210" i="1"/>
  <c r="P210" i="1"/>
  <c r="Q210" i="1"/>
  <c r="R210" i="1"/>
  <c r="S210" i="1"/>
  <c r="T210" i="1"/>
  <c r="U210" i="1"/>
  <c r="V210" i="1"/>
  <c r="W210" i="1"/>
  <c r="X210" i="1"/>
  <c r="Y210" i="1"/>
  <c r="Z210" i="1"/>
  <c r="AB210" i="1"/>
  <c r="AC210" i="1"/>
  <c r="AH210" i="1"/>
  <c r="AJ210" i="1"/>
  <c r="AK210" i="1"/>
  <c r="AL210" i="1"/>
  <c r="AM210" i="1"/>
  <c r="AN210" i="1"/>
  <c r="AO210" i="1"/>
  <c r="AP210" i="1"/>
  <c r="AQ210" i="1"/>
  <c r="AT210" i="1"/>
  <c r="AV210" i="1"/>
  <c r="AW210" i="1"/>
  <c r="AX210" i="1"/>
  <c r="BA210" i="1"/>
  <c r="BD210" i="1"/>
  <c r="BG210" i="1"/>
  <c r="BJ210" i="1"/>
  <c r="BM210" i="1"/>
  <c r="BP210" i="1"/>
  <c r="BS210" i="1"/>
  <c r="BV210" i="1"/>
  <c r="BY210" i="1"/>
  <c r="CB210" i="1"/>
  <c r="CE210" i="1"/>
  <c r="CH210" i="1"/>
  <c r="CK210" i="1"/>
  <c r="CN210" i="1"/>
  <c r="CQ210" i="1"/>
  <c r="CT210" i="1"/>
  <c r="CW210" i="1"/>
  <c r="CZ210" i="1"/>
  <c r="DC210" i="1"/>
  <c r="DF210" i="1"/>
  <c r="DI210" i="1"/>
  <c r="DL210" i="1"/>
  <c r="DN210" i="1"/>
  <c r="DO210" i="1"/>
  <c r="DP210" i="1" s="1"/>
  <c r="DR210" i="1"/>
  <c r="DU210" i="1"/>
  <c r="DX210" i="1"/>
  <c r="EA210" i="1"/>
  <c r="ED210" i="1"/>
  <c r="EG210" i="1"/>
  <c r="EJ210" i="1"/>
  <c r="G211" i="1"/>
  <c r="H211" i="1"/>
  <c r="I211" i="1"/>
  <c r="K211" i="1"/>
  <c r="L211" i="1"/>
  <c r="M211" i="1"/>
  <c r="N211" i="1"/>
  <c r="O211" i="1"/>
  <c r="P211" i="1"/>
  <c r="Q211" i="1"/>
  <c r="R211" i="1"/>
  <c r="S211" i="1"/>
  <c r="T211" i="1"/>
  <c r="U211" i="1"/>
  <c r="V211" i="1"/>
  <c r="W211" i="1"/>
  <c r="X211" i="1"/>
  <c r="Y211" i="1"/>
  <c r="Z211" i="1"/>
  <c r="AB211" i="1"/>
  <c r="AC211" i="1"/>
  <c r="AH211" i="1"/>
  <c r="AJ211" i="1"/>
  <c r="AK211" i="1"/>
  <c r="AL211" i="1"/>
  <c r="AM211" i="1"/>
  <c r="AN211" i="1"/>
  <c r="AO211" i="1"/>
  <c r="AP211" i="1"/>
  <c r="AQ211" i="1"/>
  <c r="AT211" i="1"/>
  <c r="AV211" i="1"/>
  <c r="AW211" i="1"/>
  <c r="AY211" i="1" s="1"/>
  <c r="AX211" i="1"/>
  <c r="BD211" i="1"/>
  <c r="BG211" i="1"/>
  <c r="BJ211" i="1"/>
  <c r="BM211" i="1"/>
  <c r="BP211" i="1"/>
  <c r="BS211" i="1"/>
  <c r="BV211" i="1"/>
  <c r="BY211" i="1"/>
  <c r="CB211" i="1"/>
  <c r="CE211" i="1"/>
  <c r="CH211" i="1"/>
  <c r="CK211" i="1"/>
  <c r="CN211" i="1"/>
  <c r="CQ211" i="1"/>
  <c r="CT211" i="1"/>
  <c r="CW211" i="1"/>
  <c r="CZ211" i="1"/>
  <c r="DC211" i="1"/>
  <c r="DF211" i="1"/>
  <c r="DI211" i="1"/>
  <c r="DL211" i="1"/>
  <c r="DN211" i="1"/>
  <c r="DO211" i="1"/>
  <c r="DP211" i="1"/>
  <c r="DR211" i="1"/>
  <c r="DU211" i="1"/>
  <c r="DX211" i="1"/>
  <c r="EA211" i="1"/>
  <c r="ED211" i="1"/>
  <c r="EG211" i="1"/>
  <c r="EJ211" i="1"/>
  <c r="G212" i="1"/>
  <c r="H212" i="1"/>
  <c r="I212" i="1"/>
  <c r="K212" i="1"/>
  <c r="L212" i="1"/>
  <c r="M212" i="1"/>
  <c r="N212" i="1"/>
  <c r="O212" i="1"/>
  <c r="P212" i="1"/>
  <c r="Q212" i="1"/>
  <c r="R212" i="1"/>
  <c r="S212" i="1"/>
  <c r="T212" i="1"/>
  <c r="U212" i="1"/>
  <c r="V212" i="1"/>
  <c r="W212" i="1"/>
  <c r="X212" i="1"/>
  <c r="Y212" i="1"/>
  <c r="Z212" i="1"/>
  <c r="AB212" i="1"/>
  <c r="AC212" i="1"/>
  <c r="AD212" i="1"/>
  <c r="AF212" i="1"/>
  <c r="AH212" i="1"/>
  <c r="AJ212" i="1"/>
  <c r="AK212" i="1"/>
  <c r="AL212" i="1"/>
  <c r="AM212" i="1"/>
  <c r="AN212" i="1"/>
  <c r="AO212" i="1"/>
  <c r="AP212" i="1"/>
  <c r="AQ212" i="1"/>
  <c r="AT212" i="1"/>
  <c r="AV212" i="1"/>
  <c r="AW212" i="1"/>
  <c r="AX212" i="1"/>
  <c r="AY212" i="1" s="1"/>
  <c r="AZ212" i="1"/>
  <c r="BA212" i="1"/>
  <c r="BC212" i="1"/>
  <c r="BD212" i="1"/>
  <c r="BE212" i="1" s="1"/>
  <c r="BF212" i="1"/>
  <c r="BG212" i="1"/>
  <c r="BI212" i="1"/>
  <c r="BJ212" i="1"/>
  <c r="BL212" i="1"/>
  <c r="BN212" i="1" s="1"/>
  <c r="BM212" i="1"/>
  <c r="BO212" i="1"/>
  <c r="BP212" i="1"/>
  <c r="BQ212" i="1" s="1"/>
  <c r="BR212" i="1"/>
  <c r="BT212" i="1" s="1"/>
  <c r="BS212" i="1"/>
  <c r="BU212" i="1"/>
  <c r="BV212" i="1"/>
  <c r="BW212" i="1" s="1"/>
  <c r="BX212" i="1"/>
  <c r="BY212" i="1"/>
  <c r="CA212" i="1"/>
  <c r="CB212" i="1"/>
  <c r="CC212" i="1"/>
  <c r="CD212" i="1"/>
  <c r="CE212" i="1"/>
  <c r="CG212" i="1"/>
  <c r="CH212" i="1"/>
  <c r="CJ212" i="1"/>
  <c r="CK212" i="1"/>
  <c r="CL212" i="1"/>
  <c r="CM212" i="1"/>
  <c r="CN212" i="1"/>
  <c r="CO212" i="1" s="1"/>
  <c r="CP212" i="1"/>
  <c r="CQ212" i="1"/>
  <c r="CS212" i="1"/>
  <c r="CT212" i="1"/>
  <c r="CU212" i="1" s="1"/>
  <c r="CV212" i="1"/>
  <c r="CW212" i="1"/>
  <c r="CY212" i="1"/>
  <c r="CZ212" i="1"/>
  <c r="DA212" i="1"/>
  <c r="DB212" i="1"/>
  <c r="DC212" i="1"/>
  <c r="DE212" i="1"/>
  <c r="DF212" i="1"/>
  <c r="DH212" i="1"/>
  <c r="DI212" i="1"/>
  <c r="DJ212" i="1" s="1"/>
  <c r="DK212" i="1"/>
  <c r="DM212" i="1" s="1"/>
  <c r="DL212" i="1"/>
  <c r="DN212" i="1"/>
  <c r="DO212" i="1"/>
  <c r="DQ212" i="1"/>
  <c r="DS212" i="1" s="1"/>
  <c r="DR212" i="1"/>
  <c r="DT212" i="1"/>
  <c r="DU212" i="1"/>
  <c r="DW212" i="1"/>
  <c r="DX212" i="1"/>
  <c r="DY212" i="1"/>
  <c r="DZ212" i="1"/>
  <c r="EA212" i="1"/>
  <c r="EB212" i="1" s="1"/>
  <c r="EC212" i="1"/>
  <c r="ED212" i="1"/>
  <c r="EF212" i="1"/>
  <c r="EH212" i="1" s="1"/>
  <c r="EG212" i="1"/>
  <c r="EI212" i="1"/>
  <c r="EJ212" i="1"/>
  <c r="EK212" i="1" s="1"/>
  <c r="G213" i="1"/>
  <c r="H213" i="1"/>
  <c r="I213" i="1"/>
  <c r="K213" i="1"/>
  <c r="L213" i="1"/>
  <c r="M213" i="1"/>
  <c r="N213" i="1"/>
  <c r="O213" i="1"/>
  <c r="P213" i="1"/>
  <c r="Q213" i="1"/>
  <c r="R213" i="1"/>
  <c r="S213" i="1"/>
  <c r="T213" i="1"/>
  <c r="U213" i="1"/>
  <c r="V213" i="1"/>
  <c r="W213" i="1"/>
  <c r="X213" i="1"/>
  <c r="Y213" i="1"/>
  <c r="Z213" i="1"/>
  <c r="AB213" i="1"/>
  <c r="AC213" i="1"/>
  <c r="AD213" i="1" s="1"/>
  <c r="AH213" i="1"/>
  <c r="AI213" i="1" s="1"/>
  <c r="AJ213" i="1"/>
  <c r="AK213" i="1"/>
  <c r="AL213" i="1"/>
  <c r="AM213" i="1"/>
  <c r="AN213" i="1"/>
  <c r="AO213" i="1"/>
  <c r="AP213" i="1"/>
  <c r="AQ213" i="1"/>
  <c r="AT213" i="1"/>
  <c r="AV213" i="1"/>
  <c r="AW213" i="1"/>
  <c r="AX213" i="1"/>
  <c r="AY213" i="1" s="1"/>
  <c r="AZ213" i="1"/>
  <c r="BA213" i="1"/>
  <c r="BB213" i="1" s="1"/>
  <c r="BC213" i="1"/>
  <c r="BD213" i="1"/>
  <c r="BE213" i="1" s="1"/>
  <c r="BF213" i="1"/>
  <c r="BG213" i="1"/>
  <c r="BI213" i="1"/>
  <c r="BJ213" i="1"/>
  <c r="BK213" i="1" s="1"/>
  <c r="BL213" i="1"/>
  <c r="BM213" i="1"/>
  <c r="BO213" i="1"/>
  <c r="BP213" i="1"/>
  <c r="BR213" i="1"/>
  <c r="BS213" i="1"/>
  <c r="BT213" i="1" s="1"/>
  <c r="BU213" i="1"/>
  <c r="BV213" i="1"/>
  <c r="BX213" i="1"/>
  <c r="BY213" i="1"/>
  <c r="BZ213" i="1"/>
  <c r="CA213" i="1"/>
  <c r="CB213" i="1"/>
  <c r="CD213" i="1"/>
  <c r="CE213" i="1"/>
  <c r="CG213" i="1"/>
  <c r="CI213" i="1" s="1"/>
  <c r="CH213" i="1"/>
  <c r="CJ213" i="1"/>
  <c r="CK213" i="1"/>
  <c r="CL213" i="1" s="1"/>
  <c r="CM213" i="1"/>
  <c r="CO213" i="1" s="1"/>
  <c r="CN213" i="1"/>
  <c r="CP213" i="1"/>
  <c r="CQ213" i="1"/>
  <c r="CR213" i="1"/>
  <c r="CS213" i="1"/>
  <c r="CT213" i="1"/>
  <c r="CU213" i="1" s="1"/>
  <c r="CV213" i="1"/>
  <c r="CW213" i="1"/>
  <c r="CX213" i="1"/>
  <c r="CY213" i="1"/>
  <c r="CZ213" i="1"/>
  <c r="DB213" i="1"/>
  <c r="DC213" i="1"/>
  <c r="DE213" i="1"/>
  <c r="DG213" i="1" s="1"/>
  <c r="DF213" i="1"/>
  <c r="DH213" i="1"/>
  <c r="DI213" i="1"/>
  <c r="DJ213" i="1" s="1"/>
  <c r="DK213" i="1"/>
  <c r="DL213" i="1"/>
  <c r="DN213" i="1"/>
  <c r="DO213" i="1"/>
  <c r="DP213" i="1" s="1"/>
  <c r="DQ213" i="1"/>
  <c r="DR213" i="1"/>
  <c r="DT213" i="1"/>
  <c r="DU213" i="1"/>
  <c r="DV213" i="1"/>
  <c r="DW213" i="1"/>
  <c r="DX213" i="1"/>
  <c r="DZ213" i="1"/>
  <c r="EA213" i="1"/>
  <c r="EC213" i="1"/>
  <c r="ED213" i="1"/>
  <c r="EE213" i="1"/>
  <c r="EF213" i="1"/>
  <c r="EG213" i="1"/>
  <c r="EH213" i="1" s="1"/>
  <c r="EI213" i="1"/>
  <c r="EJ213" i="1"/>
  <c r="G214" i="1"/>
  <c r="H214" i="1"/>
  <c r="I214" i="1"/>
  <c r="K214" i="1"/>
  <c r="L214" i="1"/>
  <c r="M214" i="1"/>
  <c r="N214" i="1"/>
  <c r="O214" i="1"/>
  <c r="P214" i="1"/>
  <c r="Q214" i="1"/>
  <c r="R214" i="1"/>
  <c r="S214" i="1"/>
  <c r="T214" i="1"/>
  <c r="U214" i="1"/>
  <c r="V214" i="1"/>
  <c r="W214" i="1"/>
  <c r="X214" i="1"/>
  <c r="Y214" i="1"/>
  <c r="Z214" i="1"/>
  <c r="AB214" i="1"/>
  <c r="AC214" i="1"/>
  <c r="AH214" i="1"/>
  <c r="AJ214" i="1"/>
  <c r="AK214" i="1"/>
  <c r="AL214" i="1"/>
  <c r="AM214" i="1"/>
  <c r="AN214" i="1"/>
  <c r="AO214" i="1"/>
  <c r="AP214" i="1"/>
  <c r="AQ214" i="1"/>
  <c r="AT214" i="1"/>
  <c r="AV214" i="1"/>
  <c r="AW214" i="1"/>
  <c r="AX214" i="1"/>
  <c r="AY214" i="1"/>
  <c r="AZ214" i="1"/>
  <c r="BA214" i="1"/>
  <c r="BC214" i="1"/>
  <c r="BD214" i="1"/>
  <c r="BF214" i="1"/>
  <c r="BG214" i="1"/>
  <c r="BH214" i="1"/>
  <c r="BI214" i="1"/>
  <c r="BJ214" i="1"/>
  <c r="BK214" i="1" s="1"/>
  <c r="BL214" i="1"/>
  <c r="BM214" i="1"/>
  <c r="BO214" i="1"/>
  <c r="BQ214" i="1" s="1"/>
  <c r="BP214" i="1"/>
  <c r="BR214" i="1"/>
  <c r="BS214" i="1"/>
  <c r="BT214" i="1" s="1"/>
  <c r="BU214" i="1"/>
  <c r="BW214" i="1" s="1"/>
  <c r="BV214" i="1"/>
  <c r="BX214" i="1"/>
  <c r="BY214" i="1"/>
  <c r="BZ214" i="1" s="1"/>
  <c r="CA214" i="1"/>
  <c r="CB214" i="1"/>
  <c r="CD214" i="1"/>
  <c r="CE214" i="1"/>
  <c r="CF214" i="1" s="1"/>
  <c r="CG214" i="1"/>
  <c r="CH214" i="1"/>
  <c r="CI214" i="1" s="1"/>
  <c r="CJ214" i="1"/>
  <c r="CK214" i="1"/>
  <c r="CM214" i="1"/>
  <c r="CN214" i="1"/>
  <c r="CO214" i="1" s="1"/>
  <c r="CP214" i="1"/>
  <c r="CQ214" i="1"/>
  <c r="CR214" i="1" s="1"/>
  <c r="CS214" i="1"/>
  <c r="CT214" i="1"/>
  <c r="CU214" i="1" s="1"/>
  <c r="CV214" i="1"/>
  <c r="CW214" i="1"/>
  <c r="CX214" i="1" s="1"/>
  <c r="CY214" i="1"/>
  <c r="CZ214" i="1"/>
  <c r="DB214" i="1"/>
  <c r="DD214" i="1" s="1"/>
  <c r="DC214" i="1"/>
  <c r="DE214" i="1"/>
  <c r="DF214" i="1"/>
  <c r="DG214" i="1" s="1"/>
  <c r="DH214" i="1"/>
  <c r="DI214" i="1"/>
  <c r="DK214" i="1"/>
  <c r="DL214" i="1"/>
  <c r="DM214" i="1" s="1"/>
  <c r="DN214" i="1"/>
  <c r="DO214" i="1"/>
  <c r="DQ214" i="1"/>
  <c r="DR214" i="1"/>
  <c r="DS214" i="1"/>
  <c r="DT214" i="1"/>
  <c r="DU214" i="1"/>
  <c r="DW214" i="1"/>
  <c r="DX214" i="1"/>
  <c r="DZ214" i="1"/>
  <c r="EA214" i="1"/>
  <c r="EB214" i="1" s="1"/>
  <c r="EC214" i="1"/>
  <c r="EE214" i="1" s="1"/>
  <c r="ED214" i="1"/>
  <c r="EF214" i="1"/>
  <c r="EG214" i="1"/>
  <c r="EI214" i="1"/>
  <c r="EJ214" i="1"/>
  <c r="EK214" i="1"/>
  <c r="G215" i="1"/>
  <c r="H215" i="1"/>
  <c r="I215" i="1"/>
  <c r="K215" i="1"/>
  <c r="L215" i="1"/>
  <c r="M215" i="1"/>
  <c r="N215" i="1"/>
  <c r="O215" i="1"/>
  <c r="P215" i="1"/>
  <c r="Q215" i="1"/>
  <c r="R215" i="1"/>
  <c r="S215" i="1"/>
  <c r="T215" i="1"/>
  <c r="U215" i="1"/>
  <c r="V215" i="1"/>
  <c r="W215" i="1"/>
  <c r="X215" i="1"/>
  <c r="Y215" i="1"/>
  <c r="Z215" i="1"/>
  <c r="AB215" i="1"/>
  <c r="AC215" i="1"/>
  <c r="AD215" i="1"/>
  <c r="AH215" i="1"/>
  <c r="AI215" i="1"/>
  <c r="AJ215" i="1"/>
  <c r="AK215" i="1"/>
  <c r="AL215" i="1"/>
  <c r="AM215" i="1"/>
  <c r="AN215" i="1"/>
  <c r="AO215" i="1"/>
  <c r="AP215" i="1"/>
  <c r="AQ215" i="1"/>
  <c r="AT215" i="1"/>
  <c r="AV215" i="1"/>
  <c r="AW215" i="1"/>
  <c r="AX215" i="1"/>
  <c r="AY215" i="1" s="1"/>
  <c r="AZ215" i="1"/>
  <c r="BA215" i="1"/>
  <c r="BB215" i="1" s="1"/>
  <c r="BC215" i="1"/>
  <c r="BD215" i="1"/>
  <c r="BE215" i="1" s="1"/>
  <c r="BF215" i="1"/>
  <c r="BG215" i="1"/>
  <c r="BH215" i="1" s="1"/>
  <c r="BI215" i="1"/>
  <c r="BK215" i="1" s="1"/>
  <c r="BJ215" i="1"/>
  <c r="BL215" i="1"/>
  <c r="BM215" i="1"/>
  <c r="BN215" i="1"/>
  <c r="BO215" i="1"/>
  <c r="BP215" i="1"/>
  <c r="BR215" i="1"/>
  <c r="BS215" i="1"/>
  <c r="BT215" i="1"/>
  <c r="BU215" i="1"/>
  <c r="BV215" i="1"/>
  <c r="BW215" i="1" s="1"/>
  <c r="BX215" i="1"/>
  <c r="BY215" i="1"/>
  <c r="CA215" i="1"/>
  <c r="CC215" i="1" s="1"/>
  <c r="CB215" i="1"/>
  <c r="CD215" i="1"/>
  <c r="CE215" i="1"/>
  <c r="CF215" i="1"/>
  <c r="CG215" i="1"/>
  <c r="CI215" i="1" s="1"/>
  <c r="CH215" i="1"/>
  <c r="CJ215" i="1"/>
  <c r="CK215" i="1"/>
  <c r="CL215" i="1" s="1"/>
  <c r="CM215" i="1"/>
  <c r="CN215" i="1"/>
  <c r="CP215" i="1"/>
  <c r="CQ215" i="1"/>
  <c r="CS215" i="1"/>
  <c r="CT215" i="1"/>
  <c r="CV215" i="1"/>
  <c r="CW215" i="1"/>
  <c r="CY215" i="1"/>
  <c r="CZ215" i="1"/>
  <c r="DA215" i="1"/>
  <c r="DB215" i="1"/>
  <c r="DC215" i="1"/>
  <c r="DD215" i="1"/>
  <c r="DE215" i="1"/>
  <c r="DF215" i="1"/>
  <c r="DH215" i="1"/>
  <c r="DI215" i="1"/>
  <c r="DJ215" i="1"/>
  <c r="DK215" i="1"/>
  <c r="DL215" i="1"/>
  <c r="DM215" i="1" s="1"/>
  <c r="DN215" i="1"/>
  <c r="DO215" i="1"/>
  <c r="DP215" i="1" s="1"/>
  <c r="DQ215" i="1"/>
  <c r="DR215" i="1"/>
  <c r="DS215" i="1" s="1"/>
  <c r="DT215" i="1"/>
  <c r="DU215" i="1"/>
  <c r="DW215" i="1"/>
  <c r="DX215" i="1"/>
  <c r="DY215" i="1" s="1"/>
  <c r="DZ215" i="1"/>
  <c r="EA215" i="1"/>
  <c r="EB215" i="1" s="1"/>
  <c r="EC215" i="1"/>
  <c r="EE215" i="1" s="1"/>
  <c r="ED215" i="1"/>
  <c r="EF215" i="1"/>
  <c r="EH215" i="1" s="1"/>
  <c r="EG215" i="1"/>
  <c r="EI215" i="1"/>
  <c r="EJ215" i="1"/>
  <c r="EK215" i="1" s="1"/>
  <c r="G216" i="1"/>
  <c r="H216" i="1"/>
  <c r="I216" i="1"/>
  <c r="K216" i="1"/>
  <c r="L216" i="1"/>
  <c r="M216" i="1"/>
  <c r="N216" i="1"/>
  <c r="O216" i="1"/>
  <c r="P216" i="1"/>
  <c r="Q216" i="1"/>
  <c r="R216" i="1"/>
  <c r="S216" i="1"/>
  <c r="T216" i="1"/>
  <c r="U216" i="1"/>
  <c r="V216" i="1"/>
  <c r="W216" i="1"/>
  <c r="X216" i="1"/>
  <c r="Y216" i="1"/>
  <c r="Z216" i="1"/>
  <c r="AB216" i="1"/>
  <c r="AC216" i="1"/>
  <c r="AF216" i="1" s="1"/>
  <c r="AH216" i="1"/>
  <c r="AJ216" i="1"/>
  <c r="AK216" i="1"/>
  <c r="AL216" i="1"/>
  <c r="AM216" i="1"/>
  <c r="AN216" i="1"/>
  <c r="AO216" i="1"/>
  <c r="AP216" i="1"/>
  <c r="AQ216" i="1"/>
  <c r="AT216" i="1"/>
  <c r="AV216" i="1"/>
  <c r="AW216" i="1"/>
  <c r="AX216" i="1"/>
  <c r="AZ216" i="1"/>
  <c r="BA216" i="1"/>
  <c r="BB216" i="1"/>
  <c r="BC216" i="1"/>
  <c r="BD216" i="1"/>
  <c r="BE216" i="1"/>
  <c r="BF216" i="1"/>
  <c r="BG216" i="1"/>
  <c r="BI216" i="1"/>
  <c r="BJ216" i="1"/>
  <c r="BK216" i="1" s="1"/>
  <c r="BL216" i="1"/>
  <c r="BM216" i="1"/>
  <c r="BN216" i="1" s="1"/>
  <c r="BO216" i="1"/>
  <c r="BP216" i="1"/>
  <c r="BQ216" i="1" s="1"/>
  <c r="BR216" i="1"/>
  <c r="BS216" i="1"/>
  <c r="BT216" i="1" s="1"/>
  <c r="BU216" i="1"/>
  <c r="BV216" i="1"/>
  <c r="BX216" i="1"/>
  <c r="BZ216" i="1" s="1"/>
  <c r="BY216" i="1"/>
  <c r="CA216" i="1"/>
  <c r="CB216" i="1"/>
  <c r="CC216" i="1" s="1"/>
  <c r="CD216" i="1"/>
  <c r="CF216" i="1" s="1"/>
  <c r="CE216" i="1"/>
  <c r="CG216" i="1"/>
  <c r="CH216" i="1"/>
  <c r="CI216" i="1"/>
  <c r="CJ216" i="1"/>
  <c r="CK216" i="1"/>
  <c r="CL216" i="1" s="1"/>
  <c r="CM216" i="1"/>
  <c r="CN216" i="1"/>
  <c r="CO216" i="1"/>
  <c r="CP216" i="1"/>
  <c r="CQ216" i="1"/>
  <c r="CS216" i="1"/>
  <c r="CT216" i="1"/>
  <c r="CV216" i="1"/>
  <c r="CX216" i="1" s="1"/>
  <c r="CW216" i="1"/>
  <c r="CY216" i="1"/>
  <c r="CZ216" i="1"/>
  <c r="DA216" i="1"/>
  <c r="DB216" i="1"/>
  <c r="DD216" i="1" s="1"/>
  <c r="DC216" i="1"/>
  <c r="DE216" i="1"/>
  <c r="DF216" i="1"/>
  <c r="DG216" i="1" s="1"/>
  <c r="DH216" i="1"/>
  <c r="DI216" i="1"/>
  <c r="DJ216" i="1" s="1"/>
  <c r="DK216" i="1"/>
  <c r="DL216" i="1"/>
  <c r="DM216" i="1" s="1"/>
  <c r="DN216" i="1"/>
  <c r="DO216" i="1"/>
  <c r="DQ216" i="1"/>
  <c r="DR216" i="1"/>
  <c r="DT216" i="1"/>
  <c r="DU216" i="1"/>
  <c r="DV216" i="1"/>
  <c r="DW216" i="1"/>
  <c r="DX216" i="1"/>
  <c r="DY216" i="1"/>
  <c r="DZ216" i="1"/>
  <c r="EA216" i="1"/>
  <c r="EC216" i="1"/>
  <c r="ED216" i="1"/>
  <c r="EE216" i="1" s="1"/>
  <c r="EF216" i="1"/>
  <c r="EG216" i="1"/>
  <c r="EH216" i="1" s="1"/>
  <c r="EI216" i="1"/>
  <c r="EJ216" i="1"/>
  <c r="EK216" i="1" s="1"/>
  <c r="G217" i="1"/>
  <c r="H217" i="1"/>
  <c r="AF217" i="1" s="1"/>
  <c r="I217" i="1"/>
  <c r="K217" i="1"/>
  <c r="L217" i="1"/>
  <c r="M217" i="1"/>
  <c r="N217" i="1"/>
  <c r="O217" i="1"/>
  <c r="P217" i="1"/>
  <c r="Q217" i="1"/>
  <c r="R217" i="1"/>
  <c r="J217" i="1" s="1"/>
  <c r="S217" i="1"/>
  <c r="T217" i="1"/>
  <c r="U217" i="1"/>
  <c r="V217" i="1"/>
  <c r="W217" i="1"/>
  <c r="X217" i="1"/>
  <c r="Y217" i="1"/>
  <c r="Z217" i="1"/>
  <c r="AB217" i="1"/>
  <c r="AC217" i="1"/>
  <c r="AH217" i="1"/>
  <c r="AI217" i="1" s="1"/>
  <c r="AJ217" i="1"/>
  <c r="AK217" i="1"/>
  <c r="AL217" i="1"/>
  <c r="AM217" i="1"/>
  <c r="AN217" i="1"/>
  <c r="AO217" i="1"/>
  <c r="AP217" i="1"/>
  <c r="AQ217" i="1"/>
  <c r="AT217" i="1"/>
  <c r="AV217" i="1"/>
  <c r="AW217" i="1"/>
  <c r="AX217" i="1"/>
  <c r="AY217" i="1" s="1"/>
  <c r="AZ217" i="1"/>
  <c r="BA217" i="1"/>
  <c r="BB217" i="1"/>
  <c r="BC217" i="1"/>
  <c r="BD217" i="1"/>
  <c r="BF217" i="1"/>
  <c r="BG217" i="1"/>
  <c r="BH217" i="1" s="1"/>
  <c r="BI217" i="1"/>
  <c r="BJ217" i="1"/>
  <c r="BK217" i="1" s="1"/>
  <c r="BL217" i="1"/>
  <c r="BM217" i="1"/>
  <c r="BN217" i="1" s="1"/>
  <c r="BO217" i="1"/>
  <c r="BP217" i="1"/>
  <c r="BQ217" i="1" s="1"/>
  <c r="BR217" i="1"/>
  <c r="BS217" i="1"/>
  <c r="BT217" i="1" s="1"/>
  <c r="BU217" i="1"/>
  <c r="BV217" i="1"/>
  <c r="BW217" i="1" s="1"/>
  <c r="BX217" i="1"/>
  <c r="BZ217" i="1" s="1"/>
  <c r="BY217" i="1"/>
  <c r="CA217" i="1"/>
  <c r="CC217" i="1" s="1"/>
  <c r="CB217" i="1"/>
  <c r="CD217" i="1"/>
  <c r="CF217" i="1" s="1"/>
  <c r="CE217" i="1"/>
  <c r="CG217" i="1"/>
  <c r="CH217" i="1"/>
  <c r="CI217" i="1" s="1"/>
  <c r="CJ217" i="1"/>
  <c r="CK217" i="1"/>
  <c r="CL217" i="1"/>
  <c r="CM217" i="1"/>
  <c r="CN217" i="1"/>
  <c r="CO217" i="1" s="1"/>
  <c r="CP217" i="1"/>
  <c r="CQ217" i="1"/>
  <c r="CR217" i="1" s="1"/>
  <c r="CS217" i="1"/>
  <c r="CU217" i="1" s="1"/>
  <c r="CT217" i="1"/>
  <c r="CV217" i="1"/>
  <c r="CW217" i="1"/>
  <c r="CY217" i="1"/>
  <c r="CZ217" i="1"/>
  <c r="DB217" i="1"/>
  <c r="DC217" i="1"/>
  <c r="DD217" i="1"/>
  <c r="DE217" i="1"/>
  <c r="DF217" i="1"/>
  <c r="DG217" i="1" s="1"/>
  <c r="DH217" i="1"/>
  <c r="DI217" i="1"/>
  <c r="DJ217" i="1" s="1"/>
  <c r="DK217" i="1"/>
  <c r="DL217" i="1"/>
  <c r="DM217" i="1" s="1"/>
  <c r="DN217" i="1"/>
  <c r="DO217" i="1"/>
  <c r="DQ217" i="1"/>
  <c r="DR217" i="1"/>
  <c r="DS217" i="1" s="1"/>
  <c r="DT217" i="1"/>
  <c r="DU217" i="1"/>
  <c r="DV217" i="1"/>
  <c r="DW217" i="1"/>
  <c r="DY217" i="1" s="1"/>
  <c r="DX217" i="1"/>
  <c r="DZ217" i="1"/>
  <c r="EA217" i="1"/>
  <c r="EB217" i="1"/>
  <c r="EC217" i="1"/>
  <c r="ED217" i="1"/>
  <c r="EE217" i="1" s="1"/>
  <c r="EF217" i="1"/>
  <c r="EG217" i="1"/>
  <c r="EH217" i="1"/>
  <c r="EI217" i="1"/>
  <c r="EJ217" i="1"/>
  <c r="EK217" i="1" s="1"/>
  <c r="G218" i="1"/>
  <c r="H218" i="1"/>
  <c r="I218" i="1"/>
  <c r="K218" i="1"/>
  <c r="L218" i="1"/>
  <c r="M218" i="1"/>
  <c r="N218" i="1"/>
  <c r="O218" i="1"/>
  <c r="P218" i="1"/>
  <c r="Q218" i="1"/>
  <c r="R218" i="1"/>
  <c r="S218" i="1"/>
  <c r="T218" i="1"/>
  <c r="U218" i="1"/>
  <c r="V218" i="1"/>
  <c r="W218" i="1"/>
  <c r="X218" i="1"/>
  <c r="Y218" i="1"/>
  <c r="Z218" i="1"/>
  <c r="AB218" i="1"/>
  <c r="AC218" i="1"/>
  <c r="AH218" i="1"/>
  <c r="AI218" i="1" s="1"/>
  <c r="AJ218" i="1"/>
  <c r="AK218" i="1"/>
  <c r="AL218" i="1"/>
  <c r="AM218" i="1"/>
  <c r="AN218" i="1"/>
  <c r="AO218" i="1"/>
  <c r="AP218" i="1"/>
  <c r="AQ218" i="1"/>
  <c r="AT218" i="1"/>
  <c r="AV218" i="1"/>
  <c r="AW218" i="1"/>
  <c r="AY218" i="1" s="1"/>
  <c r="AX218" i="1"/>
  <c r="AZ218" i="1"/>
  <c r="BB218" i="1" s="1"/>
  <c r="BA218" i="1"/>
  <c r="BC218" i="1"/>
  <c r="BD218" i="1"/>
  <c r="BF218" i="1"/>
  <c r="BG218" i="1"/>
  <c r="BH218" i="1" s="1"/>
  <c r="BI218" i="1"/>
  <c r="BJ218" i="1"/>
  <c r="BK218" i="1" s="1"/>
  <c r="BL218" i="1"/>
  <c r="BM218" i="1"/>
  <c r="BO218" i="1"/>
  <c r="BP218" i="1"/>
  <c r="BR218" i="1"/>
  <c r="BS218" i="1"/>
  <c r="BT218" i="1" s="1"/>
  <c r="BU218" i="1"/>
  <c r="BW218" i="1" s="1"/>
  <c r="BV218" i="1"/>
  <c r="BX218" i="1"/>
  <c r="BZ218" i="1" s="1"/>
  <c r="BY218" i="1"/>
  <c r="CA218" i="1"/>
  <c r="CB218" i="1"/>
  <c r="CC218" i="1" s="1"/>
  <c r="CD218" i="1"/>
  <c r="CE218" i="1"/>
  <c r="CF218" i="1" s="1"/>
  <c r="CG218" i="1"/>
  <c r="CH218" i="1"/>
  <c r="CI218" i="1" s="1"/>
  <c r="CJ218" i="1"/>
  <c r="CK218" i="1"/>
  <c r="CM218" i="1"/>
  <c r="CN218" i="1"/>
  <c r="CP218" i="1"/>
  <c r="CQ218" i="1"/>
  <c r="CR218" i="1" s="1"/>
  <c r="CS218" i="1"/>
  <c r="CT218" i="1"/>
  <c r="CV218" i="1"/>
  <c r="CX218" i="1" s="1"/>
  <c r="CW218" i="1"/>
  <c r="CY218" i="1"/>
  <c r="CZ218" i="1"/>
  <c r="DB218" i="1"/>
  <c r="DC218" i="1"/>
  <c r="DD218" i="1" s="1"/>
  <c r="DE218" i="1"/>
  <c r="DF218" i="1"/>
  <c r="DH218" i="1"/>
  <c r="DI218" i="1"/>
  <c r="DK218" i="1"/>
  <c r="DL218" i="1"/>
  <c r="DN218" i="1"/>
  <c r="DO218" i="1"/>
  <c r="DP218" i="1"/>
  <c r="DQ218" i="1"/>
  <c r="DR218" i="1"/>
  <c r="DS218" i="1"/>
  <c r="DT218" i="1"/>
  <c r="DV218" i="1" s="1"/>
  <c r="DU218" i="1"/>
  <c r="DW218" i="1"/>
  <c r="DX218" i="1"/>
  <c r="DY218" i="1" s="1"/>
  <c r="DZ218" i="1"/>
  <c r="EA218" i="1"/>
  <c r="EC218" i="1"/>
  <c r="EE218" i="1" s="1"/>
  <c r="ED218" i="1"/>
  <c r="EF218" i="1"/>
  <c r="EG218" i="1"/>
  <c r="EI218" i="1"/>
  <c r="EJ218" i="1"/>
  <c r="EK218" i="1" s="1"/>
  <c r="G219" i="1"/>
  <c r="H219" i="1"/>
  <c r="I219" i="1"/>
  <c r="K219" i="1"/>
  <c r="L219" i="1"/>
  <c r="M219" i="1"/>
  <c r="N219" i="1"/>
  <c r="O219" i="1"/>
  <c r="P219" i="1"/>
  <c r="Q219" i="1"/>
  <c r="R219" i="1"/>
  <c r="S219" i="1"/>
  <c r="T219" i="1"/>
  <c r="U219" i="1"/>
  <c r="V219" i="1"/>
  <c r="W219" i="1"/>
  <c r="X219" i="1"/>
  <c r="Y219" i="1"/>
  <c r="Z219" i="1"/>
  <c r="AB219" i="1"/>
  <c r="AC219" i="1"/>
  <c r="AF219" i="1" s="1"/>
  <c r="AH219" i="1"/>
  <c r="AJ219" i="1"/>
  <c r="AK219" i="1"/>
  <c r="AL219" i="1"/>
  <c r="AM219" i="1"/>
  <c r="AN219" i="1"/>
  <c r="AO219" i="1"/>
  <c r="AP219" i="1"/>
  <c r="AQ219" i="1"/>
  <c r="AT219" i="1"/>
  <c r="AV219" i="1"/>
  <c r="AW219" i="1"/>
  <c r="AX219" i="1"/>
  <c r="AZ219" i="1"/>
  <c r="BA219" i="1"/>
  <c r="BC219" i="1"/>
  <c r="BD219" i="1"/>
  <c r="BE219" i="1"/>
  <c r="BF219" i="1"/>
  <c r="BG219" i="1"/>
  <c r="BH219" i="1" s="1"/>
  <c r="BI219" i="1"/>
  <c r="BJ219" i="1"/>
  <c r="BL219" i="1"/>
  <c r="BM219" i="1"/>
  <c r="BO219" i="1"/>
  <c r="BP219" i="1"/>
  <c r="BR219" i="1"/>
  <c r="BS219" i="1"/>
  <c r="BU219" i="1"/>
  <c r="BV219" i="1"/>
  <c r="BX219" i="1"/>
  <c r="BY219" i="1"/>
  <c r="CA219" i="1"/>
  <c r="CB219" i="1"/>
  <c r="CD219" i="1"/>
  <c r="CF219" i="1" s="1"/>
  <c r="CE219" i="1"/>
  <c r="CG219" i="1"/>
  <c r="CH219" i="1"/>
  <c r="CJ219" i="1"/>
  <c r="CK219" i="1"/>
  <c r="CM219" i="1"/>
  <c r="CN219" i="1"/>
  <c r="CP219" i="1"/>
  <c r="CQ219" i="1"/>
  <c r="CS219" i="1"/>
  <c r="CT219" i="1"/>
  <c r="CV219" i="1"/>
  <c r="CW219" i="1"/>
  <c r="CY219" i="1"/>
  <c r="CZ219" i="1"/>
  <c r="DA219" i="1" s="1"/>
  <c r="DB219" i="1"/>
  <c r="DC219" i="1"/>
  <c r="DD219" i="1" s="1"/>
  <c r="DE219" i="1"/>
  <c r="DF219" i="1"/>
  <c r="DH219" i="1"/>
  <c r="DI219" i="1"/>
  <c r="DK219" i="1"/>
  <c r="DL219" i="1"/>
  <c r="DM219" i="1" s="1"/>
  <c r="DN219" i="1"/>
  <c r="DO219" i="1"/>
  <c r="DQ219" i="1"/>
  <c r="DR219" i="1"/>
  <c r="DT219" i="1"/>
  <c r="DU219" i="1"/>
  <c r="DW219" i="1"/>
  <c r="DY219" i="1" s="1"/>
  <c r="DX219" i="1"/>
  <c r="DZ219" i="1"/>
  <c r="EA219" i="1"/>
  <c r="EC219" i="1"/>
  <c r="ED219" i="1"/>
  <c r="EE219" i="1"/>
  <c r="EF219" i="1"/>
  <c r="EG219" i="1"/>
  <c r="EI219" i="1"/>
  <c r="EJ219" i="1"/>
  <c r="EK219" i="1"/>
  <c r="G220" i="1"/>
  <c r="H220" i="1"/>
  <c r="I220" i="1"/>
  <c r="K220" i="1"/>
  <c r="L220" i="1"/>
  <c r="M220" i="1"/>
  <c r="N220" i="1"/>
  <c r="O220" i="1"/>
  <c r="P220" i="1"/>
  <c r="Q220" i="1"/>
  <c r="R220" i="1"/>
  <c r="S220" i="1"/>
  <c r="T220" i="1"/>
  <c r="U220" i="1"/>
  <c r="V220" i="1"/>
  <c r="W220" i="1"/>
  <c r="X220" i="1"/>
  <c r="Y220" i="1"/>
  <c r="Z220" i="1"/>
  <c r="AB220" i="1"/>
  <c r="AC220" i="1"/>
  <c r="AD220" i="1" s="1"/>
  <c r="AH220" i="1"/>
  <c r="AJ220" i="1"/>
  <c r="AK220" i="1"/>
  <c r="AL220" i="1"/>
  <c r="AM220" i="1"/>
  <c r="AN220" i="1"/>
  <c r="AO220" i="1"/>
  <c r="AP220" i="1"/>
  <c r="AQ220" i="1"/>
  <c r="AT220" i="1"/>
  <c r="AV220" i="1"/>
  <c r="AW220" i="1"/>
  <c r="AX220" i="1"/>
  <c r="AZ220" i="1"/>
  <c r="BA220" i="1"/>
  <c r="BC220" i="1"/>
  <c r="BD220" i="1"/>
  <c r="BE220" i="1"/>
  <c r="BF220" i="1"/>
  <c r="BG220" i="1"/>
  <c r="BH220" i="1" s="1"/>
  <c r="BI220" i="1"/>
  <c r="BJ220" i="1"/>
  <c r="BL220" i="1"/>
  <c r="BM220" i="1"/>
  <c r="BN220" i="1" s="1"/>
  <c r="BO220" i="1"/>
  <c r="BP220" i="1"/>
  <c r="BQ220" i="1" s="1"/>
  <c r="BR220" i="1"/>
  <c r="BT220" i="1" s="1"/>
  <c r="BS220" i="1"/>
  <c r="BU220" i="1"/>
  <c r="BV220" i="1"/>
  <c r="BW220" i="1" s="1"/>
  <c r="BX220" i="1"/>
  <c r="BY220" i="1"/>
  <c r="BZ220" i="1" s="1"/>
  <c r="CA220" i="1"/>
  <c r="CB220" i="1"/>
  <c r="CC220" i="1"/>
  <c r="CD220" i="1"/>
  <c r="CE220" i="1"/>
  <c r="CF220" i="1" s="1"/>
  <c r="CG220" i="1"/>
  <c r="CH220" i="1"/>
  <c r="CJ220" i="1"/>
  <c r="CK220" i="1"/>
  <c r="CL220" i="1" s="1"/>
  <c r="CM220" i="1"/>
  <c r="CO220" i="1" s="1"/>
  <c r="CN220" i="1"/>
  <c r="CP220" i="1"/>
  <c r="CQ220" i="1"/>
  <c r="CR220" i="1" s="1"/>
  <c r="CS220" i="1"/>
  <c r="CT220" i="1"/>
  <c r="CU220" i="1"/>
  <c r="CV220" i="1"/>
  <c r="CW220" i="1"/>
  <c r="CX220" i="1" s="1"/>
  <c r="CY220" i="1"/>
  <c r="CZ220" i="1"/>
  <c r="DA220" i="1" s="1"/>
  <c r="DB220" i="1"/>
  <c r="DC220" i="1"/>
  <c r="DD220" i="1" s="1"/>
  <c r="DE220" i="1"/>
  <c r="DF220" i="1"/>
  <c r="DH220" i="1"/>
  <c r="DI220" i="1"/>
  <c r="DK220" i="1"/>
  <c r="DL220" i="1"/>
  <c r="DN220" i="1"/>
  <c r="DO220" i="1"/>
  <c r="DQ220" i="1"/>
  <c r="DR220" i="1"/>
  <c r="DT220" i="1"/>
  <c r="DU220" i="1"/>
  <c r="DV220" i="1" s="1"/>
  <c r="DW220" i="1"/>
  <c r="DX220" i="1"/>
  <c r="DY220" i="1" s="1"/>
  <c r="DZ220" i="1"/>
  <c r="EA220" i="1"/>
  <c r="EB220" i="1" s="1"/>
  <c r="EC220" i="1"/>
  <c r="ED220" i="1"/>
  <c r="EE220" i="1" s="1"/>
  <c r="EF220" i="1"/>
  <c r="EG220" i="1"/>
  <c r="EH220" i="1"/>
  <c r="EI220" i="1"/>
  <c r="EJ220" i="1"/>
  <c r="EK220" i="1"/>
  <c r="G221" i="1"/>
  <c r="H221" i="1"/>
  <c r="I221" i="1"/>
  <c r="K221" i="1"/>
  <c r="J221" i="1" s="1"/>
  <c r="L221" i="1"/>
  <c r="M221" i="1"/>
  <c r="N221" i="1"/>
  <c r="O221" i="1"/>
  <c r="P221" i="1"/>
  <c r="Q221" i="1"/>
  <c r="R221" i="1"/>
  <c r="S221" i="1"/>
  <c r="T221" i="1"/>
  <c r="U221" i="1"/>
  <c r="V221" i="1"/>
  <c r="W221" i="1"/>
  <c r="X221" i="1"/>
  <c r="Y221" i="1"/>
  <c r="Z221" i="1"/>
  <c r="AB221" i="1"/>
  <c r="AD221" i="1" s="1"/>
  <c r="AC221" i="1"/>
  <c r="AF221" i="1"/>
  <c r="AH221" i="1"/>
  <c r="AI221" i="1" s="1"/>
  <c r="AJ221" i="1"/>
  <c r="AK221" i="1"/>
  <c r="AL221" i="1"/>
  <c r="AM221" i="1"/>
  <c r="AN221" i="1"/>
  <c r="AO221" i="1"/>
  <c r="AP221" i="1"/>
  <c r="AQ221" i="1"/>
  <c r="AT221" i="1"/>
  <c r="AV221" i="1"/>
  <c r="AW221" i="1"/>
  <c r="AX221" i="1"/>
  <c r="AY221" i="1"/>
  <c r="AZ221" i="1"/>
  <c r="BA221" i="1"/>
  <c r="BB221" i="1" s="1"/>
  <c r="BC221" i="1"/>
  <c r="BD221" i="1"/>
  <c r="BF221" i="1"/>
  <c r="BG221" i="1"/>
  <c r="BH221" i="1" s="1"/>
  <c r="BI221" i="1"/>
  <c r="BJ221" i="1"/>
  <c r="BL221" i="1"/>
  <c r="BM221" i="1"/>
  <c r="BN221" i="1" s="1"/>
  <c r="BO221" i="1"/>
  <c r="BP221" i="1"/>
  <c r="BR221" i="1"/>
  <c r="BS221" i="1"/>
  <c r="BU221" i="1"/>
  <c r="BV221" i="1"/>
  <c r="BX221" i="1"/>
  <c r="BY221" i="1"/>
  <c r="BZ221" i="1"/>
  <c r="CA221" i="1"/>
  <c r="CC221" i="1" s="1"/>
  <c r="CB221" i="1"/>
  <c r="CD221" i="1"/>
  <c r="CE221" i="1"/>
  <c r="CG221" i="1"/>
  <c r="CH221" i="1"/>
  <c r="CI221" i="1"/>
  <c r="CJ221" i="1"/>
  <c r="CK221" i="1"/>
  <c r="CL221" i="1" s="1"/>
  <c r="CM221" i="1"/>
  <c r="CN221" i="1"/>
  <c r="CO221" i="1"/>
  <c r="CP221" i="1"/>
  <c r="CQ221" i="1"/>
  <c r="CS221" i="1"/>
  <c r="CT221" i="1"/>
  <c r="CV221" i="1"/>
  <c r="CW221" i="1"/>
  <c r="CY221" i="1"/>
  <c r="CZ221" i="1"/>
  <c r="DA221" i="1" s="1"/>
  <c r="DB221" i="1"/>
  <c r="DC221" i="1"/>
  <c r="DE221" i="1"/>
  <c r="DF221" i="1"/>
  <c r="DG221" i="1" s="1"/>
  <c r="DH221" i="1"/>
  <c r="DI221" i="1"/>
  <c r="DJ221" i="1" s="1"/>
  <c r="DK221" i="1"/>
  <c r="DL221" i="1"/>
  <c r="DN221" i="1"/>
  <c r="DP221" i="1" s="1"/>
  <c r="DO221" i="1"/>
  <c r="DQ221" i="1"/>
  <c r="DR221" i="1"/>
  <c r="DS221" i="1" s="1"/>
  <c r="DT221" i="1"/>
  <c r="DU221" i="1"/>
  <c r="DV221" i="1"/>
  <c r="DW221" i="1"/>
  <c r="DX221" i="1"/>
  <c r="DY221" i="1" s="1"/>
  <c r="DZ221" i="1"/>
  <c r="EA221" i="1"/>
  <c r="EC221" i="1"/>
  <c r="ED221" i="1"/>
  <c r="EE221" i="1" s="1"/>
  <c r="EF221" i="1"/>
  <c r="EG221" i="1"/>
  <c r="EH221" i="1" s="1"/>
  <c r="EI221" i="1"/>
  <c r="EK221" i="1" s="1"/>
  <c r="EJ221" i="1"/>
  <c r="G222" i="1"/>
  <c r="H222" i="1"/>
  <c r="I222" i="1"/>
  <c r="K222" i="1"/>
  <c r="L222" i="1"/>
  <c r="M222" i="1"/>
  <c r="N222" i="1"/>
  <c r="O222" i="1"/>
  <c r="P222" i="1"/>
  <c r="Q222" i="1"/>
  <c r="R222" i="1"/>
  <c r="S222" i="1"/>
  <c r="T222" i="1"/>
  <c r="U222" i="1"/>
  <c r="V222" i="1"/>
  <c r="W222" i="1"/>
  <c r="X222" i="1"/>
  <c r="Y222" i="1"/>
  <c r="Z222" i="1"/>
  <c r="AB222" i="1"/>
  <c r="AC222" i="1"/>
  <c r="AF222" i="1"/>
  <c r="AH222" i="1"/>
  <c r="AJ222" i="1"/>
  <c r="AK222" i="1"/>
  <c r="AL222" i="1"/>
  <c r="AM222" i="1"/>
  <c r="AN222" i="1"/>
  <c r="AO222" i="1"/>
  <c r="AP222" i="1"/>
  <c r="AQ222" i="1"/>
  <c r="AT222" i="1"/>
  <c r="AV222" i="1"/>
  <c r="AW222" i="1"/>
  <c r="AX222" i="1"/>
  <c r="AZ222" i="1"/>
  <c r="BA222" i="1"/>
  <c r="BB222" i="1" s="1"/>
  <c r="BC222" i="1"/>
  <c r="BD222" i="1"/>
  <c r="BF222" i="1"/>
  <c r="BG222" i="1"/>
  <c r="BI222" i="1"/>
  <c r="BJ222" i="1"/>
  <c r="BL222" i="1"/>
  <c r="BM222" i="1"/>
  <c r="BO222" i="1"/>
  <c r="BQ222" i="1" s="1"/>
  <c r="BP222" i="1"/>
  <c r="BR222" i="1"/>
  <c r="BS222" i="1"/>
  <c r="BT222" i="1" s="1"/>
  <c r="BU222" i="1"/>
  <c r="BV222" i="1"/>
  <c r="BW222" i="1"/>
  <c r="BX222" i="1"/>
  <c r="BY222" i="1"/>
  <c r="BZ222" i="1"/>
  <c r="CA222" i="1"/>
  <c r="CB222" i="1"/>
  <c r="CC222" i="1" s="1"/>
  <c r="CD222" i="1"/>
  <c r="CE222" i="1"/>
  <c r="CF222" i="1" s="1"/>
  <c r="CG222" i="1"/>
  <c r="CH222" i="1"/>
  <c r="CI222" i="1" s="1"/>
  <c r="CJ222" i="1"/>
  <c r="CK222" i="1"/>
  <c r="CM222" i="1"/>
  <c r="CN222" i="1"/>
  <c r="CP222" i="1"/>
  <c r="CQ222" i="1"/>
  <c r="CR222" i="1" s="1"/>
  <c r="CS222" i="1"/>
  <c r="CT222" i="1"/>
  <c r="CU222" i="1" s="1"/>
  <c r="CV222" i="1"/>
  <c r="CW222" i="1"/>
  <c r="CY222" i="1"/>
  <c r="CZ222" i="1"/>
  <c r="DB222" i="1"/>
  <c r="DC222" i="1"/>
  <c r="DE222" i="1"/>
  <c r="DG222" i="1" s="1"/>
  <c r="DF222" i="1"/>
  <c r="DH222" i="1"/>
  <c r="DJ222" i="1" s="1"/>
  <c r="DI222" i="1"/>
  <c r="DK222" i="1"/>
  <c r="DL222" i="1"/>
  <c r="DM222" i="1"/>
  <c r="DN222" i="1"/>
  <c r="DO222" i="1"/>
  <c r="DP222" i="1" s="1"/>
  <c r="DQ222" i="1"/>
  <c r="DR222" i="1"/>
  <c r="DT222" i="1"/>
  <c r="DU222" i="1"/>
  <c r="DV222" i="1" s="1"/>
  <c r="DW222" i="1"/>
  <c r="DX222" i="1"/>
  <c r="DZ222" i="1"/>
  <c r="EA222" i="1"/>
  <c r="EB222" i="1" s="1"/>
  <c r="EC222" i="1"/>
  <c r="ED222" i="1"/>
  <c r="EE222" i="1" s="1"/>
  <c r="EF222" i="1"/>
  <c r="EG222" i="1"/>
  <c r="EI222" i="1"/>
  <c r="EJ222" i="1"/>
  <c r="EK222" i="1" s="1"/>
  <c r="G223" i="1"/>
  <c r="H223" i="1"/>
  <c r="I223" i="1"/>
  <c r="K223" i="1"/>
  <c r="L223" i="1"/>
  <c r="M223" i="1"/>
  <c r="N223" i="1"/>
  <c r="O223" i="1"/>
  <c r="P223" i="1"/>
  <c r="Q223" i="1"/>
  <c r="R223" i="1"/>
  <c r="S223" i="1"/>
  <c r="T223" i="1"/>
  <c r="U223" i="1"/>
  <c r="V223" i="1"/>
  <c r="W223" i="1"/>
  <c r="X223" i="1"/>
  <c r="Y223" i="1"/>
  <c r="Z223" i="1"/>
  <c r="AB223" i="1"/>
  <c r="AD223" i="1" s="1"/>
  <c r="AC223" i="1"/>
  <c r="AF223" i="1"/>
  <c r="AH223" i="1"/>
  <c r="AI223" i="1" s="1"/>
  <c r="AJ223" i="1"/>
  <c r="AK223" i="1"/>
  <c r="AL223" i="1"/>
  <c r="AM223" i="1"/>
  <c r="AN223" i="1"/>
  <c r="AO223" i="1"/>
  <c r="AP223" i="1"/>
  <c r="AQ223" i="1"/>
  <c r="AT223" i="1"/>
  <c r="AV223" i="1"/>
  <c r="AW223" i="1"/>
  <c r="AX223" i="1"/>
  <c r="AZ223" i="1"/>
  <c r="BA223" i="1"/>
  <c r="BB223" i="1" s="1"/>
  <c r="BC223" i="1"/>
  <c r="BE223" i="1" s="1"/>
  <c r="BD223" i="1"/>
  <c r="BF223" i="1"/>
  <c r="BG223" i="1"/>
  <c r="BH223" i="1" s="1"/>
  <c r="BI223" i="1"/>
  <c r="BJ223" i="1"/>
  <c r="BL223" i="1"/>
  <c r="BM223" i="1"/>
  <c r="BN223" i="1" s="1"/>
  <c r="BO223" i="1"/>
  <c r="BP223" i="1"/>
  <c r="BR223" i="1"/>
  <c r="BS223" i="1"/>
  <c r="BT223" i="1"/>
  <c r="BU223" i="1"/>
  <c r="BW223" i="1" s="1"/>
  <c r="BV223" i="1"/>
  <c r="BX223" i="1"/>
  <c r="BY223" i="1"/>
  <c r="CA223" i="1"/>
  <c r="CB223" i="1"/>
  <c r="CD223" i="1"/>
  <c r="CE223" i="1"/>
  <c r="CF223" i="1"/>
  <c r="CG223" i="1"/>
  <c r="CH223" i="1"/>
  <c r="CI223" i="1" s="1"/>
  <c r="CJ223" i="1"/>
  <c r="CK223" i="1"/>
  <c r="CL223" i="1" s="1"/>
  <c r="CM223" i="1"/>
  <c r="CN223" i="1"/>
  <c r="CP223" i="1"/>
  <c r="CQ223" i="1"/>
  <c r="CS223" i="1"/>
  <c r="CT223" i="1"/>
  <c r="CV223" i="1"/>
  <c r="CW223" i="1"/>
  <c r="CY223" i="1"/>
  <c r="CZ223" i="1"/>
  <c r="DA223" i="1" s="1"/>
  <c r="DB223" i="1"/>
  <c r="DC223" i="1"/>
  <c r="DD223" i="1" s="1"/>
  <c r="DE223" i="1"/>
  <c r="DF223" i="1"/>
  <c r="DH223" i="1"/>
  <c r="DJ223" i="1" s="1"/>
  <c r="DI223" i="1"/>
  <c r="DK223" i="1"/>
  <c r="DL223" i="1"/>
  <c r="DM223" i="1" s="1"/>
  <c r="DN223" i="1"/>
  <c r="DO223" i="1"/>
  <c r="DP223" i="1" s="1"/>
  <c r="DQ223" i="1"/>
  <c r="DR223" i="1"/>
  <c r="DS223" i="1" s="1"/>
  <c r="DT223" i="1"/>
  <c r="DU223" i="1"/>
  <c r="DV223" i="1" s="1"/>
  <c r="DW223" i="1"/>
  <c r="DX223" i="1"/>
  <c r="DY223" i="1"/>
  <c r="DZ223" i="1"/>
  <c r="EA223" i="1"/>
  <c r="EB223" i="1" s="1"/>
  <c r="EC223" i="1"/>
  <c r="ED223" i="1"/>
  <c r="EE223" i="1"/>
  <c r="EF223" i="1"/>
  <c r="EG223" i="1"/>
  <c r="EI223" i="1"/>
  <c r="EJ223" i="1"/>
  <c r="G224" i="1"/>
  <c r="H224" i="1"/>
  <c r="I224" i="1"/>
  <c r="K224" i="1"/>
  <c r="L224" i="1"/>
  <c r="M224" i="1"/>
  <c r="N224" i="1"/>
  <c r="O224" i="1"/>
  <c r="P224" i="1"/>
  <c r="Q224" i="1"/>
  <c r="R224" i="1"/>
  <c r="S224" i="1"/>
  <c r="T224" i="1"/>
  <c r="U224" i="1"/>
  <c r="V224" i="1"/>
  <c r="W224" i="1"/>
  <c r="X224" i="1"/>
  <c r="Y224" i="1"/>
  <c r="Z224" i="1"/>
  <c r="AB224" i="1"/>
  <c r="AC224" i="1"/>
  <c r="AD224" i="1" s="1"/>
  <c r="AH224" i="1"/>
  <c r="AI224" i="1"/>
  <c r="AJ224" i="1"/>
  <c r="AK224" i="1"/>
  <c r="AL224" i="1"/>
  <c r="AM224" i="1"/>
  <c r="AN224" i="1"/>
  <c r="AO224" i="1"/>
  <c r="AP224" i="1"/>
  <c r="AQ224" i="1"/>
  <c r="AT224" i="1"/>
  <c r="AV224" i="1"/>
  <c r="AW224" i="1"/>
  <c r="AX224" i="1"/>
  <c r="AZ224" i="1"/>
  <c r="BA224" i="1"/>
  <c r="BB224" i="1" s="1"/>
  <c r="BC224" i="1"/>
  <c r="BD224" i="1"/>
  <c r="BF224" i="1"/>
  <c r="BG224" i="1"/>
  <c r="BH224" i="1"/>
  <c r="BI224" i="1"/>
  <c r="BJ224" i="1"/>
  <c r="BK224" i="1" s="1"/>
  <c r="BL224" i="1"/>
  <c r="BM224" i="1"/>
  <c r="BO224" i="1"/>
  <c r="BP224" i="1"/>
  <c r="BR224" i="1"/>
  <c r="BS224" i="1"/>
  <c r="BU224" i="1"/>
  <c r="BV224" i="1"/>
  <c r="BX224" i="1"/>
  <c r="BY224" i="1"/>
  <c r="BZ224" i="1" s="1"/>
  <c r="CA224" i="1"/>
  <c r="CB224" i="1"/>
  <c r="CC224" i="1" s="1"/>
  <c r="CD224" i="1"/>
  <c r="CE224" i="1"/>
  <c r="CG224" i="1"/>
  <c r="CH224" i="1"/>
  <c r="CJ224" i="1"/>
  <c r="CL224" i="1" s="1"/>
  <c r="CK224" i="1"/>
  <c r="CM224" i="1"/>
  <c r="CO224" i="1" s="1"/>
  <c r="CN224" i="1"/>
  <c r="CP224" i="1"/>
  <c r="CQ224" i="1"/>
  <c r="CR224" i="1"/>
  <c r="CS224" i="1"/>
  <c r="CT224" i="1"/>
  <c r="CU224" i="1" s="1"/>
  <c r="CV224" i="1"/>
  <c r="CW224" i="1"/>
  <c r="CX224" i="1" s="1"/>
  <c r="CY224" i="1"/>
  <c r="CZ224" i="1"/>
  <c r="DA224" i="1" s="1"/>
  <c r="DB224" i="1"/>
  <c r="DC224" i="1"/>
  <c r="DD224" i="1" s="1"/>
  <c r="DE224" i="1"/>
  <c r="DF224" i="1"/>
  <c r="DH224" i="1"/>
  <c r="DJ224" i="1" s="1"/>
  <c r="DI224" i="1"/>
  <c r="DK224" i="1"/>
  <c r="DL224" i="1"/>
  <c r="DM224" i="1"/>
  <c r="DN224" i="1"/>
  <c r="DO224" i="1"/>
  <c r="DP224" i="1"/>
  <c r="DQ224" i="1"/>
  <c r="DR224" i="1"/>
  <c r="DS224" i="1" s="1"/>
  <c r="DT224" i="1"/>
  <c r="DU224" i="1"/>
  <c r="DV224" i="1" s="1"/>
  <c r="DW224" i="1"/>
  <c r="DX224" i="1"/>
  <c r="DY224" i="1" s="1"/>
  <c r="DZ224" i="1"/>
  <c r="EA224" i="1"/>
  <c r="EC224" i="1"/>
  <c r="ED224" i="1"/>
  <c r="EF224" i="1"/>
  <c r="EG224" i="1"/>
  <c r="EI224" i="1"/>
  <c r="EJ224" i="1"/>
  <c r="EK224" i="1"/>
  <c r="G225" i="1"/>
  <c r="H225" i="1"/>
  <c r="I225" i="1"/>
  <c r="K225" i="1"/>
  <c r="L225" i="1"/>
  <c r="M225" i="1"/>
  <c r="N225" i="1"/>
  <c r="O225" i="1"/>
  <c r="P225" i="1"/>
  <c r="Q225" i="1"/>
  <c r="R225" i="1"/>
  <c r="S225" i="1"/>
  <c r="T225" i="1"/>
  <c r="U225" i="1"/>
  <c r="V225" i="1"/>
  <c r="W225" i="1"/>
  <c r="X225" i="1"/>
  <c r="Y225" i="1"/>
  <c r="Z225" i="1"/>
  <c r="AB225" i="1"/>
  <c r="AC225" i="1"/>
  <c r="AF225" i="1" s="1"/>
  <c r="AH225" i="1"/>
  <c r="AI225" i="1" s="1"/>
  <c r="AJ225" i="1"/>
  <c r="AK225" i="1"/>
  <c r="AL225" i="1"/>
  <c r="AM225" i="1"/>
  <c r="AN225" i="1"/>
  <c r="AO225" i="1"/>
  <c r="AP225" i="1"/>
  <c r="AQ225" i="1"/>
  <c r="AT225" i="1"/>
  <c r="AV225" i="1"/>
  <c r="AW225" i="1"/>
  <c r="AX225" i="1"/>
  <c r="AY225" i="1" s="1"/>
  <c r="AZ225" i="1"/>
  <c r="BA225" i="1"/>
  <c r="BB225" i="1" s="1"/>
  <c r="BC225" i="1"/>
  <c r="BD225" i="1"/>
  <c r="BF225" i="1"/>
  <c r="BG225" i="1"/>
  <c r="BI225" i="1"/>
  <c r="BK225" i="1" s="1"/>
  <c r="BJ225" i="1"/>
  <c r="BL225" i="1"/>
  <c r="BM225" i="1"/>
  <c r="BN225" i="1"/>
  <c r="BO225" i="1"/>
  <c r="BP225" i="1"/>
  <c r="BQ225" i="1"/>
  <c r="BR225" i="1"/>
  <c r="BS225" i="1"/>
  <c r="BT225" i="1" s="1"/>
  <c r="BU225" i="1"/>
  <c r="BV225" i="1"/>
  <c r="BW225" i="1" s="1"/>
  <c r="BX225" i="1"/>
  <c r="BY225" i="1"/>
  <c r="BZ225" i="1" s="1"/>
  <c r="CA225" i="1"/>
  <c r="CC225" i="1" s="1"/>
  <c r="CB225" i="1"/>
  <c r="CD225" i="1"/>
  <c r="CE225" i="1"/>
  <c r="CG225" i="1"/>
  <c r="CH225" i="1"/>
  <c r="CJ225" i="1"/>
  <c r="CK225" i="1"/>
  <c r="CL225" i="1"/>
  <c r="CM225" i="1"/>
  <c r="CN225" i="1"/>
  <c r="CO225" i="1"/>
  <c r="CP225" i="1"/>
  <c r="CQ225" i="1"/>
  <c r="CR225" i="1" s="1"/>
  <c r="CS225" i="1"/>
  <c r="CT225" i="1"/>
  <c r="CU225" i="1" s="1"/>
  <c r="CV225" i="1"/>
  <c r="CW225" i="1"/>
  <c r="CY225" i="1"/>
  <c r="DA225" i="1" s="1"/>
  <c r="CZ225" i="1"/>
  <c r="DB225" i="1"/>
  <c r="DC225" i="1"/>
  <c r="DD225" i="1" s="1"/>
  <c r="DE225" i="1"/>
  <c r="DF225" i="1"/>
  <c r="DH225" i="1"/>
  <c r="DI225" i="1"/>
  <c r="DJ225" i="1" s="1"/>
  <c r="DK225" i="1"/>
  <c r="DM225" i="1" s="1"/>
  <c r="DL225" i="1"/>
  <c r="DN225" i="1"/>
  <c r="DO225" i="1"/>
  <c r="DQ225" i="1"/>
  <c r="DR225" i="1"/>
  <c r="DT225" i="1"/>
  <c r="DU225" i="1"/>
  <c r="DW225" i="1"/>
  <c r="DX225" i="1"/>
  <c r="DZ225" i="1"/>
  <c r="EA225" i="1"/>
  <c r="EB225" i="1" s="1"/>
  <c r="EC225" i="1"/>
  <c r="ED225" i="1"/>
  <c r="EF225" i="1"/>
  <c r="EG225" i="1"/>
  <c r="EH225" i="1" s="1"/>
  <c r="EI225" i="1"/>
  <c r="EJ225" i="1"/>
  <c r="EK225" i="1" s="1"/>
  <c r="AB226" i="1"/>
  <c r="K228" i="1"/>
  <c r="L228" i="1"/>
  <c r="M228" i="1"/>
  <c r="N228" i="1"/>
  <c r="O228" i="1"/>
  <c r="P228" i="1"/>
  <c r="Q228" i="1"/>
  <c r="R228" i="1"/>
  <c r="S228" i="1"/>
  <c r="T228" i="1"/>
  <c r="U228" i="1"/>
  <c r="V228" i="1"/>
  <c r="W228" i="1"/>
  <c r="X228" i="1"/>
  <c r="Y228" i="1"/>
  <c r="Z228" i="1"/>
  <c r="G229" i="1"/>
  <c r="H229" i="1"/>
  <c r="J229" i="1"/>
  <c r="AB229" i="1"/>
  <c r="AC229" i="1"/>
  <c r="AD229" i="1" s="1"/>
  <c r="AH229" i="1"/>
  <c r="AI229" i="1"/>
  <c r="AJ229" i="1"/>
  <c r="AK229" i="1"/>
  <c r="AL229" i="1"/>
  <c r="AM229" i="1"/>
  <c r="AN229" i="1"/>
  <c r="AO229" i="1"/>
  <c r="AP229" i="1"/>
  <c r="AQ229" i="1"/>
  <c r="AT229" i="1"/>
  <c r="G230" i="1"/>
  <c r="H230" i="1"/>
  <c r="J230" i="1"/>
  <c r="AB230" i="1"/>
  <c r="AC230" i="1"/>
  <c r="AD230" i="1" s="1"/>
  <c r="AH230" i="1"/>
  <c r="AI230" i="1" s="1"/>
  <c r="AJ230" i="1"/>
  <c r="AK230" i="1"/>
  <c r="AL230" i="1"/>
  <c r="AM230" i="1"/>
  <c r="AN230" i="1"/>
  <c r="AO230" i="1"/>
  <c r="AP230" i="1"/>
  <c r="AQ230" i="1"/>
  <c r="AT230" i="1"/>
  <c r="G231" i="1"/>
  <c r="H231" i="1"/>
  <c r="AF231" i="1" s="1"/>
  <c r="J231" i="1"/>
  <c r="AB231" i="1"/>
  <c r="AC231" i="1"/>
  <c r="AD231" i="1" s="1"/>
  <c r="AH231" i="1"/>
  <c r="AI231" i="1"/>
  <c r="AJ231" i="1"/>
  <c r="AK231" i="1"/>
  <c r="AL231" i="1"/>
  <c r="AM231" i="1"/>
  <c r="AN231" i="1"/>
  <c r="AO231" i="1"/>
  <c r="AP231" i="1"/>
  <c r="AQ231" i="1"/>
  <c r="AT231" i="1"/>
  <c r="G232" i="1"/>
  <c r="H232" i="1"/>
  <c r="J232" i="1"/>
  <c r="AB232" i="1"/>
  <c r="AC232" i="1"/>
  <c r="AD232" i="1" s="1"/>
  <c r="AH232" i="1"/>
  <c r="AI232" i="1" s="1"/>
  <c r="AJ232" i="1"/>
  <c r="AK232" i="1"/>
  <c r="AL232" i="1"/>
  <c r="AM232" i="1"/>
  <c r="AN232" i="1"/>
  <c r="AO232" i="1"/>
  <c r="AP232" i="1"/>
  <c r="AQ232" i="1"/>
  <c r="AT232" i="1"/>
  <c r="G233" i="1"/>
  <c r="H233" i="1"/>
  <c r="AF233" i="1" s="1"/>
  <c r="J233" i="1"/>
  <c r="AB233" i="1"/>
  <c r="AC233" i="1"/>
  <c r="AD233" i="1" s="1"/>
  <c r="AH233" i="1"/>
  <c r="AI233" i="1"/>
  <c r="AJ233" i="1"/>
  <c r="AK233" i="1"/>
  <c r="AL233" i="1"/>
  <c r="AM233" i="1"/>
  <c r="AN233" i="1"/>
  <c r="AO233" i="1"/>
  <c r="AP233" i="1"/>
  <c r="AQ233" i="1"/>
  <c r="AT233" i="1"/>
  <c r="G234" i="1"/>
  <c r="H234" i="1"/>
  <c r="J234" i="1"/>
  <c r="AB234" i="1"/>
  <c r="AC234" i="1"/>
  <c r="AD234" i="1" s="1"/>
  <c r="AH234" i="1"/>
  <c r="AI234" i="1" s="1"/>
  <c r="AJ234" i="1"/>
  <c r="AK234" i="1"/>
  <c r="AL234" i="1"/>
  <c r="AM234" i="1"/>
  <c r="AN234" i="1"/>
  <c r="AO234" i="1"/>
  <c r="AP234" i="1"/>
  <c r="AQ234" i="1"/>
  <c r="AT234" i="1"/>
  <c r="G235" i="1"/>
  <c r="H235" i="1"/>
  <c r="J235" i="1"/>
  <c r="AB235" i="1"/>
  <c r="AC235" i="1"/>
  <c r="AD235" i="1" s="1"/>
  <c r="AH235" i="1"/>
  <c r="AI235" i="1" s="1"/>
  <c r="AJ235" i="1"/>
  <c r="AK235" i="1"/>
  <c r="AL235" i="1"/>
  <c r="AM235" i="1"/>
  <c r="AN235" i="1"/>
  <c r="AO235" i="1"/>
  <c r="AP235" i="1"/>
  <c r="AQ235" i="1"/>
  <c r="AT235" i="1"/>
  <c r="G236" i="1"/>
  <c r="H236" i="1"/>
  <c r="J236" i="1"/>
  <c r="AB236" i="1"/>
  <c r="AC236" i="1"/>
  <c r="AH236" i="1"/>
  <c r="AI236" i="1" s="1"/>
  <c r="AJ236" i="1"/>
  <c r="AK236" i="1"/>
  <c r="AL236" i="1"/>
  <c r="AM236" i="1"/>
  <c r="AN236" i="1"/>
  <c r="AO236" i="1"/>
  <c r="AP236" i="1"/>
  <c r="AQ236" i="1"/>
  <c r="AT236" i="1"/>
  <c r="G237" i="1"/>
  <c r="H237" i="1"/>
  <c r="J237" i="1"/>
  <c r="AB237" i="1"/>
  <c r="AC237" i="1"/>
  <c r="AD237" i="1" s="1"/>
  <c r="AH237" i="1"/>
  <c r="AI237" i="1" s="1"/>
  <c r="AJ237" i="1"/>
  <c r="AK237" i="1"/>
  <c r="AL237" i="1"/>
  <c r="AM237" i="1"/>
  <c r="AN237" i="1"/>
  <c r="AO237" i="1"/>
  <c r="AP237" i="1"/>
  <c r="AQ237" i="1"/>
  <c r="AT237" i="1"/>
  <c r="G238" i="1"/>
  <c r="H238" i="1"/>
  <c r="J238" i="1"/>
  <c r="AB238" i="1"/>
  <c r="AC238" i="1"/>
  <c r="AH238" i="1"/>
  <c r="AI238" i="1" s="1"/>
  <c r="AJ238" i="1"/>
  <c r="AK238" i="1"/>
  <c r="AL238" i="1"/>
  <c r="AM238" i="1"/>
  <c r="AN238" i="1"/>
  <c r="AO238" i="1"/>
  <c r="AP238" i="1"/>
  <c r="AQ238" i="1"/>
  <c r="AT238" i="1"/>
  <c r="G239" i="1"/>
  <c r="H239" i="1"/>
  <c r="J239" i="1"/>
  <c r="AB239" i="1"/>
  <c r="AC239" i="1"/>
  <c r="AD239" i="1" s="1"/>
  <c r="AH239" i="1"/>
  <c r="AI239" i="1" s="1"/>
  <c r="AJ239" i="1"/>
  <c r="AK239" i="1"/>
  <c r="AL239" i="1"/>
  <c r="AM239" i="1"/>
  <c r="AN239" i="1"/>
  <c r="AO239" i="1"/>
  <c r="AP239" i="1"/>
  <c r="AQ239" i="1"/>
  <c r="AT239" i="1"/>
  <c r="G240" i="1"/>
  <c r="H240" i="1"/>
  <c r="J240" i="1"/>
  <c r="AB240" i="1"/>
  <c r="AC240" i="1"/>
  <c r="AH240" i="1"/>
  <c r="AI240" i="1" s="1"/>
  <c r="AJ240" i="1"/>
  <c r="AK240" i="1"/>
  <c r="AL240" i="1"/>
  <c r="AM240" i="1"/>
  <c r="AN240" i="1"/>
  <c r="AO240" i="1"/>
  <c r="AP240" i="1"/>
  <c r="AQ240" i="1"/>
  <c r="AT240" i="1"/>
  <c r="G241" i="1"/>
  <c r="H241" i="1"/>
  <c r="J241" i="1"/>
  <c r="AB241" i="1"/>
  <c r="AC241" i="1"/>
  <c r="AD241" i="1" s="1"/>
  <c r="AH241" i="1"/>
  <c r="AI241" i="1" s="1"/>
  <c r="AJ241" i="1"/>
  <c r="AK241" i="1"/>
  <c r="AL241" i="1"/>
  <c r="AM241" i="1"/>
  <c r="AN241" i="1"/>
  <c r="AO241" i="1"/>
  <c r="AP241" i="1"/>
  <c r="AQ241" i="1"/>
  <c r="AT241" i="1"/>
  <c r="G242" i="1"/>
  <c r="H242" i="1"/>
  <c r="J242" i="1"/>
  <c r="AB242" i="1"/>
  <c r="AC242" i="1"/>
  <c r="AH242" i="1"/>
  <c r="AI242" i="1" s="1"/>
  <c r="AJ242" i="1"/>
  <c r="AK242" i="1"/>
  <c r="AL242" i="1"/>
  <c r="AM242" i="1"/>
  <c r="AN242" i="1"/>
  <c r="AO242" i="1"/>
  <c r="AP242" i="1"/>
  <c r="AQ242" i="1"/>
  <c r="AT242" i="1"/>
  <c r="G243" i="1"/>
  <c r="H243" i="1"/>
  <c r="J243" i="1"/>
  <c r="AB243" i="1"/>
  <c r="AC243" i="1"/>
  <c r="AD243" i="1" s="1"/>
  <c r="AH243" i="1"/>
  <c r="AI243" i="1" s="1"/>
  <c r="AJ243" i="1"/>
  <c r="AK243" i="1"/>
  <c r="AL243" i="1"/>
  <c r="AM243" i="1"/>
  <c r="AN243" i="1"/>
  <c r="AO243" i="1"/>
  <c r="AP243" i="1"/>
  <c r="AQ243" i="1"/>
  <c r="AT243" i="1"/>
  <c r="G244" i="1"/>
  <c r="H244" i="1"/>
  <c r="J244" i="1"/>
  <c r="AB244" i="1"/>
  <c r="AC244" i="1"/>
  <c r="AH244" i="1"/>
  <c r="AI244" i="1" s="1"/>
  <c r="AJ244" i="1"/>
  <c r="AK244" i="1"/>
  <c r="AL244" i="1"/>
  <c r="AM244" i="1"/>
  <c r="AN244" i="1"/>
  <c r="AO244" i="1"/>
  <c r="AP244" i="1"/>
  <c r="AQ244" i="1"/>
  <c r="AT244" i="1"/>
  <c r="G245" i="1"/>
  <c r="H245" i="1"/>
  <c r="J245" i="1"/>
  <c r="AB245" i="1"/>
  <c r="AC245" i="1"/>
  <c r="AD245" i="1" s="1"/>
  <c r="AH245" i="1"/>
  <c r="AI245" i="1"/>
  <c r="AJ245" i="1"/>
  <c r="AK245" i="1"/>
  <c r="AL245" i="1"/>
  <c r="AM245" i="1"/>
  <c r="AN245" i="1"/>
  <c r="AO245" i="1"/>
  <c r="AP245" i="1"/>
  <c r="AQ245" i="1"/>
  <c r="AT245" i="1"/>
  <c r="G246" i="1"/>
  <c r="H246" i="1"/>
  <c r="J246" i="1"/>
  <c r="AB246" i="1"/>
  <c r="AC246" i="1"/>
  <c r="AH246" i="1"/>
  <c r="AI246" i="1" s="1"/>
  <c r="AJ246" i="1"/>
  <c r="AK246" i="1"/>
  <c r="AL246" i="1"/>
  <c r="AM246" i="1"/>
  <c r="AN246" i="1"/>
  <c r="AO246" i="1"/>
  <c r="AP246" i="1"/>
  <c r="AQ246" i="1"/>
  <c r="AT246" i="1"/>
  <c r="G247" i="1"/>
  <c r="H247" i="1"/>
  <c r="J247" i="1"/>
  <c r="AB247" i="1"/>
  <c r="AC247" i="1"/>
  <c r="AD247" i="1" s="1"/>
  <c r="AH247" i="1"/>
  <c r="AI247" i="1"/>
  <c r="AJ247" i="1"/>
  <c r="AK247" i="1"/>
  <c r="AL247" i="1"/>
  <c r="AM247" i="1"/>
  <c r="AN247" i="1"/>
  <c r="AO247" i="1"/>
  <c r="AP247" i="1"/>
  <c r="AQ247" i="1"/>
  <c r="AT247" i="1"/>
  <c r="G248" i="1"/>
  <c r="H248" i="1"/>
  <c r="J248" i="1"/>
  <c r="AB248" i="1"/>
  <c r="AC248" i="1"/>
  <c r="AH248" i="1"/>
  <c r="AI248" i="1" s="1"/>
  <c r="AJ248" i="1"/>
  <c r="AK248" i="1"/>
  <c r="AL248" i="1"/>
  <c r="AM248" i="1"/>
  <c r="AN248" i="1"/>
  <c r="AO248" i="1"/>
  <c r="AP248" i="1"/>
  <c r="AQ248" i="1"/>
  <c r="AT248" i="1"/>
  <c r="G249" i="1"/>
  <c r="H249" i="1"/>
  <c r="J249" i="1"/>
  <c r="AB249" i="1"/>
  <c r="AC249" i="1"/>
  <c r="AD249" i="1" s="1"/>
  <c r="AH249" i="1"/>
  <c r="AI249" i="1" s="1"/>
  <c r="AJ249" i="1"/>
  <c r="AK249" i="1"/>
  <c r="AL249" i="1"/>
  <c r="AM249" i="1"/>
  <c r="AN249" i="1"/>
  <c r="AO249" i="1"/>
  <c r="AP249" i="1"/>
  <c r="AQ249" i="1"/>
  <c r="AT249" i="1"/>
  <c r="G250" i="1"/>
  <c r="H250" i="1"/>
  <c r="J250" i="1"/>
  <c r="AB250" i="1"/>
  <c r="AC250" i="1"/>
  <c r="AH250" i="1"/>
  <c r="AI250" i="1" s="1"/>
  <c r="AJ250" i="1"/>
  <c r="AK250" i="1"/>
  <c r="AL250" i="1"/>
  <c r="AM250" i="1"/>
  <c r="AN250" i="1"/>
  <c r="AO250" i="1"/>
  <c r="AP250" i="1"/>
  <c r="AQ250" i="1"/>
  <c r="AT250" i="1"/>
  <c r="G251" i="1"/>
  <c r="H251" i="1"/>
  <c r="J251" i="1"/>
  <c r="AB251" i="1"/>
  <c r="AC251" i="1"/>
  <c r="AD251" i="1" s="1"/>
  <c r="AH251" i="1"/>
  <c r="AI251" i="1"/>
  <c r="AJ251" i="1"/>
  <c r="AK251" i="1"/>
  <c r="AL251" i="1"/>
  <c r="AM251" i="1"/>
  <c r="AN251" i="1"/>
  <c r="AO251" i="1"/>
  <c r="AP251" i="1"/>
  <c r="AQ251" i="1"/>
  <c r="AT251" i="1"/>
  <c r="G252" i="1"/>
  <c r="H252" i="1"/>
  <c r="J252" i="1"/>
  <c r="AB252" i="1"/>
  <c r="AC252" i="1"/>
  <c r="AH252" i="1"/>
  <c r="AI252" i="1" s="1"/>
  <c r="AJ252" i="1"/>
  <c r="AK252" i="1"/>
  <c r="AL252" i="1"/>
  <c r="AM252" i="1"/>
  <c r="AN252" i="1"/>
  <c r="AO252" i="1"/>
  <c r="AP252" i="1"/>
  <c r="AQ252" i="1"/>
  <c r="AT252" i="1"/>
  <c r="G253" i="1"/>
  <c r="H253" i="1"/>
  <c r="J253" i="1"/>
  <c r="AB253" i="1"/>
  <c r="AC253" i="1"/>
  <c r="AD253" i="1" s="1"/>
  <c r="AH253" i="1"/>
  <c r="AI253" i="1"/>
  <c r="AJ253" i="1"/>
  <c r="AK253" i="1"/>
  <c r="AL253" i="1"/>
  <c r="AM253" i="1"/>
  <c r="AN253" i="1"/>
  <c r="AO253" i="1"/>
  <c r="AP253" i="1"/>
  <c r="AQ253" i="1"/>
  <c r="AT253" i="1"/>
  <c r="G254" i="1"/>
  <c r="H254" i="1"/>
  <c r="J254" i="1"/>
  <c r="AB254" i="1"/>
  <c r="AC254" i="1"/>
  <c r="AH254" i="1"/>
  <c r="AI254" i="1" s="1"/>
  <c r="AJ254" i="1"/>
  <c r="AK254" i="1"/>
  <c r="AL254" i="1"/>
  <c r="AM254" i="1"/>
  <c r="AN254" i="1"/>
  <c r="AO254" i="1"/>
  <c r="AP254" i="1"/>
  <c r="AQ254" i="1"/>
  <c r="AT254" i="1"/>
  <c r="G255" i="1"/>
  <c r="H255" i="1"/>
  <c r="J255" i="1"/>
  <c r="AB255" i="1"/>
  <c r="AC255" i="1"/>
  <c r="AH255" i="1"/>
  <c r="AI255" i="1" s="1"/>
  <c r="AJ255" i="1"/>
  <c r="AK255" i="1"/>
  <c r="AL255" i="1"/>
  <c r="AM255" i="1"/>
  <c r="AN255" i="1"/>
  <c r="AO255" i="1"/>
  <c r="AP255" i="1"/>
  <c r="AQ255" i="1"/>
  <c r="AT255" i="1"/>
  <c r="G256" i="1"/>
  <c r="H256" i="1"/>
  <c r="J256" i="1"/>
  <c r="AB256" i="1"/>
  <c r="AC256" i="1"/>
  <c r="AH256" i="1"/>
  <c r="AI256" i="1" s="1"/>
  <c r="AJ256" i="1"/>
  <c r="AK256" i="1"/>
  <c r="AL256" i="1"/>
  <c r="AM256" i="1"/>
  <c r="AN256" i="1"/>
  <c r="AO256" i="1"/>
  <c r="AP256" i="1"/>
  <c r="AQ256" i="1"/>
  <c r="AT256" i="1"/>
  <c r="G257" i="1"/>
  <c r="H257" i="1"/>
  <c r="J257" i="1"/>
  <c r="AB257" i="1"/>
  <c r="AC257" i="1"/>
  <c r="AH257" i="1"/>
  <c r="AI257" i="1" s="1"/>
  <c r="AJ257" i="1"/>
  <c r="AK257" i="1"/>
  <c r="AL257" i="1"/>
  <c r="AM257" i="1"/>
  <c r="AN257" i="1"/>
  <c r="AO257" i="1"/>
  <c r="AP257" i="1"/>
  <c r="AQ257" i="1"/>
  <c r="AT257" i="1"/>
  <c r="G258" i="1"/>
  <c r="H258" i="1"/>
  <c r="J258" i="1"/>
  <c r="AB258" i="1"/>
  <c r="AC258" i="1"/>
  <c r="AH258" i="1"/>
  <c r="AI258" i="1" s="1"/>
  <c r="AJ258" i="1"/>
  <c r="AK258" i="1"/>
  <c r="AL258" i="1"/>
  <c r="AM258" i="1"/>
  <c r="AN258" i="1"/>
  <c r="AO258" i="1"/>
  <c r="AP258" i="1"/>
  <c r="AQ258" i="1"/>
  <c r="AT258" i="1"/>
  <c r="G259" i="1"/>
  <c r="H259" i="1"/>
  <c r="J259" i="1"/>
  <c r="AB259" i="1"/>
  <c r="AC259" i="1"/>
  <c r="AH259" i="1"/>
  <c r="AI259" i="1"/>
  <c r="AJ259" i="1"/>
  <c r="AK259" i="1"/>
  <c r="AL259" i="1"/>
  <c r="AM259" i="1"/>
  <c r="AN259" i="1"/>
  <c r="AO259" i="1"/>
  <c r="AP259" i="1"/>
  <c r="AQ259" i="1"/>
  <c r="AT259" i="1"/>
  <c r="G260" i="1"/>
  <c r="H260" i="1"/>
  <c r="J260" i="1"/>
  <c r="AB260" i="1"/>
  <c r="AC260" i="1"/>
  <c r="AH260" i="1"/>
  <c r="AI260" i="1" s="1"/>
  <c r="AJ260" i="1"/>
  <c r="AK260" i="1"/>
  <c r="AL260" i="1"/>
  <c r="AM260" i="1"/>
  <c r="AN260" i="1"/>
  <c r="AO260" i="1"/>
  <c r="AP260" i="1"/>
  <c r="AQ260" i="1"/>
  <c r="AT260" i="1"/>
  <c r="G261" i="1"/>
  <c r="H261" i="1"/>
  <c r="J261" i="1"/>
  <c r="AB261" i="1"/>
  <c r="AC261" i="1"/>
  <c r="AI261" i="1" s="1"/>
  <c r="AH261" i="1"/>
  <c r="AJ261" i="1"/>
  <c r="AK261" i="1"/>
  <c r="AL261" i="1"/>
  <c r="AM261" i="1"/>
  <c r="AN261" i="1"/>
  <c r="AO261" i="1"/>
  <c r="AP261" i="1"/>
  <c r="AQ261" i="1"/>
  <c r="AT261" i="1"/>
  <c r="G262" i="1"/>
  <c r="H262" i="1"/>
  <c r="J262" i="1"/>
  <c r="AB262" i="1"/>
  <c r="AC262" i="1"/>
  <c r="AH262" i="1"/>
  <c r="AI262" i="1" s="1"/>
  <c r="AJ262" i="1"/>
  <c r="AK262" i="1"/>
  <c r="AL262" i="1"/>
  <c r="AM262" i="1"/>
  <c r="AN262" i="1"/>
  <c r="AO262" i="1"/>
  <c r="AP262" i="1"/>
  <c r="AQ262" i="1"/>
  <c r="AT262" i="1"/>
  <c r="G263" i="1"/>
  <c r="H263" i="1"/>
  <c r="J263" i="1"/>
  <c r="AB263" i="1"/>
  <c r="AC263" i="1"/>
  <c r="AH263" i="1"/>
  <c r="AI263" i="1" s="1"/>
  <c r="AJ263" i="1"/>
  <c r="AK263" i="1"/>
  <c r="AL263" i="1"/>
  <c r="AM263" i="1"/>
  <c r="AN263" i="1"/>
  <c r="AO263" i="1"/>
  <c r="AP263" i="1"/>
  <c r="AQ263" i="1"/>
  <c r="AT263" i="1"/>
  <c r="G264" i="1"/>
  <c r="H264" i="1"/>
  <c r="J264" i="1"/>
  <c r="AB264" i="1"/>
  <c r="AC264" i="1"/>
  <c r="AH264" i="1"/>
  <c r="AI264" i="1" s="1"/>
  <c r="AJ264" i="1"/>
  <c r="AK264" i="1"/>
  <c r="AL264" i="1"/>
  <c r="AM264" i="1"/>
  <c r="AN264" i="1"/>
  <c r="AO264" i="1"/>
  <c r="AP264" i="1"/>
  <c r="AQ264" i="1"/>
  <c r="AT264" i="1"/>
  <c r="G265" i="1"/>
  <c r="H265" i="1"/>
  <c r="J265" i="1"/>
  <c r="AB265" i="1"/>
  <c r="AC265" i="1"/>
  <c r="AH265" i="1"/>
  <c r="AI265" i="1" s="1"/>
  <c r="AJ265" i="1"/>
  <c r="AK265" i="1"/>
  <c r="AL265" i="1"/>
  <c r="AM265" i="1"/>
  <c r="AN265" i="1"/>
  <c r="AO265" i="1"/>
  <c r="AP265" i="1"/>
  <c r="AQ265" i="1"/>
  <c r="AT265" i="1"/>
  <c r="G266" i="1"/>
  <c r="H266" i="1"/>
  <c r="J266" i="1"/>
  <c r="AB266" i="1"/>
  <c r="AC266" i="1"/>
  <c r="AH266" i="1"/>
  <c r="AI266" i="1" s="1"/>
  <c r="AJ266" i="1"/>
  <c r="AK266" i="1"/>
  <c r="AL266" i="1"/>
  <c r="AM266" i="1"/>
  <c r="AN266" i="1"/>
  <c r="AO266" i="1"/>
  <c r="AP266" i="1"/>
  <c r="AQ266" i="1"/>
  <c r="AT266" i="1"/>
  <c r="G267" i="1"/>
  <c r="H267" i="1"/>
  <c r="J267" i="1"/>
  <c r="AB267" i="1"/>
  <c r="AC267" i="1"/>
  <c r="AH267" i="1"/>
  <c r="AI267" i="1"/>
  <c r="AJ267" i="1"/>
  <c r="AK267" i="1"/>
  <c r="AL267" i="1"/>
  <c r="AM267" i="1"/>
  <c r="AN267" i="1"/>
  <c r="AO267" i="1"/>
  <c r="AP267" i="1"/>
  <c r="AQ267" i="1"/>
  <c r="AT267" i="1"/>
  <c r="G268" i="1"/>
  <c r="H268" i="1"/>
  <c r="J268" i="1"/>
  <c r="AB268" i="1"/>
  <c r="AC268" i="1"/>
  <c r="AH268" i="1"/>
  <c r="AI268" i="1" s="1"/>
  <c r="AJ268" i="1"/>
  <c r="AK268" i="1"/>
  <c r="AL268" i="1"/>
  <c r="AM268" i="1"/>
  <c r="AN268" i="1"/>
  <c r="AO268" i="1"/>
  <c r="AP268" i="1"/>
  <c r="AQ268" i="1"/>
  <c r="AT268" i="1"/>
  <c r="G269" i="1"/>
  <c r="H269" i="1"/>
  <c r="J269" i="1"/>
  <c r="AB269" i="1"/>
  <c r="AC269" i="1"/>
  <c r="AH269" i="1"/>
  <c r="AI269" i="1"/>
  <c r="AJ269" i="1"/>
  <c r="AK269" i="1"/>
  <c r="AL269" i="1"/>
  <c r="AM269" i="1"/>
  <c r="AN269" i="1"/>
  <c r="AO269" i="1"/>
  <c r="AP269" i="1"/>
  <c r="AQ269" i="1"/>
  <c r="AT269" i="1"/>
  <c r="G270" i="1"/>
  <c r="H270" i="1"/>
  <c r="J270" i="1"/>
  <c r="AB270" i="1"/>
  <c r="AC270" i="1"/>
  <c r="AH270" i="1"/>
  <c r="AI270" i="1" s="1"/>
  <c r="AJ270" i="1"/>
  <c r="AK270" i="1"/>
  <c r="AL270" i="1"/>
  <c r="AM270" i="1"/>
  <c r="AN270" i="1"/>
  <c r="AO270" i="1"/>
  <c r="AP270" i="1"/>
  <c r="AQ270" i="1"/>
  <c r="AT270" i="1"/>
  <c r="G271" i="1"/>
  <c r="H271" i="1"/>
  <c r="J271" i="1"/>
  <c r="AB271" i="1"/>
  <c r="AC271" i="1"/>
  <c r="AD271" i="1" s="1"/>
  <c r="AH271" i="1"/>
  <c r="AI271" i="1"/>
  <c r="AJ271" i="1"/>
  <c r="AK271" i="1"/>
  <c r="AL271" i="1"/>
  <c r="AM271" i="1"/>
  <c r="AN271" i="1"/>
  <c r="AO271" i="1"/>
  <c r="AP271" i="1"/>
  <c r="AQ271" i="1"/>
  <c r="AT271" i="1"/>
  <c r="G272" i="1"/>
  <c r="H272" i="1"/>
  <c r="J272" i="1"/>
  <c r="AB272" i="1"/>
  <c r="AC272" i="1"/>
  <c r="AH272" i="1"/>
  <c r="AJ272" i="1"/>
  <c r="AK272" i="1"/>
  <c r="AL272" i="1"/>
  <c r="AM272" i="1"/>
  <c r="AN272" i="1"/>
  <c r="AO272" i="1"/>
  <c r="AP272" i="1"/>
  <c r="AQ272" i="1"/>
  <c r="AT272" i="1"/>
  <c r="G273" i="1"/>
  <c r="H273" i="1"/>
  <c r="J273" i="1"/>
  <c r="AB273" i="1"/>
  <c r="AC273" i="1"/>
  <c r="AD273" i="1" s="1"/>
  <c r="AH273" i="1"/>
  <c r="AI273" i="1" s="1"/>
  <c r="AJ273" i="1"/>
  <c r="AK273" i="1"/>
  <c r="AL273" i="1"/>
  <c r="AM273" i="1"/>
  <c r="AN273" i="1"/>
  <c r="AO273" i="1"/>
  <c r="AP273" i="1"/>
  <c r="AQ273" i="1"/>
  <c r="AT273" i="1"/>
  <c r="G274" i="1"/>
  <c r="H274" i="1"/>
  <c r="J274" i="1"/>
  <c r="AB274" i="1"/>
  <c r="AC274" i="1"/>
  <c r="AH274" i="1"/>
  <c r="AJ274" i="1"/>
  <c r="AK274" i="1"/>
  <c r="AL274" i="1"/>
  <c r="AM274" i="1"/>
  <c r="AN274" i="1"/>
  <c r="AO274" i="1"/>
  <c r="AP274" i="1"/>
  <c r="AQ274" i="1"/>
  <c r="AT274" i="1"/>
  <c r="G275" i="1"/>
  <c r="H275" i="1"/>
  <c r="J275" i="1"/>
  <c r="AB275" i="1"/>
  <c r="AC275" i="1"/>
  <c r="AD275" i="1" s="1"/>
  <c r="AH275" i="1"/>
  <c r="AI275" i="1" s="1"/>
  <c r="AJ275" i="1"/>
  <c r="AK275" i="1"/>
  <c r="AL275" i="1"/>
  <c r="AM275" i="1"/>
  <c r="AN275" i="1"/>
  <c r="AO275" i="1"/>
  <c r="AP275" i="1"/>
  <c r="AQ275" i="1"/>
  <c r="AT275" i="1"/>
  <c r="G276" i="1"/>
  <c r="H276" i="1"/>
  <c r="J276" i="1"/>
  <c r="AB276" i="1"/>
  <c r="AC276" i="1"/>
  <c r="AH276" i="1"/>
  <c r="AJ276" i="1"/>
  <c r="AK276" i="1"/>
  <c r="AL276" i="1"/>
  <c r="AM276" i="1"/>
  <c r="AN276" i="1"/>
  <c r="AO276" i="1"/>
  <c r="AP276" i="1"/>
  <c r="AQ276" i="1"/>
  <c r="AT276" i="1"/>
  <c r="G277" i="1"/>
  <c r="H277" i="1"/>
  <c r="AF277" i="1" s="1"/>
  <c r="J277" i="1"/>
  <c r="AB277" i="1"/>
  <c r="AC277" i="1"/>
  <c r="AH277" i="1"/>
  <c r="AI277" i="1" s="1"/>
  <c r="AJ277" i="1"/>
  <c r="AK277" i="1"/>
  <c r="AL277" i="1"/>
  <c r="AM277" i="1"/>
  <c r="AN277" i="1"/>
  <c r="AO277" i="1"/>
  <c r="AP277" i="1"/>
  <c r="AQ277" i="1"/>
  <c r="AT277" i="1"/>
  <c r="G278" i="1"/>
  <c r="H278" i="1"/>
  <c r="J278" i="1"/>
  <c r="AB278" i="1"/>
  <c r="AC278" i="1"/>
  <c r="AH278" i="1"/>
  <c r="AJ278" i="1"/>
  <c r="AK278" i="1"/>
  <c r="AL278" i="1"/>
  <c r="AM278" i="1"/>
  <c r="AN278" i="1"/>
  <c r="AO278" i="1"/>
  <c r="AP278" i="1"/>
  <c r="AQ278" i="1"/>
  <c r="AT278" i="1"/>
  <c r="G279" i="1"/>
  <c r="H279" i="1"/>
  <c r="J279" i="1"/>
  <c r="AB279" i="1"/>
  <c r="AC279" i="1"/>
  <c r="AH279" i="1"/>
  <c r="AI279" i="1" s="1"/>
  <c r="AJ279" i="1"/>
  <c r="AK279" i="1"/>
  <c r="AL279" i="1"/>
  <c r="AM279" i="1"/>
  <c r="AN279" i="1"/>
  <c r="AO279" i="1"/>
  <c r="AP279" i="1"/>
  <c r="AQ279" i="1"/>
  <c r="AT279" i="1"/>
  <c r="G280" i="1"/>
  <c r="H280" i="1"/>
  <c r="J280" i="1"/>
  <c r="AB280" i="1"/>
  <c r="AC280" i="1"/>
  <c r="AH280" i="1"/>
  <c r="AJ280" i="1"/>
  <c r="AK280" i="1"/>
  <c r="AL280" i="1"/>
  <c r="AM280" i="1"/>
  <c r="AN280" i="1"/>
  <c r="AO280" i="1"/>
  <c r="AP280" i="1"/>
  <c r="AQ280" i="1"/>
  <c r="AT280" i="1"/>
  <c r="G281" i="1"/>
  <c r="H281" i="1"/>
  <c r="J281" i="1"/>
  <c r="AB281" i="1"/>
  <c r="AC281" i="1"/>
  <c r="AD281" i="1" s="1"/>
  <c r="AH281" i="1"/>
  <c r="AJ281" i="1"/>
  <c r="AK281" i="1"/>
  <c r="AL281" i="1"/>
  <c r="AM281" i="1"/>
  <c r="AN281" i="1"/>
  <c r="AO281" i="1"/>
  <c r="AP281" i="1"/>
  <c r="AQ281" i="1"/>
  <c r="AT281" i="1"/>
  <c r="G282" i="1"/>
  <c r="H282" i="1"/>
  <c r="J282" i="1"/>
  <c r="AB282" i="1"/>
  <c r="AC282" i="1"/>
  <c r="AH282" i="1"/>
  <c r="AJ282" i="1"/>
  <c r="AK282" i="1"/>
  <c r="AL282" i="1"/>
  <c r="AM282" i="1"/>
  <c r="AN282" i="1"/>
  <c r="AO282" i="1"/>
  <c r="AP282" i="1"/>
  <c r="AQ282" i="1"/>
  <c r="AT282" i="1"/>
  <c r="G283" i="1"/>
  <c r="H283" i="1"/>
  <c r="J283" i="1"/>
  <c r="AB283" i="1"/>
  <c r="AC283" i="1"/>
  <c r="AD283" i="1" s="1"/>
  <c r="AF283" i="1"/>
  <c r="AH283" i="1"/>
  <c r="AJ283" i="1"/>
  <c r="AK283" i="1"/>
  <c r="AL283" i="1"/>
  <c r="AM283" i="1"/>
  <c r="AN283" i="1"/>
  <c r="AO283" i="1"/>
  <c r="AP283" i="1"/>
  <c r="AQ283" i="1"/>
  <c r="AT283" i="1"/>
  <c r="G284" i="1"/>
  <c r="H284" i="1"/>
  <c r="J284" i="1"/>
  <c r="AB284" i="1"/>
  <c r="AC284" i="1"/>
  <c r="AH284" i="1"/>
  <c r="AJ284" i="1"/>
  <c r="AK284" i="1"/>
  <c r="AL284" i="1"/>
  <c r="AM284" i="1"/>
  <c r="AN284" i="1"/>
  <c r="AO284" i="1"/>
  <c r="AP284" i="1"/>
  <c r="AQ284" i="1"/>
  <c r="AT284" i="1"/>
  <c r="G285" i="1"/>
  <c r="H285" i="1"/>
  <c r="AF285" i="1" s="1"/>
  <c r="J285" i="1"/>
  <c r="AB285" i="1"/>
  <c r="AC285" i="1"/>
  <c r="AH285" i="1"/>
  <c r="AI285" i="1" s="1"/>
  <c r="AJ285" i="1"/>
  <c r="AK285" i="1"/>
  <c r="AL285" i="1"/>
  <c r="AM285" i="1"/>
  <c r="AN285" i="1"/>
  <c r="AO285" i="1"/>
  <c r="AP285" i="1"/>
  <c r="AQ285" i="1"/>
  <c r="AT285" i="1"/>
  <c r="G286" i="1"/>
  <c r="H286" i="1"/>
  <c r="J286" i="1"/>
  <c r="AB286" i="1"/>
  <c r="AC286" i="1"/>
  <c r="AH286" i="1"/>
  <c r="AJ286" i="1"/>
  <c r="AK286" i="1"/>
  <c r="AL286" i="1"/>
  <c r="AM286" i="1"/>
  <c r="AN286" i="1"/>
  <c r="AO286" i="1"/>
  <c r="AP286" i="1"/>
  <c r="AQ286" i="1"/>
  <c r="AT286" i="1"/>
  <c r="G287" i="1"/>
  <c r="H287" i="1"/>
  <c r="J287" i="1"/>
  <c r="AB287" i="1"/>
  <c r="AC287" i="1"/>
  <c r="AF287" i="1" s="1"/>
  <c r="AH287" i="1"/>
  <c r="AI287" i="1"/>
  <c r="AJ287" i="1"/>
  <c r="AK287" i="1"/>
  <c r="AL287" i="1"/>
  <c r="AM287" i="1"/>
  <c r="AN287" i="1"/>
  <c r="AO287" i="1"/>
  <c r="AP287" i="1"/>
  <c r="AQ287" i="1"/>
  <c r="AT287" i="1"/>
  <c r="G288" i="1"/>
  <c r="H288" i="1"/>
  <c r="J288" i="1"/>
  <c r="AB288" i="1"/>
  <c r="AC288" i="1"/>
  <c r="AH288" i="1"/>
  <c r="AJ288" i="1"/>
  <c r="AK288" i="1"/>
  <c r="AL288" i="1"/>
  <c r="AM288" i="1"/>
  <c r="AN288" i="1"/>
  <c r="AO288" i="1"/>
  <c r="AP288" i="1"/>
  <c r="AQ288" i="1"/>
  <c r="AT288" i="1"/>
  <c r="G289" i="1"/>
  <c r="H289" i="1"/>
  <c r="J289" i="1"/>
  <c r="AB289" i="1"/>
  <c r="AC289" i="1"/>
  <c r="AF289" i="1" s="1"/>
  <c r="AH289" i="1"/>
  <c r="AI289" i="1"/>
  <c r="AJ289" i="1"/>
  <c r="AK289" i="1"/>
  <c r="AL289" i="1"/>
  <c r="AM289" i="1"/>
  <c r="AN289" i="1"/>
  <c r="AO289" i="1"/>
  <c r="AP289" i="1"/>
  <c r="AQ289" i="1"/>
  <c r="AT289" i="1"/>
  <c r="G290" i="1"/>
  <c r="H290" i="1"/>
  <c r="J290" i="1"/>
  <c r="AB290" i="1"/>
  <c r="AC290" i="1"/>
  <c r="AH290" i="1"/>
  <c r="AJ290" i="1"/>
  <c r="AK290" i="1"/>
  <c r="AL290" i="1"/>
  <c r="AM290" i="1"/>
  <c r="AN290" i="1"/>
  <c r="AO290" i="1"/>
  <c r="AP290" i="1"/>
  <c r="AQ290" i="1"/>
  <c r="AT290" i="1"/>
  <c r="G291" i="1"/>
  <c r="H291" i="1"/>
  <c r="J291" i="1"/>
  <c r="AB291" i="1"/>
  <c r="AC291" i="1"/>
  <c r="AF291" i="1" s="1"/>
  <c r="AH291" i="1"/>
  <c r="AI291" i="1"/>
  <c r="AJ291" i="1"/>
  <c r="AK291" i="1"/>
  <c r="AL291" i="1"/>
  <c r="AM291" i="1"/>
  <c r="AN291" i="1"/>
  <c r="AO291" i="1"/>
  <c r="AP291" i="1"/>
  <c r="AQ291" i="1"/>
  <c r="AT291" i="1"/>
  <c r="G292" i="1"/>
  <c r="H292" i="1"/>
  <c r="J292" i="1"/>
  <c r="AB292" i="1"/>
  <c r="AC292" i="1"/>
  <c r="AH292" i="1"/>
  <c r="AJ292" i="1"/>
  <c r="AK292" i="1"/>
  <c r="AL292" i="1"/>
  <c r="AM292" i="1"/>
  <c r="AN292" i="1"/>
  <c r="AO292" i="1"/>
  <c r="AP292" i="1"/>
  <c r="AQ292" i="1"/>
  <c r="AT292" i="1"/>
  <c r="G293" i="1"/>
  <c r="H293" i="1"/>
  <c r="J293" i="1"/>
  <c r="AB293" i="1"/>
  <c r="AC293" i="1"/>
  <c r="AF293" i="1" s="1"/>
  <c r="AH293" i="1"/>
  <c r="AI293" i="1" s="1"/>
  <c r="AJ293" i="1"/>
  <c r="AK293" i="1"/>
  <c r="AL293" i="1"/>
  <c r="AM293" i="1"/>
  <c r="AN293" i="1"/>
  <c r="AO293" i="1"/>
  <c r="AP293" i="1"/>
  <c r="AQ293" i="1"/>
  <c r="AT293" i="1"/>
  <c r="G294" i="1"/>
  <c r="H294" i="1"/>
  <c r="J294" i="1"/>
  <c r="AB294" i="1"/>
  <c r="AC294" i="1"/>
  <c r="AH294" i="1"/>
  <c r="AJ294" i="1"/>
  <c r="AK294" i="1"/>
  <c r="AL294" i="1"/>
  <c r="AM294" i="1"/>
  <c r="AN294" i="1"/>
  <c r="AO294" i="1"/>
  <c r="AP294" i="1"/>
  <c r="AQ294" i="1"/>
  <c r="AT294" i="1"/>
  <c r="G295" i="1"/>
  <c r="H295" i="1"/>
  <c r="J295" i="1"/>
  <c r="AB295" i="1"/>
  <c r="AC295" i="1"/>
  <c r="AD295" i="1" s="1"/>
  <c r="AH295" i="1"/>
  <c r="AJ295" i="1"/>
  <c r="AK295" i="1"/>
  <c r="AL295" i="1"/>
  <c r="AM295" i="1"/>
  <c r="AN295" i="1"/>
  <c r="AO295" i="1"/>
  <c r="AP295" i="1"/>
  <c r="AQ295" i="1"/>
  <c r="AT295" i="1"/>
  <c r="G296" i="1"/>
  <c r="H296" i="1"/>
  <c r="J296" i="1"/>
  <c r="AB296" i="1"/>
  <c r="AC296" i="1"/>
  <c r="AH296" i="1"/>
  <c r="AJ296" i="1"/>
  <c r="AK296" i="1"/>
  <c r="AL296" i="1"/>
  <c r="AM296" i="1"/>
  <c r="AN296" i="1"/>
  <c r="AO296" i="1"/>
  <c r="AP296" i="1"/>
  <c r="AQ296" i="1"/>
  <c r="AT296" i="1"/>
  <c r="G297" i="1"/>
  <c r="H297" i="1"/>
  <c r="AF297" i="1" s="1"/>
  <c r="J297" i="1"/>
  <c r="AB297" i="1"/>
  <c r="AC297" i="1"/>
  <c r="AD297" i="1" s="1"/>
  <c r="AH297" i="1"/>
  <c r="AJ297" i="1"/>
  <c r="AK297" i="1"/>
  <c r="AL297" i="1"/>
  <c r="AM297" i="1"/>
  <c r="AN297" i="1"/>
  <c r="AO297" i="1"/>
  <c r="AP297" i="1"/>
  <c r="AQ297" i="1"/>
  <c r="AT297" i="1"/>
  <c r="G298" i="1"/>
  <c r="H298" i="1"/>
  <c r="J298" i="1"/>
  <c r="AB298" i="1"/>
  <c r="AC298" i="1"/>
  <c r="AH298" i="1"/>
  <c r="AJ298" i="1"/>
  <c r="AK298" i="1"/>
  <c r="AL298" i="1"/>
  <c r="AM298" i="1"/>
  <c r="AN298" i="1"/>
  <c r="AO298" i="1"/>
  <c r="AP298" i="1"/>
  <c r="AQ298" i="1"/>
  <c r="AT298" i="1"/>
  <c r="G299" i="1"/>
  <c r="H299" i="1"/>
  <c r="AF299" i="1" s="1"/>
  <c r="J299" i="1"/>
  <c r="AB299" i="1"/>
  <c r="AC299" i="1"/>
  <c r="AH299" i="1"/>
  <c r="AI299" i="1" s="1"/>
  <c r="AJ299" i="1"/>
  <c r="AK299" i="1"/>
  <c r="AL299" i="1"/>
  <c r="AM299" i="1"/>
  <c r="AN299" i="1"/>
  <c r="AO299" i="1"/>
  <c r="AP299" i="1"/>
  <c r="AQ299" i="1"/>
  <c r="AT299" i="1"/>
  <c r="G300" i="1"/>
  <c r="H300" i="1"/>
  <c r="J300" i="1"/>
  <c r="AB300" i="1"/>
  <c r="AC300" i="1"/>
  <c r="AH300" i="1"/>
  <c r="AJ300" i="1"/>
  <c r="AK300" i="1"/>
  <c r="AL300" i="1"/>
  <c r="AM300" i="1"/>
  <c r="AN300" i="1"/>
  <c r="AO300" i="1"/>
  <c r="AP300" i="1"/>
  <c r="AQ300" i="1"/>
  <c r="AT300" i="1"/>
  <c r="G301" i="1"/>
  <c r="H301" i="1"/>
  <c r="J301" i="1"/>
  <c r="AB301" i="1"/>
  <c r="AC301" i="1"/>
  <c r="AF301" i="1" s="1"/>
  <c r="AH301" i="1"/>
  <c r="AJ301" i="1"/>
  <c r="AK301" i="1"/>
  <c r="AL301" i="1"/>
  <c r="AM301" i="1"/>
  <c r="AN301" i="1"/>
  <c r="AO301" i="1"/>
  <c r="AP301" i="1"/>
  <c r="AQ301" i="1"/>
  <c r="AT301" i="1"/>
  <c r="G302" i="1"/>
  <c r="H302" i="1"/>
  <c r="J302" i="1"/>
  <c r="AB302" i="1"/>
  <c r="AC302" i="1"/>
  <c r="AH302" i="1"/>
  <c r="AJ302" i="1"/>
  <c r="AK302" i="1"/>
  <c r="AL302" i="1"/>
  <c r="AM302" i="1"/>
  <c r="AN302" i="1"/>
  <c r="AO302" i="1"/>
  <c r="AP302" i="1"/>
  <c r="AQ302" i="1"/>
  <c r="AT302" i="1"/>
  <c r="G303" i="1"/>
  <c r="H303" i="1"/>
  <c r="J303" i="1"/>
  <c r="AB303" i="1"/>
  <c r="AC303" i="1"/>
  <c r="AD303" i="1" s="1"/>
  <c r="AH303" i="1"/>
  <c r="AJ303" i="1"/>
  <c r="AK303" i="1"/>
  <c r="AL303" i="1"/>
  <c r="AM303" i="1"/>
  <c r="AN303" i="1"/>
  <c r="AO303" i="1"/>
  <c r="AP303" i="1"/>
  <c r="AQ303" i="1"/>
  <c r="AT303" i="1"/>
  <c r="G304" i="1"/>
  <c r="H304" i="1"/>
  <c r="J304" i="1"/>
  <c r="AB304" i="1"/>
  <c r="AC304" i="1"/>
  <c r="AI304" i="1" s="1"/>
  <c r="AH304" i="1"/>
  <c r="AJ304" i="1"/>
  <c r="AK304" i="1"/>
  <c r="AL304" i="1"/>
  <c r="AM304" i="1"/>
  <c r="AN304" i="1"/>
  <c r="AO304" i="1"/>
  <c r="AP304" i="1"/>
  <c r="AQ304" i="1"/>
  <c r="AT304" i="1"/>
  <c r="G305" i="1"/>
  <c r="H305" i="1"/>
  <c r="J305" i="1"/>
  <c r="AB305" i="1"/>
  <c r="AC305" i="1"/>
  <c r="AF305" i="1" s="1"/>
  <c r="AH305" i="1"/>
  <c r="AJ305" i="1"/>
  <c r="AK305" i="1"/>
  <c r="AL305" i="1"/>
  <c r="AM305" i="1"/>
  <c r="AN305" i="1"/>
  <c r="AO305" i="1"/>
  <c r="AP305" i="1"/>
  <c r="AQ305" i="1"/>
  <c r="AT305" i="1"/>
  <c r="G306" i="1"/>
  <c r="H306" i="1"/>
  <c r="J306" i="1"/>
  <c r="AB306" i="1"/>
  <c r="AC306" i="1"/>
  <c r="AI306" i="1" s="1"/>
  <c r="AH306" i="1"/>
  <c r="AJ306" i="1"/>
  <c r="AK306" i="1"/>
  <c r="AL306" i="1"/>
  <c r="AM306" i="1"/>
  <c r="AN306" i="1"/>
  <c r="AO306" i="1"/>
  <c r="AP306" i="1"/>
  <c r="AQ306" i="1"/>
  <c r="AT306" i="1"/>
  <c r="G307" i="1"/>
  <c r="H307" i="1"/>
  <c r="J307" i="1"/>
  <c r="AB307" i="1"/>
  <c r="AC307" i="1"/>
  <c r="AD307" i="1" s="1"/>
  <c r="AH307" i="1"/>
  <c r="AJ307" i="1"/>
  <c r="AK307" i="1"/>
  <c r="AL307" i="1"/>
  <c r="AM307" i="1"/>
  <c r="AN307" i="1"/>
  <c r="AO307" i="1"/>
  <c r="AP307" i="1"/>
  <c r="AQ307" i="1"/>
  <c r="AT307" i="1"/>
  <c r="G308" i="1"/>
  <c r="H308" i="1"/>
  <c r="J308" i="1"/>
  <c r="AB308" i="1"/>
  <c r="AC308" i="1"/>
  <c r="AH308" i="1"/>
  <c r="AJ308" i="1"/>
  <c r="AK308" i="1"/>
  <c r="AL308" i="1"/>
  <c r="AM308" i="1"/>
  <c r="AN308" i="1"/>
  <c r="AO308" i="1"/>
  <c r="AP308" i="1"/>
  <c r="AQ308" i="1"/>
  <c r="AT308" i="1"/>
  <c r="G309" i="1"/>
  <c r="H309" i="1"/>
  <c r="J309" i="1"/>
  <c r="AB309" i="1"/>
  <c r="AC309" i="1"/>
  <c r="AD309" i="1" s="1"/>
  <c r="AH309" i="1"/>
  <c r="AJ309" i="1"/>
  <c r="AK309" i="1"/>
  <c r="AL309" i="1"/>
  <c r="AM309" i="1"/>
  <c r="AN309" i="1"/>
  <c r="AO309" i="1"/>
  <c r="AP309" i="1"/>
  <c r="AQ309" i="1"/>
  <c r="AT309" i="1"/>
  <c r="G310" i="1"/>
  <c r="H310" i="1"/>
  <c r="J310" i="1"/>
  <c r="AB310" i="1"/>
  <c r="AC310" i="1"/>
  <c r="AH310" i="1"/>
  <c r="AJ310" i="1"/>
  <c r="AK310" i="1"/>
  <c r="AL310" i="1"/>
  <c r="AM310" i="1"/>
  <c r="AN310" i="1"/>
  <c r="AO310" i="1"/>
  <c r="AP310" i="1"/>
  <c r="AQ310" i="1"/>
  <c r="AT310" i="1"/>
  <c r="G311" i="1"/>
  <c r="H311" i="1"/>
  <c r="J311" i="1"/>
  <c r="AB311" i="1"/>
  <c r="AC311" i="1"/>
  <c r="AD311" i="1" s="1"/>
  <c r="AF311" i="1"/>
  <c r="AH311" i="1"/>
  <c r="AI311" i="1"/>
  <c r="AJ311" i="1"/>
  <c r="AK311" i="1"/>
  <c r="AL311" i="1"/>
  <c r="AM311" i="1"/>
  <c r="AN311" i="1"/>
  <c r="AO311" i="1"/>
  <c r="AP311" i="1"/>
  <c r="AQ311" i="1"/>
  <c r="AT311" i="1"/>
  <c r="G312" i="1"/>
  <c r="H312" i="1"/>
  <c r="J312" i="1"/>
  <c r="AB312" i="1"/>
  <c r="AC312" i="1"/>
  <c r="AH312" i="1"/>
  <c r="AI312" i="1" s="1"/>
  <c r="AJ312" i="1"/>
  <c r="AK312" i="1"/>
  <c r="AL312" i="1"/>
  <c r="AM312" i="1"/>
  <c r="AN312" i="1"/>
  <c r="AO312" i="1"/>
  <c r="AP312" i="1"/>
  <c r="AQ312" i="1"/>
  <c r="AT312" i="1"/>
  <c r="G313" i="1"/>
  <c r="H313" i="1"/>
  <c r="J313" i="1"/>
  <c r="AB313" i="1"/>
  <c r="AC313" i="1"/>
  <c r="AD313" i="1" s="1"/>
  <c r="AF313" i="1"/>
  <c r="AH313" i="1"/>
  <c r="AI313" i="1" s="1"/>
  <c r="AJ313" i="1"/>
  <c r="AK313" i="1"/>
  <c r="AL313" i="1"/>
  <c r="AM313" i="1"/>
  <c r="AN313" i="1"/>
  <c r="AO313" i="1"/>
  <c r="AP313" i="1"/>
  <c r="AQ313" i="1"/>
  <c r="AT313" i="1"/>
  <c r="G314" i="1"/>
  <c r="H314" i="1"/>
  <c r="J314" i="1"/>
  <c r="AB314" i="1"/>
  <c r="AC314" i="1"/>
  <c r="AH314" i="1"/>
  <c r="AJ314" i="1"/>
  <c r="AK314" i="1"/>
  <c r="AL314" i="1"/>
  <c r="AM314" i="1"/>
  <c r="AN314" i="1"/>
  <c r="AO314" i="1"/>
  <c r="AP314" i="1"/>
  <c r="AQ314" i="1"/>
  <c r="AT314" i="1"/>
  <c r="G315" i="1"/>
  <c r="H315" i="1"/>
  <c r="J315" i="1"/>
  <c r="AB315" i="1"/>
  <c r="AC315" i="1"/>
  <c r="AD315" i="1" s="1"/>
  <c r="AH315" i="1"/>
  <c r="AI315" i="1" s="1"/>
  <c r="AJ315" i="1"/>
  <c r="AK315" i="1"/>
  <c r="AL315" i="1"/>
  <c r="AM315" i="1"/>
  <c r="AN315" i="1"/>
  <c r="AO315" i="1"/>
  <c r="AP315" i="1"/>
  <c r="AQ315" i="1"/>
  <c r="AT315" i="1"/>
  <c r="G316" i="1"/>
  <c r="H316" i="1"/>
  <c r="J316" i="1"/>
  <c r="AB316" i="1"/>
  <c r="AC316" i="1"/>
  <c r="AH316" i="1"/>
  <c r="AJ316" i="1"/>
  <c r="AK316" i="1"/>
  <c r="AL316" i="1"/>
  <c r="AM316" i="1"/>
  <c r="AN316" i="1"/>
  <c r="AO316" i="1"/>
  <c r="AP316" i="1"/>
  <c r="AQ316" i="1"/>
  <c r="AT316" i="1"/>
  <c r="G317" i="1"/>
  <c r="H317" i="1"/>
  <c r="J317" i="1"/>
  <c r="AB317" i="1"/>
  <c r="AC317" i="1"/>
  <c r="AD317" i="1" s="1"/>
  <c r="AH317" i="1"/>
  <c r="AJ317" i="1"/>
  <c r="AK317" i="1"/>
  <c r="AL317" i="1"/>
  <c r="AM317" i="1"/>
  <c r="AN317" i="1"/>
  <c r="AO317" i="1"/>
  <c r="AP317" i="1"/>
  <c r="AQ317" i="1"/>
  <c r="AT317" i="1"/>
  <c r="G318" i="1"/>
  <c r="H318" i="1"/>
  <c r="J318" i="1"/>
  <c r="AB318" i="1"/>
  <c r="AC318" i="1"/>
  <c r="AH318" i="1"/>
  <c r="AJ318" i="1"/>
  <c r="AK318" i="1"/>
  <c r="AL318" i="1"/>
  <c r="AM318" i="1"/>
  <c r="AN318" i="1"/>
  <c r="AO318" i="1"/>
  <c r="AP318" i="1"/>
  <c r="AQ318" i="1"/>
  <c r="AT318" i="1"/>
  <c r="C326" i="1"/>
  <c r="D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S326" i="1"/>
  <c r="T326" i="1"/>
  <c r="U326" i="1"/>
  <c r="V326" i="1"/>
  <c r="W326" i="1"/>
  <c r="X326" i="1"/>
  <c r="Y326" i="1"/>
  <c r="Z326" i="1"/>
  <c r="AA326" i="1"/>
  <c r="AB326" i="1"/>
  <c r="AC326" i="1"/>
  <c r="AH326" i="1"/>
  <c r="AJ326" i="1"/>
  <c r="AK326" i="1"/>
  <c r="AL326" i="1"/>
  <c r="AM326" i="1"/>
  <c r="AN326" i="1"/>
  <c r="AO326" i="1"/>
  <c r="AP326" i="1"/>
  <c r="AQ326" i="1"/>
  <c r="AR326" i="1"/>
  <c r="AS326" i="1"/>
  <c r="AT326" i="1"/>
  <c r="AU326" i="1"/>
  <c r="AV326" i="1"/>
  <c r="AX326" i="1"/>
  <c r="AY326" i="1"/>
  <c r="AH173" i="1" s="1"/>
  <c r="AI173" i="1" s="1"/>
  <c r="AB180" i="1" s="1"/>
  <c r="AD180" i="1" s="1"/>
  <c r="AB171" i="1" s="1"/>
  <c r="AD171" i="1" s="1"/>
  <c r="AB170" i="1" s="1"/>
  <c r="AD170" i="1" s="1"/>
  <c r="AB169" i="1" s="1"/>
  <c r="AD169" i="1" s="1"/>
  <c r="AB156" i="1" s="1"/>
  <c r="AD156" i="1" s="1"/>
  <c r="AH162" i="1" s="1"/>
  <c r="AI162" i="1" s="1"/>
  <c r="AB203" i="1" s="1"/>
  <c r="AM203" i="1" s="1"/>
  <c r="AH201" i="1" s="1"/>
  <c r="AI201" i="1" s="1"/>
  <c r="AH179" i="1" s="1"/>
  <c r="AI179" i="1" s="1"/>
  <c r="AH199" i="1" s="1"/>
  <c r="AI199" i="1" s="1"/>
  <c r="AB26" i="1" l="1"/>
  <c r="AB165" i="1"/>
  <c r="BW221" i="1"/>
  <c r="CO215" i="1"/>
  <c r="EK192" i="1"/>
  <c r="AI295" i="1"/>
  <c r="AD285" i="1"/>
  <c r="DD222" i="1"/>
  <c r="BN222" i="1"/>
  <c r="DM221" i="1"/>
  <c r="DG218" i="1"/>
  <c r="J199" i="1"/>
  <c r="AI297" i="1"/>
  <c r="AF295" i="1"/>
  <c r="AD293" i="1"/>
  <c r="AD291" i="1"/>
  <c r="AD289" i="1"/>
  <c r="AD287" i="1"/>
  <c r="DY222" i="1"/>
  <c r="BK222" i="1"/>
  <c r="J222" i="1"/>
  <c r="AY210" i="1"/>
  <c r="AD209" i="1"/>
  <c r="AD255" i="1"/>
  <c r="AF255" i="1"/>
  <c r="AI305" i="1"/>
  <c r="AI303" i="1"/>
  <c r="AI301" i="1"/>
  <c r="AD257" i="1"/>
  <c r="AF257" i="1"/>
  <c r="AI219" i="1"/>
  <c r="AD214" i="1"/>
  <c r="AI214" i="1"/>
  <c r="AD299" i="1"/>
  <c r="AD259" i="1"/>
  <c r="AF259" i="1"/>
  <c r="EH223" i="1"/>
  <c r="CX219" i="1"/>
  <c r="BZ219" i="1"/>
  <c r="DA218" i="1"/>
  <c r="EE202" i="1"/>
  <c r="AD305" i="1"/>
  <c r="AF303" i="1"/>
  <c r="AD301" i="1"/>
  <c r="AD261" i="1"/>
  <c r="AF261" i="1"/>
  <c r="CI224" i="1"/>
  <c r="CO223" i="1"/>
  <c r="AY223" i="1"/>
  <c r="DS222" i="1"/>
  <c r="BB219" i="1"/>
  <c r="J219" i="1"/>
  <c r="CR216" i="1"/>
  <c r="AD263" i="1"/>
  <c r="AF263" i="1"/>
  <c r="AI216" i="1"/>
  <c r="AD216" i="1"/>
  <c r="AI308" i="1"/>
  <c r="AD265" i="1"/>
  <c r="AF265" i="1"/>
  <c r="DP225" i="1"/>
  <c r="BE225" i="1"/>
  <c r="CF224" i="1"/>
  <c r="J224" i="1"/>
  <c r="DS219" i="1"/>
  <c r="CU219" i="1"/>
  <c r="BW219" i="1"/>
  <c r="AI207" i="1"/>
  <c r="DP204" i="1"/>
  <c r="EE203" i="1"/>
  <c r="CI169" i="1"/>
  <c r="AH182" i="1"/>
  <c r="AI182" i="1" s="1"/>
  <c r="AD267" i="1"/>
  <c r="AF267" i="1"/>
  <c r="AI314" i="1"/>
  <c r="AI310" i="1"/>
  <c r="AI276" i="1"/>
  <c r="AF275" i="1"/>
  <c r="AF273" i="1"/>
  <c r="AF271" i="1"/>
  <c r="AD269" i="1"/>
  <c r="AF269" i="1"/>
  <c r="AD225" i="1"/>
  <c r="J225" i="1"/>
  <c r="DP219" i="1"/>
  <c r="CR219" i="1"/>
  <c r="DJ214" i="1"/>
  <c r="CX212" i="1"/>
  <c r="CF187" i="1"/>
  <c r="BK187" i="1"/>
  <c r="BE221" i="1"/>
  <c r="CR201" i="1"/>
  <c r="BQ197" i="1"/>
  <c r="AI316" i="1"/>
  <c r="AF207" i="1"/>
  <c r="EE197" i="1"/>
  <c r="AD190" i="1"/>
  <c r="AI190" i="1"/>
  <c r="AD279" i="1"/>
  <c r="AF279" i="1"/>
  <c r="AS234" i="1"/>
  <c r="AI318" i="1"/>
  <c r="AI283" i="1"/>
  <c r="AF281" i="1"/>
  <c r="CR221" i="1"/>
  <c r="DP217" i="1"/>
  <c r="CR215" i="1"/>
  <c r="CF198" i="1"/>
  <c r="J210" i="1"/>
  <c r="J192" i="1"/>
  <c r="J191" i="1"/>
  <c r="DS225" i="1"/>
  <c r="CX225" i="1"/>
  <c r="BH225" i="1"/>
  <c r="EB224" i="1"/>
  <c r="DG224" i="1"/>
  <c r="BN224" i="1"/>
  <c r="CR223" i="1"/>
  <c r="CU221" i="1"/>
  <c r="DJ220" i="1"/>
  <c r="AY220" i="1"/>
  <c r="DV219" i="1"/>
  <c r="CC219" i="1"/>
  <c r="EB218" i="1"/>
  <c r="CX217" i="1"/>
  <c r="CU216" i="1"/>
  <c r="BH216" i="1"/>
  <c r="BZ215" i="1"/>
  <c r="BB214" i="1"/>
  <c r="DY213" i="1"/>
  <c r="CO207" i="1"/>
  <c r="BB207" i="1"/>
  <c r="DJ203" i="1"/>
  <c r="DM202" i="1"/>
  <c r="DY198" i="1"/>
  <c r="DP196" i="1"/>
  <c r="BW196" i="1"/>
  <c r="BB192" i="1"/>
  <c r="DG186" i="1"/>
  <c r="CL186" i="1"/>
  <c r="EH184" i="1"/>
  <c r="CR184" i="1"/>
  <c r="BW184" i="1"/>
  <c r="BK182" i="1"/>
  <c r="DP174" i="1"/>
  <c r="DP173" i="1"/>
  <c r="EB168" i="1"/>
  <c r="DD168" i="1"/>
  <c r="DP159" i="1"/>
  <c r="J147" i="1"/>
  <c r="BN213" i="1"/>
  <c r="DP212" i="1"/>
  <c r="BH212" i="1"/>
  <c r="EE201" i="1"/>
  <c r="CX198" i="1"/>
  <c r="EB197" i="1"/>
  <c r="BE195" i="1"/>
  <c r="DV194" i="1"/>
  <c r="DA194" i="1"/>
  <c r="BH194" i="1"/>
  <c r="CL193" i="1"/>
  <c r="BQ193" i="1"/>
  <c r="EH192" i="1"/>
  <c r="DV187" i="1"/>
  <c r="DA187" i="1"/>
  <c r="CC187" i="1"/>
  <c r="DY186" i="1"/>
  <c r="BK186" i="1"/>
  <c r="BQ177" i="1"/>
  <c r="CO175" i="1"/>
  <c r="BQ175" i="1"/>
  <c r="DD169" i="1"/>
  <c r="DD162" i="1"/>
  <c r="BE217" i="1"/>
  <c r="EB216" i="1"/>
  <c r="DG215" i="1"/>
  <c r="DS213" i="1"/>
  <c r="BZ212" i="1"/>
  <c r="AY208" i="1"/>
  <c r="J208" i="1"/>
  <c r="CI207" i="1"/>
  <c r="AD205" i="1"/>
  <c r="DY203" i="1"/>
  <c r="CL202" i="1"/>
  <c r="DJ201" i="1"/>
  <c r="DP199" i="1"/>
  <c r="CU199" i="1"/>
  <c r="DS198" i="1"/>
  <c r="DJ196" i="1"/>
  <c r="BB195" i="1"/>
  <c r="CX194" i="1"/>
  <c r="AD188" i="1"/>
  <c r="DS187" i="1"/>
  <c r="CX187" i="1"/>
  <c r="CL184" i="1"/>
  <c r="J181" i="1"/>
  <c r="EB177" i="1"/>
  <c r="CI177" i="1"/>
  <c r="DJ175" i="1"/>
  <c r="CL175" i="1"/>
  <c r="DY169" i="1"/>
  <c r="DA169" i="1"/>
  <c r="DY162" i="1"/>
  <c r="J193" i="1"/>
  <c r="AY180" i="1"/>
  <c r="J177" i="1"/>
  <c r="AY125" i="1"/>
  <c r="AY52" i="1"/>
  <c r="DG223" i="1"/>
  <c r="BQ223" i="1"/>
  <c r="CX222" i="1"/>
  <c r="BH222" i="1"/>
  <c r="EB221" i="1"/>
  <c r="BT221" i="1"/>
  <c r="EH219" i="1"/>
  <c r="CO219" i="1"/>
  <c r="BT219" i="1"/>
  <c r="AY219" i="1"/>
  <c r="BN214" i="1"/>
  <c r="EK213" i="1"/>
  <c r="CC213" i="1"/>
  <c r="CR212" i="1"/>
  <c r="AI212" i="1"/>
  <c r="CF203" i="1"/>
  <c r="CI201" i="1"/>
  <c r="J201" i="1"/>
  <c r="DS186" i="1"/>
  <c r="BB182" i="1"/>
  <c r="CU181" i="1"/>
  <c r="BZ181" i="1"/>
  <c r="DY177" i="1"/>
  <c r="DA171" i="1"/>
  <c r="CC170" i="1"/>
  <c r="DV162" i="1"/>
  <c r="BQ219" i="1"/>
  <c r="BE218" i="1"/>
  <c r="DV215" i="1"/>
  <c r="AF215" i="1"/>
  <c r="BB212" i="1"/>
  <c r="DS207" i="1"/>
  <c r="CC203" i="1"/>
  <c r="DD201" i="1"/>
  <c r="EE199" i="1"/>
  <c r="BH197" i="1"/>
  <c r="BW194" i="1"/>
  <c r="J194" i="1"/>
  <c r="CC193" i="1"/>
  <c r="BH193" i="1"/>
  <c r="CI192" i="1"/>
  <c r="EH189" i="1"/>
  <c r="CO189" i="1"/>
  <c r="BT189" i="1"/>
  <c r="EK181" i="1"/>
  <c r="DP181" i="1"/>
  <c r="BW181" i="1"/>
  <c r="DY164" i="1"/>
  <c r="BK164" i="1"/>
  <c r="EE225" i="1"/>
  <c r="BE224" i="1"/>
  <c r="J186" i="1"/>
  <c r="BQ221" i="1"/>
  <c r="CU218" i="1"/>
  <c r="AF218" i="1"/>
  <c r="AD218" i="1"/>
  <c r="BH202" i="1"/>
  <c r="DA201" i="1"/>
  <c r="DJ198" i="1"/>
  <c r="AY198" i="1"/>
  <c r="CX197" i="1"/>
  <c r="CC197" i="1"/>
  <c r="AI197" i="1"/>
  <c r="BE193" i="1"/>
  <c r="AY182" i="1"/>
  <c r="CX171" i="1"/>
  <c r="DG225" i="1"/>
  <c r="AI222" i="1"/>
  <c r="DS220" i="1"/>
  <c r="DM213" i="1"/>
  <c r="J209" i="1"/>
  <c r="DS171" i="1"/>
  <c r="AD270" i="1"/>
  <c r="AD268" i="1"/>
  <c r="AD266" i="1"/>
  <c r="AD264" i="1"/>
  <c r="AD262" i="1"/>
  <c r="AD260" i="1"/>
  <c r="AD258" i="1"/>
  <c r="AD256" i="1"/>
  <c r="AD254" i="1"/>
  <c r="AF253" i="1"/>
  <c r="AD252" i="1"/>
  <c r="AF251" i="1"/>
  <c r="AD250" i="1"/>
  <c r="AF249" i="1"/>
  <c r="AD248" i="1"/>
  <c r="AF247" i="1"/>
  <c r="AD246" i="1"/>
  <c r="AF245" i="1"/>
  <c r="AD244" i="1"/>
  <c r="AF243" i="1"/>
  <c r="AD242" i="1"/>
  <c r="AF241" i="1"/>
  <c r="AD240" i="1"/>
  <c r="AF239" i="1"/>
  <c r="AD238" i="1"/>
  <c r="AF237" i="1"/>
  <c r="AD236" i="1"/>
  <c r="AF235" i="1"/>
  <c r="BT224" i="1"/>
  <c r="AY224" i="1"/>
  <c r="BK223" i="1"/>
  <c r="EH222" i="1"/>
  <c r="CO222" i="1"/>
  <c r="EB219" i="1"/>
  <c r="DM218" i="1"/>
  <c r="CX215" i="1"/>
  <c r="DP214" i="1"/>
  <c r="BW213" i="1"/>
  <c r="AF213" i="1"/>
  <c r="DD212" i="1"/>
  <c r="BW203" i="1"/>
  <c r="J202" i="1"/>
  <c r="CC201" i="1"/>
  <c r="BH196" i="1"/>
  <c r="EH194" i="1"/>
  <c r="CO194" i="1"/>
  <c r="DP193" i="1"/>
  <c r="CC192" i="1"/>
  <c r="DG189" i="1"/>
  <c r="BN189" i="1"/>
  <c r="CX184" i="1"/>
  <c r="DJ182" i="1"/>
  <c r="BQ182" i="1"/>
  <c r="BH173" i="1"/>
  <c r="CL168" i="1"/>
  <c r="DY225" i="1"/>
  <c r="CI225" i="1"/>
  <c r="EH224" i="1"/>
  <c r="AF220" i="1"/>
  <c r="AI281" i="1"/>
  <c r="AD277" i="1"/>
  <c r="DV225" i="1"/>
  <c r="CF225" i="1"/>
  <c r="EE224" i="1"/>
  <c r="BQ224" i="1"/>
  <c r="CL222" i="1"/>
  <c r="CX221" i="1"/>
  <c r="DM220" i="1"/>
  <c r="BB220" i="1"/>
  <c r="J220" i="1"/>
  <c r="DA217" i="1"/>
  <c r="DP216" i="1"/>
  <c r="CU215" i="1"/>
  <c r="EH214" i="1"/>
  <c r="DV212" i="1"/>
  <c r="AF210" i="1"/>
  <c r="AD210" i="1"/>
  <c r="EE207" i="1"/>
  <c r="DM203" i="1"/>
  <c r="EH197" i="1"/>
  <c r="AY197" i="1"/>
  <c r="DS196" i="1"/>
  <c r="BZ196" i="1"/>
  <c r="BE196" i="1"/>
  <c r="DY195" i="1"/>
  <c r="EE194" i="1"/>
  <c r="DJ194" i="1"/>
  <c r="BQ186" i="1"/>
  <c r="DP184" i="1"/>
  <c r="CU184" i="1"/>
  <c r="J179" i="1"/>
  <c r="DS174" i="1"/>
  <c r="CU174" i="1"/>
  <c r="DS173" i="1"/>
  <c r="BE173" i="1"/>
  <c r="DG168" i="1"/>
  <c r="BZ159" i="1"/>
  <c r="J171" i="1"/>
  <c r="J163" i="1"/>
  <c r="AD113" i="1"/>
  <c r="J113" i="1"/>
  <c r="AF209" i="1"/>
  <c r="AY207" i="1"/>
  <c r="EH203" i="1"/>
  <c r="CX202" i="1"/>
  <c r="BK202" i="1"/>
  <c r="DY201" i="1"/>
  <c r="CL201" i="1"/>
  <c r="BQ201" i="1"/>
  <c r="EK199" i="1"/>
  <c r="CX199" i="1"/>
  <c r="DM197" i="1"/>
  <c r="CR197" i="1"/>
  <c r="BW197" i="1"/>
  <c r="BB197" i="1"/>
  <c r="AD197" i="1"/>
  <c r="J197" i="1"/>
  <c r="DV196" i="1"/>
  <c r="CF196" i="1"/>
  <c r="DJ195" i="1"/>
  <c r="EK194" i="1"/>
  <c r="BB194" i="1"/>
  <c r="AF194" i="1"/>
  <c r="EB192" i="1"/>
  <c r="DG192" i="1"/>
  <c r="BN192" i="1"/>
  <c r="AY190" i="1"/>
  <c r="CX189" i="1"/>
  <c r="CC189" i="1"/>
  <c r="BT186" i="1"/>
  <c r="DS184" i="1"/>
  <c r="DS181" i="1"/>
  <c r="EE177" i="1"/>
  <c r="CO177" i="1"/>
  <c r="EK175" i="1"/>
  <c r="AY175" i="1"/>
  <c r="BZ174" i="1"/>
  <c r="EE168" i="1"/>
  <c r="DD164" i="1"/>
  <c r="CI164" i="1"/>
  <c r="BE159" i="1"/>
  <c r="J159" i="1"/>
  <c r="AY135" i="1"/>
  <c r="DP171" i="1"/>
  <c r="BZ171" i="1"/>
  <c r="CU170" i="1"/>
  <c r="J170" i="1"/>
  <c r="CX169" i="1"/>
  <c r="DV168" i="1"/>
  <c r="BT159" i="1"/>
  <c r="J156" i="1"/>
  <c r="AY133" i="1"/>
  <c r="DG175" i="1"/>
  <c r="BW171" i="1"/>
  <c r="BB171" i="1"/>
  <c r="J169" i="1"/>
  <c r="J215" i="1"/>
  <c r="CL214" i="1"/>
  <c r="BQ213" i="1"/>
  <c r="AI210" i="1"/>
  <c r="DD203" i="1"/>
  <c r="AI200" i="1"/>
  <c r="BT199" i="1"/>
  <c r="CU198" i="1"/>
  <c r="DS195" i="1"/>
  <c r="CX195" i="1"/>
  <c r="CC195" i="1"/>
  <c r="DY194" i="1"/>
  <c r="DD194" i="1"/>
  <c r="AY193" i="1"/>
  <c r="DS192" i="1"/>
  <c r="AI192" i="1"/>
  <c r="AD187" i="1"/>
  <c r="BH186" i="1"/>
  <c r="EB184" i="1"/>
  <c r="BT184" i="1"/>
  <c r="BQ181" i="1"/>
  <c r="CC177" i="1"/>
  <c r="BH177" i="1"/>
  <c r="BK175" i="1"/>
  <c r="EE174" i="1"/>
  <c r="AY172" i="1"/>
  <c r="EH171" i="1"/>
  <c r="BT171" i="1"/>
  <c r="DM170" i="1"/>
  <c r="BB170" i="1"/>
  <c r="EK169" i="1"/>
  <c r="DP169" i="1"/>
  <c r="BE169" i="1"/>
  <c r="J146" i="1"/>
  <c r="AF145" i="1"/>
  <c r="EK223" i="1"/>
  <c r="CU223" i="1"/>
  <c r="CC223" i="1"/>
  <c r="AY222" i="1"/>
  <c r="CF221" i="1"/>
  <c r="BK221" i="1"/>
  <c r="DP220" i="1"/>
  <c r="AI220" i="1"/>
  <c r="DG219" i="1"/>
  <c r="AD217" i="1"/>
  <c r="AY216" i="1"/>
  <c r="J216" i="1"/>
  <c r="BQ215" i="1"/>
  <c r="DV214" i="1"/>
  <c r="DA213" i="1"/>
  <c r="CF212" i="1"/>
  <c r="DP208" i="1"/>
  <c r="DM207" i="1"/>
  <c r="AD204" i="1"/>
  <c r="DA203" i="1"/>
  <c r="BE201" i="1"/>
  <c r="BQ199" i="1"/>
  <c r="EH198" i="1"/>
  <c r="DM198" i="1"/>
  <c r="CR198" i="1"/>
  <c r="BB198" i="1"/>
  <c r="BK197" i="1"/>
  <c r="EE193" i="1"/>
  <c r="BT193" i="1"/>
  <c r="CU192" i="1"/>
  <c r="EB189" i="1"/>
  <c r="BW187" i="1"/>
  <c r="BB187" i="1"/>
  <c r="J187" i="1"/>
  <c r="CX186" i="1"/>
  <c r="CC186" i="1"/>
  <c r="DG184" i="1"/>
  <c r="AY184" i="1"/>
  <c r="AD183" i="1"/>
  <c r="J183" i="1"/>
  <c r="DY182" i="1"/>
  <c r="J178" i="1"/>
  <c r="DS177" i="1"/>
  <c r="CF175" i="1"/>
  <c r="DG174" i="1"/>
  <c r="DJ171" i="1"/>
  <c r="CO171" i="1"/>
  <c r="EH170" i="1"/>
  <c r="AI168" i="1"/>
  <c r="AY165" i="1"/>
  <c r="EH162" i="1"/>
  <c r="DM162" i="1"/>
  <c r="CR162" i="1"/>
  <c r="BW162" i="1"/>
  <c r="DA175" i="1"/>
  <c r="BH175" i="1"/>
  <c r="EB174" i="1"/>
  <c r="CI174" i="1"/>
  <c r="BT173" i="1"/>
  <c r="EE171" i="1"/>
  <c r="BQ171" i="1"/>
  <c r="EK168" i="1"/>
  <c r="J167" i="1"/>
  <c r="EH164" i="1"/>
  <c r="DM164" i="1"/>
  <c r="DY159" i="1"/>
  <c r="AD146" i="1"/>
  <c r="D13" i="1"/>
  <c r="AB110" i="1"/>
  <c r="Z110" i="1" s="1"/>
  <c r="G110" i="1" s="1"/>
  <c r="AC152" i="1"/>
  <c r="AD152" i="1" s="1"/>
  <c r="BT192" i="1"/>
  <c r="AY192" i="1"/>
  <c r="DY189" i="1"/>
  <c r="BB186" i="1"/>
  <c r="BB177" i="1"/>
  <c r="BE175" i="1"/>
  <c r="AI175" i="1"/>
  <c r="CF174" i="1"/>
  <c r="DG173" i="1"/>
  <c r="DG170" i="1"/>
  <c r="DJ169" i="1"/>
  <c r="AD168" i="1"/>
  <c r="J168" i="1"/>
  <c r="EE164" i="1"/>
  <c r="DJ164" i="1"/>
  <c r="CO164" i="1"/>
  <c r="BT164" i="1"/>
  <c r="AY164" i="1"/>
  <c r="DV159" i="1"/>
  <c r="DD159" i="1"/>
  <c r="AD147" i="1"/>
  <c r="AD88" i="1"/>
  <c r="AF88" i="1"/>
  <c r="J160" i="1"/>
  <c r="J158" i="1"/>
  <c r="AF127" i="1"/>
  <c r="AB127" i="1"/>
  <c r="Z127" i="1" s="1"/>
  <c r="G127" i="1" s="1"/>
  <c r="CU203" i="1"/>
  <c r="BH203" i="1"/>
  <c r="CF202" i="1"/>
  <c r="DG201" i="1"/>
  <c r="BT201" i="1"/>
  <c r="BK199" i="1"/>
  <c r="EK197" i="1"/>
  <c r="DP197" i="1"/>
  <c r="CU197" i="1"/>
  <c r="BE197" i="1"/>
  <c r="EH195" i="1"/>
  <c r="AY195" i="1"/>
  <c r="BZ194" i="1"/>
  <c r="BE194" i="1"/>
  <c r="BN193" i="1"/>
  <c r="EE192" i="1"/>
  <c r="DJ192" i="1"/>
  <c r="CO192" i="1"/>
  <c r="J190" i="1"/>
  <c r="DV189" i="1"/>
  <c r="DA189" i="1"/>
  <c r="EE187" i="1"/>
  <c r="EH177" i="1"/>
  <c r="AY177" i="1"/>
  <c r="CC174" i="1"/>
  <c r="DD173" i="1"/>
  <c r="EB170" i="1"/>
  <c r="J165" i="1"/>
  <c r="EB164" i="1"/>
  <c r="DG164" i="1"/>
  <c r="CL164" i="1"/>
  <c r="DS159" i="1"/>
  <c r="CF159" i="1"/>
  <c r="AY157" i="1"/>
  <c r="AY55" i="1"/>
  <c r="Z20" i="1"/>
  <c r="G20" i="1" s="1"/>
  <c r="D21" i="1"/>
  <c r="DY181" i="1"/>
  <c r="DD181" i="1"/>
  <c r="DD175" i="1"/>
  <c r="CI175" i="1"/>
  <c r="BN175" i="1"/>
  <c r="CR174" i="1"/>
  <c r="BB174" i="1"/>
  <c r="CC168" i="1"/>
  <c r="BH168" i="1"/>
  <c r="J164" i="1"/>
  <c r="J157" i="1"/>
  <c r="AY130" i="1"/>
  <c r="AD198" i="1"/>
  <c r="DY197" i="1"/>
  <c r="BT196" i="1"/>
  <c r="AY196" i="1"/>
  <c r="AD196" i="1"/>
  <c r="CF195" i="1"/>
  <c r="BK195" i="1"/>
  <c r="DG194" i="1"/>
  <c r="CL194" i="1"/>
  <c r="CR193" i="1"/>
  <c r="BH192" i="1"/>
  <c r="BZ189" i="1"/>
  <c r="BE189" i="1"/>
  <c r="EB187" i="1"/>
  <c r="DG187" i="1"/>
  <c r="EH186" i="1"/>
  <c r="CF184" i="1"/>
  <c r="DS182" i="1"/>
  <c r="EK177" i="1"/>
  <c r="AF176" i="1"/>
  <c r="EH174" i="1"/>
  <c r="CF173" i="1"/>
  <c r="BN173" i="1"/>
  <c r="J173" i="1"/>
  <c r="CL170" i="1"/>
  <c r="BQ170" i="1"/>
  <c r="DP168" i="1"/>
  <c r="CU168" i="1"/>
  <c r="BZ168" i="1"/>
  <c r="J166" i="1"/>
  <c r="DS164" i="1"/>
  <c r="CX162" i="1"/>
  <c r="CC162" i="1"/>
  <c r="J162" i="1"/>
  <c r="AY159" i="1"/>
  <c r="J152" i="1"/>
  <c r="J149" i="1"/>
  <c r="AF148" i="1"/>
  <c r="J125" i="1"/>
  <c r="AD109" i="1"/>
  <c r="J109" i="1"/>
  <c r="AY88" i="1"/>
  <c r="AD50" i="1"/>
  <c r="E50" i="1"/>
  <c r="J17" i="1"/>
  <c r="DM189" i="1"/>
  <c r="CR189" i="1"/>
  <c r="BW189" i="1"/>
  <c r="J188" i="1"/>
  <c r="DY187" i="1"/>
  <c r="BN187" i="1"/>
  <c r="CO186" i="1"/>
  <c r="BK184" i="1"/>
  <c r="EK182" i="1"/>
  <c r="DP182" i="1"/>
  <c r="BZ182" i="1"/>
  <c r="BE182" i="1"/>
  <c r="J182" i="1"/>
  <c r="J180" i="1"/>
  <c r="CR177" i="1"/>
  <c r="BW177" i="1"/>
  <c r="AD177" i="1"/>
  <c r="J176" i="1"/>
  <c r="DV175" i="1"/>
  <c r="BK173" i="1"/>
  <c r="BK171" i="1"/>
  <c r="CO169" i="1"/>
  <c r="BT169" i="1"/>
  <c r="AY169" i="1"/>
  <c r="EK164" i="1"/>
  <c r="EK162" i="1"/>
  <c r="DP162" i="1"/>
  <c r="CU162" i="1"/>
  <c r="AY161" i="1"/>
  <c r="AF140" i="1"/>
  <c r="AY122" i="1"/>
  <c r="AY118" i="1"/>
  <c r="J111" i="1"/>
  <c r="AD106" i="1"/>
  <c r="J97" i="1"/>
  <c r="AD127" i="1"/>
  <c r="AD123" i="1"/>
  <c r="AY115" i="1"/>
  <c r="AY106" i="1"/>
  <c r="AF102" i="1"/>
  <c r="Z84" i="1"/>
  <c r="G84" i="1" s="1"/>
  <c r="AD84" i="1"/>
  <c r="AF121" i="1"/>
  <c r="AB121" i="1"/>
  <c r="AY83" i="1"/>
  <c r="AY60" i="1"/>
  <c r="J54" i="1"/>
  <c r="AY28" i="1"/>
  <c r="AY127" i="1"/>
  <c r="AF125" i="1"/>
  <c r="AD125" i="1"/>
  <c r="AF23" i="1"/>
  <c r="AD23" i="1"/>
  <c r="AY120" i="1"/>
  <c r="AD115" i="1"/>
  <c r="J115" i="1"/>
  <c r="AD85" i="1"/>
  <c r="D49" i="1"/>
  <c r="Z49" i="1"/>
  <c r="G49" i="1" s="1"/>
  <c r="AY38" i="1"/>
  <c r="AY36" i="1"/>
  <c r="AY32" i="1"/>
  <c r="AY10" i="1"/>
  <c r="AY128" i="1"/>
  <c r="J122" i="1"/>
  <c r="AY121" i="1"/>
  <c r="J116" i="1"/>
  <c r="J106" i="1"/>
  <c r="AD105" i="1"/>
  <c r="J105" i="1"/>
  <c r="AF60" i="1"/>
  <c r="E58" i="1"/>
  <c r="AD58" i="1"/>
  <c r="AY48" i="1"/>
  <c r="AF20" i="1"/>
  <c r="AF61" i="1"/>
  <c r="AY20" i="1"/>
  <c r="AD116" i="1"/>
  <c r="AY113" i="1"/>
  <c r="AY110" i="1"/>
  <c r="J94" i="1"/>
  <c r="AY58" i="1"/>
  <c r="Z50" i="1"/>
  <c r="G50" i="1" s="1"/>
  <c r="AD21" i="1"/>
  <c r="AD14" i="1"/>
  <c r="AY91" i="1"/>
  <c r="AY77" i="1"/>
  <c r="AY50" i="1"/>
  <c r="AD111" i="1"/>
  <c r="Z46" i="1"/>
  <c r="G46" i="1" s="1"/>
  <c r="AY14" i="1"/>
  <c r="AF14" i="1"/>
  <c r="AF9" i="1"/>
  <c r="AD9" i="1"/>
  <c r="J9" i="1"/>
  <c r="AF103" i="1"/>
  <c r="AY82" i="1"/>
  <c r="AY72" i="1"/>
  <c r="E21" i="1"/>
  <c r="AY8" i="1"/>
  <c r="AD80" i="1"/>
  <c r="AD79" i="1"/>
  <c r="J99" i="1"/>
  <c r="AY68" i="1"/>
  <c r="AF47" i="1"/>
  <c r="D15" i="1"/>
  <c r="J104" i="1"/>
  <c r="AD74" i="1"/>
  <c r="AD62" i="1"/>
  <c r="E47" i="1"/>
  <c r="AF40" i="1"/>
  <c r="AD40" i="1"/>
  <c r="AD32" i="1"/>
  <c r="AF19" i="1"/>
  <c r="AD119" i="1"/>
  <c r="AD117" i="1"/>
  <c r="J108" i="1"/>
  <c r="Z81" i="1"/>
  <c r="G81" i="1" s="1"/>
  <c r="AD81" i="1"/>
  <c r="J45" i="1"/>
  <c r="AF36" i="1"/>
  <c r="E22" i="1"/>
  <c r="E18" i="1"/>
  <c r="AY9" i="1"/>
  <c r="AD120" i="1"/>
  <c r="J119" i="1"/>
  <c r="AD112" i="1"/>
  <c r="J112" i="1"/>
  <c r="AY103" i="1"/>
  <c r="AY92" i="1"/>
  <c r="D22" i="1"/>
  <c r="J85" i="1"/>
  <c r="AY27" i="1"/>
  <c r="AY19" i="1"/>
  <c r="AY86" i="1"/>
  <c r="J83" i="1"/>
  <c r="J58" i="1"/>
  <c r="AF56" i="1"/>
  <c r="AD99" i="1"/>
  <c r="AY90" i="1"/>
  <c r="AF81" i="1"/>
  <c r="AY61" i="1"/>
  <c r="J56" i="1"/>
  <c r="AY54" i="1"/>
  <c r="AY45" i="1"/>
  <c r="J27" i="1"/>
  <c r="AY17" i="1"/>
  <c r="AD78" i="1"/>
  <c r="AF77" i="1"/>
  <c r="J77" i="1"/>
  <c r="AY62" i="1"/>
  <c r="AF55" i="1"/>
  <c r="AD48" i="1"/>
  <c r="AD44" i="1"/>
  <c r="J44" i="1"/>
  <c r="AD31" i="1"/>
  <c r="J31" i="1"/>
  <c r="J19" i="1"/>
  <c r="AY43" i="1"/>
  <c r="Z48" i="1"/>
  <c r="G48" i="1" s="1"/>
  <c r="AY33" i="1"/>
  <c r="AY31" i="1"/>
  <c r="AF68" i="1"/>
  <c r="AY56" i="1"/>
  <c r="AF10" i="1"/>
  <c r="J10" i="1"/>
  <c r="AF72" i="1"/>
  <c r="J28" i="1"/>
  <c r="AD27" i="1"/>
  <c r="J14" i="1"/>
  <c r="AB181" i="1"/>
  <c r="AD181" i="1" s="1"/>
  <c r="AX71" i="1" a="1"/>
  <c r="AX71" i="1" s="1"/>
  <c r="BM71" i="1" a="1"/>
  <c r="BM71" i="1" s="1"/>
  <c r="CB71" i="1" a="1"/>
  <c r="CB71" i="1" s="1"/>
  <c r="CZ71" i="1" a="1"/>
  <c r="CZ71" i="1" s="1"/>
  <c r="DX71" i="1" a="1"/>
  <c r="DX71" i="1" s="1"/>
  <c r="BD71" i="1" a="1"/>
  <c r="BD71" i="1" s="1"/>
  <c r="CQ71" i="1" a="1"/>
  <c r="CQ71" i="1" s="1"/>
  <c r="DO71" i="1" a="1"/>
  <c r="DO71" i="1" s="1"/>
  <c r="BS71" i="1" a="1"/>
  <c r="BS71" i="1" s="1"/>
  <c r="CH71" i="1" a="1"/>
  <c r="CH71" i="1" s="1"/>
  <c r="DF71" i="1" a="1"/>
  <c r="DF71" i="1" s="1"/>
  <c r="ED71" i="1" a="1"/>
  <c r="ED71" i="1" s="1"/>
  <c r="BJ71" i="1" a="1"/>
  <c r="BJ71" i="1" s="1"/>
  <c r="CW71" i="1" a="1"/>
  <c r="CW71" i="1" s="1"/>
  <c r="DU71" i="1" a="1"/>
  <c r="DU71" i="1" s="1"/>
  <c r="BY71" i="1" a="1"/>
  <c r="BY71" i="1" s="1"/>
  <c r="CN71" i="1" a="1"/>
  <c r="CN71" i="1" s="1"/>
  <c r="DL71" i="1" a="1"/>
  <c r="DL71" i="1" s="1"/>
  <c r="EJ71" i="1" a="1"/>
  <c r="EJ71" i="1" s="1"/>
  <c r="BA71" i="1" a="1"/>
  <c r="BA71" i="1" s="1"/>
  <c r="BP71" i="1" a="1"/>
  <c r="BP71" i="1" s="1"/>
  <c r="CE71" i="1" a="1"/>
  <c r="CE71" i="1" s="1"/>
  <c r="DC71" i="1" a="1"/>
  <c r="DC71" i="1" s="1"/>
  <c r="EA71" i="1" a="1"/>
  <c r="EA71" i="1" s="1"/>
  <c r="AW71" i="1" a="1"/>
  <c r="AW71" i="1" s="1"/>
  <c r="BG71" i="1" a="1"/>
  <c r="BG71" i="1" s="1"/>
  <c r="CT71" i="1" a="1"/>
  <c r="CT71" i="1" s="1"/>
  <c r="DR71" i="1" a="1"/>
  <c r="DR71" i="1" s="1"/>
  <c r="BV71" i="1" a="1"/>
  <c r="BV71" i="1" s="1"/>
  <c r="CK71" i="1" a="1"/>
  <c r="CK71" i="1" s="1"/>
  <c r="DI71" i="1" a="1"/>
  <c r="DI71" i="1" s="1"/>
  <c r="EG71" i="1" a="1"/>
  <c r="EG71" i="1" s="1"/>
  <c r="AB178" i="1"/>
  <c r="AB24" i="1"/>
  <c r="AH161" i="1"/>
  <c r="AI161" i="1" s="1"/>
  <c r="AB167" i="1"/>
  <c r="AD167" i="1" s="1"/>
  <c r="AB166" i="1"/>
  <c r="AB173" i="1"/>
  <c r="AB179" i="1"/>
  <c r="AB157" i="1"/>
  <c r="AB30" i="1"/>
  <c r="AB164" i="1"/>
  <c r="AD164" i="1" s="1"/>
  <c r="AB57" i="1"/>
  <c r="AB160" i="1"/>
  <c r="AC57" i="1"/>
  <c r="AC160" i="1"/>
  <c r="AH178" i="1"/>
  <c r="AI178" i="1" s="1"/>
  <c r="AM59" i="1"/>
  <c r="AM202" i="1"/>
  <c r="AV7" i="1"/>
  <c r="H7" i="1"/>
  <c r="H162" i="1"/>
  <c r="AF162" i="1" s="1"/>
  <c r="AV26" i="1"/>
  <c r="H26" i="1"/>
  <c r="AS318" i="1"/>
  <c r="AS310" i="1"/>
  <c r="AS302" i="1"/>
  <c r="AD290" i="1"/>
  <c r="AF290" i="1"/>
  <c r="AI290" i="1"/>
  <c r="AS286" i="1"/>
  <c r="AD274" i="1"/>
  <c r="AF274" i="1"/>
  <c r="AI272" i="1"/>
  <c r="AS270" i="1"/>
  <c r="AS254" i="1"/>
  <c r="AS238" i="1"/>
  <c r="AV129" i="1"/>
  <c r="H129" i="1"/>
  <c r="AM7" i="1"/>
  <c r="AM162" i="1"/>
  <c r="H156" i="1"/>
  <c r="H172" i="1"/>
  <c r="AF172" i="1" s="1"/>
  <c r="H126" i="1"/>
  <c r="AB126" i="1" s="1"/>
  <c r="Z126" i="1" s="1"/>
  <c r="G126" i="1" s="1"/>
  <c r="AV126" i="1"/>
  <c r="H170" i="1"/>
  <c r="AF170" i="1" s="1"/>
  <c r="AB29" i="1"/>
  <c r="Z29" i="1" s="1"/>
  <c r="G29" i="1" s="1"/>
  <c r="AB163" i="1"/>
  <c r="AD163" i="1" s="1"/>
  <c r="AI317" i="1"/>
  <c r="AD312" i="1"/>
  <c r="AF312" i="1"/>
  <c r="AI309" i="1"/>
  <c r="AD304" i="1"/>
  <c r="AF304" i="1"/>
  <c r="AS300" i="1"/>
  <c r="AD288" i="1"/>
  <c r="AF288" i="1"/>
  <c r="AI288" i="1"/>
  <c r="AS284" i="1"/>
  <c r="AD272" i="1"/>
  <c r="AF272" i="1"/>
  <c r="AS268" i="1"/>
  <c r="AS252" i="1"/>
  <c r="AS236" i="1"/>
  <c r="AV24" i="1"/>
  <c r="H24" i="1"/>
  <c r="AF24" i="1" s="1"/>
  <c r="H131" i="1"/>
  <c r="AB131" i="1" s="1"/>
  <c r="AV131" i="1"/>
  <c r="H179" i="1"/>
  <c r="AV114" i="1"/>
  <c r="H114" i="1"/>
  <c r="AB114" i="1" s="1"/>
  <c r="Z114" i="1" s="1"/>
  <c r="G114" i="1" s="1"/>
  <c r="H167" i="1"/>
  <c r="H160" i="1"/>
  <c r="AB37" i="1"/>
  <c r="AB158" i="1"/>
  <c r="AS316" i="1"/>
  <c r="AS308" i="1"/>
  <c r="AD302" i="1"/>
  <c r="AF302" i="1"/>
  <c r="AI302" i="1"/>
  <c r="AS298" i="1"/>
  <c r="AD286" i="1"/>
  <c r="AF286" i="1"/>
  <c r="AI286" i="1"/>
  <c r="AS282" i="1"/>
  <c r="AS266" i="1"/>
  <c r="AS250" i="1"/>
  <c r="H57" i="1"/>
  <c r="AV57" i="1"/>
  <c r="H157" i="1"/>
  <c r="H29" i="1"/>
  <c r="AF29" i="1" s="1"/>
  <c r="AV29" i="1"/>
  <c r="H163" i="1"/>
  <c r="H41" i="1"/>
  <c r="AF41" i="1" s="1"/>
  <c r="AV41" i="1"/>
  <c r="H159" i="1"/>
  <c r="AS6" i="1"/>
  <c r="AS7" i="1"/>
  <c r="AS8" i="1"/>
  <c r="AS11" i="1"/>
  <c r="AS15" i="1"/>
  <c r="AS9" i="1"/>
  <c r="AS12" i="1"/>
  <c r="AS10" i="1"/>
  <c r="AS13" i="1"/>
  <c r="AS14" i="1"/>
  <c r="AS16" i="1"/>
  <c r="AS17" i="1"/>
  <c r="AS20" i="1"/>
  <c r="AS21" i="1"/>
  <c r="AS18" i="1"/>
  <c r="AS24" i="1"/>
  <c r="AS22" i="1"/>
  <c r="AS19" i="1"/>
  <c r="AS23" i="1"/>
  <c r="AS25" i="1"/>
  <c r="AS26" i="1"/>
  <c r="AS29" i="1"/>
  <c r="AS30" i="1"/>
  <c r="AS28" i="1"/>
  <c r="AS27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4" i="1"/>
  <c r="AS45" i="1"/>
  <c r="AS46" i="1"/>
  <c r="AS43" i="1"/>
  <c r="AS47" i="1"/>
  <c r="AS55" i="1"/>
  <c r="AS51" i="1"/>
  <c r="AS50" i="1"/>
  <c r="AS52" i="1"/>
  <c r="AS49" i="1"/>
  <c r="AS53" i="1"/>
  <c r="AS54" i="1"/>
  <c r="AS68" i="1"/>
  <c r="AS48" i="1"/>
  <c r="AS56" i="1"/>
  <c r="AS57" i="1"/>
  <c r="AS58" i="1"/>
  <c r="AS59" i="1"/>
  <c r="AS60" i="1"/>
  <c r="AS61" i="1"/>
  <c r="AS62" i="1"/>
  <c r="AS72" i="1"/>
  <c r="AS73" i="1"/>
  <c r="AS74" i="1"/>
  <c r="AS75" i="1"/>
  <c r="AS76" i="1"/>
  <c r="AS63" i="1"/>
  <c r="AS69" i="1"/>
  <c r="AS70" i="1"/>
  <c r="AS71" i="1"/>
  <c r="AS77" i="1"/>
  <c r="AS78" i="1"/>
  <c r="AS79" i="1"/>
  <c r="AS80" i="1"/>
  <c r="AS81" i="1"/>
  <c r="AS84" i="1"/>
  <c r="AS92" i="1"/>
  <c r="AS85" i="1"/>
  <c r="AS93" i="1"/>
  <c r="AS86" i="1"/>
  <c r="AS87" i="1"/>
  <c r="AS82" i="1"/>
  <c r="AS83" i="1"/>
  <c r="AS88" i="1"/>
  <c r="AS89" i="1"/>
  <c r="AS90" i="1"/>
  <c r="AS96" i="1"/>
  <c r="AS97" i="1"/>
  <c r="AS91" i="1"/>
  <c r="AS98" i="1"/>
  <c r="AS99" i="1"/>
  <c r="AS100" i="1"/>
  <c r="AS101" i="1"/>
  <c r="AS94" i="1"/>
  <c r="AS95" i="1"/>
  <c r="AS107" i="1"/>
  <c r="AS115" i="1"/>
  <c r="AS108" i="1"/>
  <c r="AS116" i="1"/>
  <c r="AS109" i="1"/>
  <c r="AS117" i="1"/>
  <c r="AS110" i="1"/>
  <c r="AS118" i="1"/>
  <c r="AS103" i="1"/>
  <c r="AS111" i="1"/>
  <c r="AS119" i="1"/>
  <c r="AS104" i="1"/>
  <c r="AS112" i="1"/>
  <c r="AS120" i="1"/>
  <c r="AS102" i="1"/>
  <c r="AS105" i="1"/>
  <c r="AS113" i="1"/>
  <c r="AS106" i="1"/>
  <c r="AS114" i="1"/>
  <c r="AS121" i="1"/>
  <c r="AS129" i="1"/>
  <c r="AS122" i="1"/>
  <c r="AS130" i="1"/>
  <c r="AS123" i="1"/>
  <c r="AS131" i="1"/>
  <c r="AS124" i="1"/>
  <c r="AS125" i="1"/>
  <c r="AS133" i="1"/>
  <c r="AS126" i="1"/>
  <c r="AS127" i="1"/>
  <c r="AS135" i="1"/>
  <c r="AS128" i="1"/>
  <c r="AS136" i="1"/>
  <c r="AS137" i="1"/>
  <c r="AS149" i="1"/>
  <c r="AS163" i="1"/>
  <c r="AS171" i="1"/>
  <c r="AS138" i="1"/>
  <c r="AS146" i="1"/>
  <c r="AS158" i="1"/>
  <c r="AS166" i="1"/>
  <c r="AS132" i="1"/>
  <c r="AS139" i="1"/>
  <c r="AS143" i="1"/>
  <c r="AS151" i="1"/>
  <c r="AS161" i="1"/>
  <c r="AS169" i="1"/>
  <c r="AS134" i="1"/>
  <c r="AS140" i="1"/>
  <c r="AS148" i="1"/>
  <c r="AS156" i="1"/>
  <c r="AS164" i="1"/>
  <c r="AS172" i="1"/>
  <c r="AS141" i="1"/>
  <c r="AS145" i="1"/>
  <c r="AS159" i="1"/>
  <c r="AS167" i="1"/>
  <c r="AS175" i="1"/>
  <c r="AS142" i="1"/>
  <c r="AS150" i="1"/>
  <c r="AS162" i="1"/>
  <c r="AS170" i="1"/>
  <c r="AS147" i="1"/>
  <c r="AS157" i="1"/>
  <c r="AS165" i="1"/>
  <c r="AS144" i="1"/>
  <c r="AS152" i="1"/>
  <c r="AS160" i="1"/>
  <c r="AS168" i="1"/>
  <c r="AS174" i="1"/>
  <c r="AS182" i="1"/>
  <c r="AS190" i="1"/>
  <c r="AS198" i="1"/>
  <c r="AS206" i="1"/>
  <c r="AS214" i="1"/>
  <c r="AS177" i="1"/>
  <c r="AS185" i="1"/>
  <c r="AS193" i="1"/>
  <c r="AS180" i="1"/>
  <c r="AS188" i="1"/>
  <c r="AS196" i="1"/>
  <c r="AS204" i="1"/>
  <c r="AS212" i="1"/>
  <c r="AS173" i="1"/>
  <c r="AS183" i="1"/>
  <c r="AS191" i="1"/>
  <c r="AS199" i="1"/>
  <c r="AS207" i="1"/>
  <c r="AS215" i="1"/>
  <c r="AS223" i="1"/>
  <c r="AS176" i="1"/>
  <c r="AS178" i="1"/>
  <c r="AS186" i="1"/>
  <c r="AS194" i="1"/>
  <c r="AS202" i="1"/>
  <c r="AS210" i="1"/>
  <c r="AS218" i="1"/>
  <c r="AS181" i="1"/>
  <c r="AS189" i="1"/>
  <c r="AS197" i="1"/>
  <c r="AS205" i="1"/>
  <c r="AS213" i="1"/>
  <c r="AS184" i="1"/>
  <c r="AS192" i="1"/>
  <c r="AS200" i="1"/>
  <c r="AS208" i="1"/>
  <c r="AS216" i="1"/>
  <c r="AS179" i="1"/>
  <c r="AS187" i="1"/>
  <c r="AS195" i="1"/>
  <c r="AS203" i="1"/>
  <c r="AS211" i="1"/>
  <c r="AS221" i="1"/>
  <c r="AS209" i="1"/>
  <c r="AS229" i="1"/>
  <c r="AS231" i="1"/>
  <c r="AS233" i="1"/>
  <c r="AS235" i="1"/>
  <c r="AS237" i="1"/>
  <c r="AS239" i="1"/>
  <c r="AS241" i="1"/>
  <c r="AS243" i="1"/>
  <c r="AS245" i="1"/>
  <c r="AS247" i="1"/>
  <c r="AS249" i="1"/>
  <c r="AS251" i="1"/>
  <c r="AS253" i="1"/>
  <c r="AS255" i="1"/>
  <c r="AS257" i="1"/>
  <c r="AS259" i="1"/>
  <c r="AS261" i="1"/>
  <c r="AS263" i="1"/>
  <c r="AS265" i="1"/>
  <c r="AS267" i="1"/>
  <c r="AS269" i="1"/>
  <c r="AS271" i="1"/>
  <c r="AS273" i="1"/>
  <c r="AS275" i="1"/>
  <c r="AS277" i="1"/>
  <c r="AS279" i="1"/>
  <c r="AS281" i="1"/>
  <c r="AS283" i="1"/>
  <c r="AS285" i="1"/>
  <c r="AS287" i="1"/>
  <c r="AS289" i="1"/>
  <c r="AS291" i="1"/>
  <c r="AS293" i="1"/>
  <c r="AS295" i="1"/>
  <c r="AS297" i="1"/>
  <c r="AS299" i="1"/>
  <c r="AS301" i="1"/>
  <c r="AS303" i="1"/>
  <c r="AS305" i="1"/>
  <c r="AS307" i="1"/>
  <c r="AS309" i="1"/>
  <c r="AS311" i="1"/>
  <c r="AS313" i="1"/>
  <c r="AS315" i="1"/>
  <c r="AS317" i="1"/>
  <c r="AS219" i="1"/>
  <c r="AS224" i="1"/>
  <c r="AS220" i="1"/>
  <c r="AS225" i="1"/>
  <c r="AS217" i="1"/>
  <c r="AS201" i="1"/>
  <c r="AS222" i="1"/>
  <c r="H35" i="1"/>
  <c r="AV35" i="1"/>
  <c r="AD318" i="1"/>
  <c r="AF318" i="1"/>
  <c r="AF317" i="1"/>
  <c r="AD310" i="1"/>
  <c r="AF310" i="1"/>
  <c r="AF309" i="1"/>
  <c r="AI307" i="1"/>
  <c r="AD300" i="1"/>
  <c r="AF300" i="1"/>
  <c r="AI300" i="1"/>
  <c r="AS296" i="1"/>
  <c r="AD284" i="1"/>
  <c r="AF284" i="1"/>
  <c r="AI284" i="1"/>
  <c r="AS280" i="1"/>
  <c r="AS264" i="1"/>
  <c r="AS248" i="1"/>
  <c r="AS232" i="1"/>
  <c r="AH172" i="1"/>
  <c r="AI172" i="1" s="1"/>
  <c r="AH170" i="1"/>
  <c r="AI170" i="1" s="1"/>
  <c r="H124" i="1"/>
  <c r="AV124" i="1"/>
  <c r="H166" i="1"/>
  <c r="AF166" i="1" s="1"/>
  <c r="H30" i="1"/>
  <c r="AV30" i="1"/>
  <c r="H164" i="1"/>
  <c r="AF164" i="1" s="1"/>
  <c r="H70" i="1"/>
  <c r="AB70" i="1" s="1"/>
  <c r="Z70" i="1" s="1"/>
  <c r="G70" i="1" s="1"/>
  <c r="AV70" i="1"/>
  <c r="AV96" i="1"/>
  <c r="H96" i="1"/>
  <c r="AB96" i="1" s="1"/>
  <c r="H182" i="1"/>
  <c r="AF182" i="1" s="1"/>
  <c r="H71" i="1"/>
  <c r="AB71" i="1" s="1"/>
  <c r="Z71" i="1" s="1"/>
  <c r="G71" i="1" s="1"/>
  <c r="AV71" i="1"/>
  <c r="H173" i="1"/>
  <c r="AS314" i="1"/>
  <c r="AS306" i="1"/>
  <c r="AD298" i="1"/>
  <c r="AF298" i="1"/>
  <c r="AI298" i="1"/>
  <c r="AS294" i="1"/>
  <c r="AD282" i="1"/>
  <c r="AF282" i="1"/>
  <c r="AI282" i="1"/>
  <c r="AS278" i="1"/>
  <c r="AS262" i="1"/>
  <c r="AS246" i="1"/>
  <c r="AS230" i="1"/>
  <c r="H53" i="1"/>
  <c r="AF53" i="1" s="1"/>
  <c r="AV53" i="1"/>
  <c r="AH167" i="1"/>
  <c r="AI167" i="1" s="1"/>
  <c r="H178" i="1"/>
  <c r="AF178" i="1" s="1"/>
  <c r="AH160" i="1"/>
  <c r="AI160" i="1" s="1"/>
  <c r="H63" i="1"/>
  <c r="H201" i="1"/>
  <c r="AB59" i="1"/>
  <c r="AB202" i="1"/>
  <c r="AD202" i="1" s="1"/>
  <c r="H132" i="1"/>
  <c r="AB132" i="1" s="1"/>
  <c r="Z132" i="1" s="1"/>
  <c r="G132" i="1" s="1"/>
  <c r="AV132" i="1"/>
  <c r="H181" i="1"/>
  <c r="AF181" i="1" s="1"/>
  <c r="AH165" i="1"/>
  <c r="AI165" i="1" s="1"/>
  <c r="AD316" i="1"/>
  <c r="AF316" i="1"/>
  <c r="AF315" i="1"/>
  <c r="AD308" i="1"/>
  <c r="AF308" i="1"/>
  <c r="AF307" i="1"/>
  <c r="AD296" i="1"/>
  <c r="AF296" i="1"/>
  <c r="AI296" i="1"/>
  <c r="AS292" i="1"/>
  <c r="AD280" i="1"/>
  <c r="AF280" i="1"/>
  <c r="AI280" i="1"/>
  <c r="AS276" i="1"/>
  <c r="AS260" i="1"/>
  <c r="AS244" i="1"/>
  <c r="AM16" i="1"/>
  <c r="AM161" i="1"/>
  <c r="H16" i="1"/>
  <c r="AF16" i="1" s="1"/>
  <c r="AV16" i="1"/>
  <c r="AV200" i="1" s="1"/>
  <c r="H161" i="1"/>
  <c r="AF161" i="1" s="1"/>
  <c r="H203" i="1"/>
  <c r="AF203" i="1" s="1"/>
  <c r="D26" i="1"/>
  <c r="Z26" i="1"/>
  <c r="G26" i="1" s="1"/>
  <c r="AH158" i="1"/>
  <c r="AI158" i="1" s="1"/>
  <c r="AS312" i="1"/>
  <c r="AS304" i="1"/>
  <c r="AD294" i="1"/>
  <c r="AF294" i="1"/>
  <c r="AI294" i="1"/>
  <c r="AS290" i="1"/>
  <c r="AD278" i="1"/>
  <c r="AF278" i="1"/>
  <c r="AI278" i="1"/>
  <c r="AS274" i="1"/>
  <c r="AS258" i="1"/>
  <c r="AS242" i="1"/>
  <c r="H143" i="1"/>
  <c r="H199" i="1"/>
  <c r="AF199" i="1" s="1"/>
  <c r="AH169" i="1"/>
  <c r="AI169" i="1" s="1"/>
  <c r="AB172" i="1"/>
  <c r="AD172" i="1" s="1"/>
  <c r="AH166" i="1"/>
  <c r="AI166" i="1" s="1"/>
  <c r="AV136" i="1"/>
  <c r="H136" i="1"/>
  <c r="AV138" i="1"/>
  <c r="H138" i="1"/>
  <c r="AH159" i="1"/>
  <c r="AI159" i="1" s="1"/>
  <c r="AD314" i="1"/>
  <c r="AF314" i="1"/>
  <c r="AD306" i="1"/>
  <c r="AF306" i="1"/>
  <c r="AD292" i="1"/>
  <c r="AF292" i="1"/>
  <c r="AI292" i="1"/>
  <c r="AS288" i="1"/>
  <c r="AD276" i="1"/>
  <c r="AF276" i="1"/>
  <c r="AI274" i="1"/>
  <c r="AS272" i="1"/>
  <c r="AS256" i="1"/>
  <c r="AS240" i="1"/>
  <c r="AF224" i="1"/>
  <c r="DA222" i="1"/>
  <c r="DJ219" i="1"/>
  <c r="CI219" i="1"/>
  <c r="AD219" i="1"/>
  <c r="BN218" i="1"/>
  <c r="BQ202" i="1"/>
  <c r="J200" i="1"/>
  <c r="J198" i="1"/>
  <c r="CF197" i="1"/>
  <c r="AF229" i="1"/>
  <c r="BW224" i="1"/>
  <c r="J223" i="1"/>
  <c r="EH218" i="1"/>
  <c r="CO218" i="1"/>
  <c r="DA214" i="1"/>
  <c r="BE214" i="1"/>
  <c r="EB213" i="1"/>
  <c r="CF213" i="1"/>
  <c r="DG212" i="1"/>
  <c r="BK212" i="1"/>
  <c r="J212" i="1"/>
  <c r="J205" i="1"/>
  <c r="AH163" i="1"/>
  <c r="AI163" i="1" s="1"/>
  <c r="H87" i="1"/>
  <c r="AV87" i="1"/>
  <c r="AV95" i="1"/>
  <c r="H95" i="1"/>
  <c r="H165" i="1"/>
  <c r="J207" i="1"/>
  <c r="J204" i="1"/>
  <c r="DD221" i="1"/>
  <c r="BK220" i="1"/>
  <c r="BN219" i="1"/>
  <c r="CL218" i="1"/>
  <c r="DS216" i="1"/>
  <c r="BW216" i="1"/>
  <c r="J213" i="1"/>
  <c r="AD211" i="1"/>
  <c r="AF211" i="1"/>
  <c r="AI211" i="1"/>
  <c r="J211" i="1"/>
  <c r="DP209" i="1"/>
  <c r="J203" i="1"/>
  <c r="CC198" i="1"/>
  <c r="DG196" i="1"/>
  <c r="CL195" i="1"/>
  <c r="DM194" i="1"/>
  <c r="H142" i="1"/>
  <c r="H180" i="1"/>
  <c r="AF180" i="1" s="1"/>
  <c r="AV107" i="1"/>
  <c r="H107" i="1"/>
  <c r="H98" i="1"/>
  <c r="AB98" i="1" s="1"/>
  <c r="AV98" i="1"/>
  <c r="AD203" i="1"/>
  <c r="AD195" i="1"/>
  <c r="AF195" i="1"/>
  <c r="AI195" i="1"/>
  <c r="AH157" i="1"/>
  <c r="AI157" i="1" s="1"/>
  <c r="H59" i="1"/>
  <c r="AF59" i="1" s="1"/>
  <c r="AV59" i="1"/>
  <c r="H202" i="1"/>
  <c r="AF202" i="1" s="1"/>
  <c r="AH156" i="1"/>
  <c r="AI156" i="1" s="1"/>
  <c r="AH181" i="1"/>
  <c r="AI181" i="1" s="1"/>
  <c r="H134" i="1"/>
  <c r="AV134" i="1"/>
  <c r="H171" i="1"/>
  <c r="AH164" i="1"/>
  <c r="AI164" i="1" s="1"/>
  <c r="AN16" i="1"/>
  <c r="AN161" i="1"/>
  <c r="AM63" i="1"/>
  <c r="AM201" i="1"/>
  <c r="H169" i="1"/>
  <c r="AF169" i="1" s="1"/>
  <c r="AH171" i="1"/>
  <c r="AI171" i="1" s="1"/>
  <c r="AH180" i="1"/>
  <c r="AI180" i="1" s="1"/>
  <c r="H89" i="1"/>
  <c r="AB89" i="1" s="1"/>
  <c r="Z89" i="1" s="1"/>
  <c r="G89" i="1" s="1"/>
  <c r="AV89" i="1"/>
  <c r="H37" i="1"/>
  <c r="AF37" i="1" s="1"/>
  <c r="AV37" i="1"/>
  <c r="AV176" i="1" s="1"/>
  <c r="H158" i="1"/>
  <c r="AF158" i="1" s="1"/>
  <c r="AF270" i="1"/>
  <c r="AF268" i="1"/>
  <c r="AF266" i="1"/>
  <c r="AF264" i="1"/>
  <c r="AF262" i="1"/>
  <c r="AF260" i="1"/>
  <c r="AF258" i="1"/>
  <c r="AF256" i="1"/>
  <c r="AF254" i="1"/>
  <c r="AF252" i="1"/>
  <c r="AF250" i="1"/>
  <c r="AF248" i="1"/>
  <c r="AF246" i="1"/>
  <c r="AF244" i="1"/>
  <c r="AF242" i="1"/>
  <c r="AF240" i="1"/>
  <c r="AF238" i="1"/>
  <c r="AF236" i="1"/>
  <c r="AF234" i="1"/>
  <c r="AF232" i="1"/>
  <c r="AF230" i="1"/>
  <c r="BZ223" i="1"/>
  <c r="AD222" i="1"/>
  <c r="CI220" i="1"/>
  <c r="BK219" i="1"/>
  <c r="DY214" i="1"/>
  <c r="CC214" i="1"/>
  <c r="J214" i="1"/>
  <c r="DD213" i="1"/>
  <c r="BH213" i="1"/>
  <c r="EE212" i="1"/>
  <c r="CI212" i="1"/>
  <c r="DV207" i="1"/>
  <c r="BZ207" i="1"/>
  <c r="AD206" i="1"/>
  <c r="BN203" i="1"/>
  <c r="CO202" i="1"/>
  <c r="BE198" i="1"/>
  <c r="J196" i="1"/>
  <c r="BN195" i="1"/>
  <c r="J195" i="1"/>
  <c r="CX223" i="1"/>
  <c r="BE222" i="1"/>
  <c r="DG220" i="1"/>
  <c r="CL219" i="1"/>
  <c r="DJ218" i="1"/>
  <c r="BQ218" i="1"/>
  <c r="J218" i="1"/>
  <c r="J206" i="1"/>
  <c r="DP201" i="1"/>
  <c r="DD197" i="1"/>
  <c r="AD179" i="1"/>
  <c r="AD194" i="1"/>
  <c r="AD186" i="1"/>
  <c r="AD178" i="1"/>
  <c r="AD176" i="1"/>
  <c r="J175" i="1"/>
  <c r="DY174" i="1"/>
  <c r="DA173" i="1"/>
  <c r="AF171" i="1"/>
  <c r="J145" i="1"/>
  <c r="AD166" i="1"/>
  <c r="Z139" i="1"/>
  <c r="G139" i="1" s="1"/>
  <c r="AD139" i="1"/>
  <c r="AF201" i="1"/>
  <c r="AF193" i="1"/>
  <c r="AI187" i="1"/>
  <c r="AF185" i="1"/>
  <c r="J172" i="1"/>
  <c r="AD158" i="1"/>
  <c r="Z148" i="1"/>
  <c r="AD148" i="1"/>
  <c r="AF214" i="1"/>
  <c r="AF206" i="1"/>
  <c r="AF198" i="1"/>
  <c r="AF190" i="1"/>
  <c r="BB175" i="1"/>
  <c r="DY173" i="1"/>
  <c r="AF167" i="1"/>
  <c r="Z140" i="1"/>
  <c r="G140" i="1" s="1"/>
  <c r="AD140" i="1"/>
  <c r="AF187" i="1"/>
  <c r="AF179" i="1"/>
  <c r="BZ175" i="1"/>
  <c r="AD174" i="1"/>
  <c r="AF156" i="1"/>
  <c r="J144" i="1"/>
  <c r="J137" i="1"/>
  <c r="CX175" i="1"/>
  <c r="BE174" i="1"/>
  <c r="J174" i="1"/>
  <c r="CC173" i="1"/>
  <c r="AD173" i="1"/>
  <c r="AF173" i="1"/>
  <c r="AF159" i="1"/>
  <c r="J141" i="1"/>
  <c r="AD165" i="1"/>
  <c r="AF163" i="1"/>
  <c r="AD157" i="1"/>
  <c r="Z151" i="1"/>
  <c r="G151" i="1" s="1"/>
  <c r="AD151" i="1"/>
  <c r="AD145" i="1"/>
  <c r="AD141" i="1"/>
  <c r="J123" i="1"/>
  <c r="AD122" i="1"/>
  <c r="AF131" i="1"/>
  <c r="Z150" i="1"/>
  <c r="AD135" i="1"/>
  <c r="J135" i="1"/>
  <c r="AF149" i="1"/>
  <c r="AF137" i="1"/>
  <c r="J130" i="1"/>
  <c r="AF152" i="1"/>
  <c r="AF144" i="1"/>
  <c r="AD130" i="1"/>
  <c r="AY123" i="1"/>
  <c r="AF165" i="1"/>
  <c r="AF157" i="1"/>
  <c r="AF147" i="1"/>
  <c r="AD128" i="1"/>
  <c r="J128" i="1"/>
  <c r="J127" i="1"/>
  <c r="Z133" i="1"/>
  <c r="G133" i="1" s="1"/>
  <c r="AD133" i="1"/>
  <c r="Z103" i="1"/>
  <c r="G103" i="1" s="1"/>
  <c r="AD103" i="1"/>
  <c r="AF123" i="1"/>
  <c r="J103" i="1"/>
  <c r="AF130" i="1"/>
  <c r="AF122" i="1"/>
  <c r="AF120" i="1"/>
  <c r="J120" i="1"/>
  <c r="J117" i="1"/>
  <c r="AD104" i="1"/>
  <c r="AF135" i="1"/>
  <c r="AD108" i="1"/>
  <c r="AY104" i="1"/>
  <c r="AY119" i="1"/>
  <c r="Z118" i="1"/>
  <c r="G118" i="1" s="1"/>
  <c r="AD118" i="1"/>
  <c r="AY116" i="1"/>
  <c r="AY112" i="1"/>
  <c r="J101" i="1"/>
  <c r="AF109" i="1"/>
  <c r="AF116" i="1"/>
  <c r="AF108" i="1"/>
  <c r="AD101" i="1"/>
  <c r="J100" i="1"/>
  <c r="AF96" i="1"/>
  <c r="AF115" i="1"/>
  <c r="AF114" i="1"/>
  <c r="AD102" i="1"/>
  <c r="AF113" i="1"/>
  <c r="AF105" i="1"/>
  <c r="AF112" i="1"/>
  <c r="AF104" i="1"/>
  <c r="J102" i="1"/>
  <c r="AD97" i="1"/>
  <c r="AD100" i="1"/>
  <c r="AF99" i="1"/>
  <c r="Z91" i="1"/>
  <c r="G91" i="1" s="1"/>
  <c r="AF97" i="1"/>
  <c r="AY94" i="1"/>
  <c r="AF93" i="1"/>
  <c r="J93" i="1"/>
  <c r="J92" i="1"/>
  <c r="AD93" i="1"/>
  <c r="J86" i="1"/>
  <c r="AD92" i="1"/>
  <c r="J90" i="1"/>
  <c r="J88" i="1"/>
  <c r="AD83" i="1"/>
  <c r="AF82" i="1"/>
  <c r="AY76" i="1"/>
  <c r="AD86" i="1"/>
  <c r="AF85" i="1"/>
  <c r="J79" i="1"/>
  <c r="AF90" i="1"/>
  <c r="J78" i="1"/>
  <c r="AF83" i="1"/>
  <c r="AD82" i="1"/>
  <c r="J80" i="1"/>
  <c r="J71" i="1"/>
  <c r="AY74" i="1"/>
  <c r="AD71" i="1"/>
  <c r="J70" i="1"/>
  <c r="AF80" i="1"/>
  <c r="AF79" i="1"/>
  <c r="AF78" i="1"/>
  <c r="AD70" i="1"/>
  <c r="J69" i="1"/>
  <c r="AF76" i="1"/>
  <c r="J74" i="1"/>
  <c r="AD69" i="1"/>
  <c r="Z68" i="1"/>
  <c r="G68" i="1" s="1"/>
  <c r="AD68" i="1"/>
  <c r="AD75" i="1"/>
  <c r="J75" i="1"/>
  <c r="Z73" i="1"/>
  <c r="G73" i="1" s="1"/>
  <c r="AD73" i="1"/>
  <c r="J76" i="1"/>
  <c r="AF75" i="1"/>
  <c r="Z72" i="1"/>
  <c r="G72" i="1" s="1"/>
  <c r="AD72" i="1"/>
  <c r="AF71" i="1"/>
  <c r="AF69" i="1"/>
  <c r="AF74" i="1"/>
  <c r="F68" i="1"/>
  <c r="F69" i="1" s="1"/>
  <c r="Z62" i="1"/>
  <c r="Z61" i="1"/>
  <c r="G61" i="1" s="1"/>
  <c r="Z60" i="1"/>
  <c r="G60" i="1" s="1"/>
  <c r="AD56" i="1"/>
  <c r="AD55" i="1"/>
  <c r="AY51" i="1"/>
  <c r="Z55" i="1"/>
  <c r="G55" i="1" s="1"/>
  <c r="D55" i="1"/>
  <c r="E53" i="1"/>
  <c r="J52" i="1"/>
  <c r="AF63" i="1"/>
  <c r="E63" i="1"/>
  <c r="AF62" i="1"/>
  <c r="E62" i="1"/>
  <c r="E61" i="1"/>
  <c r="E60" i="1"/>
  <c r="AF58" i="1"/>
  <c r="J51" i="1"/>
  <c r="AF54" i="1"/>
  <c r="AY47" i="1"/>
  <c r="AD49" i="1"/>
  <c r="E49" i="1"/>
  <c r="AF49" i="1"/>
  <c r="Z47" i="1"/>
  <c r="G47" i="1" s="1"/>
  <c r="AF45" i="1"/>
  <c r="E45" i="1"/>
  <c r="Z43" i="1"/>
  <c r="G43" i="1" s="1"/>
  <c r="AF42" i="1"/>
  <c r="AY40" i="1"/>
  <c r="J40" i="1"/>
  <c r="J39" i="1"/>
  <c r="AY42" i="1"/>
  <c r="AY39" i="1"/>
  <c r="J38" i="1"/>
  <c r="AF44" i="1"/>
  <c r="E44" i="1"/>
  <c r="J42" i="1"/>
  <c r="J36" i="1"/>
  <c r="AF35" i="1"/>
  <c r="AY34" i="1"/>
  <c r="AD34" i="1"/>
  <c r="AF34" i="1"/>
  <c r="J34" i="1"/>
  <c r="AD33" i="1"/>
  <c r="AF33" i="1"/>
  <c r="J33" i="1"/>
  <c r="J32" i="1"/>
  <c r="AF30" i="1"/>
  <c r="AF32" i="1"/>
  <c r="J29" i="1"/>
  <c r="AD29" i="1"/>
  <c r="AD26" i="1"/>
  <c r="AD28" i="1"/>
  <c r="AF28" i="1"/>
  <c r="E25" i="1"/>
  <c r="AD25" i="1"/>
  <c r="AF25" i="1"/>
  <c r="J25" i="1"/>
  <c r="J23" i="1"/>
  <c r="AF27" i="1"/>
  <c r="AF26" i="1"/>
  <c r="E26" i="1"/>
  <c r="J22" i="1"/>
  <c r="AD22" i="1"/>
  <c r="Z22" i="1"/>
  <c r="G22" i="1" s="1"/>
  <c r="AY22" i="1"/>
  <c r="J20" i="1"/>
  <c r="J21" i="1"/>
  <c r="AD18" i="1"/>
  <c r="D19" i="1"/>
  <c r="Z18" i="1"/>
  <c r="G18" i="1" s="1"/>
  <c r="AF21" i="1"/>
  <c r="J15" i="1"/>
  <c r="AY11" i="1"/>
  <c r="AD13" i="1"/>
  <c r="J13" i="1"/>
  <c r="AD12" i="1"/>
  <c r="D14" i="1"/>
  <c r="Z12" i="1"/>
  <c r="G12" i="1" s="1"/>
  <c r="J11" i="1"/>
  <c r="AD11" i="1"/>
  <c r="AD10" i="1"/>
  <c r="J8" i="1"/>
  <c r="AF13" i="1"/>
  <c r="AF7" i="1"/>
  <c r="AY6" i="1"/>
  <c r="J6" i="1"/>
  <c r="AZ4" i="1"/>
  <c r="AF6" i="1"/>
  <c r="AD132" i="1" l="1"/>
  <c r="J68" i="1"/>
  <c r="J118" i="1"/>
  <c r="J84" i="1"/>
  <c r="AD110" i="1"/>
  <c r="J110" i="1"/>
  <c r="AD89" i="1"/>
  <c r="J114" i="1"/>
  <c r="J73" i="1"/>
  <c r="AD114" i="1"/>
  <c r="J81" i="1"/>
  <c r="AF126" i="1"/>
  <c r="AF70" i="1"/>
  <c r="J72" i="1"/>
  <c r="J132" i="1"/>
  <c r="J139" i="1"/>
  <c r="J133" i="1"/>
  <c r="J48" i="1"/>
  <c r="Z121" i="1"/>
  <c r="AD121" i="1"/>
  <c r="J26" i="1"/>
  <c r="J47" i="1"/>
  <c r="AD126" i="1"/>
  <c r="J140" i="1"/>
  <c r="J89" i="1"/>
  <c r="J49" i="1"/>
  <c r="J46" i="1"/>
  <c r="J61" i="1"/>
  <c r="J50" i="1"/>
  <c r="J91" i="1"/>
  <c r="AF89" i="1"/>
  <c r="AF132" i="1"/>
  <c r="AF98" i="1"/>
  <c r="J126" i="1"/>
  <c r="J12" i="1"/>
  <c r="J18" i="1"/>
  <c r="J43" i="1"/>
  <c r="G148" i="1"/>
  <c r="J148" i="1"/>
  <c r="AB134" i="1"/>
  <c r="AF134" i="1"/>
  <c r="AB107" i="1"/>
  <c r="AF107" i="1"/>
  <c r="BC4" i="1"/>
  <c r="AZ6" i="1" a="1"/>
  <c r="AZ6" i="1" s="1"/>
  <c r="BB6" i="1" s="1"/>
  <c r="AZ8" i="1" a="1"/>
  <c r="AZ8" i="1" s="1"/>
  <c r="BB8" i="1" s="1"/>
  <c r="AZ9" i="1" a="1"/>
  <c r="AZ9" i="1" s="1"/>
  <c r="BB9" i="1" s="1"/>
  <c r="AZ11" i="1" a="1"/>
  <c r="AZ11" i="1" s="1"/>
  <c r="BB11" i="1" s="1"/>
  <c r="AZ15" i="1" a="1"/>
  <c r="AZ15" i="1" s="1"/>
  <c r="BB15" i="1" s="1"/>
  <c r="AZ12" i="1" a="1"/>
  <c r="AZ12" i="1" s="1"/>
  <c r="AZ10" i="1" a="1"/>
  <c r="AZ10" i="1" s="1"/>
  <c r="BB10" i="1" s="1"/>
  <c r="AZ13" i="1" a="1"/>
  <c r="AZ13" i="1" s="1"/>
  <c r="AZ14" i="1" a="1"/>
  <c r="AZ14" i="1" s="1"/>
  <c r="AZ17" i="1" a="1"/>
  <c r="AZ17" i="1" s="1"/>
  <c r="BB17" i="1" s="1"/>
  <c r="AZ20" i="1" a="1"/>
  <c r="AZ20" i="1" s="1"/>
  <c r="AZ21" i="1" a="1"/>
  <c r="AZ21" i="1" s="1"/>
  <c r="AZ18" i="1" a="1"/>
  <c r="AZ18" i="1" s="1"/>
  <c r="AZ19" i="1" a="1"/>
  <c r="AZ19" i="1" s="1"/>
  <c r="AZ22" i="1" a="1"/>
  <c r="AZ22" i="1" s="1"/>
  <c r="BB22" i="1" s="1"/>
  <c r="AZ23" i="1" a="1"/>
  <c r="AZ23" i="1" s="1"/>
  <c r="BB23" i="1" s="1"/>
  <c r="AZ25" i="1" a="1"/>
  <c r="AZ25" i="1" s="1"/>
  <c r="BB25" i="1" s="1"/>
  <c r="AZ27" i="1" a="1"/>
  <c r="AZ27" i="1" s="1"/>
  <c r="AZ28" i="1" a="1"/>
  <c r="AZ28" i="1" s="1"/>
  <c r="AZ31" i="1" a="1"/>
  <c r="AZ31" i="1" s="1"/>
  <c r="AZ32" i="1" a="1"/>
  <c r="AZ32" i="1" s="1"/>
  <c r="AZ33" i="1" a="1"/>
  <c r="AZ33" i="1" s="1"/>
  <c r="AZ34" i="1" a="1"/>
  <c r="AZ34" i="1" s="1"/>
  <c r="AZ36" i="1" a="1"/>
  <c r="AZ36" i="1" s="1"/>
  <c r="AZ38" i="1" a="1"/>
  <c r="AZ38" i="1" s="1"/>
  <c r="AZ39" i="1" a="1"/>
  <c r="AZ39" i="1" s="1"/>
  <c r="AZ40" i="1" a="1"/>
  <c r="AZ40" i="1" s="1"/>
  <c r="AZ44" i="1" a="1"/>
  <c r="AZ44" i="1" s="1"/>
  <c r="AZ45" i="1" a="1"/>
  <c r="AZ45" i="1" s="1"/>
  <c r="BB45" i="1" s="1"/>
  <c r="AZ46" i="1" a="1"/>
  <c r="AZ46" i="1" s="1"/>
  <c r="BB46" i="1" s="1"/>
  <c r="AZ42" i="1" a="1"/>
  <c r="AZ42" i="1" s="1"/>
  <c r="AZ43" i="1" a="1"/>
  <c r="AZ43" i="1" s="1"/>
  <c r="AZ47" i="1" a="1"/>
  <c r="AZ47" i="1" s="1"/>
  <c r="BB47" i="1" s="1"/>
  <c r="AZ55" i="1" a="1"/>
  <c r="AZ55" i="1" s="1"/>
  <c r="BB55" i="1" s="1"/>
  <c r="AZ51" i="1" a="1"/>
  <c r="AZ51" i="1" s="1"/>
  <c r="AZ49" i="1" a="1"/>
  <c r="AZ49" i="1" s="1"/>
  <c r="BB49" i="1" s="1"/>
  <c r="AZ50" i="1" a="1"/>
  <c r="AZ50" i="1" s="1"/>
  <c r="BB50" i="1" s="1"/>
  <c r="AZ52" i="1" a="1"/>
  <c r="AZ52" i="1" s="1"/>
  <c r="BB52" i="1" s="1"/>
  <c r="AZ68" i="1" a="1"/>
  <c r="AZ68" i="1" s="1"/>
  <c r="BB68" i="1" s="1"/>
  <c r="AZ48" i="1" a="1"/>
  <c r="AZ48" i="1" s="1"/>
  <c r="BB48" i="1" s="1"/>
  <c r="AZ56" i="1" a="1"/>
  <c r="AZ56" i="1" s="1"/>
  <c r="BB56" i="1" s="1"/>
  <c r="AZ58" i="1" a="1"/>
  <c r="AZ58" i="1" s="1"/>
  <c r="BB58" i="1" s="1"/>
  <c r="AZ60" i="1" a="1"/>
  <c r="AZ60" i="1" s="1"/>
  <c r="BB60" i="1" s="1"/>
  <c r="AZ61" i="1" a="1"/>
  <c r="AZ61" i="1" s="1"/>
  <c r="BB61" i="1" s="1"/>
  <c r="AZ62" i="1" a="1"/>
  <c r="AZ62" i="1" s="1"/>
  <c r="BB62" i="1" s="1"/>
  <c r="AZ54" i="1" a="1"/>
  <c r="AZ54" i="1" s="1"/>
  <c r="BB54" i="1" s="1"/>
  <c r="AZ72" i="1" a="1"/>
  <c r="AZ72" i="1" s="1"/>
  <c r="BB72" i="1" s="1"/>
  <c r="AZ73" i="1" a="1"/>
  <c r="AZ73" i="1" s="1"/>
  <c r="BB73" i="1" s="1"/>
  <c r="AZ74" i="1" a="1"/>
  <c r="AZ74" i="1" s="1"/>
  <c r="BB74" i="1" s="1"/>
  <c r="AZ75" i="1" a="1"/>
  <c r="AZ75" i="1" s="1"/>
  <c r="BB75" i="1" s="1"/>
  <c r="AZ76" i="1" a="1"/>
  <c r="AZ76" i="1" s="1"/>
  <c r="BB76" i="1" s="1"/>
  <c r="AZ69" i="1" a="1"/>
  <c r="AZ69" i="1" s="1"/>
  <c r="BB69" i="1" s="1"/>
  <c r="AZ71" i="1" a="1"/>
  <c r="AZ71" i="1" s="1"/>
  <c r="AZ66" i="1"/>
  <c r="AZ77" i="1" a="1"/>
  <c r="AZ77" i="1" s="1"/>
  <c r="BB77" i="1" s="1"/>
  <c r="AZ78" i="1" a="1"/>
  <c r="AZ78" i="1" s="1"/>
  <c r="BB78" i="1" s="1"/>
  <c r="AZ79" i="1" a="1"/>
  <c r="AZ79" i="1" s="1"/>
  <c r="BB79" i="1" s="1"/>
  <c r="AZ80" i="1" a="1"/>
  <c r="AZ80" i="1" s="1"/>
  <c r="BB80" i="1" s="1"/>
  <c r="AZ81" i="1" a="1"/>
  <c r="AZ81" i="1" s="1"/>
  <c r="BB81" i="1" s="1"/>
  <c r="AZ84" i="1" a="1"/>
  <c r="AZ84" i="1" s="1"/>
  <c r="BB84" i="1" s="1"/>
  <c r="AZ92" i="1" a="1"/>
  <c r="AZ92" i="1" s="1"/>
  <c r="BB92" i="1" s="1"/>
  <c r="AZ85" i="1" a="1"/>
  <c r="AZ85" i="1" s="1"/>
  <c r="BB85" i="1" s="1"/>
  <c r="AZ93" i="1" a="1"/>
  <c r="AZ93" i="1" s="1"/>
  <c r="BB93" i="1" s="1"/>
  <c r="AZ86" i="1" a="1"/>
  <c r="AZ86" i="1" s="1"/>
  <c r="BB86" i="1" s="1"/>
  <c r="AZ82" i="1" a="1"/>
  <c r="AZ82" i="1" s="1"/>
  <c r="BB82" i="1" s="1"/>
  <c r="AZ83" i="1" a="1"/>
  <c r="AZ83" i="1" s="1"/>
  <c r="BB83" i="1" s="1"/>
  <c r="AZ88" i="1" a="1"/>
  <c r="AZ88" i="1" s="1"/>
  <c r="BB88" i="1" s="1"/>
  <c r="AZ90" i="1" a="1"/>
  <c r="AZ90" i="1" s="1"/>
  <c r="BB90" i="1" s="1"/>
  <c r="AZ91" i="1" a="1"/>
  <c r="AZ91" i="1" s="1"/>
  <c r="BB91" i="1" s="1"/>
  <c r="AZ97" i="1" a="1"/>
  <c r="AZ97" i="1" s="1"/>
  <c r="BB97" i="1" s="1"/>
  <c r="AZ99" i="1" a="1"/>
  <c r="AZ99" i="1" s="1"/>
  <c r="BB99" i="1" s="1"/>
  <c r="AZ100" i="1" a="1"/>
  <c r="AZ100" i="1" s="1"/>
  <c r="BB100" i="1" s="1"/>
  <c r="AZ101" i="1" a="1"/>
  <c r="AZ101" i="1" s="1"/>
  <c r="BB101" i="1" s="1"/>
  <c r="AZ94" i="1" a="1"/>
  <c r="AZ94" i="1" s="1"/>
  <c r="BB94" i="1" s="1"/>
  <c r="AZ115" i="1" a="1"/>
  <c r="AZ115" i="1" s="1"/>
  <c r="BB115" i="1" s="1"/>
  <c r="AZ108" i="1" a="1"/>
  <c r="AZ108" i="1" s="1"/>
  <c r="BB108" i="1" s="1"/>
  <c r="AZ116" i="1" a="1"/>
  <c r="AZ116" i="1" s="1"/>
  <c r="BB116" i="1" s="1"/>
  <c r="AZ109" i="1" a="1"/>
  <c r="AZ109" i="1" s="1"/>
  <c r="BB109" i="1" s="1"/>
  <c r="AZ117" i="1" a="1"/>
  <c r="AZ117" i="1" s="1"/>
  <c r="BB117" i="1" s="1"/>
  <c r="AZ110" i="1" a="1"/>
  <c r="AZ110" i="1" s="1"/>
  <c r="BB110" i="1" s="1"/>
  <c r="AZ118" i="1" a="1"/>
  <c r="AZ118" i="1" s="1"/>
  <c r="BB118" i="1" s="1"/>
  <c r="AZ103" i="1" a="1"/>
  <c r="AZ103" i="1" s="1"/>
  <c r="BB103" i="1" s="1"/>
  <c r="AZ111" i="1" a="1"/>
  <c r="AZ111" i="1" s="1"/>
  <c r="BB111" i="1" s="1"/>
  <c r="AZ119" i="1" a="1"/>
  <c r="AZ119" i="1" s="1"/>
  <c r="BB119" i="1" s="1"/>
  <c r="AZ102" i="1" a="1"/>
  <c r="AZ102" i="1" s="1"/>
  <c r="BB102" i="1" s="1"/>
  <c r="AZ104" i="1" a="1"/>
  <c r="AZ104" i="1" s="1"/>
  <c r="BB104" i="1" s="1"/>
  <c r="AZ112" i="1" a="1"/>
  <c r="AZ112" i="1" s="1"/>
  <c r="BB112" i="1" s="1"/>
  <c r="AZ120" i="1" a="1"/>
  <c r="AZ120" i="1" s="1"/>
  <c r="BB120" i="1" s="1"/>
  <c r="AZ105" i="1" a="1"/>
  <c r="AZ105" i="1" s="1"/>
  <c r="BB105" i="1" s="1"/>
  <c r="AZ113" i="1" a="1"/>
  <c r="AZ113" i="1" s="1"/>
  <c r="BB113" i="1" s="1"/>
  <c r="AZ106" i="1" a="1"/>
  <c r="AZ106" i="1" s="1"/>
  <c r="BB106" i="1" s="1"/>
  <c r="AZ121" i="1" a="1"/>
  <c r="AZ121" i="1" s="1"/>
  <c r="BB121" i="1" s="1"/>
  <c r="AZ122" i="1" a="1"/>
  <c r="AZ122" i="1" s="1"/>
  <c r="BB122" i="1" s="1"/>
  <c r="AZ130" i="1" a="1"/>
  <c r="AZ130" i="1" s="1"/>
  <c r="BB130" i="1" s="1"/>
  <c r="AZ123" i="1" a="1"/>
  <c r="AZ123" i="1" s="1"/>
  <c r="BB123" i="1" s="1"/>
  <c r="AZ125" i="1" a="1"/>
  <c r="AZ125" i="1" s="1"/>
  <c r="BB125" i="1" s="1"/>
  <c r="AZ133" i="1" a="1"/>
  <c r="AZ133" i="1" s="1"/>
  <c r="BB133" i="1" s="1"/>
  <c r="AZ127" i="1" a="1"/>
  <c r="AZ127" i="1" s="1"/>
  <c r="BB127" i="1" s="1"/>
  <c r="AZ135" i="1" a="1"/>
  <c r="AZ135" i="1" s="1"/>
  <c r="BB135" i="1" s="1"/>
  <c r="AZ128" i="1" a="1"/>
  <c r="AZ128" i="1" s="1"/>
  <c r="BB128" i="1" s="1"/>
  <c r="AZ137" i="1" a="1"/>
  <c r="AZ137" i="1" s="1"/>
  <c r="BB137" i="1" s="1"/>
  <c r="AZ139" i="1" a="1"/>
  <c r="AZ139" i="1" s="1"/>
  <c r="BB139" i="1" s="1"/>
  <c r="AZ140" i="1" a="1"/>
  <c r="AZ140" i="1" s="1"/>
  <c r="BB140" i="1" s="1"/>
  <c r="AZ141" i="1" a="1"/>
  <c r="AZ141" i="1" s="1"/>
  <c r="BB141" i="1" s="1"/>
  <c r="J55" i="1"/>
  <c r="J60" i="1"/>
  <c r="AF142" i="1"/>
  <c r="AB142" i="1"/>
  <c r="AB138" i="1"/>
  <c r="AF138" i="1"/>
  <c r="G62" i="1"/>
  <c r="J62" i="1"/>
  <c r="J151" i="1"/>
  <c r="AB95" i="1"/>
  <c r="AF95" i="1"/>
  <c r="AR6" i="1"/>
  <c r="AH6" i="1" s="1"/>
  <c r="AI6" i="1" s="1"/>
  <c r="G150" i="1"/>
  <c r="J150" i="1"/>
  <c r="AB143" i="1"/>
  <c r="AF143" i="1"/>
  <c r="AB63" i="1"/>
  <c r="AB201" i="1"/>
  <c r="AD201" i="1" s="1"/>
  <c r="AB53" i="1"/>
  <c r="AR298" i="1"/>
  <c r="AR266" i="1"/>
  <c r="AR250" i="1"/>
  <c r="AR219" i="1"/>
  <c r="AR303" i="1"/>
  <c r="AR271" i="1"/>
  <c r="AR255" i="1"/>
  <c r="AR205" i="1"/>
  <c r="AR171" i="1"/>
  <c r="AR142" i="1"/>
  <c r="AH142" i="1" s="1"/>
  <c r="AI142" i="1" s="1"/>
  <c r="AR148" i="1"/>
  <c r="AH148" i="1" s="1"/>
  <c r="AI148" i="1" s="1"/>
  <c r="AR128" i="1"/>
  <c r="AH128" i="1" s="1"/>
  <c r="AI128" i="1" s="1"/>
  <c r="AR130" i="1"/>
  <c r="AH130" i="1" s="1"/>
  <c r="AI130" i="1" s="1"/>
  <c r="AR110" i="1"/>
  <c r="AH110" i="1" s="1"/>
  <c r="AI110" i="1" s="1"/>
  <c r="AR92" i="1"/>
  <c r="AH92" i="1" s="1"/>
  <c r="AI92" i="1" s="1"/>
  <c r="AR62" i="1"/>
  <c r="AR39" i="1"/>
  <c r="AH39" i="1" s="1"/>
  <c r="AI39" i="1" s="1"/>
  <c r="AR31" i="1"/>
  <c r="AH31" i="1" s="1"/>
  <c r="AI31" i="1" s="1"/>
  <c r="AR23" i="1"/>
  <c r="AH23" i="1" s="1"/>
  <c r="AI23" i="1" s="1"/>
  <c r="AR15" i="1"/>
  <c r="AH15" i="1" s="1"/>
  <c r="AI15" i="1" s="1"/>
  <c r="Z131" i="1"/>
  <c r="AD131" i="1"/>
  <c r="Z24" i="1"/>
  <c r="D24" i="1"/>
  <c r="AD24" i="1"/>
  <c r="AR280" i="1"/>
  <c r="AR232" i="1"/>
  <c r="AR317" i="1"/>
  <c r="AR301" i="1"/>
  <c r="AR285" i="1"/>
  <c r="AR253" i="1"/>
  <c r="AR237" i="1"/>
  <c r="AR216" i="1"/>
  <c r="AR197" i="1"/>
  <c r="AR173" i="1"/>
  <c r="AR166" i="1"/>
  <c r="AR127" i="1"/>
  <c r="AH127" i="1" s="1"/>
  <c r="AI127" i="1" s="1"/>
  <c r="AR122" i="1"/>
  <c r="AH122" i="1" s="1"/>
  <c r="AI122" i="1" s="1"/>
  <c r="AR120" i="1"/>
  <c r="AH120" i="1" s="1"/>
  <c r="AI120" i="1" s="1"/>
  <c r="AR101" i="1"/>
  <c r="AH101" i="1" s="1"/>
  <c r="AI101" i="1" s="1"/>
  <c r="AR89" i="1"/>
  <c r="AH89" i="1" s="1"/>
  <c r="AI89" i="1" s="1"/>
  <c r="AR71" i="1"/>
  <c r="AH71" i="1" s="1"/>
  <c r="AI71" i="1" s="1"/>
  <c r="AR61" i="1"/>
  <c r="AR29" i="1"/>
  <c r="AH29" i="1" s="1"/>
  <c r="AI29" i="1" s="1"/>
  <c r="Z98" i="1"/>
  <c r="AD98" i="1"/>
  <c r="AR212" i="1"/>
  <c r="AR294" i="1"/>
  <c r="AR278" i="1"/>
  <c r="AR246" i="1"/>
  <c r="AR230" i="1"/>
  <c r="AR267" i="1"/>
  <c r="AR182" i="1"/>
  <c r="AR208" i="1"/>
  <c r="AR189" i="1"/>
  <c r="AR176" i="1"/>
  <c r="AR149" i="1"/>
  <c r="AH149" i="1" s="1"/>
  <c r="AI149" i="1" s="1"/>
  <c r="AR165" i="1"/>
  <c r="AR134" i="1"/>
  <c r="AH134" i="1" s="1"/>
  <c r="AI134" i="1" s="1"/>
  <c r="AR158" i="1"/>
  <c r="AR109" i="1"/>
  <c r="AH109" i="1" s="1"/>
  <c r="AI109" i="1" s="1"/>
  <c r="AR100" i="1"/>
  <c r="AH100" i="1" s="1"/>
  <c r="AI100" i="1" s="1"/>
  <c r="AR81" i="1"/>
  <c r="AH81" i="1" s="1"/>
  <c r="AI81" i="1" s="1"/>
  <c r="AR70" i="1"/>
  <c r="AH70" i="1" s="1"/>
  <c r="AI70" i="1" s="1"/>
  <c r="AR60" i="1"/>
  <c r="AR53" i="1"/>
  <c r="AH53" i="1" s="1"/>
  <c r="AI53" i="1" s="1"/>
  <c r="AR37" i="1"/>
  <c r="AH37" i="1" s="1"/>
  <c r="AI37" i="1" s="1"/>
  <c r="AR28" i="1"/>
  <c r="AH28" i="1" s="1"/>
  <c r="AI28" i="1" s="1"/>
  <c r="AR10" i="1"/>
  <c r="AH10" i="1" s="1"/>
  <c r="AI10" i="1" s="1"/>
  <c r="AH203" i="1"/>
  <c r="AI203" i="1" s="1"/>
  <c r="AH202" i="1"/>
  <c r="AI202" i="1" s="1"/>
  <c r="BB71" i="1"/>
  <c r="AB16" i="1"/>
  <c r="AB161" i="1"/>
  <c r="AD161" i="1" s="1"/>
  <c r="AB182" i="1"/>
  <c r="AD182" i="1" s="1"/>
  <c r="AR222" i="1"/>
  <c r="AR308" i="1"/>
  <c r="AR276" i="1"/>
  <c r="AR260" i="1"/>
  <c r="AR297" i="1"/>
  <c r="AR281" i="1"/>
  <c r="AR249" i="1"/>
  <c r="AR233" i="1"/>
  <c r="AR174" i="1"/>
  <c r="AR200" i="1"/>
  <c r="AR215" i="1"/>
  <c r="AR209" i="1"/>
  <c r="AR157" i="1"/>
  <c r="AR145" i="1"/>
  <c r="AH145" i="1" s="1"/>
  <c r="AI145" i="1" s="1"/>
  <c r="AR107" i="1"/>
  <c r="AH107" i="1" s="1"/>
  <c r="AI107" i="1" s="1"/>
  <c r="AR104" i="1"/>
  <c r="AH104" i="1" s="1"/>
  <c r="AI104" i="1" s="1"/>
  <c r="AR99" i="1"/>
  <c r="AH99" i="1" s="1"/>
  <c r="AI99" i="1" s="1"/>
  <c r="AR88" i="1"/>
  <c r="AH88" i="1" s="1"/>
  <c r="AI88" i="1" s="1"/>
  <c r="AR80" i="1"/>
  <c r="AH80" i="1" s="1"/>
  <c r="AI80" i="1" s="1"/>
  <c r="AR69" i="1"/>
  <c r="AH69" i="1" s="1"/>
  <c r="AI69" i="1" s="1"/>
  <c r="AR52" i="1"/>
  <c r="AH52" i="1" s="1"/>
  <c r="AI52" i="1" s="1"/>
  <c r="AR44" i="1"/>
  <c r="AH44" i="1" s="1"/>
  <c r="AI44" i="1" s="1"/>
  <c r="AR24" i="1"/>
  <c r="AH24" i="1" s="1"/>
  <c r="AI24" i="1" s="1"/>
  <c r="AR19" i="1"/>
  <c r="AH19" i="1" s="1"/>
  <c r="AI19" i="1" s="1"/>
  <c r="AB129" i="1"/>
  <c r="AF129" i="1"/>
  <c r="AR204" i="1"/>
  <c r="AR306" i="1"/>
  <c r="AR274" i="1"/>
  <c r="AR258" i="1"/>
  <c r="AR242" i="1"/>
  <c r="AR196" i="1"/>
  <c r="AR295" i="1"/>
  <c r="AR279" i="1"/>
  <c r="AR247" i="1"/>
  <c r="AR231" i="1"/>
  <c r="AR192" i="1"/>
  <c r="AR207" i="1"/>
  <c r="AR201" i="1"/>
  <c r="AR147" i="1"/>
  <c r="AH147" i="1" s="1"/>
  <c r="AI147" i="1" s="1"/>
  <c r="AR141" i="1"/>
  <c r="AH141" i="1" s="1"/>
  <c r="AI141" i="1" s="1"/>
  <c r="AR169" i="1"/>
  <c r="AR138" i="1"/>
  <c r="AH138" i="1" s="1"/>
  <c r="AI138" i="1" s="1"/>
  <c r="AR114" i="1"/>
  <c r="AH114" i="1" s="1"/>
  <c r="AI114" i="1" s="1"/>
  <c r="AR119" i="1"/>
  <c r="AH119" i="1" s="1"/>
  <c r="AI119" i="1" s="1"/>
  <c r="AR98" i="1"/>
  <c r="AH98" i="1" s="1"/>
  <c r="AI98" i="1" s="1"/>
  <c r="AR83" i="1"/>
  <c r="AH83" i="1" s="1"/>
  <c r="AI83" i="1" s="1"/>
  <c r="AR63" i="1"/>
  <c r="AR50" i="1"/>
  <c r="AH50" i="1" s="1"/>
  <c r="AI50" i="1" s="1"/>
  <c r="AR35" i="1"/>
  <c r="AH35" i="1" s="1"/>
  <c r="AI35" i="1" s="1"/>
  <c r="AR27" i="1"/>
  <c r="AH27" i="1" s="1"/>
  <c r="AI27" i="1" s="1"/>
  <c r="AR18" i="1"/>
  <c r="AH18" i="1" s="1"/>
  <c r="AI18" i="1" s="1"/>
  <c r="AR11" i="1"/>
  <c r="AH11" i="1" s="1"/>
  <c r="AI11" i="1" s="1"/>
  <c r="Z30" i="1"/>
  <c r="AD30" i="1"/>
  <c r="Z96" i="1"/>
  <c r="AD96" i="1"/>
  <c r="AB41" i="1"/>
  <c r="AB159" i="1"/>
  <c r="AD159" i="1" s="1"/>
  <c r="AR288" i="1"/>
  <c r="AR256" i="1"/>
  <c r="AR240" i="1"/>
  <c r="AR309" i="1"/>
  <c r="AR293" i="1"/>
  <c r="AR277" i="1"/>
  <c r="AR261" i="1"/>
  <c r="AR229" i="1"/>
  <c r="AR203" i="1"/>
  <c r="AR210" i="1"/>
  <c r="AR199" i="1"/>
  <c r="AR168" i="1"/>
  <c r="AR172" i="1"/>
  <c r="AR161" i="1"/>
  <c r="AR124" i="1"/>
  <c r="AH124" i="1" s="1"/>
  <c r="AI124" i="1" s="1"/>
  <c r="AR106" i="1"/>
  <c r="AH106" i="1" s="1"/>
  <c r="AI106" i="1" s="1"/>
  <c r="AR111" i="1"/>
  <c r="AH111" i="1" s="1"/>
  <c r="AI111" i="1" s="1"/>
  <c r="AR96" i="1"/>
  <c r="AH96" i="1" s="1"/>
  <c r="AI96" i="1" s="1"/>
  <c r="AR82" i="1"/>
  <c r="AH82" i="1" s="1"/>
  <c r="AI82" i="1" s="1"/>
  <c r="AR77" i="1"/>
  <c r="AH77" i="1" s="1"/>
  <c r="AI77" i="1" s="1"/>
  <c r="AR57" i="1"/>
  <c r="AH57" i="1" s="1"/>
  <c r="AI57" i="1" s="1"/>
  <c r="AR51" i="1"/>
  <c r="AH51" i="1" s="1"/>
  <c r="AI51" i="1" s="1"/>
  <c r="AR33" i="1"/>
  <c r="AH33" i="1" s="1"/>
  <c r="AI33" i="1" s="1"/>
  <c r="AR17" i="1"/>
  <c r="AH17" i="1" s="1"/>
  <c r="AI17" i="1" s="1"/>
  <c r="Z37" i="1"/>
  <c r="D37" i="1"/>
  <c r="AD37" i="1"/>
  <c r="AY71" i="1"/>
  <c r="AB124" i="1"/>
  <c r="AF124" i="1"/>
  <c r="AB35" i="1"/>
  <c r="AR302" i="1"/>
  <c r="AR286" i="1"/>
  <c r="AR254" i="1"/>
  <c r="AR220" i="1"/>
  <c r="AR307" i="1"/>
  <c r="AR275" i="1"/>
  <c r="AR259" i="1"/>
  <c r="AR243" i="1"/>
  <c r="AR214" i="1"/>
  <c r="AR175" i="1"/>
  <c r="AR202" i="1"/>
  <c r="AR185" i="1"/>
  <c r="AR160" i="1"/>
  <c r="AR164" i="1"/>
  <c r="AR129" i="1"/>
  <c r="AH129" i="1" s="1"/>
  <c r="AI129" i="1" s="1"/>
  <c r="AR131" i="1"/>
  <c r="AH131" i="1" s="1"/>
  <c r="AI131" i="1" s="1"/>
  <c r="AR103" i="1"/>
  <c r="AH103" i="1" s="1"/>
  <c r="AI103" i="1" s="1"/>
  <c r="AR93" i="1"/>
  <c r="AH93" i="1" s="1"/>
  <c r="AI93" i="1" s="1"/>
  <c r="AR84" i="1"/>
  <c r="AH84" i="1" s="1"/>
  <c r="AI84" i="1" s="1"/>
  <c r="AR87" i="1"/>
  <c r="AH87" i="1" s="1"/>
  <c r="AI87" i="1" s="1"/>
  <c r="AR73" i="1"/>
  <c r="AH73" i="1" s="1"/>
  <c r="AI73" i="1" s="1"/>
  <c r="AR56" i="1"/>
  <c r="AH56" i="1" s="1"/>
  <c r="AI56" i="1" s="1"/>
  <c r="AR41" i="1"/>
  <c r="AH41" i="1" s="1"/>
  <c r="AI41" i="1" s="1"/>
  <c r="AR32" i="1"/>
  <c r="AH32" i="1" s="1"/>
  <c r="AI32" i="1" s="1"/>
  <c r="AR14" i="1"/>
  <c r="AH14" i="1" s="1"/>
  <c r="AI14" i="1" s="1"/>
  <c r="AB7" i="1"/>
  <c r="AB162" i="1"/>
  <c r="AD162" i="1" s="1"/>
  <c r="AD160" i="1"/>
  <c r="AF160" i="1"/>
  <c r="AB87" i="1"/>
  <c r="AF87" i="1"/>
  <c r="AB136" i="1"/>
  <c r="AF136" i="1"/>
  <c r="AB199" i="1"/>
  <c r="AD199" i="1" s="1"/>
  <c r="D59" i="1"/>
  <c r="AD59" i="1"/>
  <c r="Z59" i="1"/>
  <c r="AR316" i="1"/>
  <c r="AR284" i="1"/>
  <c r="AR268" i="1"/>
  <c r="AR236" i="1"/>
  <c r="AR224" i="1"/>
  <c r="AR305" i="1"/>
  <c r="AR289" i="1"/>
  <c r="AR257" i="1"/>
  <c r="AR241" i="1"/>
  <c r="AR187" i="1"/>
  <c r="AR213" i="1"/>
  <c r="AR183" i="1"/>
  <c r="AR152" i="1"/>
  <c r="AH152" i="1" s="1"/>
  <c r="AI152" i="1" s="1"/>
  <c r="AR150" i="1"/>
  <c r="AH150" i="1" s="1"/>
  <c r="AI150" i="1" s="1"/>
  <c r="AR143" i="1"/>
  <c r="AH143" i="1" s="1"/>
  <c r="AI143" i="1" s="1"/>
  <c r="AR121" i="1"/>
  <c r="AH121" i="1" s="1"/>
  <c r="AI121" i="1" s="1"/>
  <c r="AR123" i="1"/>
  <c r="AH123" i="1" s="1"/>
  <c r="AI123" i="1" s="1"/>
  <c r="AR105" i="1"/>
  <c r="AH105" i="1" s="1"/>
  <c r="AI105" i="1" s="1"/>
  <c r="AR95" i="1"/>
  <c r="AH95" i="1" s="1"/>
  <c r="AI95" i="1" s="1"/>
  <c r="AR91" i="1"/>
  <c r="AH91" i="1" s="1"/>
  <c r="AI91" i="1" s="1"/>
  <c r="AR75" i="1"/>
  <c r="AH75" i="1" s="1"/>
  <c r="AI75" i="1" s="1"/>
  <c r="AR72" i="1"/>
  <c r="AH72" i="1" s="1"/>
  <c r="AI72" i="1" s="1"/>
  <c r="AR43" i="1"/>
  <c r="AH43" i="1" s="1"/>
  <c r="AI43" i="1" s="1"/>
  <c r="AR40" i="1"/>
  <c r="AH40" i="1" s="1"/>
  <c r="AI40" i="1" s="1"/>
  <c r="AR30" i="1"/>
  <c r="AH30" i="1" s="1"/>
  <c r="AI30" i="1" s="1"/>
  <c r="AR25" i="1"/>
  <c r="AH25" i="1" s="1"/>
  <c r="AI25" i="1" s="1"/>
  <c r="AR8" i="1"/>
  <c r="AH8" i="1" s="1"/>
  <c r="AI8" i="1" s="1"/>
  <c r="AD57" i="1"/>
  <c r="E57" i="1"/>
  <c r="AF57" i="1"/>
  <c r="Z57" i="1"/>
  <c r="D57" i="1"/>
  <c r="AR177" i="1" l="1"/>
  <c r="AR300" i="1"/>
  <c r="AR9" i="1"/>
  <c r="AH9" i="1" s="1"/>
  <c r="AI9" i="1" s="1"/>
  <c r="AR151" i="1"/>
  <c r="AH151" i="1" s="1"/>
  <c r="AI151" i="1" s="1"/>
  <c r="AR238" i="1"/>
  <c r="AR26" i="1"/>
  <c r="AH26" i="1" s="1"/>
  <c r="AI26" i="1" s="1"/>
  <c r="AR170" i="1"/>
  <c r="AR272" i="1"/>
  <c r="AR58" i="1"/>
  <c r="AH58" i="1" s="1"/>
  <c r="AI58" i="1" s="1"/>
  <c r="AR218" i="1"/>
  <c r="AR125" i="1"/>
  <c r="AH125" i="1" s="1"/>
  <c r="AI125" i="1" s="1"/>
  <c r="AR313" i="1"/>
  <c r="AR112" i="1"/>
  <c r="AH112" i="1" s="1"/>
  <c r="AI112" i="1" s="1"/>
  <c r="AR283" i="1"/>
  <c r="AR38" i="1"/>
  <c r="AH38" i="1" s="1"/>
  <c r="AI38" i="1" s="1"/>
  <c r="AR163" i="1"/>
  <c r="AR296" i="1"/>
  <c r="AR68" i="1"/>
  <c r="AH68" i="1" s="1"/>
  <c r="AI68" i="1" s="1"/>
  <c r="AR179" i="1"/>
  <c r="AR146" i="1"/>
  <c r="AH146" i="1" s="1"/>
  <c r="AI146" i="1" s="1"/>
  <c r="AR223" i="1"/>
  <c r="AR115" i="1"/>
  <c r="AH115" i="1" s="1"/>
  <c r="AI115" i="1" s="1"/>
  <c r="AR299" i="1"/>
  <c r="AR49" i="1"/>
  <c r="AH49" i="1" s="1"/>
  <c r="AI49" i="1" s="1"/>
  <c r="AR180" i="1"/>
  <c r="AR312" i="1"/>
  <c r="AR94" i="1"/>
  <c r="AH94" i="1" s="1"/>
  <c r="AI94" i="1" s="1"/>
  <c r="AR198" i="1"/>
  <c r="AR55" i="1"/>
  <c r="AH55" i="1" s="1"/>
  <c r="AI55" i="1" s="1"/>
  <c r="AR194" i="1"/>
  <c r="AR21" i="1"/>
  <c r="AH21" i="1" s="1"/>
  <c r="AI21" i="1" s="1"/>
  <c r="AR162" i="1"/>
  <c r="AR270" i="1"/>
  <c r="AR42" i="1"/>
  <c r="AH42" i="1" s="1"/>
  <c r="AI42" i="1" s="1"/>
  <c r="AR193" i="1"/>
  <c r="AR304" i="1"/>
  <c r="AR85" i="1"/>
  <c r="AH85" i="1" s="1"/>
  <c r="AI85" i="1" s="1"/>
  <c r="AR211" i="1"/>
  <c r="AR12" i="1"/>
  <c r="AH12" i="1" s="1"/>
  <c r="AI12" i="1" s="1"/>
  <c r="AR133" i="1"/>
  <c r="AH133" i="1" s="1"/>
  <c r="AI133" i="1" s="1"/>
  <c r="AR244" i="1"/>
  <c r="AR126" i="1"/>
  <c r="AH126" i="1" s="1"/>
  <c r="AI126" i="1" s="1"/>
  <c r="AR315" i="1"/>
  <c r="AR48" i="1"/>
  <c r="AH48" i="1" s="1"/>
  <c r="AI48" i="1" s="1"/>
  <c r="AR178" i="1"/>
  <c r="AR221" i="1"/>
  <c r="AR90" i="1"/>
  <c r="AH90" i="1" s="1"/>
  <c r="AI90" i="1" s="1"/>
  <c r="AR239" i="1"/>
  <c r="AR78" i="1"/>
  <c r="AH78" i="1" s="1"/>
  <c r="AI78" i="1" s="1"/>
  <c r="AR206" i="1"/>
  <c r="AR47" i="1"/>
  <c r="AH47" i="1" s="1"/>
  <c r="AI47" i="1" s="1"/>
  <c r="AR191" i="1"/>
  <c r="AR318" i="1"/>
  <c r="AR74" i="1"/>
  <c r="AH74" i="1" s="1"/>
  <c r="AI74" i="1" s="1"/>
  <c r="AR184" i="1"/>
  <c r="AR108" i="1"/>
  <c r="AH108" i="1" s="1"/>
  <c r="AI108" i="1" s="1"/>
  <c r="AR263" i="1"/>
  <c r="AR36" i="1"/>
  <c r="AH36" i="1" s="1"/>
  <c r="AI36" i="1" s="1"/>
  <c r="AR137" i="1"/>
  <c r="AH137" i="1" s="1"/>
  <c r="AI137" i="1" s="1"/>
  <c r="AR292" i="1"/>
  <c r="AR20" i="1"/>
  <c r="AH20" i="1" s="1"/>
  <c r="AI20" i="1" s="1"/>
  <c r="AR159" i="1"/>
  <c r="AR262" i="1"/>
  <c r="AR86" i="1"/>
  <c r="AH86" i="1" s="1"/>
  <c r="AI86" i="1" s="1"/>
  <c r="AR190" i="1"/>
  <c r="AR102" i="1"/>
  <c r="AH102" i="1" s="1"/>
  <c r="AI102" i="1" s="1"/>
  <c r="AR287" i="1"/>
  <c r="G121" i="1"/>
  <c r="J121" i="1"/>
  <c r="AR118" i="1"/>
  <c r="AH118" i="1" s="1"/>
  <c r="AI118" i="1" s="1"/>
  <c r="AR273" i="1"/>
  <c r="AR76" i="1"/>
  <c r="AH76" i="1" s="1"/>
  <c r="AI76" i="1" s="1"/>
  <c r="AR195" i="1"/>
  <c r="AR97" i="1"/>
  <c r="AH97" i="1" s="1"/>
  <c r="AI97" i="1" s="1"/>
  <c r="AR245" i="1"/>
  <c r="AR132" i="1"/>
  <c r="AH132" i="1" s="1"/>
  <c r="AI132" i="1" s="1"/>
  <c r="AR311" i="1"/>
  <c r="AR59" i="1"/>
  <c r="AR181" i="1"/>
  <c r="AR45" i="1"/>
  <c r="AH45" i="1" s="1"/>
  <c r="AI45" i="1" s="1"/>
  <c r="AR217" i="1"/>
  <c r="AR310" i="1"/>
  <c r="AR117" i="1"/>
  <c r="AH117" i="1" s="1"/>
  <c r="AI117" i="1" s="1"/>
  <c r="AR269" i="1"/>
  <c r="AR7" i="1"/>
  <c r="AH7" i="1" s="1"/>
  <c r="AI7" i="1" s="1"/>
  <c r="AR139" i="1"/>
  <c r="AH139" i="1" s="1"/>
  <c r="AI139" i="1" s="1"/>
  <c r="AR234" i="1"/>
  <c r="AR144" i="1"/>
  <c r="AH144" i="1" s="1"/>
  <c r="AI144" i="1" s="1"/>
  <c r="AR282" i="1"/>
  <c r="AR13" i="1"/>
  <c r="AH13" i="1" s="1"/>
  <c r="AI13" i="1" s="1"/>
  <c r="AR156" i="1"/>
  <c r="AR252" i="1"/>
  <c r="AR113" i="1"/>
  <c r="AH113" i="1" s="1"/>
  <c r="AI113" i="1" s="1"/>
  <c r="AR291" i="1"/>
  <c r="AR135" i="1"/>
  <c r="AH135" i="1" s="1"/>
  <c r="AI135" i="1" s="1"/>
  <c r="AR225" i="1"/>
  <c r="AR34" i="1"/>
  <c r="AH34" i="1" s="1"/>
  <c r="AI34" i="1" s="1"/>
  <c r="AR136" i="1"/>
  <c r="AH136" i="1" s="1"/>
  <c r="AI136" i="1" s="1"/>
  <c r="AR290" i="1"/>
  <c r="AR116" i="1"/>
  <c r="AH116" i="1" s="1"/>
  <c r="AI116" i="1" s="1"/>
  <c r="AR265" i="1"/>
  <c r="AR79" i="1"/>
  <c r="AH79" i="1" s="1"/>
  <c r="AI79" i="1" s="1"/>
  <c r="AR235" i="1"/>
  <c r="AR16" i="1"/>
  <c r="AH16" i="1" s="1"/>
  <c r="AI16" i="1" s="1"/>
  <c r="AR140" i="1"/>
  <c r="AH140" i="1" s="1"/>
  <c r="AI140" i="1" s="1"/>
  <c r="AR248" i="1"/>
  <c r="AR46" i="1"/>
  <c r="AH46" i="1" s="1"/>
  <c r="AI46" i="1" s="1"/>
  <c r="AR188" i="1"/>
  <c r="AR314" i="1"/>
  <c r="AR251" i="1"/>
  <c r="AR22" i="1"/>
  <c r="AH22" i="1" s="1"/>
  <c r="AI22" i="1" s="1"/>
  <c r="AR167" i="1"/>
  <c r="AR264" i="1"/>
  <c r="AR54" i="1"/>
  <c r="AH54" i="1" s="1"/>
  <c r="AI54" i="1" s="1"/>
  <c r="AR186" i="1"/>
  <c r="G57" i="1"/>
  <c r="J57" i="1"/>
  <c r="Z41" i="1"/>
  <c r="AD41" i="1"/>
  <c r="AD142" i="1"/>
  <c r="Z142" i="1"/>
  <c r="Z124" i="1"/>
  <c r="AD124" i="1"/>
  <c r="G96" i="1"/>
  <c r="J96" i="1"/>
  <c r="Z95" i="1"/>
  <c r="AD95" i="1"/>
  <c r="AZ206" i="1"/>
  <c r="BB206" i="1" s="1"/>
  <c r="BB21" i="1"/>
  <c r="Z107" i="1"/>
  <c r="AD107" i="1"/>
  <c r="G24" i="1"/>
  <c r="J24" i="1"/>
  <c r="AZ191" i="1"/>
  <c r="BB191" i="1" s="1"/>
  <c r="BB44" i="1"/>
  <c r="AZ166" i="1"/>
  <c r="BB166" i="1" s="1"/>
  <c r="BB34" i="1"/>
  <c r="AZ211" i="1"/>
  <c r="BB211" i="1" s="1"/>
  <c r="BB20" i="1"/>
  <c r="Z129" i="1"/>
  <c r="AD129" i="1"/>
  <c r="AZ190" i="1"/>
  <c r="BB190" i="1" s="1"/>
  <c r="BB51" i="1"/>
  <c r="AZ165" i="1"/>
  <c r="BB165" i="1" s="1"/>
  <c r="BB33" i="1"/>
  <c r="Z134" i="1"/>
  <c r="AD134" i="1"/>
  <c r="AD136" i="1"/>
  <c r="Z136" i="1"/>
  <c r="G131" i="1"/>
  <c r="J131" i="1"/>
  <c r="Z53" i="1"/>
  <c r="D53" i="1"/>
  <c r="AD53" i="1"/>
  <c r="Z143" i="1"/>
  <c r="AD143" i="1"/>
  <c r="AZ180" i="1"/>
  <c r="BB180" i="1" s="1"/>
  <c r="BB40" i="1"/>
  <c r="AZ163" i="1"/>
  <c r="BB163" i="1" s="1"/>
  <c r="BB32" i="1"/>
  <c r="BB14" i="1"/>
  <c r="AZ209" i="1"/>
  <c r="BB209" i="1" s="1"/>
  <c r="BM98" i="1" a="1"/>
  <c r="BM98" i="1" s="1"/>
  <c r="CK98" i="1" a="1"/>
  <c r="CK98" i="1" s="1"/>
  <c r="DI98" i="1" a="1"/>
  <c r="DI98" i="1" s="1"/>
  <c r="EG98" i="1" a="1"/>
  <c r="EG98" i="1" s="1"/>
  <c r="BD98" i="1" a="1"/>
  <c r="BD98" i="1" s="1"/>
  <c r="CB98" i="1" a="1"/>
  <c r="CB98" i="1" s="1"/>
  <c r="CZ98" i="1" a="1"/>
  <c r="CZ98" i="1" s="1"/>
  <c r="DX98" i="1" a="1"/>
  <c r="DX98" i="1" s="1"/>
  <c r="BS98" i="1" a="1"/>
  <c r="BS98" i="1" s="1"/>
  <c r="CQ98" i="1" a="1"/>
  <c r="CQ98" i="1" s="1"/>
  <c r="DO98" i="1" a="1"/>
  <c r="DO98" i="1" s="1"/>
  <c r="BJ98" i="1" a="1"/>
  <c r="BJ98" i="1" s="1"/>
  <c r="CH98" i="1" a="1"/>
  <c r="CH98" i="1" s="1"/>
  <c r="DF98" i="1" a="1"/>
  <c r="DF98" i="1" s="1"/>
  <c r="ED98" i="1" a="1"/>
  <c r="ED98" i="1" s="1"/>
  <c r="BA98" i="1" a="1"/>
  <c r="BA98" i="1" s="1"/>
  <c r="BY98" i="1" a="1"/>
  <c r="BY98" i="1" s="1"/>
  <c r="CW98" i="1" a="1"/>
  <c r="CW98" i="1" s="1"/>
  <c r="DU98" i="1" a="1"/>
  <c r="DU98" i="1" s="1"/>
  <c r="AW98" i="1" a="1"/>
  <c r="AW98" i="1" s="1"/>
  <c r="BP98" i="1" a="1"/>
  <c r="BP98" i="1" s="1"/>
  <c r="CN98" i="1" a="1"/>
  <c r="CN98" i="1" s="1"/>
  <c r="DL98" i="1" a="1"/>
  <c r="DL98" i="1" s="1"/>
  <c r="EJ98" i="1" a="1"/>
  <c r="EJ98" i="1" s="1"/>
  <c r="BG98" i="1" a="1"/>
  <c r="BG98" i="1" s="1"/>
  <c r="CE98" i="1" a="1"/>
  <c r="CE98" i="1" s="1"/>
  <c r="DC98" i="1" a="1"/>
  <c r="DC98" i="1" s="1"/>
  <c r="EA98" i="1" a="1"/>
  <c r="EA98" i="1" s="1"/>
  <c r="AX98" i="1" a="1"/>
  <c r="AX98" i="1" s="1"/>
  <c r="BV98" i="1" a="1"/>
  <c r="BV98" i="1" s="1"/>
  <c r="CT98" i="1" a="1"/>
  <c r="CT98" i="1" s="1"/>
  <c r="DR98" i="1" a="1"/>
  <c r="DR98" i="1" s="1"/>
  <c r="AZ179" i="1"/>
  <c r="BB179" i="1" s="1"/>
  <c r="BB39" i="1"/>
  <c r="AZ161" i="1"/>
  <c r="BB161" i="1" s="1"/>
  <c r="BB31" i="1"/>
  <c r="G59" i="1"/>
  <c r="J59" i="1"/>
  <c r="Z16" i="1"/>
  <c r="D17" i="1"/>
  <c r="AD16" i="1"/>
  <c r="Z138" i="1"/>
  <c r="AD138" i="1"/>
  <c r="AZ188" i="1"/>
  <c r="BB188" i="1" s="1"/>
  <c r="BB43" i="1"/>
  <c r="AZ178" i="1"/>
  <c r="BB178" i="1" s="1"/>
  <c r="BB38" i="1"/>
  <c r="AZ210" i="1"/>
  <c r="BB210" i="1" s="1"/>
  <c r="BB19" i="1"/>
  <c r="AZ205" i="1"/>
  <c r="BB205" i="1" s="1"/>
  <c r="BB13" i="1"/>
  <c r="Z87" i="1"/>
  <c r="AD87" i="1"/>
  <c r="Z7" i="1"/>
  <c r="AD7" i="1"/>
  <c r="D11" i="1"/>
  <c r="G30" i="1"/>
  <c r="J30" i="1"/>
  <c r="D63" i="1"/>
  <c r="Z63" i="1"/>
  <c r="AD63" i="1"/>
  <c r="AZ185" i="1"/>
  <c r="BB185" i="1" s="1"/>
  <c r="BB42" i="1"/>
  <c r="AZ157" i="1"/>
  <c r="BB157" i="1" s="1"/>
  <c r="BB28" i="1"/>
  <c r="BF4" i="1"/>
  <c r="BC8" i="1" a="1"/>
  <c r="BC8" i="1" s="1"/>
  <c r="BE8" i="1" s="1"/>
  <c r="BC9" i="1" a="1"/>
  <c r="BC9" i="1" s="1"/>
  <c r="BE9" i="1" s="1"/>
  <c r="BC10" i="1" a="1"/>
  <c r="BC10" i="1" s="1"/>
  <c r="BE10" i="1" s="1"/>
  <c r="BC6" i="1" a="1"/>
  <c r="BC6" i="1" s="1"/>
  <c r="BE6" i="1" s="1"/>
  <c r="BC11" i="1" a="1"/>
  <c r="BC11" i="1" s="1"/>
  <c r="BE11" i="1" s="1"/>
  <c r="BC12" i="1" a="1"/>
  <c r="BC12" i="1" s="1"/>
  <c r="BC13" i="1" a="1"/>
  <c r="BC13" i="1" s="1"/>
  <c r="BC14" i="1" a="1"/>
  <c r="BC14" i="1" s="1"/>
  <c r="BC17" i="1" a="1"/>
  <c r="BC17" i="1" s="1"/>
  <c r="BE17" i="1" s="1"/>
  <c r="BC15" i="1" a="1"/>
  <c r="BC15" i="1" s="1"/>
  <c r="BE15" i="1" s="1"/>
  <c r="BC18" i="1" a="1"/>
  <c r="BC18" i="1" s="1"/>
  <c r="BC19" i="1" a="1"/>
  <c r="BC19" i="1" s="1"/>
  <c r="BC20" i="1" a="1"/>
  <c r="BC20" i="1" s="1"/>
  <c r="BC22" i="1" a="1"/>
  <c r="BC22" i="1" s="1"/>
  <c r="BE22" i="1" s="1"/>
  <c r="BC23" i="1" a="1"/>
  <c r="BC23" i="1" s="1"/>
  <c r="BE23" i="1" s="1"/>
  <c r="BC21" i="1" a="1"/>
  <c r="BC21" i="1" s="1"/>
  <c r="BC25" i="1" a="1"/>
  <c r="BC25" i="1" s="1"/>
  <c r="BE25" i="1" s="1"/>
  <c r="BC27" i="1" a="1"/>
  <c r="BC27" i="1" s="1"/>
  <c r="BC28" i="1" a="1"/>
  <c r="BC28" i="1" s="1"/>
  <c r="BC32" i="1" a="1"/>
  <c r="BC32" i="1" s="1"/>
  <c r="BC33" i="1" a="1"/>
  <c r="BC33" i="1" s="1"/>
  <c r="BC34" i="1" a="1"/>
  <c r="BC34" i="1" s="1"/>
  <c r="BC31" i="1" a="1"/>
  <c r="BC31" i="1" s="1"/>
  <c r="BC38" i="1" a="1"/>
  <c r="BC38" i="1" s="1"/>
  <c r="BC39" i="1" a="1"/>
  <c r="BC39" i="1" s="1"/>
  <c r="BC40" i="1" a="1"/>
  <c r="BC40" i="1" s="1"/>
  <c r="BC42" i="1" a="1"/>
  <c r="BC42" i="1" s="1"/>
  <c r="BC36" i="1" a="1"/>
  <c r="BC36" i="1" s="1"/>
  <c r="BC45" i="1" a="1"/>
  <c r="BC45" i="1" s="1"/>
  <c r="BE45" i="1" s="1"/>
  <c r="BC46" i="1" a="1"/>
  <c r="BC46" i="1" s="1"/>
  <c r="BE46" i="1" s="1"/>
  <c r="BC43" i="1" a="1"/>
  <c r="BC43" i="1" s="1"/>
  <c r="BC47" i="1" a="1"/>
  <c r="BC47" i="1" s="1"/>
  <c r="BE47" i="1" s="1"/>
  <c r="BC44" i="1" a="1"/>
  <c r="BC44" i="1" s="1"/>
  <c r="BC48" i="1" a="1"/>
  <c r="BC48" i="1" s="1"/>
  <c r="BE48" i="1" s="1"/>
  <c r="BC54" i="1" a="1"/>
  <c r="BC54" i="1" s="1"/>
  <c r="BE54" i="1" s="1"/>
  <c r="BC49" i="1" a="1"/>
  <c r="BC49" i="1" s="1"/>
  <c r="BE49" i="1" s="1"/>
  <c r="BC55" i="1" a="1"/>
  <c r="BC55" i="1" s="1"/>
  <c r="BE55" i="1" s="1"/>
  <c r="BC50" i="1" a="1"/>
  <c r="BC50" i="1" s="1"/>
  <c r="BE50" i="1" s="1"/>
  <c r="BC52" i="1" a="1"/>
  <c r="BC52" i="1" s="1"/>
  <c r="BE52" i="1" s="1"/>
  <c r="BC56" i="1" a="1"/>
  <c r="BC56" i="1" s="1"/>
  <c r="BE56" i="1" s="1"/>
  <c r="BC51" i="1" a="1"/>
  <c r="BC51" i="1" s="1"/>
  <c r="BC66" i="1"/>
  <c r="BC58" i="1" a="1"/>
  <c r="BC58" i="1" s="1"/>
  <c r="BE58" i="1" s="1"/>
  <c r="BC60" i="1" a="1"/>
  <c r="BC60" i="1" s="1"/>
  <c r="BE60" i="1" s="1"/>
  <c r="BC61" i="1" a="1"/>
  <c r="BC61" i="1" s="1"/>
  <c r="BE61" i="1" s="1"/>
  <c r="BC62" i="1" a="1"/>
  <c r="BC62" i="1" s="1"/>
  <c r="BE62" i="1" s="1"/>
  <c r="BC68" i="1"/>
  <c r="BE68" i="1" s="1"/>
  <c r="BC69" i="1"/>
  <c r="BE69" i="1" s="1"/>
  <c r="BC71" i="1"/>
  <c r="BE71" i="1" s="1"/>
  <c r="BC72" i="1"/>
  <c r="BE72" i="1" s="1"/>
  <c r="BC73" i="1"/>
  <c r="BE73" i="1" s="1"/>
  <c r="BC74" i="1"/>
  <c r="BE74" i="1" s="1"/>
  <c r="BC76" i="1"/>
  <c r="BE76" i="1" s="1"/>
  <c r="BC77" i="1"/>
  <c r="BE77" i="1" s="1"/>
  <c r="BC78" i="1"/>
  <c r="BE78" i="1" s="1"/>
  <c r="BC79" i="1"/>
  <c r="BE79" i="1" s="1"/>
  <c r="BC80" i="1"/>
  <c r="BE80" i="1" s="1"/>
  <c r="BC81" i="1"/>
  <c r="BE81" i="1" s="1"/>
  <c r="BC75" i="1"/>
  <c r="BE75" i="1" s="1"/>
  <c r="BC83" i="1" a="1"/>
  <c r="BC83" i="1" s="1"/>
  <c r="BE83" i="1" s="1"/>
  <c r="BC88" i="1" a="1"/>
  <c r="BC88" i="1" s="1"/>
  <c r="BE88" i="1" s="1"/>
  <c r="BC91" i="1" a="1"/>
  <c r="BC91" i="1" s="1"/>
  <c r="BE91" i="1" s="1"/>
  <c r="BC84" i="1" a="1"/>
  <c r="BC84" i="1" s="1"/>
  <c r="BE84" i="1" s="1"/>
  <c r="BC85" i="1" a="1"/>
  <c r="BC85" i="1" s="1"/>
  <c r="BE85" i="1" s="1"/>
  <c r="BC93" i="1" a="1"/>
  <c r="BC93" i="1" s="1"/>
  <c r="BE93" i="1" s="1"/>
  <c r="BC82" i="1" a="1"/>
  <c r="BC82" i="1" s="1"/>
  <c r="BE82" i="1" s="1"/>
  <c r="BC86" i="1" a="1"/>
  <c r="BC86" i="1" s="1"/>
  <c r="BE86" i="1" s="1"/>
  <c r="BC99" i="1" a="1"/>
  <c r="BC99" i="1" s="1"/>
  <c r="BE99" i="1" s="1"/>
  <c r="BC100" i="1" a="1"/>
  <c r="BC100" i="1" s="1"/>
  <c r="BE100" i="1" s="1"/>
  <c r="BC90" i="1" a="1"/>
  <c r="BC90" i="1" s="1"/>
  <c r="BE90" i="1" s="1"/>
  <c r="BC101" i="1" a="1"/>
  <c r="BC101" i="1" s="1"/>
  <c r="BE101" i="1" s="1"/>
  <c r="BC94" i="1" a="1"/>
  <c r="BC94" i="1" s="1"/>
  <c r="BE94" i="1" s="1"/>
  <c r="BC92" i="1" a="1"/>
  <c r="BC92" i="1" s="1"/>
  <c r="BE92" i="1" s="1"/>
  <c r="BC97" i="1" a="1"/>
  <c r="BC97" i="1" s="1"/>
  <c r="BE97" i="1" s="1"/>
  <c r="BC98" i="1" a="1"/>
  <c r="BC98" i="1" s="1"/>
  <c r="BC110" i="1" a="1"/>
  <c r="BC110" i="1" s="1"/>
  <c r="BE110" i="1" s="1"/>
  <c r="BC118" i="1" a="1"/>
  <c r="BC118" i="1" s="1"/>
  <c r="BE118" i="1" s="1"/>
  <c r="BC103" i="1" a="1"/>
  <c r="BC103" i="1" s="1"/>
  <c r="BE103" i="1" s="1"/>
  <c r="BC111" i="1" a="1"/>
  <c r="BC111" i="1" s="1"/>
  <c r="BE111" i="1" s="1"/>
  <c r="BC119" i="1" a="1"/>
  <c r="BC119" i="1" s="1"/>
  <c r="BE119" i="1" s="1"/>
  <c r="BC102" i="1" a="1"/>
  <c r="BC102" i="1" s="1"/>
  <c r="BE102" i="1" s="1"/>
  <c r="BC104" i="1" a="1"/>
  <c r="BC104" i="1" s="1"/>
  <c r="BE104" i="1" s="1"/>
  <c r="BC112" i="1" a="1"/>
  <c r="BC112" i="1" s="1"/>
  <c r="BE112" i="1" s="1"/>
  <c r="BC120" i="1" a="1"/>
  <c r="BC120" i="1" s="1"/>
  <c r="BE120" i="1" s="1"/>
  <c r="BC105" i="1" a="1"/>
  <c r="BC105" i="1" s="1"/>
  <c r="BE105" i="1" s="1"/>
  <c r="BC113" i="1" a="1"/>
  <c r="BC113" i="1" s="1"/>
  <c r="BE113" i="1" s="1"/>
  <c r="BC106" i="1" a="1"/>
  <c r="BC106" i="1" s="1"/>
  <c r="BE106" i="1" s="1"/>
  <c r="BC115" i="1" a="1"/>
  <c r="BC115" i="1" s="1"/>
  <c r="BE115" i="1" s="1"/>
  <c r="BC108" i="1" a="1"/>
  <c r="BC108" i="1" s="1"/>
  <c r="BE108" i="1" s="1"/>
  <c r="BC116" i="1" a="1"/>
  <c r="BC116" i="1" s="1"/>
  <c r="BE116" i="1" s="1"/>
  <c r="BC109" i="1" a="1"/>
  <c r="BC109" i="1" s="1"/>
  <c r="BE109" i="1" s="1"/>
  <c r="BC117" i="1" a="1"/>
  <c r="BC117" i="1" s="1"/>
  <c r="BE117" i="1" s="1"/>
  <c r="BC125" i="1" a="1"/>
  <c r="BC125" i="1" s="1"/>
  <c r="BE125" i="1" s="1"/>
  <c r="BC133" i="1" a="1"/>
  <c r="BC133" i="1" s="1"/>
  <c r="BE133" i="1" s="1"/>
  <c r="BC127" i="1" a="1"/>
  <c r="BC127" i="1" s="1"/>
  <c r="BE127" i="1" s="1"/>
  <c r="BC128" i="1" a="1"/>
  <c r="BC128" i="1" s="1"/>
  <c r="BE128" i="1" s="1"/>
  <c r="BC121" i="1" a="1"/>
  <c r="BC121" i="1" s="1"/>
  <c r="BE121" i="1" s="1"/>
  <c r="BC122" i="1" a="1"/>
  <c r="BC122" i="1" s="1"/>
  <c r="BE122" i="1" s="1"/>
  <c r="BC130" i="1" a="1"/>
  <c r="BC130" i="1" s="1"/>
  <c r="BE130" i="1" s="1"/>
  <c r="BC123" i="1" a="1"/>
  <c r="BC123" i="1" s="1"/>
  <c r="BE123" i="1" s="1"/>
  <c r="BC140" i="1" a="1"/>
  <c r="BC140" i="1" s="1"/>
  <c r="BE140" i="1" s="1"/>
  <c r="BC141" i="1" a="1"/>
  <c r="BC141" i="1" s="1"/>
  <c r="BE141" i="1" s="1"/>
  <c r="BC135" i="1" a="1"/>
  <c r="BC135" i="1" s="1"/>
  <c r="BE135" i="1" s="1"/>
  <c r="BC137" i="1" a="1"/>
  <c r="BC137" i="1" s="1"/>
  <c r="BE137" i="1" s="1"/>
  <c r="BC139" i="1" a="1"/>
  <c r="BC139" i="1" s="1"/>
  <c r="BE139" i="1" s="1"/>
  <c r="Z35" i="1"/>
  <c r="AD35" i="1"/>
  <c r="G37" i="1"/>
  <c r="J37" i="1"/>
  <c r="G98" i="1"/>
  <c r="J98" i="1"/>
  <c r="AZ98" i="1" a="1"/>
  <c r="AZ98" i="1" s="1"/>
  <c r="AZ172" i="1"/>
  <c r="BB172" i="1" s="1"/>
  <c r="BB36" i="1"/>
  <c r="AZ156" i="1"/>
  <c r="BB156" i="1" s="1"/>
  <c r="BB27" i="1"/>
  <c r="AZ208" i="1"/>
  <c r="BB208" i="1" s="1"/>
  <c r="BB18" i="1"/>
  <c r="AZ204" i="1"/>
  <c r="BB204" i="1" s="1"/>
  <c r="BB12" i="1"/>
  <c r="BC157" i="1" l="1"/>
  <c r="BE157" i="1" s="1"/>
  <c r="BE28" i="1"/>
  <c r="BC210" i="1"/>
  <c r="BE210" i="1" s="1"/>
  <c r="BE19" i="1"/>
  <c r="AX95" i="1" a="1"/>
  <c r="AX95" i="1" s="1"/>
  <c r="BV95" i="1" a="1"/>
  <c r="BV95" i="1" s="1"/>
  <c r="CT95" i="1" a="1"/>
  <c r="CT95" i="1" s="1"/>
  <c r="CK95" i="1" a="1"/>
  <c r="CK95" i="1" s="1"/>
  <c r="CH95" i="1" s="1" a="1"/>
  <c r="CH95" i="1" s="1"/>
  <c r="AZ95" i="1" a="1"/>
  <c r="AZ95" i="1" s="1"/>
  <c r="G143" i="1"/>
  <c r="J143" i="1"/>
  <c r="BC172" i="1"/>
  <c r="BE172" i="1" s="1"/>
  <c r="BE36" i="1"/>
  <c r="BC161" i="1"/>
  <c r="BE161" i="1" s="1"/>
  <c r="BE31" i="1"/>
  <c r="BC156" i="1"/>
  <c r="BE156" i="1" s="1"/>
  <c r="BE27" i="1"/>
  <c r="BC208" i="1"/>
  <c r="BE208" i="1" s="1"/>
  <c r="BE18" i="1"/>
  <c r="G16" i="1"/>
  <c r="J16" i="1"/>
  <c r="BB98" i="1"/>
  <c r="G134" i="1"/>
  <c r="J134" i="1"/>
  <c r="G107" i="1"/>
  <c r="J107" i="1"/>
  <c r="G124" i="1"/>
  <c r="J124" i="1"/>
  <c r="G35" i="1"/>
  <c r="J35" i="1"/>
  <c r="G7" i="1"/>
  <c r="J7" i="1"/>
  <c r="G142" i="1"/>
  <c r="J142" i="1"/>
  <c r="BC190" i="1"/>
  <c r="BE190" i="1" s="1"/>
  <c r="BE51" i="1"/>
  <c r="BC185" i="1"/>
  <c r="BE185" i="1" s="1"/>
  <c r="BE42" i="1"/>
  <c r="BC166" i="1"/>
  <c r="BE166" i="1" s="1"/>
  <c r="BE34" i="1"/>
  <c r="G53" i="1"/>
  <c r="J53" i="1"/>
  <c r="BC191" i="1"/>
  <c r="BE191" i="1" s="1"/>
  <c r="BE44" i="1"/>
  <c r="BC165" i="1"/>
  <c r="BE165" i="1" s="1"/>
  <c r="BE33" i="1"/>
  <c r="BC206" i="1"/>
  <c r="BE206" i="1" s="1"/>
  <c r="BE21" i="1"/>
  <c r="G63" i="1"/>
  <c r="J63" i="1"/>
  <c r="G87" i="1"/>
  <c r="J87" i="1"/>
  <c r="AY98" i="1"/>
  <c r="BE98" i="1"/>
  <c r="BC180" i="1"/>
  <c r="BE180" i="1" s="1"/>
  <c r="BE40" i="1"/>
  <c r="BC163" i="1"/>
  <c r="BE163" i="1" s="1"/>
  <c r="BE32" i="1"/>
  <c r="BC209" i="1"/>
  <c r="BE209" i="1" s="1"/>
  <c r="BE14" i="1"/>
  <c r="G95" i="1"/>
  <c r="J95" i="1"/>
  <c r="G41" i="1"/>
  <c r="J41" i="1"/>
  <c r="BE43" i="1"/>
  <c r="BC188" i="1"/>
  <c r="BE188" i="1" s="1"/>
  <c r="BC179" i="1"/>
  <c r="BE179" i="1" s="1"/>
  <c r="BE39" i="1"/>
  <c r="BE13" i="1"/>
  <c r="BC205" i="1"/>
  <c r="BE205" i="1" s="1"/>
  <c r="BF8" i="1" a="1"/>
  <c r="BF8" i="1" s="1"/>
  <c r="BH8" i="1" s="1"/>
  <c r="BF9" i="1" a="1"/>
  <c r="BF9" i="1" s="1"/>
  <c r="BH9" i="1" s="1"/>
  <c r="BI4" i="1"/>
  <c r="BF6" i="1" a="1"/>
  <c r="BF6" i="1" s="1"/>
  <c r="BH6" i="1" s="1"/>
  <c r="BF13" i="1" a="1"/>
  <c r="BF13" i="1" s="1"/>
  <c r="BF14" i="1" a="1"/>
  <c r="BF14" i="1" s="1"/>
  <c r="BF10" i="1" a="1"/>
  <c r="BF10" i="1" s="1"/>
  <c r="BH10" i="1" s="1"/>
  <c r="BF11" i="1" a="1"/>
  <c r="BF11" i="1" s="1"/>
  <c r="BH11" i="1" s="1"/>
  <c r="BF12" i="1" a="1"/>
  <c r="BF12" i="1" s="1"/>
  <c r="BF15" i="1" a="1"/>
  <c r="BF15" i="1" s="1"/>
  <c r="BH15" i="1" s="1"/>
  <c r="BF17" i="1" a="1"/>
  <c r="BF17" i="1" s="1"/>
  <c r="BH17" i="1" s="1"/>
  <c r="BF19" i="1" a="1"/>
  <c r="BF19" i="1" s="1"/>
  <c r="BF20" i="1" a="1"/>
  <c r="BF20" i="1" s="1"/>
  <c r="BF23" i="1" a="1"/>
  <c r="BF23" i="1" s="1"/>
  <c r="BH23" i="1" s="1"/>
  <c r="BF21" i="1" a="1"/>
  <c r="BF21" i="1" s="1"/>
  <c r="BF18" i="1" a="1"/>
  <c r="BF18" i="1" s="1"/>
  <c r="BF22" i="1" a="1"/>
  <c r="BF22" i="1" s="1"/>
  <c r="BH22" i="1" s="1"/>
  <c r="BF27" i="1" a="1"/>
  <c r="BF27" i="1" s="1"/>
  <c r="BF25" i="1" a="1"/>
  <c r="BF25" i="1" s="1"/>
  <c r="BH25" i="1" s="1"/>
  <c r="BF28" i="1" a="1"/>
  <c r="BF28" i="1" s="1"/>
  <c r="BF31" i="1" a="1"/>
  <c r="BF31" i="1" s="1"/>
  <c r="BF32" i="1" a="1"/>
  <c r="BF32" i="1" s="1"/>
  <c r="BF33" i="1" a="1"/>
  <c r="BF33" i="1" s="1"/>
  <c r="BF36" i="1" a="1"/>
  <c r="BF36" i="1" s="1"/>
  <c r="BF34" i="1" a="1"/>
  <c r="BF34" i="1" s="1"/>
  <c r="BF38" i="1" a="1"/>
  <c r="BF38" i="1" s="1"/>
  <c r="BF39" i="1" a="1"/>
  <c r="BF39" i="1" s="1"/>
  <c r="BF43" i="1" a="1"/>
  <c r="BF43" i="1" s="1"/>
  <c r="BF44" i="1" a="1"/>
  <c r="BF44" i="1" s="1"/>
  <c r="BF40" i="1" a="1"/>
  <c r="BF40" i="1" s="1"/>
  <c r="BF45" i="1" a="1"/>
  <c r="BF45" i="1" s="1"/>
  <c r="BH45" i="1" s="1"/>
  <c r="BF42" i="1" a="1"/>
  <c r="BF42" i="1" s="1"/>
  <c r="BF46" i="1" a="1"/>
  <c r="BF46" i="1" s="1"/>
  <c r="BH46" i="1" s="1"/>
  <c r="BF54" i="1" a="1"/>
  <c r="BF54" i="1" s="1"/>
  <c r="BH54" i="1" s="1"/>
  <c r="BF49" i="1" a="1"/>
  <c r="BF49" i="1" s="1"/>
  <c r="BH49" i="1" s="1"/>
  <c r="BF55" i="1" a="1"/>
  <c r="BF55" i="1" s="1"/>
  <c r="BH55" i="1" s="1"/>
  <c r="BF48" i="1" a="1"/>
  <c r="BF48" i="1" s="1"/>
  <c r="BH48" i="1" s="1"/>
  <c r="BF51" i="1" a="1"/>
  <c r="BF51" i="1" s="1"/>
  <c r="BF50" i="1" a="1"/>
  <c r="BF50" i="1" s="1"/>
  <c r="BH50" i="1" s="1"/>
  <c r="BF52" i="1" a="1"/>
  <c r="BF52" i="1" s="1"/>
  <c r="BH52" i="1" s="1"/>
  <c r="BF47" i="1" a="1"/>
  <c r="BF47" i="1" s="1"/>
  <c r="BH47" i="1" s="1"/>
  <c r="BF56" i="1" a="1"/>
  <c r="BF56" i="1" s="1"/>
  <c r="BH56" i="1" s="1"/>
  <c r="BF66" i="1"/>
  <c r="BF58" i="1" a="1"/>
  <c r="BF58" i="1" s="1"/>
  <c r="BH58" i="1" s="1"/>
  <c r="BF60" i="1" a="1"/>
  <c r="BF60" i="1" s="1"/>
  <c r="BH60" i="1" s="1"/>
  <c r="BF61" i="1" a="1"/>
  <c r="BF61" i="1" s="1"/>
  <c r="BH61" i="1" s="1"/>
  <c r="BF62" i="1" a="1"/>
  <c r="BF62" i="1" s="1"/>
  <c r="BH62" i="1" s="1"/>
  <c r="BF68" i="1" a="1"/>
  <c r="BF68" i="1" s="1"/>
  <c r="BH68" i="1" s="1"/>
  <c r="BF72" i="1" a="1"/>
  <c r="BF72" i="1" s="1"/>
  <c r="BH72" i="1" s="1"/>
  <c r="BF73" i="1" a="1"/>
  <c r="BF73" i="1" s="1"/>
  <c r="BH73" i="1" s="1"/>
  <c r="BF74" i="1" a="1"/>
  <c r="BF74" i="1" s="1"/>
  <c r="BH74" i="1" s="1"/>
  <c r="BF69" i="1" a="1"/>
  <c r="BF69" i="1" s="1"/>
  <c r="BH69" i="1" s="1"/>
  <c r="BF71" i="1" a="1"/>
  <c r="BF71" i="1" s="1"/>
  <c r="BH71" i="1" s="1"/>
  <c r="BF75" i="1" a="1"/>
  <c r="BF75" i="1" s="1"/>
  <c r="BH75" i="1" s="1"/>
  <c r="BF77" i="1" a="1"/>
  <c r="BF77" i="1" s="1"/>
  <c r="BH77" i="1" s="1"/>
  <c r="BF78" i="1" a="1"/>
  <c r="BF78" i="1" s="1"/>
  <c r="BH78" i="1" s="1"/>
  <c r="BF79" i="1" a="1"/>
  <c r="BF79" i="1" s="1"/>
  <c r="BH79" i="1" s="1"/>
  <c r="BF80" i="1" a="1"/>
  <c r="BF80" i="1" s="1"/>
  <c r="BH80" i="1" s="1"/>
  <c r="BF76" i="1" a="1"/>
  <c r="BF76" i="1" s="1"/>
  <c r="BH76" i="1" s="1"/>
  <c r="BF90" i="1" a="1"/>
  <c r="BF90" i="1" s="1"/>
  <c r="BH90" i="1" s="1"/>
  <c r="BF91" i="1" a="1"/>
  <c r="BF91" i="1" s="1"/>
  <c r="BH91" i="1" s="1"/>
  <c r="BF84" i="1" a="1"/>
  <c r="BF84" i="1" s="1"/>
  <c r="BH84" i="1" s="1"/>
  <c r="BF92" i="1" a="1"/>
  <c r="BF92" i="1" s="1"/>
  <c r="BH92" i="1" s="1"/>
  <c r="BF85" i="1" a="1"/>
  <c r="BF85" i="1" s="1"/>
  <c r="BH85" i="1" s="1"/>
  <c r="BF82" i="1" a="1"/>
  <c r="BF82" i="1" s="1"/>
  <c r="BH82" i="1" s="1"/>
  <c r="BF86" i="1" a="1"/>
  <c r="BF86" i="1" s="1"/>
  <c r="BH86" i="1" s="1"/>
  <c r="BF81" i="1" a="1"/>
  <c r="BF81" i="1" s="1"/>
  <c r="BH81" i="1" s="1"/>
  <c r="BF83" i="1" a="1"/>
  <c r="BF83" i="1" s="1"/>
  <c r="BH83" i="1" s="1"/>
  <c r="BF88" i="1" a="1"/>
  <c r="BF88" i="1" s="1"/>
  <c r="BH88" i="1" s="1"/>
  <c r="BF94" i="1" a="1"/>
  <c r="BF94" i="1" s="1"/>
  <c r="BH94" i="1" s="1"/>
  <c r="BF95" i="1" a="1"/>
  <c r="BF95" i="1" s="1"/>
  <c r="BF97" i="1" a="1"/>
  <c r="BF97" i="1" s="1"/>
  <c r="BH97" i="1" s="1"/>
  <c r="BF93" i="1" a="1"/>
  <c r="BF93" i="1" s="1"/>
  <c r="BH93" i="1" s="1"/>
  <c r="BF98" i="1" a="1"/>
  <c r="BF98" i="1" s="1"/>
  <c r="BH98" i="1" s="1"/>
  <c r="BF99" i="1" a="1"/>
  <c r="BF99" i="1" s="1"/>
  <c r="BH99" i="1" s="1"/>
  <c r="BF100" i="1" a="1"/>
  <c r="BF100" i="1" s="1"/>
  <c r="BH100" i="1" s="1"/>
  <c r="BF101" i="1" a="1"/>
  <c r="BF101" i="1" s="1"/>
  <c r="BH101" i="1" s="1"/>
  <c r="BF105" i="1" a="1"/>
  <c r="BF105" i="1" s="1"/>
  <c r="BH105" i="1" s="1"/>
  <c r="BF113" i="1" a="1"/>
  <c r="BF113" i="1" s="1"/>
  <c r="BH113" i="1" s="1"/>
  <c r="BF106" i="1" a="1"/>
  <c r="BF106" i="1" s="1"/>
  <c r="BH106" i="1" s="1"/>
  <c r="BF115" i="1" a="1"/>
  <c r="BF115" i="1" s="1"/>
  <c r="BH115" i="1" s="1"/>
  <c r="BF108" i="1" a="1"/>
  <c r="BF108" i="1" s="1"/>
  <c r="BH108" i="1" s="1"/>
  <c r="BF116" i="1" a="1"/>
  <c r="BF116" i="1" s="1"/>
  <c r="BH116" i="1" s="1"/>
  <c r="BF109" i="1" a="1"/>
  <c r="BF109" i="1" s="1"/>
  <c r="BH109" i="1" s="1"/>
  <c r="BF117" i="1" a="1"/>
  <c r="BF117" i="1" s="1"/>
  <c r="BH117" i="1" s="1"/>
  <c r="BF110" i="1" a="1"/>
  <c r="BF110" i="1" s="1"/>
  <c r="BH110" i="1" s="1"/>
  <c r="BF118" i="1" a="1"/>
  <c r="BF118" i="1" s="1"/>
  <c r="BH118" i="1" s="1"/>
  <c r="BF102" i="1" a="1"/>
  <c r="BF102" i="1" s="1"/>
  <c r="BH102" i="1" s="1"/>
  <c r="BF103" i="1" a="1"/>
  <c r="BF103" i="1" s="1"/>
  <c r="BH103" i="1" s="1"/>
  <c r="BF111" i="1" a="1"/>
  <c r="BF111" i="1" s="1"/>
  <c r="BH111" i="1" s="1"/>
  <c r="BF119" i="1" a="1"/>
  <c r="BF119" i="1" s="1"/>
  <c r="BH119" i="1" s="1"/>
  <c r="BF104" i="1" a="1"/>
  <c r="BF104" i="1" s="1"/>
  <c r="BH104" i="1" s="1"/>
  <c r="BF112" i="1" a="1"/>
  <c r="BF112" i="1" s="1"/>
  <c r="BH112" i="1" s="1"/>
  <c r="BF127" i="1" a="1"/>
  <c r="BF127" i="1" s="1"/>
  <c r="BH127" i="1" s="1"/>
  <c r="BF135" i="1" a="1"/>
  <c r="BF135" i="1" s="1"/>
  <c r="BH135" i="1" s="1"/>
  <c r="BF128" i="1" a="1"/>
  <c r="BF128" i="1" s="1"/>
  <c r="BH128" i="1" s="1"/>
  <c r="BF121" i="1" a="1"/>
  <c r="BF121" i="1" s="1"/>
  <c r="BH121" i="1" s="1"/>
  <c r="BF120" i="1" a="1"/>
  <c r="BF120" i="1" s="1"/>
  <c r="BH120" i="1" s="1"/>
  <c r="BF122" i="1" a="1"/>
  <c r="BF122" i="1" s="1"/>
  <c r="BH122" i="1" s="1"/>
  <c r="BF130" i="1" a="1"/>
  <c r="BF130" i="1" s="1"/>
  <c r="BH130" i="1" s="1"/>
  <c r="BF123" i="1" a="1"/>
  <c r="BF123" i="1" s="1"/>
  <c r="BH123" i="1" s="1"/>
  <c r="BF125" i="1" a="1"/>
  <c r="BF125" i="1" s="1"/>
  <c r="BH125" i="1" s="1"/>
  <c r="BF133" i="1" a="1"/>
  <c r="BF133" i="1" s="1"/>
  <c r="BH133" i="1" s="1"/>
  <c r="BF137" i="1" a="1"/>
  <c r="BF137" i="1" s="1"/>
  <c r="BH137" i="1" s="1"/>
  <c r="BF139" i="1" a="1"/>
  <c r="BF139" i="1" s="1"/>
  <c r="BH139" i="1" s="1"/>
  <c r="BF140" i="1" a="1"/>
  <c r="BF140" i="1" s="1"/>
  <c r="BH140" i="1" s="1"/>
  <c r="BF141" i="1" a="1"/>
  <c r="BF141" i="1" s="1"/>
  <c r="BH141" i="1" s="1"/>
  <c r="G138" i="1"/>
  <c r="J138" i="1"/>
  <c r="G136" i="1"/>
  <c r="J136" i="1"/>
  <c r="BC178" i="1"/>
  <c r="BE178" i="1" s="1"/>
  <c r="BE38" i="1"/>
  <c r="BC211" i="1"/>
  <c r="BE211" i="1" s="1"/>
  <c r="BE20" i="1"/>
  <c r="BE12" i="1"/>
  <c r="BC204" i="1"/>
  <c r="BE204" i="1" s="1"/>
  <c r="G129" i="1"/>
  <c r="J129" i="1"/>
  <c r="DC95" i="1" l="1" a="1"/>
  <c r="DC95" i="1" s="1"/>
  <c r="CE95" i="1" a="1"/>
  <c r="CE95" i="1" s="1"/>
  <c r="DL95" i="1" a="1"/>
  <c r="DL95" i="1" s="1"/>
  <c r="CN95" i="1" a="1"/>
  <c r="CN95" i="1" s="1"/>
  <c r="BP95" i="1" a="1"/>
  <c r="BP95" i="1" s="1"/>
  <c r="CW95" i="1" a="1"/>
  <c r="CW95" i="1" s="1"/>
  <c r="DO95" i="1" a="1"/>
  <c r="DO95" i="1" s="1"/>
  <c r="ED95" i="1" a="1"/>
  <c r="ED95" i="1" s="1"/>
  <c r="CQ95" i="1" a="1"/>
  <c r="CQ95" i="1" s="1"/>
  <c r="DF95" i="1" a="1"/>
  <c r="DF95" i="1" s="1"/>
  <c r="CZ95" i="1" a="1"/>
  <c r="CZ95" i="1" s="1"/>
  <c r="CB95" i="1" a="1"/>
  <c r="CB95" i="1" s="1"/>
  <c r="BD95" i="1" a="1"/>
  <c r="BD95" i="1" s="1"/>
  <c r="DI95" i="1" a="1"/>
  <c r="DI95" i="1" s="1"/>
  <c r="BF185" i="1"/>
  <c r="BH185" i="1" s="1"/>
  <c r="BH42" i="1"/>
  <c r="BF157" i="1"/>
  <c r="BH157" i="1" s="1"/>
  <c r="BH28" i="1"/>
  <c r="BF190" i="1"/>
  <c r="BH190" i="1" s="1"/>
  <c r="BH51" i="1"/>
  <c r="BH34" i="1"/>
  <c r="BF166" i="1"/>
  <c r="BH166" i="1" s="1"/>
  <c r="BF211" i="1"/>
  <c r="BH211" i="1" s="1"/>
  <c r="BH20" i="1"/>
  <c r="BF209" i="1"/>
  <c r="BH209" i="1" s="1"/>
  <c r="BH14" i="1"/>
  <c r="BF172" i="1"/>
  <c r="BH172" i="1" s="1"/>
  <c r="BH36" i="1"/>
  <c r="BF156" i="1"/>
  <c r="BH156" i="1" s="1"/>
  <c r="BH27" i="1"/>
  <c r="BF210" i="1"/>
  <c r="BH210" i="1" s="1"/>
  <c r="BH19" i="1"/>
  <c r="BH13" i="1"/>
  <c r="BF205" i="1"/>
  <c r="BH205" i="1" s="1"/>
  <c r="BC95" i="1" a="1"/>
  <c r="BC95" i="1" s="1"/>
  <c r="BE95" i="1" s="1"/>
  <c r="EG95" i="1" a="1"/>
  <c r="EG95" i="1" s="1"/>
  <c r="EA95" i="1" a="1"/>
  <c r="EA95" i="1" s="1"/>
  <c r="AW95" i="1" a="1"/>
  <c r="AW95" i="1" s="1"/>
  <c r="AY95" i="1" s="1"/>
  <c r="BJ95" i="1" a="1"/>
  <c r="BJ95" i="1" s="1"/>
  <c r="BF178" i="1"/>
  <c r="BH178" i="1" s="1"/>
  <c r="BH38" i="1"/>
  <c r="BF206" i="1"/>
  <c r="BH206" i="1" s="1"/>
  <c r="BH21" i="1"/>
  <c r="BF180" i="1"/>
  <c r="BH180" i="1" s="1"/>
  <c r="BH40" i="1"/>
  <c r="BF191" i="1"/>
  <c r="BH191" i="1" s="1"/>
  <c r="BH44" i="1"/>
  <c r="BF165" i="1"/>
  <c r="BH165" i="1" s="1"/>
  <c r="BH33" i="1"/>
  <c r="DU95" i="1" a="1"/>
  <c r="DU95" i="1" s="1"/>
  <c r="BF188" i="1"/>
  <c r="BH188" i="1" s="1"/>
  <c r="BH43" i="1"/>
  <c r="BF163" i="1"/>
  <c r="BH163" i="1" s="1"/>
  <c r="BH32" i="1"/>
  <c r="BL4" i="1"/>
  <c r="BI8" i="1" a="1"/>
  <c r="BI8" i="1" s="1"/>
  <c r="BK8" i="1" s="1"/>
  <c r="BI9" i="1" a="1"/>
  <c r="BI9" i="1" s="1"/>
  <c r="BK9" i="1" s="1"/>
  <c r="BI6" i="1" a="1"/>
  <c r="BI6" i="1" s="1"/>
  <c r="BK6" i="1" s="1"/>
  <c r="BI10" i="1" a="1"/>
  <c r="BI10" i="1" s="1"/>
  <c r="BK10" i="1" s="1"/>
  <c r="BI11" i="1" a="1"/>
  <c r="BI11" i="1" s="1"/>
  <c r="BK11" i="1" s="1"/>
  <c r="BI12" i="1" a="1"/>
  <c r="BI12" i="1" s="1"/>
  <c r="BI13" i="1" a="1"/>
  <c r="BI13" i="1" s="1"/>
  <c r="BI14" i="1" a="1"/>
  <c r="BI14" i="1" s="1"/>
  <c r="BI17" i="1" a="1"/>
  <c r="BI17" i="1" s="1"/>
  <c r="BK17" i="1" s="1"/>
  <c r="BI18" i="1" a="1"/>
  <c r="BI18" i="1" s="1"/>
  <c r="BI15" i="1" a="1"/>
  <c r="BI15" i="1" s="1"/>
  <c r="BK15" i="1" s="1"/>
  <c r="BI19" i="1" a="1"/>
  <c r="BI19" i="1" s="1"/>
  <c r="BI20" i="1" a="1"/>
  <c r="BI20" i="1" s="1"/>
  <c r="BI22" i="1" a="1"/>
  <c r="BI22" i="1" s="1"/>
  <c r="BK22" i="1" s="1"/>
  <c r="BI21" i="1" a="1"/>
  <c r="BI21" i="1" s="1"/>
  <c r="BI23" i="1" a="1"/>
  <c r="BI23" i="1" s="1"/>
  <c r="BK23" i="1" s="1"/>
  <c r="BI25" i="1" a="1"/>
  <c r="BI25" i="1" s="1"/>
  <c r="BK25" i="1" s="1"/>
  <c r="BI27" i="1" a="1"/>
  <c r="BI27" i="1" s="1"/>
  <c r="BI28" i="1" a="1"/>
  <c r="BI28" i="1" s="1"/>
  <c r="BI32" i="1" a="1"/>
  <c r="BI32" i="1" s="1"/>
  <c r="BI33" i="1" a="1"/>
  <c r="BI33" i="1" s="1"/>
  <c r="BI31" i="1" a="1"/>
  <c r="BI31" i="1" s="1"/>
  <c r="BI38" i="1" a="1"/>
  <c r="BI38" i="1" s="1"/>
  <c r="BI39" i="1" a="1"/>
  <c r="BI39" i="1" s="1"/>
  <c r="BI40" i="1" a="1"/>
  <c r="BI40" i="1" s="1"/>
  <c r="BI42" i="1" a="1"/>
  <c r="BI42" i="1" s="1"/>
  <c r="BI34" i="1" a="1"/>
  <c r="BI34" i="1" s="1"/>
  <c r="BI44" i="1" a="1"/>
  <c r="BI44" i="1" s="1"/>
  <c r="BI36" i="1" a="1"/>
  <c r="BI36" i="1" s="1"/>
  <c r="BI45" i="1" a="1"/>
  <c r="BI45" i="1" s="1"/>
  <c r="BK45" i="1" s="1"/>
  <c r="BI49" i="1" a="1"/>
  <c r="BI49" i="1" s="1"/>
  <c r="BK49" i="1" s="1"/>
  <c r="BI46" i="1" a="1"/>
  <c r="BI46" i="1" s="1"/>
  <c r="BK46" i="1" s="1"/>
  <c r="BI43" i="1" a="1"/>
  <c r="BI43" i="1" s="1"/>
  <c r="BI47" i="1" a="1"/>
  <c r="BI47" i="1" s="1"/>
  <c r="BK47" i="1" s="1"/>
  <c r="BI51" i="1" a="1"/>
  <c r="BI51" i="1" s="1"/>
  <c r="BI50" i="1" a="1"/>
  <c r="BI50" i="1" s="1"/>
  <c r="BK50" i="1" s="1"/>
  <c r="BI52" i="1" a="1"/>
  <c r="BI52" i="1" s="1"/>
  <c r="BK52" i="1" s="1"/>
  <c r="BI48" i="1" a="1"/>
  <c r="BI48" i="1" s="1"/>
  <c r="BK48" i="1" s="1"/>
  <c r="BI54" i="1" a="1"/>
  <c r="BI54" i="1" s="1"/>
  <c r="BK54" i="1" s="1"/>
  <c r="BI55" i="1" a="1"/>
  <c r="BI55" i="1" s="1"/>
  <c r="BK55" i="1" s="1"/>
  <c r="BI66" i="1"/>
  <c r="BI58" i="1" a="1"/>
  <c r="BI58" i="1" s="1"/>
  <c r="BK58" i="1" s="1"/>
  <c r="BI60" i="1" a="1"/>
  <c r="BI60" i="1" s="1"/>
  <c r="BK60" i="1" s="1"/>
  <c r="BI61" i="1" a="1"/>
  <c r="BI61" i="1" s="1"/>
  <c r="BK61" i="1" s="1"/>
  <c r="BI62" i="1" a="1"/>
  <c r="BI62" i="1" s="1"/>
  <c r="BK62" i="1" s="1"/>
  <c r="BI56" i="1" a="1"/>
  <c r="BI56" i="1" s="1"/>
  <c r="BK56" i="1" s="1"/>
  <c r="BI68" i="1" a="1"/>
  <c r="BI68" i="1" s="1"/>
  <c r="BK68" i="1" s="1"/>
  <c r="BI72" i="1" a="1"/>
  <c r="BI72" i="1" s="1"/>
  <c r="BK72" i="1" s="1"/>
  <c r="BI73" i="1" a="1"/>
  <c r="BI73" i="1" s="1"/>
  <c r="BK73" i="1" s="1"/>
  <c r="BI69" i="1" a="1"/>
  <c r="BI69" i="1" s="1"/>
  <c r="BK69" i="1" s="1"/>
  <c r="BI71" i="1" a="1"/>
  <c r="BI71" i="1" s="1"/>
  <c r="BK71" i="1" s="1"/>
  <c r="BI76" i="1" a="1"/>
  <c r="BI76" i="1" s="1"/>
  <c r="BK76" i="1" s="1"/>
  <c r="BI74" i="1" a="1"/>
  <c r="BI74" i="1" s="1"/>
  <c r="BK74" i="1" s="1"/>
  <c r="BI75" i="1" a="1"/>
  <c r="BI75" i="1" s="1"/>
  <c r="BK75" i="1" s="1"/>
  <c r="BI77" i="1" a="1"/>
  <c r="BI77" i="1" s="1"/>
  <c r="BK77" i="1" s="1"/>
  <c r="BI78" i="1" a="1"/>
  <c r="BI78" i="1" s="1"/>
  <c r="BK78" i="1" s="1"/>
  <c r="BI79" i="1" a="1"/>
  <c r="BI79" i="1" s="1"/>
  <c r="BK79" i="1" s="1"/>
  <c r="BI80" i="1" a="1"/>
  <c r="BI80" i="1" s="1"/>
  <c r="BK80" i="1" s="1"/>
  <c r="BI81" i="1" a="1"/>
  <c r="BI81" i="1" s="1"/>
  <c r="BK81" i="1" s="1"/>
  <c r="BI85" i="1" a="1"/>
  <c r="BI85" i="1" s="1"/>
  <c r="BK85" i="1" s="1"/>
  <c r="BI82" i="1" a="1"/>
  <c r="BI82" i="1" s="1"/>
  <c r="BK82" i="1" s="1"/>
  <c r="BI83" i="1" a="1"/>
  <c r="BI83" i="1" s="1"/>
  <c r="BK83" i="1" s="1"/>
  <c r="BI86" i="1" a="1"/>
  <c r="BI86" i="1" s="1"/>
  <c r="BK86" i="1" s="1"/>
  <c r="BI88" i="1" a="1"/>
  <c r="BI88" i="1" s="1"/>
  <c r="BK88" i="1" s="1"/>
  <c r="BI90" i="1" a="1"/>
  <c r="BI90" i="1" s="1"/>
  <c r="BK90" i="1" s="1"/>
  <c r="BI91" i="1" a="1"/>
  <c r="BI91" i="1" s="1"/>
  <c r="BK91" i="1" s="1"/>
  <c r="BI84" i="1" a="1"/>
  <c r="BI84" i="1" s="1"/>
  <c r="BK84" i="1" s="1"/>
  <c r="BI93" i="1" a="1"/>
  <c r="BI93" i="1" s="1"/>
  <c r="BK93" i="1" s="1"/>
  <c r="BI97" i="1" a="1"/>
  <c r="BI97" i="1" s="1"/>
  <c r="BK97" i="1" s="1"/>
  <c r="BI98" i="1" a="1"/>
  <c r="BI98" i="1" s="1"/>
  <c r="BK98" i="1" s="1"/>
  <c r="BI99" i="1" a="1"/>
  <c r="BI99" i="1" s="1"/>
  <c r="BK99" i="1" s="1"/>
  <c r="BI92" i="1" a="1"/>
  <c r="BI92" i="1" s="1"/>
  <c r="BK92" i="1" s="1"/>
  <c r="BI100" i="1" a="1"/>
  <c r="BI100" i="1" s="1"/>
  <c r="BK100" i="1" s="1"/>
  <c r="BI101" i="1" a="1"/>
  <c r="BI101" i="1" s="1"/>
  <c r="BK101" i="1" s="1"/>
  <c r="BI94" i="1" a="1"/>
  <c r="BI94" i="1" s="1"/>
  <c r="BK94" i="1" s="1"/>
  <c r="BI95" i="1" a="1"/>
  <c r="BI95" i="1" s="1"/>
  <c r="BI108" i="1" a="1"/>
  <c r="BI108" i="1" s="1"/>
  <c r="BK108" i="1" s="1"/>
  <c r="BI116" i="1" a="1"/>
  <c r="BI116" i="1" s="1"/>
  <c r="BK116" i="1" s="1"/>
  <c r="BI109" i="1" a="1"/>
  <c r="BI109" i="1" s="1"/>
  <c r="BK109" i="1" s="1"/>
  <c r="BI117" i="1" a="1"/>
  <c r="BI117" i="1" s="1"/>
  <c r="BK117" i="1" s="1"/>
  <c r="BI102" i="1" a="1"/>
  <c r="BI102" i="1" s="1"/>
  <c r="BK102" i="1" s="1"/>
  <c r="BI110" i="1" a="1"/>
  <c r="BI110" i="1" s="1"/>
  <c r="BK110" i="1" s="1"/>
  <c r="BI118" i="1" a="1"/>
  <c r="BI118" i="1" s="1"/>
  <c r="BK118" i="1" s="1"/>
  <c r="BI103" i="1" a="1"/>
  <c r="BI103" i="1" s="1"/>
  <c r="BK103" i="1" s="1"/>
  <c r="BI111" i="1" a="1"/>
  <c r="BI111" i="1" s="1"/>
  <c r="BK111" i="1" s="1"/>
  <c r="BI119" i="1" a="1"/>
  <c r="BI119" i="1" s="1"/>
  <c r="BK119" i="1" s="1"/>
  <c r="BI104" i="1" a="1"/>
  <c r="BI104" i="1" s="1"/>
  <c r="BK104" i="1" s="1"/>
  <c r="BI112" i="1" a="1"/>
  <c r="BI112" i="1" s="1"/>
  <c r="BK112" i="1" s="1"/>
  <c r="BI120" i="1" a="1"/>
  <c r="BI120" i="1" s="1"/>
  <c r="BK120" i="1" s="1"/>
  <c r="BI105" i="1" a="1"/>
  <c r="BI105" i="1" s="1"/>
  <c r="BK105" i="1" s="1"/>
  <c r="BI113" i="1" a="1"/>
  <c r="BI113" i="1" s="1"/>
  <c r="BK113" i="1" s="1"/>
  <c r="BI106" i="1" a="1"/>
  <c r="BI106" i="1" s="1"/>
  <c r="BK106" i="1" s="1"/>
  <c r="BI115" i="1" a="1"/>
  <c r="BI115" i="1" s="1"/>
  <c r="BK115" i="1" s="1"/>
  <c r="BI122" i="1" a="1"/>
  <c r="BI122" i="1" s="1"/>
  <c r="BK122" i="1" s="1"/>
  <c r="BI130" i="1" a="1"/>
  <c r="BI130" i="1" s="1"/>
  <c r="BK130" i="1" s="1"/>
  <c r="BI123" i="1" a="1"/>
  <c r="BI123" i="1" s="1"/>
  <c r="BK123" i="1" s="1"/>
  <c r="BI125" i="1" a="1"/>
  <c r="BI125" i="1" s="1"/>
  <c r="BK125" i="1" s="1"/>
  <c r="BI127" i="1" a="1"/>
  <c r="BI127" i="1" s="1"/>
  <c r="BK127" i="1" s="1"/>
  <c r="BI128" i="1" a="1"/>
  <c r="BI128" i="1" s="1"/>
  <c r="BK128" i="1" s="1"/>
  <c r="BI121" i="1" a="1"/>
  <c r="BI121" i="1" s="1"/>
  <c r="BK121" i="1" s="1"/>
  <c r="BI135" i="1" a="1"/>
  <c r="BI135" i="1" s="1"/>
  <c r="BK135" i="1" s="1"/>
  <c r="BI139" i="1" a="1"/>
  <c r="BI139" i="1" s="1"/>
  <c r="BK139" i="1" s="1"/>
  <c r="BI140" i="1" a="1"/>
  <c r="BI140" i="1" s="1"/>
  <c r="BK140" i="1" s="1"/>
  <c r="BI141" i="1" a="1"/>
  <c r="BI141" i="1" s="1"/>
  <c r="BK141" i="1" s="1"/>
  <c r="BI133" i="1" a="1"/>
  <c r="BI133" i="1" s="1"/>
  <c r="BK133" i="1" s="1"/>
  <c r="BI137" i="1" a="1"/>
  <c r="BI137" i="1" s="1"/>
  <c r="BK137" i="1" s="1"/>
  <c r="BF161" i="1"/>
  <c r="BH161" i="1" s="1"/>
  <c r="BH31" i="1"/>
  <c r="BH18" i="1"/>
  <c r="BF208" i="1"/>
  <c r="BH208" i="1" s="1"/>
  <c r="BS95" i="1" a="1"/>
  <c r="BS95" i="1" s="1"/>
  <c r="BM95" i="1" a="1"/>
  <c r="BM95" i="1" s="1"/>
  <c r="BG95" i="1" a="1"/>
  <c r="BG95" i="1" s="1"/>
  <c r="BH95" i="1" s="1"/>
  <c r="BY95" i="1" a="1"/>
  <c r="BY95" i="1" s="1"/>
  <c r="BF179" i="1"/>
  <c r="BH179" i="1" s="1"/>
  <c r="BH39" i="1"/>
  <c r="BF204" i="1"/>
  <c r="BH204" i="1" s="1"/>
  <c r="BH12" i="1"/>
  <c r="DX95" i="1" a="1"/>
  <c r="DX95" i="1" s="1"/>
  <c r="DR95" i="1" a="1"/>
  <c r="DR95" i="1" s="1"/>
  <c r="EJ95" i="1" a="1"/>
  <c r="EJ95" i="1" s="1"/>
  <c r="BA95" i="1" a="1"/>
  <c r="BA95" i="1" s="1"/>
  <c r="BB95" i="1" s="1"/>
  <c r="BI157" i="1" l="1"/>
  <c r="BK157" i="1" s="1"/>
  <c r="BK28" i="1"/>
  <c r="BI172" i="1"/>
  <c r="BK172" i="1" s="1"/>
  <c r="BK36" i="1"/>
  <c r="BI156" i="1"/>
  <c r="BK156" i="1" s="1"/>
  <c r="BK27" i="1"/>
  <c r="BI191" i="1"/>
  <c r="BK191" i="1" s="1"/>
  <c r="BK44" i="1"/>
  <c r="BI190" i="1"/>
  <c r="BK190" i="1" s="1"/>
  <c r="BK51" i="1"/>
  <c r="BI166" i="1"/>
  <c r="BK166" i="1" s="1"/>
  <c r="BK34" i="1"/>
  <c r="BI161" i="1"/>
  <c r="BK161" i="1" s="1"/>
  <c r="BK31" i="1"/>
  <c r="BI208" i="1"/>
  <c r="BK208" i="1" s="1"/>
  <c r="BK18" i="1"/>
  <c r="BK38" i="1"/>
  <c r="BI178" i="1"/>
  <c r="BK178" i="1" s="1"/>
  <c r="BI210" i="1"/>
  <c r="BK210" i="1" s="1"/>
  <c r="BK19" i="1"/>
  <c r="BI165" i="1"/>
  <c r="BK165" i="1" s="1"/>
  <c r="BK33" i="1"/>
  <c r="BK95" i="1"/>
  <c r="BI211" i="1"/>
  <c r="BK211" i="1" s="1"/>
  <c r="BK20" i="1"/>
  <c r="BI188" i="1"/>
  <c r="BK188" i="1" s="1"/>
  <c r="BK43" i="1"/>
  <c r="BI185" i="1"/>
  <c r="BK185" i="1" s="1"/>
  <c r="BK42" i="1"/>
  <c r="BI163" i="1"/>
  <c r="BK163" i="1" s="1"/>
  <c r="BK32" i="1"/>
  <c r="BK39" i="1"/>
  <c r="BI179" i="1"/>
  <c r="BK179" i="1" s="1"/>
  <c r="BI206" i="1"/>
  <c r="BK206" i="1" s="1"/>
  <c r="BK21" i="1"/>
  <c r="BI209" i="1"/>
  <c r="BK209" i="1" s="1"/>
  <c r="BK14" i="1"/>
  <c r="BI204" i="1"/>
  <c r="BK204" i="1" s="1"/>
  <c r="BK12" i="1"/>
  <c r="BI180" i="1"/>
  <c r="BK180" i="1" s="1"/>
  <c r="BK40" i="1"/>
  <c r="BI205" i="1"/>
  <c r="BK205" i="1" s="1"/>
  <c r="BK13" i="1"/>
  <c r="BL8" i="1" a="1"/>
  <c r="BL8" i="1" s="1"/>
  <c r="BN8" i="1" s="1"/>
  <c r="BL9" i="1" a="1"/>
  <c r="BL9" i="1" s="1"/>
  <c r="BN9" i="1" s="1"/>
  <c r="BO4" i="1"/>
  <c r="BL6" i="1" a="1"/>
  <c r="BL6" i="1" s="1"/>
  <c r="BN6" i="1" s="1"/>
  <c r="BL12" i="1" a="1"/>
  <c r="BL12" i="1" s="1"/>
  <c r="BL13" i="1" a="1"/>
  <c r="BL13" i="1" s="1"/>
  <c r="BL14" i="1" a="1"/>
  <c r="BL14" i="1" s="1"/>
  <c r="BL10" i="1" a="1"/>
  <c r="BL10" i="1" s="1"/>
  <c r="BN10" i="1" s="1"/>
  <c r="BL11" i="1" a="1"/>
  <c r="BL11" i="1" s="1"/>
  <c r="BN11" i="1" s="1"/>
  <c r="BL17" i="1" a="1"/>
  <c r="BL17" i="1" s="1"/>
  <c r="BN17" i="1" s="1"/>
  <c r="BL15" i="1" a="1"/>
  <c r="BL15" i="1" s="1"/>
  <c r="BN15" i="1" s="1"/>
  <c r="BL18" i="1" a="1"/>
  <c r="BL18" i="1" s="1"/>
  <c r="BL19" i="1" a="1"/>
  <c r="BL19" i="1" s="1"/>
  <c r="BL20" i="1" a="1"/>
  <c r="BL20" i="1" s="1"/>
  <c r="BL21" i="1" a="1"/>
  <c r="BL21" i="1" s="1"/>
  <c r="BL22" i="1" a="1"/>
  <c r="BL22" i="1" s="1"/>
  <c r="BN22" i="1" s="1"/>
  <c r="BL23" i="1" a="1"/>
  <c r="BL23" i="1" s="1"/>
  <c r="BN23" i="1" s="1"/>
  <c r="BL25" i="1" a="1"/>
  <c r="BL25" i="1" s="1"/>
  <c r="BN25" i="1" s="1"/>
  <c r="BL27" i="1" a="1"/>
  <c r="BL27" i="1" s="1"/>
  <c r="BL28" i="1" a="1"/>
  <c r="BL28" i="1" s="1"/>
  <c r="BL32" i="1" a="1"/>
  <c r="BL32" i="1" s="1"/>
  <c r="BL33" i="1" a="1"/>
  <c r="BL33" i="1" s="1"/>
  <c r="BL34" i="1" a="1"/>
  <c r="BL34" i="1" s="1"/>
  <c r="BL31" i="1" a="1"/>
  <c r="BL31" i="1" s="1"/>
  <c r="BL36" i="1" a="1"/>
  <c r="BL36" i="1" s="1"/>
  <c r="BL38" i="1" a="1"/>
  <c r="BL38" i="1" s="1"/>
  <c r="BL39" i="1" a="1"/>
  <c r="BL39" i="1" s="1"/>
  <c r="BL46" i="1" a="1"/>
  <c r="BL46" i="1" s="1"/>
  <c r="BN46" i="1" s="1"/>
  <c r="BL40" i="1" a="1"/>
  <c r="BL40" i="1" s="1"/>
  <c r="BL43" i="1" a="1"/>
  <c r="BL43" i="1" s="1"/>
  <c r="BL44" i="1" a="1"/>
  <c r="BL44" i="1" s="1"/>
  <c r="BL42" i="1" a="1"/>
  <c r="BL42" i="1" s="1"/>
  <c r="BL45" i="1" a="1"/>
  <c r="BL45" i="1" s="1"/>
  <c r="BN45" i="1" s="1"/>
  <c r="BL49" i="1" a="1"/>
  <c r="BL49" i="1" s="1"/>
  <c r="BN49" i="1" s="1"/>
  <c r="BL48" i="1" a="1"/>
  <c r="BL48" i="1" s="1"/>
  <c r="BN48" i="1" s="1"/>
  <c r="BL54" i="1" a="1"/>
  <c r="BL54" i="1" s="1"/>
  <c r="BN54" i="1" s="1"/>
  <c r="BL47" i="1" a="1"/>
  <c r="BL47" i="1" s="1"/>
  <c r="BN47" i="1" s="1"/>
  <c r="BL55" i="1" a="1"/>
  <c r="BL55" i="1" s="1"/>
  <c r="BN55" i="1" s="1"/>
  <c r="BL51" i="1" a="1"/>
  <c r="BL51" i="1" s="1"/>
  <c r="BL58" i="1" a="1"/>
  <c r="BL58" i="1" s="1"/>
  <c r="BN58" i="1" s="1"/>
  <c r="BL60" i="1" a="1"/>
  <c r="BL60" i="1" s="1"/>
  <c r="BN60" i="1" s="1"/>
  <c r="BL61" i="1" a="1"/>
  <c r="BL61" i="1" s="1"/>
  <c r="BN61" i="1" s="1"/>
  <c r="BL62" i="1" a="1"/>
  <c r="BL62" i="1" s="1"/>
  <c r="BN62" i="1" s="1"/>
  <c r="BL52" i="1" a="1"/>
  <c r="BL52" i="1" s="1"/>
  <c r="BN52" i="1" s="1"/>
  <c r="BL50" i="1" a="1"/>
  <c r="BL50" i="1" s="1"/>
  <c r="BN50" i="1" s="1"/>
  <c r="BL56" i="1" a="1"/>
  <c r="BL56" i="1" s="1"/>
  <c r="BN56" i="1" s="1"/>
  <c r="BL68" i="1" a="1"/>
  <c r="BL68" i="1" s="1"/>
  <c r="BN68" i="1" s="1"/>
  <c r="BL72" i="1" a="1"/>
  <c r="BL72" i="1" s="1"/>
  <c r="BN72" i="1" s="1"/>
  <c r="BL73" i="1" a="1"/>
  <c r="BL73" i="1" s="1"/>
  <c r="BN73" i="1" s="1"/>
  <c r="BL69" i="1" a="1"/>
  <c r="BL69" i="1" s="1"/>
  <c r="BN69" i="1" s="1"/>
  <c r="BL71" i="1" a="1"/>
  <c r="BL71" i="1" s="1"/>
  <c r="BN71" i="1" s="1"/>
  <c r="BL66" i="1"/>
  <c r="BL74" i="1" a="1"/>
  <c r="BL74" i="1" s="1"/>
  <c r="BN74" i="1" s="1"/>
  <c r="BL75" i="1" a="1"/>
  <c r="BL75" i="1" s="1"/>
  <c r="BN75" i="1" s="1"/>
  <c r="BL77" i="1" a="1"/>
  <c r="BL77" i="1" s="1"/>
  <c r="BN77" i="1" s="1"/>
  <c r="BL78" i="1" a="1"/>
  <c r="BL78" i="1" s="1"/>
  <c r="BN78" i="1" s="1"/>
  <c r="BL79" i="1" a="1"/>
  <c r="BL79" i="1" s="1"/>
  <c r="BN79" i="1" s="1"/>
  <c r="BL80" i="1" a="1"/>
  <c r="BL80" i="1" s="1"/>
  <c r="BN80" i="1" s="1"/>
  <c r="BL82" i="1" a="1"/>
  <c r="BL82" i="1" s="1"/>
  <c r="BN82" i="1" s="1"/>
  <c r="BL76" i="1" a="1"/>
  <c r="BL76" i="1" s="1"/>
  <c r="BN76" i="1" s="1"/>
  <c r="BL88" i="1" a="1"/>
  <c r="BL88" i="1" s="1"/>
  <c r="BN88" i="1" s="1"/>
  <c r="BL90" i="1" a="1"/>
  <c r="BL90" i="1" s="1"/>
  <c r="BN90" i="1" s="1"/>
  <c r="BL84" i="1" a="1"/>
  <c r="BL84" i="1" s="1"/>
  <c r="BN84" i="1" s="1"/>
  <c r="BL92" i="1" a="1"/>
  <c r="BL92" i="1" s="1"/>
  <c r="BN92" i="1" s="1"/>
  <c r="BL81" i="1" a="1"/>
  <c r="BL81" i="1" s="1"/>
  <c r="BN81" i="1" s="1"/>
  <c r="BL83" i="1" a="1"/>
  <c r="BL83" i="1" s="1"/>
  <c r="BN83" i="1" s="1"/>
  <c r="BL85" i="1" a="1"/>
  <c r="BL85" i="1" s="1"/>
  <c r="BN85" i="1" s="1"/>
  <c r="BL86" i="1" a="1"/>
  <c r="BL86" i="1" s="1"/>
  <c r="BN86" i="1" s="1"/>
  <c r="BL100" i="1" a="1"/>
  <c r="BL100" i="1" s="1"/>
  <c r="BN100" i="1" s="1"/>
  <c r="BL101" i="1" a="1"/>
  <c r="BL101" i="1" s="1"/>
  <c r="BN101" i="1" s="1"/>
  <c r="BL94" i="1" a="1"/>
  <c r="BL94" i="1" s="1"/>
  <c r="BN94" i="1" s="1"/>
  <c r="BL95" i="1" a="1"/>
  <c r="BL95" i="1" s="1"/>
  <c r="BN95" i="1" s="1"/>
  <c r="BL91" i="1" a="1"/>
  <c r="BL91" i="1" s="1"/>
  <c r="BN91" i="1" s="1"/>
  <c r="BL93" i="1" a="1"/>
  <c r="BL93" i="1" s="1"/>
  <c r="BN93" i="1" s="1"/>
  <c r="BL97" i="1" a="1"/>
  <c r="BL97" i="1" s="1"/>
  <c r="BN97" i="1" s="1"/>
  <c r="BL98" i="1" a="1"/>
  <c r="BL98" i="1" s="1"/>
  <c r="BN98" i="1" s="1"/>
  <c r="BL99" i="1" a="1"/>
  <c r="BL99" i="1" s="1"/>
  <c r="BN99" i="1" s="1"/>
  <c r="BL103" i="1" a="1"/>
  <c r="BL103" i="1" s="1"/>
  <c r="BN103" i="1" s="1"/>
  <c r="BL111" i="1" a="1"/>
  <c r="BL111" i="1" s="1"/>
  <c r="BN111" i="1" s="1"/>
  <c r="BL119" i="1" a="1"/>
  <c r="BL119" i="1" s="1"/>
  <c r="BN119" i="1" s="1"/>
  <c r="BL104" i="1" a="1"/>
  <c r="BL104" i="1" s="1"/>
  <c r="BN104" i="1" s="1"/>
  <c r="BL112" i="1" a="1"/>
  <c r="BL112" i="1" s="1"/>
  <c r="BN112" i="1" s="1"/>
  <c r="BL105" i="1" a="1"/>
  <c r="BL105" i="1" s="1"/>
  <c r="BN105" i="1" s="1"/>
  <c r="BL113" i="1" a="1"/>
  <c r="BL113" i="1" s="1"/>
  <c r="BN113" i="1" s="1"/>
  <c r="BL106" i="1" a="1"/>
  <c r="BL106" i="1" s="1"/>
  <c r="BN106" i="1" s="1"/>
  <c r="BL107" i="1" a="1"/>
  <c r="BL107" i="1" s="1"/>
  <c r="BL115" i="1" a="1"/>
  <c r="BL115" i="1" s="1"/>
  <c r="BN115" i="1" s="1"/>
  <c r="BL108" i="1" a="1"/>
  <c r="BL108" i="1" s="1"/>
  <c r="BN108" i="1" s="1"/>
  <c r="BL116" i="1" a="1"/>
  <c r="BL116" i="1" s="1"/>
  <c r="BN116" i="1" s="1"/>
  <c r="BL109" i="1" a="1"/>
  <c r="BL109" i="1" s="1"/>
  <c r="BN109" i="1" s="1"/>
  <c r="BL117" i="1" a="1"/>
  <c r="BL117" i="1" s="1"/>
  <c r="BN117" i="1" s="1"/>
  <c r="BL102" i="1" a="1"/>
  <c r="BL102" i="1" s="1"/>
  <c r="BN102" i="1" s="1"/>
  <c r="BL110" i="1" a="1"/>
  <c r="BL110" i="1" s="1"/>
  <c r="BN110" i="1" s="1"/>
  <c r="BL118" i="1" a="1"/>
  <c r="BL118" i="1" s="1"/>
  <c r="BN118" i="1" s="1"/>
  <c r="BL125" i="1" a="1"/>
  <c r="BL125" i="1" s="1"/>
  <c r="BN125" i="1" s="1"/>
  <c r="BL133" i="1" a="1"/>
  <c r="BL133" i="1" s="1"/>
  <c r="BN133" i="1" s="1"/>
  <c r="BL120" i="1" a="1"/>
  <c r="BL120" i="1" s="1"/>
  <c r="BN120" i="1" s="1"/>
  <c r="BL127" i="1" a="1"/>
  <c r="BL127" i="1" s="1"/>
  <c r="BN127" i="1" s="1"/>
  <c r="BL135" i="1" a="1"/>
  <c r="BL135" i="1" s="1"/>
  <c r="BN135" i="1" s="1"/>
  <c r="BL128" i="1" a="1"/>
  <c r="BL128" i="1" s="1"/>
  <c r="BN128" i="1" s="1"/>
  <c r="BL121" i="1" a="1"/>
  <c r="BL121" i="1" s="1"/>
  <c r="BN121" i="1" s="1"/>
  <c r="BL122" i="1" a="1"/>
  <c r="BL122" i="1" s="1"/>
  <c r="BN122" i="1" s="1"/>
  <c r="BL130" i="1" a="1"/>
  <c r="BL130" i="1" s="1"/>
  <c r="BN130" i="1" s="1"/>
  <c r="BL123" i="1" a="1"/>
  <c r="BL123" i="1" s="1"/>
  <c r="BN123" i="1" s="1"/>
  <c r="BL141" i="1" a="1"/>
  <c r="BL141" i="1" s="1"/>
  <c r="BN141" i="1" s="1"/>
  <c r="BL137" i="1" a="1"/>
  <c r="BL137" i="1" s="1"/>
  <c r="BN137" i="1" s="1"/>
  <c r="BL139" i="1" a="1"/>
  <c r="BL139" i="1" s="1"/>
  <c r="BN139" i="1" s="1"/>
  <c r="BL140" i="1" a="1"/>
  <c r="BL140" i="1" s="1"/>
  <c r="BN140" i="1" s="1"/>
  <c r="BN44" i="1" l="1"/>
  <c r="BL191" i="1"/>
  <c r="BN191" i="1" s="1"/>
  <c r="BL211" i="1"/>
  <c r="BN211" i="1" s="1"/>
  <c r="BN20" i="1"/>
  <c r="BL188" i="1"/>
  <c r="BN188" i="1" s="1"/>
  <c r="BN43" i="1"/>
  <c r="BN27" i="1"/>
  <c r="BL156" i="1"/>
  <c r="BN156" i="1" s="1"/>
  <c r="BN19" i="1"/>
  <c r="BL210" i="1"/>
  <c r="BN210" i="1" s="1"/>
  <c r="BL205" i="1"/>
  <c r="BN205" i="1" s="1"/>
  <c r="BN13" i="1"/>
  <c r="BL172" i="1"/>
  <c r="BN172" i="1" s="1"/>
  <c r="BN36" i="1"/>
  <c r="BL209" i="1"/>
  <c r="BN209" i="1" s="1"/>
  <c r="BN14" i="1"/>
  <c r="BL180" i="1"/>
  <c r="BN180" i="1" s="1"/>
  <c r="BN40" i="1"/>
  <c r="BL161" i="1"/>
  <c r="BN161" i="1" s="1"/>
  <c r="BN31" i="1"/>
  <c r="BL208" i="1"/>
  <c r="BN208" i="1" s="1"/>
  <c r="BN18" i="1"/>
  <c r="BN12" i="1"/>
  <c r="BL204" i="1"/>
  <c r="BN204" i="1" s="1"/>
  <c r="BL166" i="1"/>
  <c r="BN166" i="1" s="1"/>
  <c r="BN34" i="1"/>
  <c r="BL165" i="1"/>
  <c r="BN165" i="1" s="1"/>
  <c r="BN33" i="1"/>
  <c r="BR4" i="1"/>
  <c r="BO8" i="1" a="1"/>
  <c r="BO8" i="1" s="1"/>
  <c r="BQ8" i="1" s="1"/>
  <c r="BO9" i="1" a="1"/>
  <c r="BO9" i="1" s="1"/>
  <c r="BQ9" i="1" s="1"/>
  <c r="BO10" i="1" a="1"/>
  <c r="BO10" i="1" s="1"/>
  <c r="BQ10" i="1" s="1"/>
  <c r="BO6" i="1" a="1"/>
  <c r="BO6" i="1" s="1"/>
  <c r="BQ6" i="1" s="1"/>
  <c r="BO14" i="1" a="1"/>
  <c r="BO14" i="1" s="1"/>
  <c r="BO11" i="1" a="1"/>
  <c r="BO11" i="1" s="1"/>
  <c r="BQ11" i="1" s="1"/>
  <c r="BO12" i="1" a="1"/>
  <c r="BO12" i="1" s="1"/>
  <c r="BO13" i="1" a="1"/>
  <c r="BO13" i="1" s="1"/>
  <c r="BO17" i="1" a="1"/>
  <c r="BO17" i="1" s="1"/>
  <c r="BQ17" i="1" s="1"/>
  <c r="BO19" i="1" a="1"/>
  <c r="BO19" i="1" s="1"/>
  <c r="BO20" i="1" a="1"/>
  <c r="BO20" i="1" s="1"/>
  <c r="BO15" i="1" a="1"/>
  <c r="BO15" i="1" s="1"/>
  <c r="BQ15" i="1" s="1"/>
  <c r="BO18" i="1" a="1"/>
  <c r="BO18" i="1" s="1"/>
  <c r="BO21" i="1" a="1"/>
  <c r="BO21" i="1" s="1"/>
  <c r="BO27" i="1" a="1"/>
  <c r="BO27" i="1" s="1"/>
  <c r="BO23" i="1" a="1"/>
  <c r="BO23" i="1" s="1"/>
  <c r="BQ23" i="1" s="1"/>
  <c r="BO22" i="1" a="1"/>
  <c r="BO22" i="1" s="1"/>
  <c r="BQ22" i="1" s="1"/>
  <c r="BO25" i="1" a="1"/>
  <c r="BO25" i="1" s="1"/>
  <c r="BQ25" i="1" s="1"/>
  <c r="BO28" i="1" a="1"/>
  <c r="BO28" i="1" s="1"/>
  <c r="BO31" i="1" a="1"/>
  <c r="BO31" i="1" s="1"/>
  <c r="BO32" i="1" a="1"/>
  <c r="BO32" i="1" s="1"/>
  <c r="BO38" i="1" a="1"/>
  <c r="BO38" i="1" s="1"/>
  <c r="BO39" i="1" a="1"/>
  <c r="BO39" i="1" s="1"/>
  <c r="BO40" i="1" a="1"/>
  <c r="BO40" i="1" s="1"/>
  <c r="BO34" i="1" a="1"/>
  <c r="BO34" i="1" s="1"/>
  <c r="BO33" i="1" a="1"/>
  <c r="BO33" i="1" s="1"/>
  <c r="BO43" i="1" a="1"/>
  <c r="BO43" i="1" s="1"/>
  <c r="BO47" i="1" a="1"/>
  <c r="BO47" i="1" s="1"/>
  <c r="BQ47" i="1" s="1"/>
  <c r="BO42" i="1" a="1"/>
  <c r="BO42" i="1" s="1"/>
  <c r="BO44" i="1" a="1"/>
  <c r="BO44" i="1" s="1"/>
  <c r="BO48" i="1" a="1"/>
  <c r="BO48" i="1" s="1"/>
  <c r="BQ48" i="1" s="1"/>
  <c r="BO45" i="1" a="1"/>
  <c r="BO45" i="1" s="1"/>
  <c r="BQ45" i="1" s="1"/>
  <c r="BO36" i="1" a="1"/>
  <c r="BO36" i="1" s="1"/>
  <c r="BO46" i="1" a="1"/>
  <c r="BO46" i="1" s="1"/>
  <c r="BQ46" i="1" s="1"/>
  <c r="BO51" i="1" a="1"/>
  <c r="BO51" i="1" s="1"/>
  <c r="BO50" i="1" a="1"/>
  <c r="BO50" i="1" s="1"/>
  <c r="BQ50" i="1" s="1"/>
  <c r="BO52" i="1" a="1"/>
  <c r="BO52" i="1" s="1"/>
  <c r="BQ52" i="1" s="1"/>
  <c r="BO56" i="1" a="1"/>
  <c r="BO56" i="1" s="1"/>
  <c r="BQ56" i="1" s="1"/>
  <c r="BO49" i="1" a="1"/>
  <c r="BO49" i="1" s="1"/>
  <c r="BQ49" i="1" s="1"/>
  <c r="BO54" i="1" a="1"/>
  <c r="BO54" i="1" s="1"/>
  <c r="BQ54" i="1" s="1"/>
  <c r="BO68" i="1" a="1"/>
  <c r="BO68" i="1" s="1"/>
  <c r="BQ68" i="1" s="1"/>
  <c r="BO58" i="1" a="1"/>
  <c r="BO58" i="1" s="1"/>
  <c r="BQ58" i="1" s="1"/>
  <c r="BO60" i="1" a="1"/>
  <c r="BO60" i="1" s="1"/>
  <c r="BQ60" i="1" s="1"/>
  <c r="BO61" i="1" a="1"/>
  <c r="BO61" i="1" s="1"/>
  <c r="BQ61" i="1" s="1"/>
  <c r="BO55" i="1" a="1"/>
  <c r="BO55" i="1" s="1"/>
  <c r="BQ55" i="1" s="1"/>
  <c r="BO66" i="1"/>
  <c r="BO72" i="1" a="1"/>
  <c r="BO72" i="1" s="1"/>
  <c r="BQ72" i="1" s="1"/>
  <c r="BO73" i="1" a="1"/>
  <c r="BO73" i="1" s="1"/>
  <c r="BQ73" i="1" s="1"/>
  <c r="BO74" i="1" a="1"/>
  <c r="BO74" i="1" s="1"/>
  <c r="BQ74" i="1" s="1"/>
  <c r="BO75" i="1" a="1"/>
  <c r="BO75" i="1" s="1"/>
  <c r="BQ75" i="1" s="1"/>
  <c r="BO76" i="1" a="1"/>
  <c r="BO76" i="1" s="1"/>
  <c r="BQ76" i="1" s="1"/>
  <c r="BO69" i="1" a="1"/>
  <c r="BO69" i="1" s="1"/>
  <c r="BQ69" i="1" s="1"/>
  <c r="BO71" i="1" a="1"/>
  <c r="BO71" i="1" s="1"/>
  <c r="BQ71" i="1" s="1"/>
  <c r="BO62" i="1" a="1"/>
  <c r="BO62" i="1" s="1"/>
  <c r="BQ62" i="1" s="1"/>
  <c r="BO77" i="1" a="1"/>
  <c r="BO77" i="1" s="1"/>
  <c r="BQ77" i="1" s="1"/>
  <c r="BO78" i="1" a="1"/>
  <c r="BO78" i="1" s="1"/>
  <c r="BQ78" i="1" s="1"/>
  <c r="BO79" i="1" a="1"/>
  <c r="BO79" i="1" s="1"/>
  <c r="BQ79" i="1" s="1"/>
  <c r="BO80" i="1" a="1"/>
  <c r="BO80" i="1" s="1"/>
  <c r="BQ80" i="1" s="1"/>
  <c r="BO81" i="1" a="1"/>
  <c r="BO81" i="1" s="1"/>
  <c r="BQ81" i="1" s="1"/>
  <c r="BO91" i="1" a="1"/>
  <c r="BO91" i="1" s="1"/>
  <c r="BQ91" i="1" s="1"/>
  <c r="BO84" i="1" a="1"/>
  <c r="BO84" i="1" s="1"/>
  <c r="BQ84" i="1" s="1"/>
  <c r="BO92" i="1" a="1"/>
  <c r="BO92" i="1" s="1"/>
  <c r="BQ92" i="1" s="1"/>
  <c r="BO82" i="1" a="1"/>
  <c r="BO82" i="1" s="1"/>
  <c r="BQ82" i="1" s="1"/>
  <c r="BO83" i="1" a="1"/>
  <c r="BO83" i="1" s="1"/>
  <c r="BQ83" i="1" s="1"/>
  <c r="BO85" i="1" a="1"/>
  <c r="BO85" i="1" s="1"/>
  <c r="BQ85" i="1" s="1"/>
  <c r="BO93" i="1" a="1"/>
  <c r="BO93" i="1" s="1"/>
  <c r="BQ93" i="1" s="1"/>
  <c r="BO86" i="1" a="1"/>
  <c r="BO86" i="1" s="1"/>
  <c r="BQ86" i="1" s="1"/>
  <c r="BO88" i="1" a="1"/>
  <c r="BO88" i="1" s="1"/>
  <c r="BQ88" i="1" s="1"/>
  <c r="BO95" i="1" a="1"/>
  <c r="BO95" i="1" s="1"/>
  <c r="BQ95" i="1" s="1"/>
  <c r="BO97" i="1" a="1"/>
  <c r="BO97" i="1" s="1"/>
  <c r="BQ97" i="1" s="1"/>
  <c r="BO90" i="1" a="1"/>
  <c r="BO90" i="1" s="1"/>
  <c r="BQ90" i="1" s="1"/>
  <c r="BO98" i="1" a="1"/>
  <c r="BO98" i="1" s="1"/>
  <c r="BQ98" i="1" s="1"/>
  <c r="BO99" i="1" a="1"/>
  <c r="BO99" i="1" s="1"/>
  <c r="BQ99" i="1" s="1"/>
  <c r="BO100" i="1" a="1"/>
  <c r="BO100" i="1" s="1"/>
  <c r="BQ100" i="1" s="1"/>
  <c r="BO101" i="1" a="1"/>
  <c r="BO101" i="1" s="1"/>
  <c r="BQ101" i="1" s="1"/>
  <c r="BO94" i="1" a="1"/>
  <c r="BO94" i="1" s="1"/>
  <c r="BQ94" i="1" s="1"/>
  <c r="BO106" i="1" a="1"/>
  <c r="BO106" i="1" s="1"/>
  <c r="BQ106" i="1" s="1"/>
  <c r="BO107" i="1" a="1"/>
  <c r="BO107" i="1" s="1"/>
  <c r="BO115" i="1" a="1"/>
  <c r="BO115" i="1" s="1"/>
  <c r="BQ115" i="1" s="1"/>
  <c r="BO108" i="1" a="1"/>
  <c r="BO108" i="1" s="1"/>
  <c r="BQ108" i="1" s="1"/>
  <c r="BO116" i="1" a="1"/>
  <c r="BO116" i="1" s="1"/>
  <c r="BQ116" i="1" s="1"/>
  <c r="BO109" i="1" a="1"/>
  <c r="BO109" i="1" s="1"/>
  <c r="BQ109" i="1" s="1"/>
  <c r="BO117" i="1" a="1"/>
  <c r="BO117" i="1" s="1"/>
  <c r="BQ117" i="1" s="1"/>
  <c r="BO102" i="1" a="1"/>
  <c r="BO102" i="1" s="1"/>
  <c r="BQ102" i="1" s="1"/>
  <c r="BO110" i="1" a="1"/>
  <c r="BO110" i="1" s="1"/>
  <c r="BQ110" i="1" s="1"/>
  <c r="BO118" i="1" a="1"/>
  <c r="BO118" i="1" s="1"/>
  <c r="BQ118" i="1" s="1"/>
  <c r="BO103" i="1" a="1"/>
  <c r="BO103" i="1" s="1"/>
  <c r="BQ103" i="1" s="1"/>
  <c r="BO111" i="1" a="1"/>
  <c r="BO111" i="1" s="1"/>
  <c r="BQ111" i="1" s="1"/>
  <c r="BO119" i="1" a="1"/>
  <c r="BO119" i="1" s="1"/>
  <c r="BQ119" i="1" s="1"/>
  <c r="BO104" i="1" a="1"/>
  <c r="BO104" i="1" s="1"/>
  <c r="BQ104" i="1" s="1"/>
  <c r="BO112" i="1" a="1"/>
  <c r="BO112" i="1" s="1"/>
  <c r="BQ112" i="1" s="1"/>
  <c r="BO105" i="1" a="1"/>
  <c r="BO105" i="1" s="1"/>
  <c r="BQ105" i="1" s="1"/>
  <c r="BO113" i="1" a="1"/>
  <c r="BO113" i="1" s="1"/>
  <c r="BQ113" i="1" s="1"/>
  <c r="BO128" i="1" a="1"/>
  <c r="BO128" i="1" s="1"/>
  <c r="BQ128" i="1" s="1"/>
  <c r="BO121" i="1" a="1"/>
  <c r="BO121" i="1" s="1"/>
  <c r="BQ121" i="1" s="1"/>
  <c r="BO122" i="1" a="1"/>
  <c r="BO122" i="1" s="1"/>
  <c r="BQ122" i="1" s="1"/>
  <c r="BO130" i="1" a="1"/>
  <c r="BO130" i="1" s="1"/>
  <c r="BQ130" i="1" s="1"/>
  <c r="BO123" i="1" a="1"/>
  <c r="BO123" i="1" s="1"/>
  <c r="BQ123" i="1" s="1"/>
  <c r="BO120" i="1" a="1"/>
  <c r="BO120" i="1" s="1"/>
  <c r="BQ120" i="1" s="1"/>
  <c r="BO125" i="1" a="1"/>
  <c r="BO125" i="1" s="1"/>
  <c r="BQ125" i="1" s="1"/>
  <c r="BO127" i="1" a="1"/>
  <c r="BO127" i="1" s="1"/>
  <c r="BQ127" i="1" s="1"/>
  <c r="BO137" i="1" a="1"/>
  <c r="BO137" i="1" s="1"/>
  <c r="BQ137" i="1" s="1"/>
  <c r="BO133" i="1" a="1"/>
  <c r="BO133" i="1" s="1"/>
  <c r="BQ133" i="1" s="1"/>
  <c r="BO139" i="1" a="1"/>
  <c r="BO139" i="1" s="1"/>
  <c r="BQ139" i="1" s="1"/>
  <c r="BO140" i="1" a="1"/>
  <c r="BO140" i="1" s="1"/>
  <c r="BQ140" i="1" s="1"/>
  <c r="BO141" i="1" a="1"/>
  <c r="BO141" i="1" s="1"/>
  <c r="BQ141" i="1" s="1"/>
  <c r="BO135" i="1" a="1"/>
  <c r="BO135" i="1" s="1"/>
  <c r="BQ135" i="1" s="1"/>
  <c r="BL179" i="1"/>
  <c r="BN179" i="1" s="1"/>
  <c r="BN39" i="1"/>
  <c r="BL163" i="1"/>
  <c r="BN163" i="1" s="1"/>
  <c r="BN32" i="1"/>
  <c r="BL178" i="1"/>
  <c r="BN178" i="1" s="1"/>
  <c r="BN38" i="1"/>
  <c r="BL157" i="1"/>
  <c r="BN157" i="1" s="1"/>
  <c r="BN28" i="1"/>
  <c r="BN51" i="1"/>
  <c r="BL190" i="1"/>
  <c r="BN190" i="1" s="1"/>
  <c r="BL185" i="1"/>
  <c r="BN185" i="1" s="1"/>
  <c r="BN42" i="1"/>
  <c r="BL206" i="1"/>
  <c r="BN206" i="1" s="1"/>
  <c r="BN21" i="1"/>
  <c r="BS107" i="1" a="1"/>
  <c r="BS107" i="1" s="1"/>
  <c r="CQ107" i="1" a="1"/>
  <c r="CQ107" i="1" s="1"/>
  <c r="DO107" i="1" a="1"/>
  <c r="DO107" i="1" s="1"/>
  <c r="BJ107" i="1" a="1"/>
  <c r="BJ107" i="1" s="1"/>
  <c r="CH107" i="1" a="1"/>
  <c r="CH107" i="1" s="1"/>
  <c r="DF107" i="1" a="1"/>
  <c r="DF107" i="1" s="1"/>
  <c r="ED107" i="1" a="1"/>
  <c r="ED107" i="1" s="1"/>
  <c r="BA107" i="1" a="1"/>
  <c r="BA107" i="1" s="1"/>
  <c r="BY107" i="1" a="1"/>
  <c r="BY107" i="1" s="1"/>
  <c r="CW107" i="1" a="1"/>
  <c r="CW107" i="1" s="1"/>
  <c r="DU107" i="1" a="1"/>
  <c r="DU107" i="1" s="1"/>
  <c r="AW107" i="1" a="1"/>
  <c r="AW107" i="1" s="1"/>
  <c r="BP107" i="1" a="1"/>
  <c r="BP107" i="1" s="1"/>
  <c r="BQ107" i="1" s="1"/>
  <c r="CN107" i="1" a="1"/>
  <c r="CN107" i="1" s="1"/>
  <c r="DL107" i="1" a="1"/>
  <c r="DL107" i="1" s="1"/>
  <c r="EJ107" i="1" a="1"/>
  <c r="EJ107" i="1" s="1"/>
  <c r="BG107" i="1" a="1"/>
  <c r="BG107" i="1" s="1"/>
  <c r="BH107" i="1" s="1"/>
  <c r="CE107" i="1" a="1"/>
  <c r="CE107" i="1" s="1"/>
  <c r="DC107" i="1" a="1"/>
  <c r="DC107" i="1" s="1"/>
  <c r="EA107" i="1" a="1"/>
  <c r="EA107" i="1" s="1"/>
  <c r="AX107" i="1" a="1"/>
  <c r="AX107" i="1" s="1"/>
  <c r="BV107" i="1" a="1"/>
  <c r="BV107" i="1" s="1"/>
  <c r="CT107" i="1" a="1"/>
  <c r="CT107" i="1" s="1"/>
  <c r="DR107" i="1" a="1"/>
  <c r="DR107" i="1" s="1"/>
  <c r="BM107" i="1" a="1"/>
  <c r="BM107" i="1" s="1"/>
  <c r="BN107" i="1" s="1"/>
  <c r="CK107" i="1" a="1"/>
  <c r="CK107" i="1" s="1"/>
  <c r="DI107" i="1" a="1"/>
  <c r="DI107" i="1" s="1"/>
  <c r="EG107" i="1" a="1"/>
  <c r="EG107" i="1" s="1"/>
  <c r="BD107" i="1" a="1"/>
  <c r="BD107" i="1" s="1"/>
  <c r="CB107" i="1" a="1"/>
  <c r="CB107" i="1" s="1"/>
  <c r="CZ107" i="1" a="1"/>
  <c r="CZ107" i="1" s="1"/>
  <c r="DX107" i="1" a="1"/>
  <c r="DX107" i="1" s="1"/>
  <c r="AZ107" i="1" a="1"/>
  <c r="AZ107" i="1" s="1"/>
  <c r="BC107" i="1" a="1"/>
  <c r="BC107" i="1" s="1"/>
  <c r="BF107" i="1" a="1"/>
  <c r="BF107" i="1" s="1"/>
  <c r="BI107" i="1" a="1"/>
  <c r="BI107" i="1" s="1"/>
  <c r="AY107" i="1" l="1"/>
  <c r="BO165" i="1"/>
  <c r="BQ165" i="1" s="1"/>
  <c r="BQ33" i="1"/>
  <c r="BO210" i="1"/>
  <c r="BQ210" i="1" s="1"/>
  <c r="BQ19" i="1"/>
  <c r="BO172" i="1"/>
  <c r="BQ172" i="1" s="1"/>
  <c r="BQ36" i="1"/>
  <c r="BO166" i="1"/>
  <c r="BQ166" i="1" s="1"/>
  <c r="BQ34" i="1"/>
  <c r="BO163" i="1"/>
  <c r="BQ163" i="1" s="1"/>
  <c r="BQ32" i="1"/>
  <c r="BO156" i="1"/>
  <c r="BQ156" i="1" s="1"/>
  <c r="BQ27" i="1"/>
  <c r="BB107" i="1"/>
  <c r="BO205" i="1"/>
  <c r="BQ205" i="1" s="1"/>
  <c r="BQ13" i="1"/>
  <c r="BO180" i="1"/>
  <c r="BQ180" i="1" s="1"/>
  <c r="BQ40" i="1"/>
  <c r="BO161" i="1"/>
  <c r="BQ161" i="1" s="1"/>
  <c r="BQ31" i="1"/>
  <c r="BQ21" i="1"/>
  <c r="BO206" i="1"/>
  <c r="BQ206" i="1" s="1"/>
  <c r="BO204" i="1"/>
  <c r="BQ204" i="1" s="1"/>
  <c r="BQ12" i="1"/>
  <c r="BR8" i="1" a="1"/>
  <c r="BR8" i="1" s="1"/>
  <c r="BT8" i="1" s="1"/>
  <c r="BR9" i="1" a="1"/>
  <c r="BR9" i="1" s="1"/>
  <c r="BT9" i="1" s="1"/>
  <c r="BU4" i="1"/>
  <c r="BR6" i="1" a="1"/>
  <c r="BR6" i="1" s="1"/>
  <c r="BT6" i="1" s="1"/>
  <c r="BR11" i="1" a="1"/>
  <c r="BR11" i="1" s="1"/>
  <c r="BT11" i="1" s="1"/>
  <c r="BR12" i="1" a="1"/>
  <c r="BR12" i="1" s="1"/>
  <c r="BR10" i="1" a="1"/>
  <c r="BR10" i="1" s="1"/>
  <c r="BT10" i="1" s="1"/>
  <c r="BR13" i="1" a="1"/>
  <c r="BR13" i="1" s="1"/>
  <c r="BR14" i="1" a="1"/>
  <c r="BR14" i="1" s="1"/>
  <c r="BR15" i="1" a="1"/>
  <c r="BR15" i="1" s="1"/>
  <c r="BT15" i="1" s="1"/>
  <c r="BR21" i="1" a="1"/>
  <c r="BR21" i="1" s="1"/>
  <c r="BR18" i="1" a="1"/>
  <c r="BR18" i="1" s="1"/>
  <c r="BR17" i="1" a="1"/>
  <c r="BR17" i="1" s="1"/>
  <c r="BT17" i="1" s="1"/>
  <c r="BR19" i="1" a="1"/>
  <c r="BR19" i="1" s="1"/>
  <c r="BR20" i="1" a="1"/>
  <c r="BR20" i="1" s="1"/>
  <c r="BR22" i="1" a="1"/>
  <c r="BR22" i="1" s="1"/>
  <c r="BT22" i="1" s="1"/>
  <c r="BR23" i="1" a="1"/>
  <c r="BR23" i="1" s="1"/>
  <c r="BT23" i="1" s="1"/>
  <c r="BR25" i="1" a="1"/>
  <c r="BR25" i="1" s="1"/>
  <c r="BT25" i="1" s="1"/>
  <c r="BR27" i="1" a="1"/>
  <c r="BR27" i="1" s="1"/>
  <c r="BR28" i="1" a="1"/>
  <c r="BR28" i="1" s="1"/>
  <c r="BR32" i="1" a="1"/>
  <c r="BR32" i="1" s="1"/>
  <c r="BR33" i="1" a="1"/>
  <c r="BR33" i="1" s="1"/>
  <c r="BR31" i="1" a="1"/>
  <c r="BR31" i="1" s="1"/>
  <c r="BR34" i="1" a="1"/>
  <c r="BR34" i="1" s="1"/>
  <c r="BR38" i="1" a="1"/>
  <c r="BR38" i="1" s="1"/>
  <c r="BR39" i="1" a="1"/>
  <c r="BR39" i="1" s="1"/>
  <c r="BR40" i="1" a="1"/>
  <c r="BR40" i="1" s="1"/>
  <c r="BR42" i="1" a="1"/>
  <c r="BR42" i="1" s="1"/>
  <c r="BR36" i="1" a="1"/>
  <c r="BR36" i="1" s="1"/>
  <c r="BR45" i="1" a="1"/>
  <c r="BR45" i="1" s="1"/>
  <c r="BT45" i="1" s="1"/>
  <c r="BR46" i="1" a="1"/>
  <c r="BR46" i="1" s="1"/>
  <c r="BT46" i="1" s="1"/>
  <c r="BR43" i="1" a="1"/>
  <c r="BR43" i="1" s="1"/>
  <c r="BR44" i="1" a="1"/>
  <c r="BR44" i="1" s="1"/>
  <c r="BR48" i="1" a="1"/>
  <c r="BR48" i="1" s="1"/>
  <c r="BT48" i="1" s="1"/>
  <c r="BR50" i="1" a="1"/>
  <c r="BR50" i="1" s="1"/>
  <c r="BT50" i="1" s="1"/>
  <c r="BR52" i="1" a="1"/>
  <c r="BR52" i="1" s="1"/>
  <c r="BT52" i="1" s="1"/>
  <c r="BR47" i="1" a="1"/>
  <c r="BR47" i="1" s="1"/>
  <c r="BT47" i="1" s="1"/>
  <c r="BR49" i="1" a="1"/>
  <c r="BR49" i="1" s="1"/>
  <c r="BT49" i="1" s="1"/>
  <c r="BR54" i="1" a="1"/>
  <c r="BR54" i="1" s="1"/>
  <c r="BT54" i="1" s="1"/>
  <c r="BR51" i="1" a="1"/>
  <c r="BR51" i="1" s="1"/>
  <c r="BR56" i="1" a="1"/>
  <c r="BR56" i="1" s="1"/>
  <c r="BT56" i="1" s="1"/>
  <c r="BR55" i="1" a="1"/>
  <c r="BR55" i="1" s="1"/>
  <c r="BT55" i="1" s="1"/>
  <c r="BR58" i="1" a="1"/>
  <c r="BR58" i="1" s="1"/>
  <c r="BT58" i="1" s="1"/>
  <c r="BR60" i="1" a="1"/>
  <c r="BR60" i="1" s="1"/>
  <c r="BT60" i="1" s="1"/>
  <c r="BR61" i="1" a="1"/>
  <c r="BR61" i="1" s="1"/>
  <c r="BT61" i="1" s="1"/>
  <c r="BR62" i="1" a="1"/>
  <c r="BR62" i="1" s="1"/>
  <c r="BT62" i="1" s="1"/>
  <c r="BR69" i="1" a="1"/>
  <c r="BR69" i="1" s="1"/>
  <c r="BT69" i="1" s="1"/>
  <c r="BR71" i="1" a="1"/>
  <c r="BR71" i="1" s="1"/>
  <c r="BT71" i="1" s="1"/>
  <c r="BR66" i="1"/>
  <c r="BR68" i="1" a="1"/>
  <c r="BR68" i="1" s="1"/>
  <c r="BT68" i="1" s="1"/>
  <c r="BR72" i="1" a="1"/>
  <c r="BR72" i="1" s="1"/>
  <c r="BT72" i="1" s="1"/>
  <c r="BR73" i="1" a="1"/>
  <c r="BR73" i="1" s="1"/>
  <c r="BT73" i="1" s="1"/>
  <c r="BR74" i="1" a="1"/>
  <c r="BR74" i="1" s="1"/>
  <c r="BT74" i="1" s="1"/>
  <c r="BR75" i="1" a="1"/>
  <c r="BR75" i="1" s="1"/>
  <c r="BT75" i="1" s="1"/>
  <c r="BR77" i="1" a="1"/>
  <c r="BR77" i="1" s="1"/>
  <c r="BT77" i="1" s="1"/>
  <c r="BR78" i="1" a="1"/>
  <c r="BR78" i="1" s="1"/>
  <c r="BT78" i="1" s="1"/>
  <c r="BR79" i="1" a="1"/>
  <c r="BR79" i="1" s="1"/>
  <c r="BT79" i="1" s="1"/>
  <c r="BR80" i="1" a="1"/>
  <c r="BR80" i="1" s="1"/>
  <c r="BT80" i="1" s="1"/>
  <c r="BR81" i="1" a="1"/>
  <c r="BR81" i="1" s="1"/>
  <c r="BT81" i="1" s="1"/>
  <c r="BR76" i="1" a="1"/>
  <c r="BR76" i="1" s="1"/>
  <c r="BT76" i="1" s="1"/>
  <c r="BR86" i="1" a="1"/>
  <c r="BR86" i="1" s="1"/>
  <c r="BT86" i="1" s="1"/>
  <c r="BR88" i="1" a="1"/>
  <c r="BR88" i="1" s="1"/>
  <c r="BT88" i="1" s="1"/>
  <c r="BR90" i="1" a="1"/>
  <c r="BR90" i="1" s="1"/>
  <c r="BT90" i="1" s="1"/>
  <c r="BR82" i="1" a="1"/>
  <c r="BR82" i="1" s="1"/>
  <c r="BT82" i="1" s="1"/>
  <c r="BR84" i="1" a="1"/>
  <c r="BR84" i="1" s="1"/>
  <c r="BT84" i="1" s="1"/>
  <c r="BR92" i="1" a="1"/>
  <c r="BR92" i="1" s="1"/>
  <c r="BT92" i="1" s="1"/>
  <c r="BR83" i="1" a="1"/>
  <c r="BR83" i="1" s="1"/>
  <c r="BT83" i="1" s="1"/>
  <c r="BR85" i="1" a="1"/>
  <c r="BR85" i="1" s="1"/>
  <c r="BT85" i="1" s="1"/>
  <c r="BR98" i="1" a="1"/>
  <c r="BR98" i="1" s="1"/>
  <c r="BT98" i="1" s="1"/>
  <c r="BR91" i="1" a="1"/>
  <c r="BR91" i="1" s="1"/>
  <c r="BT91" i="1" s="1"/>
  <c r="BR99" i="1" a="1"/>
  <c r="BR99" i="1" s="1"/>
  <c r="BT99" i="1" s="1"/>
  <c r="BR93" i="1" a="1"/>
  <c r="BR93" i="1" s="1"/>
  <c r="BT93" i="1" s="1"/>
  <c r="BR100" i="1" a="1"/>
  <c r="BR100" i="1" s="1"/>
  <c r="BT100" i="1" s="1"/>
  <c r="BR101" i="1" a="1"/>
  <c r="BR101" i="1" s="1"/>
  <c r="BT101" i="1" s="1"/>
  <c r="BR94" i="1" a="1"/>
  <c r="BR94" i="1" s="1"/>
  <c r="BT94" i="1" s="1"/>
  <c r="BR95" i="1" a="1"/>
  <c r="BR95" i="1" s="1"/>
  <c r="BT95" i="1" s="1"/>
  <c r="BR97" i="1" a="1"/>
  <c r="BR97" i="1" s="1"/>
  <c r="BT97" i="1" s="1"/>
  <c r="BR109" i="1" a="1"/>
  <c r="BR109" i="1" s="1"/>
  <c r="BT109" i="1" s="1"/>
  <c r="BR117" i="1" a="1"/>
  <c r="BR117" i="1" s="1"/>
  <c r="BT117" i="1" s="1"/>
  <c r="BR102" i="1" a="1"/>
  <c r="BR102" i="1" s="1"/>
  <c r="BT102" i="1" s="1"/>
  <c r="BR110" i="1" a="1"/>
  <c r="BR110" i="1" s="1"/>
  <c r="BT110" i="1" s="1"/>
  <c r="BR118" i="1" a="1"/>
  <c r="BR118" i="1" s="1"/>
  <c r="BT118" i="1" s="1"/>
  <c r="BR103" i="1" a="1"/>
  <c r="BR103" i="1" s="1"/>
  <c r="BT103" i="1" s="1"/>
  <c r="BR111" i="1" a="1"/>
  <c r="BR111" i="1" s="1"/>
  <c r="BT111" i="1" s="1"/>
  <c r="BR119" i="1" a="1"/>
  <c r="BR119" i="1" s="1"/>
  <c r="BT119" i="1" s="1"/>
  <c r="BR104" i="1" a="1"/>
  <c r="BR104" i="1" s="1"/>
  <c r="BT104" i="1" s="1"/>
  <c r="BR112" i="1" a="1"/>
  <c r="BR112" i="1" s="1"/>
  <c r="BT112" i="1" s="1"/>
  <c r="BR105" i="1" a="1"/>
  <c r="BR105" i="1" s="1"/>
  <c r="BT105" i="1" s="1"/>
  <c r="BR113" i="1" a="1"/>
  <c r="BR113" i="1" s="1"/>
  <c r="BT113" i="1" s="1"/>
  <c r="BR106" i="1" a="1"/>
  <c r="BR106" i="1" s="1"/>
  <c r="BT106" i="1" s="1"/>
  <c r="BR107" i="1" a="1"/>
  <c r="BR107" i="1" s="1"/>
  <c r="BT107" i="1" s="1"/>
  <c r="BR115" i="1" a="1"/>
  <c r="BR115" i="1" s="1"/>
  <c r="BT115" i="1" s="1"/>
  <c r="BR108" i="1" a="1"/>
  <c r="BR108" i="1" s="1"/>
  <c r="BT108" i="1" s="1"/>
  <c r="BR116" i="1" a="1"/>
  <c r="BR116" i="1" s="1"/>
  <c r="BT116" i="1" s="1"/>
  <c r="BR123" i="1" a="1"/>
  <c r="BR123" i="1" s="1"/>
  <c r="BT123" i="1" s="1"/>
  <c r="BR120" i="1" a="1"/>
  <c r="BR120" i="1" s="1"/>
  <c r="BT120" i="1" s="1"/>
  <c r="BR125" i="1" a="1"/>
  <c r="BR125" i="1" s="1"/>
  <c r="BT125" i="1" s="1"/>
  <c r="BR133" i="1" a="1"/>
  <c r="BR133" i="1" s="1"/>
  <c r="BT133" i="1" s="1"/>
  <c r="BR127" i="1" a="1"/>
  <c r="BR127" i="1" s="1"/>
  <c r="BT127" i="1" s="1"/>
  <c r="BR128" i="1" a="1"/>
  <c r="BR128" i="1" s="1"/>
  <c r="BT128" i="1" s="1"/>
  <c r="BR121" i="1" a="1"/>
  <c r="BR121" i="1" s="1"/>
  <c r="BT121" i="1" s="1"/>
  <c r="BR122" i="1" a="1"/>
  <c r="BR122" i="1" s="1"/>
  <c r="BT122" i="1" s="1"/>
  <c r="BR130" i="1" a="1"/>
  <c r="BR130" i="1" s="1"/>
  <c r="BT130" i="1" s="1"/>
  <c r="BR139" i="1" a="1"/>
  <c r="BR139" i="1" s="1"/>
  <c r="BT139" i="1" s="1"/>
  <c r="BR140" i="1" a="1"/>
  <c r="BR140" i="1" s="1"/>
  <c r="BT140" i="1" s="1"/>
  <c r="BR135" i="1" a="1"/>
  <c r="BR135" i="1" s="1"/>
  <c r="BT135" i="1" s="1"/>
  <c r="BR141" i="1" a="1"/>
  <c r="BR141" i="1" s="1"/>
  <c r="BT141" i="1" s="1"/>
  <c r="BR137" i="1" a="1"/>
  <c r="BR137" i="1" s="1"/>
  <c r="BT137" i="1" s="1"/>
  <c r="BE107" i="1"/>
  <c r="BO191" i="1"/>
  <c r="BQ191" i="1" s="1"/>
  <c r="BQ44" i="1"/>
  <c r="BO179" i="1"/>
  <c r="BQ179" i="1" s="1"/>
  <c r="BQ39" i="1"/>
  <c r="BO157" i="1"/>
  <c r="BQ157" i="1" s="1"/>
  <c r="BQ28" i="1"/>
  <c r="BQ18" i="1"/>
  <c r="BO208" i="1"/>
  <c r="BQ208" i="1" s="1"/>
  <c r="BK107" i="1"/>
  <c r="BO185" i="1"/>
  <c r="BQ185" i="1" s="1"/>
  <c r="BQ42" i="1"/>
  <c r="BO178" i="1"/>
  <c r="BQ178" i="1" s="1"/>
  <c r="BQ38" i="1"/>
  <c r="BQ14" i="1"/>
  <c r="BO209" i="1"/>
  <c r="BQ209" i="1" s="1"/>
  <c r="BR70" i="1" s="1" a="1"/>
  <c r="BR70" i="1" s="1"/>
  <c r="BQ51" i="1"/>
  <c r="BO190" i="1"/>
  <c r="BQ190" i="1" s="1"/>
  <c r="BO188" i="1"/>
  <c r="BQ188" i="1" s="1"/>
  <c r="BQ43" i="1"/>
  <c r="BO211" i="1"/>
  <c r="BQ211" i="1" s="1"/>
  <c r="BQ20" i="1"/>
  <c r="BR185" i="1" l="1"/>
  <c r="BT185" i="1" s="1"/>
  <c r="BT42" i="1"/>
  <c r="BR206" i="1"/>
  <c r="BT206" i="1" s="1"/>
  <c r="BT21" i="1"/>
  <c r="BR161" i="1"/>
  <c r="BT161" i="1" s="1"/>
  <c r="BT31" i="1"/>
  <c r="BU6" i="1" a="1"/>
  <c r="BU6" i="1" s="1"/>
  <c r="BW6" i="1" s="1"/>
  <c r="BX4" i="1"/>
  <c r="BU8" i="1" a="1"/>
  <c r="BU8" i="1" s="1"/>
  <c r="BW8" i="1" s="1"/>
  <c r="BU12" i="1" a="1"/>
  <c r="BU12" i="1" s="1"/>
  <c r="BU10" i="1" a="1"/>
  <c r="BU10" i="1" s="1"/>
  <c r="BW10" i="1" s="1"/>
  <c r="BU9" i="1" a="1"/>
  <c r="BU9" i="1" s="1"/>
  <c r="BW9" i="1" s="1"/>
  <c r="BU13" i="1" a="1"/>
  <c r="BU13" i="1" s="1"/>
  <c r="BU14" i="1" a="1"/>
  <c r="BU14" i="1" s="1"/>
  <c r="BU15" i="1" a="1"/>
  <c r="BU15" i="1" s="1"/>
  <c r="BW15" i="1" s="1"/>
  <c r="BU11" i="1" a="1"/>
  <c r="BU11" i="1" s="1"/>
  <c r="BW11" i="1" s="1"/>
  <c r="BU18" i="1" a="1"/>
  <c r="BU18" i="1" s="1"/>
  <c r="BU17" i="1" a="1"/>
  <c r="BU17" i="1" s="1"/>
  <c r="BW17" i="1" s="1"/>
  <c r="BU19" i="1" a="1"/>
  <c r="BU19" i="1" s="1"/>
  <c r="BU21" i="1" a="1"/>
  <c r="BU21" i="1" s="1"/>
  <c r="BU22" i="1" a="1"/>
  <c r="BU22" i="1" s="1"/>
  <c r="BW22" i="1" s="1"/>
  <c r="BU20" i="1" a="1"/>
  <c r="BU20" i="1" s="1"/>
  <c r="BU25" i="1" a="1"/>
  <c r="BU25" i="1" s="1"/>
  <c r="BW25" i="1" s="1"/>
  <c r="BU27" i="1" a="1"/>
  <c r="BU27" i="1" s="1"/>
  <c r="BU28" i="1" a="1"/>
  <c r="BU28" i="1" s="1"/>
  <c r="BU23" i="1" a="1"/>
  <c r="BU23" i="1" s="1"/>
  <c r="BW23" i="1" s="1"/>
  <c r="BU32" i="1" a="1"/>
  <c r="BU32" i="1" s="1"/>
  <c r="BU33" i="1" a="1"/>
  <c r="BU33" i="1" s="1"/>
  <c r="BU31" i="1" a="1"/>
  <c r="BU31" i="1" s="1"/>
  <c r="BU36" i="1" a="1"/>
  <c r="BU36" i="1" s="1"/>
  <c r="BU34" i="1" a="1"/>
  <c r="BU34" i="1" s="1"/>
  <c r="BU42" i="1" a="1"/>
  <c r="BU42" i="1" s="1"/>
  <c r="BU46" i="1" a="1"/>
  <c r="BU46" i="1" s="1"/>
  <c r="BW46" i="1" s="1"/>
  <c r="BU38" i="1" a="1"/>
  <c r="BU38" i="1" s="1"/>
  <c r="BU40" i="1" a="1"/>
  <c r="BU40" i="1" s="1"/>
  <c r="BU43" i="1" a="1"/>
  <c r="BU43" i="1" s="1"/>
  <c r="BU47" i="1" a="1"/>
  <c r="BU47" i="1" s="1"/>
  <c r="BW47" i="1" s="1"/>
  <c r="BU44" i="1" a="1"/>
  <c r="BU44" i="1" s="1"/>
  <c r="BU48" i="1" a="1"/>
  <c r="BU48" i="1" s="1"/>
  <c r="BW48" i="1" s="1"/>
  <c r="BU39" i="1" a="1"/>
  <c r="BU39" i="1" s="1"/>
  <c r="BU45" i="1" a="1"/>
  <c r="BU45" i="1" s="1"/>
  <c r="BW45" i="1" s="1"/>
  <c r="BU49" i="1" a="1"/>
  <c r="BU49" i="1" s="1"/>
  <c r="BW49" i="1" s="1"/>
  <c r="BU55" i="1" a="1"/>
  <c r="BU55" i="1" s="1"/>
  <c r="BW55" i="1" s="1"/>
  <c r="BU51" i="1" a="1"/>
  <c r="BU51" i="1" s="1"/>
  <c r="BU50" i="1" a="1"/>
  <c r="BU50" i="1" s="1"/>
  <c r="BW50" i="1" s="1"/>
  <c r="BU52" i="1" a="1"/>
  <c r="BU52" i="1" s="1"/>
  <c r="BW52" i="1" s="1"/>
  <c r="BU54" i="1" a="1"/>
  <c r="BU54" i="1" s="1"/>
  <c r="BW54" i="1" s="1"/>
  <c r="BU56" i="1" a="1"/>
  <c r="BU56" i="1" s="1"/>
  <c r="BW56" i="1" s="1"/>
  <c r="BU66" i="1"/>
  <c r="BU58" i="1" a="1"/>
  <c r="BU58" i="1" s="1"/>
  <c r="BW58" i="1" s="1"/>
  <c r="BU60" i="1" a="1"/>
  <c r="BU60" i="1" s="1"/>
  <c r="BW60" i="1" s="1"/>
  <c r="BU61" i="1" a="1"/>
  <c r="BU61" i="1" s="1"/>
  <c r="BW61" i="1" s="1"/>
  <c r="BU62" i="1" a="1"/>
  <c r="BU62" i="1" s="1"/>
  <c r="BW62" i="1" s="1"/>
  <c r="BU68" i="1" a="1"/>
  <c r="BU68" i="1" s="1"/>
  <c r="BW68" i="1" s="1"/>
  <c r="BU72" i="1" a="1"/>
  <c r="BU72" i="1" s="1"/>
  <c r="BW72" i="1" s="1"/>
  <c r="BU73" i="1" a="1"/>
  <c r="BU73" i="1" s="1"/>
  <c r="BW73" i="1" s="1"/>
  <c r="BU69" i="1" a="1"/>
  <c r="BU69" i="1" s="1"/>
  <c r="BW69" i="1" s="1"/>
  <c r="BU70" i="1" a="1"/>
  <c r="BU70" i="1" s="1"/>
  <c r="BU71" i="1" a="1"/>
  <c r="BU71" i="1" s="1"/>
  <c r="BW71" i="1" s="1"/>
  <c r="BU77" i="1" a="1"/>
  <c r="BU77" i="1" s="1"/>
  <c r="BW77" i="1" s="1"/>
  <c r="BU78" i="1" a="1"/>
  <c r="BU78" i="1" s="1"/>
  <c r="BW78" i="1" s="1"/>
  <c r="BU79" i="1" a="1"/>
  <c r="BU79" i="1" s="1"/>
  <c r="BW79" i="1" s="1"/>
  <c r="BU76" i="1" a="1"/>
  <c r="BU76" i="1" s="1"/>
  <c r="BW76" i="1" s="1"/>
  <c r="BU83" i="1" a="1"/>
  <c r="BU83" i="1" s="1"/>
  <c r="BW83" i="1" s="1"/>
  <c r="BU75" i="1" a="1"/>
  <c r="BU75" i="1" s="1"/>
  <c r="BW75" i="1" s="1"/>
  <c r="BU74" i="1" a="1"/>
  <c r="BU74" i="1" s="1"/>
  <c r="BW74" i="1" s="1"/>
  <c r="BU90" i="1" a="1"/>
  <c r="BU90" i="1" s="1"/>
  <c r="BW90" i="1" s="1"/>
  <c r="BU91" i="1" a="1"/>
  <c r="BU91" i="1" s="1"/>
  <c r="BW91" i="1" s="1"/>
  <c r="BU82" i="1" a="1"/>
  <c r="BU82" i="1" s="1"/>
  <c r="BW82" i="1" s="1"/>
  <c r="BU84" i="1" a="1"/>
  <c r="BU84" i="1" s="1"/>
  <c r="BW84" i="1" s="1"/>
  <c r="BU85" i="1" a="1"/>
  <c r="BU85" i="1" s="1"/>
  <c r="BW85" i="1" s="1"/>
  <c r="BU86" i="1" a="1"/>
  <c r="BU86" i="1" s="1"/>
  <c r="BW86" i="1" s="1"/>
  <c r="BU80" i="1" a="1"/>
  <c r="BU80" i="1" s="1"/>
  <c r="BW80" i="1" s="1"/>
  <c r="BU81" i="1" a="1"/>
  <c r="BU81" i="1" s="1"/>
  <c r="BW81" i="1" s="1"/>
  <c r="BU88" i="1" a="1"/>
  <c r="BU88" i="1" s="1"/>
  <c r="BW88" i="1" s="1"/>
  <c r="BU101" i="1" a="1"/>
  <c r="BU101" i="1" s="1"/>
  <c r="BW101" i="1" s="1"/>
  <c r="BU94" i="1" a="1"/>
  <c r="BU94" i="1" s="1"/>
  <c r="BW94" i="1" s="1"/>
  <c r="BU95" i="1" a="1"/>
  <c r="BU95" i="1" s="1"/>
  <c r="BW95" i="1" s="1"/>
  <c r="BU97" i="1" a="1"/>
  <c r="BU97" i="1" s="1"/>
  <c r="BW97" i="1" s="1"/>
  <c r="BU98" i="1" a="1"/>
  <c r="BU98" i="1" s="1"/>
  <c r="BW98" i="1" s="1"/>
  <c r="BU92" i="1" a="1"/>
  <c r="BU92" i="1" s="1"/>
  <c r="BW92" i="1" s="1"/>
  <c r="BU99" i="1" a="1"/>
  <c r="BU99" i="1" s="1"/>
  <c r="BW99" i="1" s="1"/>
  <c r="BU93" i="1" a="1"/>
  <c r="BU93" i="1" s="1"/>
  <c r="BW93" i="1" s="1"/>
  <c r="BU100" i="1" a="1"/>
  <c r="BU100" i="1" s="1"/>
  <c r="BW100" i="1" s="1"/>
  <c r="BU104" i="1" a="1"/>
  <c r="BU104" i="1" s="1"/>
  <c r="BW104" i="1" s="1"/>
  <c r="BU112" i="1" a="1"/>
  <c r="BU112" i="1" s="1"/>
  <c r="BW112" i="1" s="1"/>
  <c r="BU105" i="1" a="1"/>
  <c r="BU105" i="1" s="1"/>
  <c r="BW105" i="1" s="1"/>
  <c r="BU113" i="1" a="1"/>
  <c r="BU113" i="1" s="1"/>
  <c r="BW113" i="1" s="1"/>
  <c r="BU106" i="1" a="1"/>
  <c r="BU106" i="1" s="1"/>
  <c r="BW106" i="1" s="1"/>
  <c r="BU107" i="1" a="1"/>
  <c r="BU107" i="1" s="1"/>
  <c r="BW107" i="1" s="1"/>
  <c r="BU115" i="1" a="1"/>
  <c r="BU115" i="1" s="1"/>
  <c r="BW115" i="1" s="1"/>
  <c r="BU108" i="1" a="1"/>
  <c r="BU108" i="1" s="1"/>
  <c r="BW108" i="1" s="1"/>
  <c r="BU116" i="1" a="1"/>
  <c r="BU116" i="1" s="1"/>
  <c r="BW116" i="1" s="1"/>
  <c r="BU109" i="1" a="1"/>
  <c r="BU109" i="1" s="1"/>
  <c r="BW109" i="1" s="1"/>
  <c r="BU117" i="1" a="1"/>
  <c r="BU117" i="1" s="1"/>
  <c r="BW117" i="1" s="1"/>
  <c r="BU102" i="1" a="1"/>
  <c r="BU102" i="1" s="1"/>
  <c r="BW102" i="1" s="1"/>
  <c r="BU110" i="1" a="1"/>
  <c r="BU110" i="1" s="1"/>
  <c r="BW110" i="1" s="1"/>
  <c r="BU118" i="1" a="1"/>
  <c r="BU118" i="1" s="1"/>
  <c r="BW118" i="1" s="1"/>
  <c r="BU103" i="1" a="1"/>
  <c r="BU103" i="1" s="1"/>
  <c r="BW103" i="1" s="1"/>
  <c r="BU111" i="1" a="1"/>
  <c r="BU111" i="1" s="1"/>
  <c r="BW111" i="1" s="1"/>
  <c r="BU127" i="1" a="1"/>
  <c r="BU127" i="1" s="1"/>
  <c r="BW127" i="1" s="1"/>
  <c r="BU135" i="1" a="1"/>
  <c r="BU135" i="1" s="1"/>
  <c r="BW135" i="1" s="1"/>
  <c r="BU128" i="1" a="1"/>
  <c r="BU128" i="1" s="1"/>
  <c r="BW128" i="1" s="1"/>
  <c r="BU121" i="1" a="1"/>
  <c r="BU121" i="1" s="1"/>
  <c r="BW121" i="1" s="1"/>
  <c r="BU122" i="1" a="1"/>
  <c r="BU122" i="1" s="1"/>
  <c r="BW122" i="1" s="1"/>
  <c r="BU130" i="1" a="1"/>
  <c r="BU130" i="1" s="1"/>
  <c r="BW130" i="1" s="1"/>
  <c r="BU123" i="1" a="1"/>
  <c r="BU123" i="1" s="1"/>
  <c r="BW123" i="1" s="1"/>
  <c r="BU120" i="1" a="1"/>
  <c r="BU120" i="1" s="1"/>
  <c r="BW120" i="1" s="1"/>
  <c r="BU119" i="1" a="1"/>
  <c r="BU119" i="1" s="1"/>
  <c r="BW119" i="1" s="1"/>
  <c r="BU125" i="1" a="1"/>
  <c r="BU125" i="1" s="1"/>
  <c r="BW125" i="1" s="1"/>
  <c r="BU133" i="1" a="1"/>
  <c r="BU133" i="1" s="1"/>
  <c r="BW133" i="1" s="1"/>
  <c r="BU137" i="1" a="1"/>
  <c r="BU137" i="1" s="1"/>
  <c r="BW137" i="1" s="1"/>
  <c r="BU139" i="1" a="1"/>
  <c r="BU139" i="1" s="1"/>
  <c r="BW139" i="1" s="1"/>
  <c r="BU140" i="1" a="1"/>
  <c r="BU140" i="1" s="1"/>
  <c r="BW140" i="1" s="1"/>
  <c r="BU141" i="1" a="1"/>
  <c r="BU141" i="1" s="1"/>
  <c r="BW141" i="1" s="1"/>
  <c r="AX70" i="1" a="1"/>
  <c r="AX70" i="1" s="1"/>
  <c r="BM70" i="1" a="1"/>
  <c r="BM70" i="1" s="1"/>
  <c r="CK70" i="1" a="1"/>
  <c r="CK70" i="1" s="1"/>
  <c r="DI70" i="1" a="1"/>
  <c r="DI70" i="1" s="1"/>
  <c r="EG70" i="1" a="1"/>
  <c r="EG70" i="1" s="1"/>
  <c r="BD70" i="1" a="1"/>
  <c r="BD70" i="1" s="1"/>
  <c r="CB70" i="1" a="1"/>
  <c r="CB70" i="1" s="1"/>
  <c r="CZ70" i="1" a="1"/>
  <c r="CZ70" i="1" s="1"/>
  <c r="DX70" i="1" a="1"/>
  <c r="DX70" i="1" s="1"/>
  <c r="BS70" i="1" a="1"/>
  <c r="BS70" i="1" s="1"/>
  <c r="BT70" i="1" s="1"/>
  <c r="CQ70" i="1" a="1"/>
  <c r="CQ70" i="1" s="1"/>
  <c r="DO70" i="1" a="1"/>
  <c r="DO70" i="1" s="1"/>
  <c r="BJ70" i="1" a="1"/>
  <c r="BJ70" i="1" s="1"/>
  <c r="CH70" i="1" a="1"/>
  <c r="CH70" i="1" s="1"/>
  <c r="DF70" i="1" a="1"/>
  <c r="DF70" i="1" s="1"/>
  <c r="ED70" i="1" a="1"/>
  <c r="ED70" i="1" s="1"/>
  <c r="BY70" i="1" a="1"/>
  <c r="BY70" i="1" s="1"/>
  <c r="CW70" i="1" a="1"/>
  <c r="CW70" i="1" s="1"/>
  <c r="DU70" i="1" a="1"/>
  <c r="DU70" i="1" s="1"/>
  <c r="BA70" i="1" a="1"/>
  <c r="BA70" i="1" s="1"/>
  <c r="BP70" i="1" a="1"/>
  <c r="BP70" i="1" s="1"/>
  <c r="CN70" i="1" a="1"/>
  <c r="CN70" i="1" s="1"/>
  <c r="DL70" i="1" a="1"/>
  <c r="DL70" i="1" s="1"/>
  <c r="EJ70" i="1" a="1"/>
  <c r="EJ70" i="1" s="1"/>
  <c r="AW70" i="1" a="1"/>
  <c r="AW70" i="1" s="1"/>
  <c r="BG70" i="1" a="1"/>
  <c r="BG70" i="1" s="1"/>
  <c r="BH70" i="1" s="1"/>
  <c r="CE70" i="1" a="1"/>
  <c r="CE70" i="1" s="1"/>
  <c r="DC70" i="1" a="1"/>
  <c r="DC70" i="1" s="1"/>
  <c r="EA70" i="1" a="1"/>
  <c r="EA70" i="1" s="1"/>
  <c r="BV70" i="1" a="1"/>
  <c r="BV70" i="1" s="1"/>
  <c r="BW70" i="1" s="1"/>
  <c r="CT70" i="1" a="1"/>
  <c r="CT70" i="1" s="1"/>
  <c r="DR70" i="1" a="1"/>
  <c r="DR70" i="1" s="1"/>
  <c r="AZ70" i="1" a="1"/>
  <c r="AZ70" i="1" s="1"/>
  <c r="BC70" i="1"/>
  <c r="BF70" i="1" a="1"/>
  <c r="BF70" i="1" s="1"/>
  <c r="BI70" i="1" a="1"/>
  <c r="BI70" i="1" s="1"/>
  <c r="BL70" i="1" a="1"/>
  <c r="BL70" i="1" s="1"/>
  <c r="BO70" i="1" a="1"/>
  <c r="BO70" i="1" s="1"/>
  <c r="BR180" i="1"/>
  <c r="BT180" i="1" s="1"/>
  <c r="BT40" i="1"/>
  <c r="BT33" i="1"/>
  <c r="BR165" i="1"/>
  <c r="BT165" i="1" s="1"/>
  <c r="BR209" i="1"/>
  <c r="BT209" i="1" s="1"/>
  <c r="BT14" i="1"/>
  <c r="BR190" i="1"/>
  <c r="BT190" i="1" s="1"/>
  <c r="BT51" i="1"/>
  <c r="BR191" i="1"/>
  <c r="BT191" i="1" s="1"/>
  <c r="BT44" i="1"/>
  <c r="BR179" i="1"/>
  <c r="BT179" i="1" s="1"/>
  <c r="BT39" i="1"/>
  <c r="BT32" i="1"/>
  <c r="BR163" i="1"/>
  <c r="BT163" i="1" s="1"/>
  <c r="BR205" i="1"/>
  <c r="BT205" i="1" s="1"/>
  <c r="BT13" i="1"/>
  <c r="BR188" i="1"/>
  <c r="BT188" i="1" s="1"/>
  <c r="BT43" i="1"/>
  <c r="BR178" i="1"/>
  <c r="BT178" i="1" s="1"/>
  <c r="BT38" i="1"/>
  <c r="BR157" i="1"/>
  <c r="BT157" i="1" s="1"/>
  <c r="BT28" i="1"/>
  <c r="BR211" i="1"/>
  <c r="BT211" i="1" s="1"/>
  <c r="BT20" i="1"/>
  <c r="BR210" i="1"/>
  <c r="BT210" i="1" s="1"/>
  <c r="BT19" i="1"/>
  <c r="BR156" i="1"/>
  <c r="BT156" i="1" s="1"/>
  <c r="BT27" i="1"/>
  <c r="BR204" i="1"/>
  <c r="BT204" i="1" s="1"/>
  <c r="BT12" i="1"/>
  <c r="BR172" i="1"/>
  <c r="BT172" i="1" s="1"/>
  <c r="BT36" i="1"/>
  <c r="BR166" i="1"/>
  <c r="BT166" i="1" s="1"/>
  <c r="BT34" i="1"/>
  <c r="BT18" i="1"/>
  <c r="BR208" i="1"/>
  <c r="BT208" i="1" s="1"/>
  <c r="BQ70" i="1" l="1"/>
  <c r="BK70" i="1"/>
  <c r="BU179" i="1"/>
  <c r="BW179" i="1" s="1"/>
  <c r="BW39" i="1"/>
  <c r="BU165" i="1"/>
  <c r="BW165" i="1" s="1"/>
  <c r="BW33" i="1"/>
  <c r="BW20" i="1"/>
  <c r="BU211" i="1"/>
  <c r="BW211" i="1" s="1"/>
  <c r="CA4" i="1"/>
  <c r="BX6" i="1" a="1"/>
  <c r="BX6" i="1" s="1"/>
  <c r="BZ6" i="1" s="1"/>
  <c r="BX8" i="1" a="1"/>
  <c r="BX8" i="1" s="1"/>
  <c r="BZ8" i="1" s="1"/>
  <c r="BX11" i="1" a="1"/>
  <c r="BX11" i="1" s="1"/>
  <c r="BZ11" i="1" s="1"/>
  <c r="BX15" i="1" a="1"/>
  <c r="BX15" i="1" s="1"/>
  <c r="BZ15" i="1" s="1"/>
  <c r="BX9" i="1" a="1"/>
  <c r="BX9" i="1" s="1"/>
  <c r="BZ9" i="1" s="1"/>
  <c r="BX12" i="1" a="1"/>
  <c r="BX12" i="1" s="1"/>
  <c r="BX10" i="1" a="1"/>
  <c r="BX10" i="1" s="1"/>
  <c r="BZ10" i="1" s="1"/>
  <c r="BX13" i="1" a="1"/>
  <c r="BX13" i="1" s="1"/>
  <c r="BX14" i="1" a="1"/>
  <c r="BX14" i="1" s="1"/>
  <c r="BX17" i="1" a="1"/>
  <c r="BX17" i="1" s="1"/>
  <c r="BZ17" i="1" s="1"/>
  <c r="BX20" i="1" a="1"/>
  <c r="BX20" i="1" s="1"/>
  <c r="BX21" i="1" a="1"/>
  <c r="BX21" i="1" s="1"/>
  <c r="BX18" i="1" a="1"/>
  <c r="BX18" i="1" s="1"/>
  <c r="BX19" i="1" a="1"/>
  <c r="BX19" i="1" s="1"/>
  <c r="BX22" i="1" a="1"/>
  <c r="BX22" i="1" s="1"/>
  <c r="BZ22" i="1" s="1"/>
  <c r="BX23" i="1" a="1"/>
  <c r="BX23" i="1" s="1"/>
  <c r="BZ23" i="1" s="1"/>
  <c r="BX25" i="1" a="1"/>
  <c r="BX25" i="1" s="1"/>
  <c r="BZ25" i="1" s="1"/>
  <c r="BX27" i="1" a="1"/>
  <c r="BX27" i="1" s="1"/>
  <c r="BX28" i="1" a="1"/>
  <c r="BX28" i="1" s="1"/>
  <c r="BX32" i="1" a="1"/>
  <c r="BX32" i="1" s="1"/>
  <c r="BX33" i="1" a="1"/>
  <c r="BX33" i="1" s="1"/>
  <c r="BX34" i="1" a="1"/>
  <c r="BX34" i="1" s="1"/>
  <c r="BX36" i="1" a="1"/>
  <c r="BX36" i="1" s="1"/>
  <c r="BX31" i="1" a="1"/>
  <c r="BX31" i="1" s="1"/>
  <c r="BX38" i="1" a="1"/>
  <c r="BX38" i="1" s="1"/>
  <c r="BX39" i="1" a="1"/>
  <c r="BX39" i="1" s="1"/>
  <c r="BX40" i="1" a="1"/>
  <c r="BX40" i="1" s="1"/>
  <c r="BX44" i="1" a="1"/>
  <c r="BX44" i="1" s="1"/>
  <c r="BX45" i="1" a="1"/>
  <c r="BX45" i="1" s="1"/>
  <c r="BZ45" i="1" s="1"/>
  <c r="BX42" i="1" a="1"/>
  <c r="BX42" i="1" s="1"/>
  <c r="BX43" i="1" a="1"/>
  <c r="BX43" i="1" s="1"/>
  <c r="BX47" i="1" a="1"/>
  <c r="BX47" i="1" s="1"/>
  <c r="BZ47" i="1" s="1"/>
  <c r="BX55" i="1" a="1"/>
  <c r="BX55" i="1" s="1"/>
  <c r="BZ55" i="1" s="1"/>
  <c r="BX51" i="1" a="1"/>
  <c r="BX51" i="1" s="1"/>
  <c r="BX50" i="1" a="1"/>
  <c r="BX50" i="1" s="1"/>
  <c r="BZ50" i="1" s="1"/>
  <c r="BX52" i="1" a="1"/>
  <c r="BX52" i="1" s="1"/>
  <c r="BZ52" i="1" s="1"/>
  <c r="BX46" i="1" a="1"/>
  <c r="BX46" i="1" s="1"/>
  <c r="BZ46" i="1" s="1"/>
  <c r="BX48" i="1" a="1"/>
  <c r="BX48" i="1" s="1"/>
  <c r="BZ48" i="1" s="1"/>
  <c r="BX49" i="1" a="1"/>
  <c r="BX49" i="1" s="1"/>
  <c r="BZ49" i="1" s="1"/>
  <c r="BX54" i="1" a="1"/>
  <c r="BX54" i="1" s="1"/>
  <c r="BZ54" i="1" s="1"/>
  <c r="BX56" i="1" a="1"/>
  <c r="BX56" i="1" s="1"/>
  <c r="BZ56" i="1" s="1"/>
  <c r="BX58" i="1" a="1"/>
  <c r="BX58" i="1" s="1"/>
  <c r="BZ58" i="1" s="1"/>
  <c r="BX60" i="1" a="1"/>
  <c r="BX60" i="1" s="1"/>
  <c r="BZ60" i="1" s="1"/>
  <c r="BX61" i="1" a="1"/>
  <c r="BX61" i="1" s="1"/>
  <c r="BZ61" i="1" s="1"/>
  <c r="BX62" i="1" a="1"/>
  <c r="BX62" i="1" s="1"/>
  <c r="BZ62" i="1" s="1"/>
  <c r="BX72" i="1" a="1"/>
  <c r="BX72" i="1" s="1"/>
  <c r="BZ72" i="1" s="1"/>
  <c r="BX73" i="1" a="1"/>
  <c r="BX73" i="1" s="1"/>
  <c r="BZ73" i="1" s="1"/>
  <c r="BX66" i="1"/>
  <c r="BX69" i="1" a="1"/>
  <c r="BX69" i="1" s="1"/>
  <c r="BZ69" i="1" s="1"/>
  <c r="BX70" i="1" a="1"/>
  <c r="BX70" i="1" s="1"/>
  <c r="BX71" i="1" a="1"/>
  <c r="BX71" i="1" s="1"/>
  <c r="BZ71" i="1" s="1"/>
  <c r="BX68" i="1" a="1"/>
  <c r="BX68" i="1" s="1"/>
  <c r="BZ68" i="1" s="1"/>
  <c r="BX76" i="1" a="1"/>
  <c r="BX76" i="1" s="1"/>
  <c r="BZ76" i="1" s="1"/>
  <c r="BX75" i="1" a="1"/>
  <c r="BX75" i="1" s="1"/>
  <c r="BZ75" i="1" s="1"/>
  <c r="BX74" i="1" a="1"/>
  <c r="BX74" i="1" s="1"/>
  <c r="BZ74" i="1" s="1"/>
  <c r="BX77" i="1" a="1"/>
  <c r="BX77" i="1" s="1"/>
  <c r="BZ77" i="1" s="1"/>
  <c r="BX83" i="1" a="1"/>
  <c r="BX83" i="1" s="1"/>
  <c r="BZ83" i="1" s="1"/>
  <c r="BX84" i="1" a="1"/>
  <c r="BX84" i="1" s="1"/>
  <c r="BZ84" i="1" s="1"/>
  <c r="BX92" i="1" a="1"/>
  <c r="BX92" i="1" s="1"/>
  <c r="BZ92" i="1" s="1"/>
  <c r="BX79" i="1" a="1"/>
  <c r="BX79" i="1" s="1"/>
  <c r="BZ79" i="1" s="1"/>
  <c r="BX80" i="1" a="1"/>
  <c r="BX80" i="1" s="1"/>
  <c r="BZ80" i="1" s="1"/>
  <c r="BX85" i="1" a="1"/>
  <c r="BX85" i="1" s="1"/>
  <c r="BZ85" i="1" s="1"/>
  <c r="BX93" i="1" a="1"/>
  <c r="BX93" i="1" s="1"/>
  <c r="BZ93" i="1" s="1"/>
  <c r="BX86" i="1" a="1"/>
  <c r="BX86" i="1" s="1"/>
  <c r="BZ86" i="1" s="1"/>
  <c r="BX81" i="1" a="1"/>
  <c r="BX81" i="1" s="1"/>
  <c r="BZ81" i="1" s="1"/>
  <c r="BX88" i="1" a="1"/>
  <c r="BX88" i="1" s="1"/>
  <c r="BZ88" i="1" s="1"/>
  <c r="BX78" i="1" a="1"/>
  <c r="BX78" i="1" s="1"/>
  <c r="BZ78" i="1" s="1"/>
  <c r="BX90" i="1" a="1"/>
  <c r="BX90" i="1" s="1"/>
  <c r="BZ90" i="1" s="1"/>
  <c r="BX82" i="1" a="1"/>
  <c r="BX82" i="1" s="1"/>
  <c r="BZ82" i="1" s="1"/>
  <c r="BX97" i="1" a="1"/>
  <c r="BX97" i="1" s="1"/>
  <c r="BZ97" i="1" s="1"/>
  <c r="BX98" i="1" a="1"/>
  <c r="BX98" i="1" s="1"/>
  <c r="BZ98" i="1" s="1"/>
  <c r="BX99" i="1" a="1"/>
  <c r="BX99" i="1" s="1"/>
  <c r="BZ99" i="1" s="1"/>
  <c r="BX100" i="1" a="1"/>
  <c r="BX100" i="1" s="1"/>
  <c r="BZ100" i="1" s="1"/>
  <c r="BX101" i="1" a="1"/>
  <c r="BX101" i="1" s="1"/>
  <c r="BZ101" i="1" s="1"/>
  <c r="BX91" i="1" a="1"/>
  <c r="BX91" i="1" s="1"/>
  <c r="BZ91" i="1" s="1"/>
  <c r="BX94" i="1" a="1"/>
  <c r="BX94" i="1" s="1"/>
  <c r="BZ94" i="1" s="1"/>
  <c r="BX95" i="1" a="1"/>
  <c r="BX95" i="1" s="1"/>
  <c r="BZ95" i="1" s="1"/>
  <c r="BX107" i="1" a="1"/>
  <c r="BX107" i="1" s="1"/>
  <c r="BZ107" i="1" s="1"/>
  <c r="BX115" i="1" a="1"/>
  <c r="BX115" i="1" s="1"/>
  <c r="BZ115" i="1" s="1"/>
  <c r="BX108" i="1" a="1"/>
  <c r="BX108" i="1" s="1"/>
  <c r="BZ108" i="1" s="1"/>
  <c r="BX116" i="1" a="1"/>
  <c r="BX116" i="1" s="1"/>
  <c r="BZ116" i="1" s="1"/>
  <c r="BX109" i="1" a="1"/>
  <c r="BX109" i="1" s="1"/>
  <c r="BZ109" i="1" s="1"/>
  <c r="BX117" i="1" a="1"/>
  <c r="BX117" i="1" s="1"/>
  <c r="BZ117" i="1" s="1"/>
  <c r="BX102" i="1" a="1"/>
  <c r="BX102" i="1" s="1"/>
  <c r="BZ102" i="1" s="1"/>
  <c r="BX110" i="1" a="1"/>
  <c r="BX110" i="1" s="1"/>
  <c r="BZ110" i="1" s="1"/>
  <c r="BX118" i="1" a="1"/>
  <c r="BX118" i="1" s="1"/>
  <c r="BZ118" i="1" s="1"/>
  <c r="BX103" i="1" a="1"/>
  <c r="BX103" i="1" s="1"/>
  <c r="BZ103" i="1" s="1"/>
  <c r="BX111" i="1" a="1"/>
  <c r="BX111" i="1" s="1"/>
  <c r="BZ111" i="1" s="1"/>
  <c r="BX119" i="1" a="1"/>
  <c r="BX119" i="1" s="1"/>
  <c r="BZ119" i="1" s="1"/>
  <c r="BX104" i="1" a="1"/>
  <c r="BX104" i="1" s="1"/>
  <c r="BZ104" i="1" s="1"/>
  <c r="BX112" i="1" a="1"/>
  <c r="BX112" i="1" s="1"/>
  <c r="BZ112" i="1" s="1"/>
  <c r="BX120" i="1" a="1"/>
  <c r="BX120" i="1" s="1"/>
  <c r="BZ120" i="1" s="1"/>
  <c r="BX105" i="1" a="1"/>
  <c r="BX105" i="1" s="1"/>
  <c r="BZ105" i="1" s="1"/>
  <c r="BX113" i="1" a="1"/>
  <c r="BX113" i="1" s="1"/>
  <c r="BZ113" i="1" s="1"/>
  <c r="BX106" i="1" a="1"/>
  <c r="BX106" i="1" s="1"/>
  <c r="BZ106" i="1" s="1"/>
  <c r="BX121" i="1" a="1"/>
  <c r="BX121" i="1" s="1"/>
  <c r="BZ121" i="1" s="1"/>
  <c r="BX122" i="1" a="1"/>
  <c r="BX122" i="1" s="1"/>
  <c r="BZ122" i="1" s="1"/>
  <c r="BX130" i="1" a="1"/>
  <c r="BX130" i="1" s="1"/>
  <c r="BZ130" i="1" s="1"/>
  <c r="BX123" i="1" a="1"/>
  <c r="BX123" i="1" s="1"/>
  <c r="BZ123" i="1" s="1"/>
  <c r="BX125" i="1" a="1"/>
  <c r="BX125" i="1" s="1"/>
  <c r="BZ125" i="1" s="1"/>
  <c r="BX133" i="1" a="1"/>
  <c r="BX133" i="1" s="1"/>
  <c r="BZ133" i="1" s="1"/>
  <c r="BX127" i="1" a="1"/>
  <c r="BX127" i="1" s="1"/>
  <c r="BZ127" i="1" s="1"/>
  <c r="BX135" i="1" a="1"/>
  <c r="BX135" i="1" s="1"/>
  <c r="BZ135" i="1" s="1"/>
  <c r="BX128" i="1" a="1"/>
  <c r="BX128" i="1" s="1"/>
  <c r="BZ128" i="1" s="1"/>
  <c r="BX137" i="1" a="1"/>
  <c r="BX137" i="1" s="1"/>
  <c r="BZ137" i="1" s="1"/>
  <c r="BX139" i="1" a="1"/>
  <c r="BX139" i="1" s="1"/>
  <c r="BZ139" i="1" s="1"/>
  <c r="BX140" i="1" a="1"/>
  <c r="BX140" i="1" s="1"/>
  <c r="BZ140" i="1" s="1"/>
  <c r="BX141" i="1" a="1"/>
  <c r="BX141" i="1" s="1"/>
  <c r="BZ141" i="1" s="1"/>
  <c r="BB70" i="1"/>
  <c r="BU185" i="1"/>
  <c r="BW185" i="1" s="1"/>
  <c r="BW42" i="1"/>
  <c r="BU163" i="1"/>
  <c r="BW163" i="1" s="1"/>
  <c r="BW32" i="1"/>
  <c r="BW14" i="1"/>
  <c r="BU209" i="1"/>
  <c r="BW209" i="1" s="1"/>
  <c r="BW44" i="1"/>
  <c r="BU191" i="1"/>
  <c r="BW191" i="1" s="1"/>
  <c r="BU206" i="1"/>
  <c r="BW206" i="1" s="1"/>
  <c r="BW21" i="1"/>
  <c r="BW13" i="1"/>
  <c r="BU205" i="1"/>
  <c r="BW205" i="1" s="1"/>
  <c r="BN70" i="1"/>
  <c r="BU190" i="1"/>
  <c r="BW190" i="1" s="1"/>
  <c r="BW51" i="1"/>
  <c r="BU166" i="1"/>
  <c r="BW166" i="1" s="1"/>
  <c r="BW34" i="1"/>
  <c r="BU210" i="1"/>
  <c r="BW210" i="1" s="1"/>
  <c r="BW19" i="1"/>
  <c r="BZ70" i="1"/>
  <c r="AY70" i="1"/>
  <c r="BU172" i="1"/>
  <c r="BW172" i="1" s="1"/>
  <c r="BW36" i="1"/>
  <c r="BU157" i="1"/>
  <c r="BW157" i="1" s="1"/>
  <c r="BW28" i="1"/>
  <c r="BU188" i="1"/>
  <c r="BW188" i="1" s="1"/>
  <c r="BW43" i="1"/>
  <c r="BU156" i="1"/>
  <c r="BW156" i="1" s="1"/>
  <c r="BW27" i="1"/>
  <c r="BU208" i="1"/>
  <c r="BW208" i="1" s="1"/>
  <c r="BW18" i="1"/>
  <c r="BU180" i="1"/>
  <c r="BW180" i="1" s="1"/>
  <c r="BW40" i="1"/>
  <c r="BU204" i="1"/>
  <c r="BW204" i="1" s="1"/>
  <c r="BW12" i="1"/>
  <c r="BE70" i="1"/>
  <c r="BU178" i="1"/>
  <c r="BW178" i="1" s="1"/>
  <c r="BW38" i="1"/>
  <c r="BU161" i="1"/>
  <c r="BW161" i="1" s="1"/>
  <c r="BW31" i="1"/>
  <c r="BX166" i="1" l="1"/>
  <c r="BZ166" i="1" s="1"/>
  <c r="BZ34" i="1"/>
  <c r="BX190" i="1"/>
  <c r="BZ190" i="1" s="1"/>
  <c r="BZ51" i="1"/>
  <c r="BX180" i="1"/>
  <c r="BZ180" i="1" s="1"/>
  <c r="BZ40" i="1"/>
  <c r="BX165" i="1"/>
  <c r="BZ165" i="1" s="1"/>
  <c r="BZ33" i="1"/>
  <c r="BZ39" i="1"/>
  <c r="BX179" i="1"/>
  <c r="BZ179" i="1" s="1"/>
  <c r="BX163" i="1"/>
  <c r="BZ163" i="1" s="1"/>
  <c r="BZ32" i="1"/>
  <c r="BZ14" i="1"/>
  <c r="BX209" i="1"/>
  <c r="BZ209" i="1" s="1"/>
  <c r="BX178" i="1"/>
  <c r="BZ178" i="1" s="1"/>
  <c r="BZ38" i="1"/>
  <c r="BX157" i="1"/>
  <c r="BZ157" i="1" s="1"/>
  <c r="BZ28" i="1"/>
  <c r="BX210" i="1"/>
  <c r="BZ210" i="1" s="1"/>
  <c r="BZ19" i="1"/>
  <c r="BX205" i="1"/>
  <c r="BZ205" i="1" s="1"/>
  <c r="BZ13" i="1"/>
  <c r="BX188" i="1"/>
  <c r="BZ188" i="1" s="1"/>
  <c r="BZ43" i="1"/>
  <c r="BX156" i="1"/>
  <c r="BZ156" i="1" s="1"/>
  <c r="BZ27" i="1"/>
  <c r="CD4" i="1"/>
  <c r="CA8" i="1" a="1"/>
  <c r="CA8" i="1" s="1"/>
  <c r="CC8" i="1" s="1"/>
  <c r="CA9" i="1" a="1"/>
  <c r="CA9" i="1" s="1"/>
  <c r="CC9" i="1" s="1"/>
  <c r="CA10" i="1" a="1"/>
  <c r="CA10" i="1" s="1"/>
  <c r="CC10" i="1" s="1"/>
  <c r="CA6" i="1" a="1"/>
  <c r="CA6" i="1" s="1"/>
  <c r="CC6" i="1" s="1"/>
  <c r="CA11" i="1" a="1"/>
  <c r="CA11" i="1" s="1"/>
  <c r="CC11" i="1" s="1"/>
  <c r="CA12" i="1" a="1"/>
  <c r="CA12" i="1" s="1"/>
  <c r="CA13" i="1" a="1"/>
  <c r="CA13" i="1" s="1"/>
  <c r="CA14" i="1" a="1"/>
  <c r="CA14" i="1" s="1"/>
  <c r="CA15" i="1" a="1"/>
  <c r="CA15" i="1" s="1"/>
  <c r="CC15" i="1" s="1"/>
  <c r="CA17" i="1" a="1"/>
  <c r="CA17" i="1" s="1"/>
  <c r="CC17" i="1" s="1"/>
  <c r="CA18" i="1" a="1"/>
  <c r="CA18" i="1" s="1"/>
  <c r="CA19" i="1" a="1"/>
  <c r="CA19" i="1" s="1"/>
  <c r="CA20" i="1" a="1"/>
  <c r="CA20" i="1" s="1"/>
  <c r="CA21" i="1" a="1"/>
  <c r="CA21" i="1" s="1"/>
  <c r="CA22" i="1" a="1"/>
  <c r="CA22" i="1" s="1"/>
  <c r="CC22" i="1" s="1"/>
  <c r="CA23" i="1" a="1"/>
  <c r="CA23" i="1" s="1"/>
  <c r="CC23" i="1" s="1"/>
  <c r="CA25" i="1" a="1"/>
  <c r="CA25" i="1" s="1"/>
  <c r="CC25" i="1" s="1"/>
  <c r="CA27" i="1" a="1"/>
  <c r="CA27" i="1" s="1"/>
  <c r="CA28" i="1" a="1"/>
  <c r="CA28" i="1" s="1"/>
  <c r="CA31" i="1" a="1"/>
  <c r="CA31" i="1" s="1"/>
  <c r="CA32" i="1" a="1"/>
  <c r="CA32" i="1" s="1"/>
  <c r="CA33" i="1" a="1"/>
  <c r="CA33" i="1" s="1"/>
  <c r="CA38" i="1" a="1"/>
  <c r="CA38" i="1" s="1"/>
  <c r="CA39" i="1" a="1"/>
  <c r="CA39" i="1" s="1"/>
  <c r="CA40" i="1" a="1"/>
  <c r="CA40" i="1" s="1"/>
  <c r="CA42" i="1" a="1"/>
  <c r="CA42" i="1" s="1"/>
  <c r="CA36" i="1" a="1"/>
  <c r="CA36" i="1" s="1"/>
  <c r="CA34" i="1" a="1"/>
  <c r="CA34" i="1" s="1"/>
  <c r="CA45" i="1" a="1"/>
  <c r="CA45" i="1" s="1"/>
  <c r="CC45" i="1" s="1"/>
  <c r="CA46" i="1" a="1"/>
  <c r="CA46" i="1" s="1"/>
  <c r="CC46" i="1" s="1"/>
  <c r="CA43" i="1" a="1"/>
  <c r="CA43" i="1" s="1"/>
  <c r="CA47" i="1" a="1"/>
  <c r="CA47" i="1" s="1"/>
  <c r="CC47" i="1" s="1"/>
  <c r="CA44" i="1" a="1"/>
  <c r="CA44" i="1" s="1"/>
  <c r="CA48" i="1" a="1"/>
  <c r="CA48" i="1" s="1"/>
  <c r="CC48" i="1" s="1"/>
  <c r="CA49" i="1" a="1"/>
  <c r="CA49" i="1" s="1"/>
  <c r="CC49" i="1" s="1"/>
  <c r="CA54" i="1" a="1"/>
  <c r="CA54" i="1" s="1"/>
  <c r="CC54" i="1" s="1"/>
  <c r="CA55" i="1" a="1"/>
  <c r="CA55" i="1" s="1"/>
  <c r="CC55" i="1" s="1"/>
  <c r="CA50" i="1" a="1"/>
  <c r="CA50" i="1" s="1"/>
  <c r="CC50" i="1" s="1"/>
  <c r="CA52" i="1" a="1"/>
  <c r="CA52" i="1" s="1"/>
  <c r="CC52" i="1" s="1"/>
  <c r="CA56" i="1" a="1"/>
  <c r="CA56" i="1" s="1"/>
  <c r="CC56" i="1" s="1"/>
  <c r="CA66" i="1"/>
  <c r="CA58" i="1" a="1"/>
  <c r="CA58" i="1" s="1"/>
  <c r="CC58" i="1" s="1"/>
  <c r="CA60" i="1" a="1"/>
  <c r="CA60" i="1" s="1"/>
  <c r="CC60" i="1" s="1"/>
  <c r="CA61" i="1" a="1"/>
  <c r="CA61" i="1" s="1"/>
  <c r="CC61" i="1" s="1"/>
  <c r="CA62" i="1" a="1"/>
  <c r="CA62" i="1" s="1"/>
  <c r="CC62" i="1" s="1"/>
  <c r="CA51" i="1" a="1"/>
  <c r="CA51" i="1" s="1"/>
  <c r="CA68" i="1" a="1"/>
  <c r="CA68" i="1" s="1"/>
  <c r="CC68" i="1" s="1"/>
  <c r="CA72" i="1" a="1"/>
  <c r="CA72" i="1" s="1"/>
  <c r="CC72" i="1" s="1"/>
  <c r="CA73" i="1" a="1"/>
  <c r="CA73" i="1" s="1"/>
  <c r="CC73" i="1" s="1"/>
  <c r="CA74" i="1" a="1"/>
  <c r="CA74" i="1" s="1"/>
  <c r="CC74" i="1" s="1"/>
  <c r="CA69" i="1" a="1"/>
  <c r="CA69" i="1" s="1"/>
  <c r="CC69" i="1" s="1"/>
  <c r="CA70" i="1" a="1"/>
  <c r="CA70" i="1" s="1"/>
  <c r="CC70" i="1" s="1"/>
  <c r="CA71" i="1"/>
  <c r="CC71" i="1" s="1"/>
  <c r="CA76" i="1" a="1"/>
  <c r="CA76" i="1" s="1"/>
  <c r="CC76" i="1" s="1"/>
  <c r="CA77" i="1" a="1"/>
  <c r="CA77" i="1" s="1"/>
  <c r="CC77" i="1" s="1"/>
  <c r="CA78" i="1" a="1"/>
  <c r="CA78" i="1" s="1"/>
  <c r="CC78" i="1" s="1"/>
  <c r="CA79" i="1" a="1"/>
  <c r="CA79" i="1" s="1"/>
  <c r="CC79" i="1" s="1"/>
  <c r="CA80" i="1" a="1"/>
  <c r="CA80" i="1" s="1"/>
  <c r="CC80" i="1" s="1"/>
  <c r="CA81" i="1" a="1"/>
  <c r="CA81" i="1" s="1"/>
  <c r="CC81" i="1" s="1"/>
  <c r="CA75" i="1" a="1"/>
  <c r="CA75" i="1" s="1"/>
  <c r="CC75" i="1" s="1"/>
  <c r="CA88" i="1" a="1"/>
  <c r="CA88" i="1" s="1"/>
  <c r="CC88" i="1" s="1"/>
  <c r="CA82" i="1" a="1"/>
  <c r="CA82" i="1" s="1"/>
  <c r="CC82" i="1" s="1"/>
  <c r="CA83" i="1" a="1"/>
  <c r="CA83" i="1" s="1"/>
  <c r="CC83" i="1" s="1"/>
  <c r="CA91" i="1" a="1"/>
  <c r="CA91" i="1" s="1"/>
  <c r="CC91" i="1" s="1"/>
  <c r="CA84" i="1" a="1"/>
  <c r="CA84" i="1" s="1"/>
  <c r="CC84" i="1" s="1"/>
  <c r="CA85" i="1" a="1"/>
  <c r="CA85" i="1" s="1"/>
  <c r="CC85" i="1" s="1"/>
  <c r="CA93" i="1" a="1"/>
  <c r="CA93" i="1" s="1"/>
  <c r="CC93" i="1" s="1"/>
  <c r="CA86" i="1" a="1"/>
  <c r="CA86" i="1" s="1"/>
  <c r="CC86" i="1" s="1"/>
  <c r="CA99" i="1" a="1"/>
  <c r="CA99" i="1" s="1"/>
  <c r="CC99" i="1" s="1"/>
  <c r="CA100" i="1" a="1"/>
  <c r="CA100" i="1" s="1"/>
  <c r="CC100" i="1" s="1"/>
  <c r="CA101" i="1" a="1"/>
  <c r="CA101" i="1" s="1"/>
  <c r="CC101" i="1" s="1"/>
  <c r="CA92" i="1" a="1"/>
  <c r="CA92" i="1" s="1"/>
  <c r="CC92" i="1" s="1"/>
  <c r="CA94" i="1" a="1"/>
  <c r="CA94" i="1" s="1"/>
  <c r="CC94" i="1" s="1"/>
  <c r="CA90" i="1" a="1"/>
  <c r="CA90" i="1" s="1"/>
  <c r="CC90" i="1" s="1"/>
  <c r="CA95" i="1" a="1"/>
  <c r="CA95" i="1" s="1"/>
  <c r="CC95" i="1" s="1"/>
  <c r="CA97" i="1" a="1"/>
  <c r="CA97" i="1" s="1"/>
  <c r="CC97" i="1" s="1"/>
  <c r="CA98" i="1" a="1"/>
  <c r="CA98" i="1" s="1"/>
  <c r="CC98" i="1" s="1"/>
  <c r="CA102" i="1" a="1"/>
  <c r="CA102" i="1" s="1"/>
  <c r="CC102" i="1" s="1"/>
  <c r="CA110" i="1" a="1"/>
  <c r="CA110" i="1" s="1"/>
  <c r="CC110" i="1" s="1"/>
  <c r="CA118" i="1" a="1"/>
  <c r="CA118" i="1" s="1"/>
  <c r="CC118" i="1" s="1"/>
  <c r="CA103" i="1" a="1"/>
  <c r="CA103" i="1" s="1"/>
  <c r="CC103" i="1" s="1"/>
  <c r="CA111" i="1" a="1"/>
  <c r="CA111" i="1" s="1"/>
  <c r="CC111" i="1" s="1"/>
  <c r="CA119" i="1" a="1"/>
  <c r="CA119" i="1" s="1"/>
  <c r="CC119" i="1" s="1"/>
  <c r="CA104" i="1" a="1"/>
  <c r="CA104" i="1" s="1"/>
  <c r="CC104" i="1" s="1"/>
  <c r="CA112" i="1" a="1"/>
  <c r="CA112" i="1" s="1"/>
  <c r="CC112" i="1" s="1"/>
  <c r="CA105" i="1" a="1"/>
  <c r="CA105" i="1" s="1"/>
  <c r="CC105" i="1" s="1"/>
  <c r="CA113" i="1" a="1"/>
  <c r="CA113" i="1" s="1"/>
  <c r="CC113" i="1" s="1"/>
  <c r="CA106" i="1" a="1"/>
  <c r="CA106" i="1" s="1"/>
  <c r="CC106" i="1" s="1"/>
  <c r="CA107" i="1" a="1"/>
  <c r="CA107" i="1" s="1"/>
  <c r="CC107" i="1" s="1"/>
  <c r="CA115" i="1" a="1"/>
  <c r="CA115" i="1" s="1"/>
  <c r="CC115" i="1" s="1"/>
  <c r="CA108" i="1" a="1"/>
  <c r="CA108" i="1" s="1"/>
  <c r="CC108" i="1" s="1"/>
  <c r="CA116" i="1" a="1"/>
  <c r="CA116" i="1" s="1"/>
  <c r="CC116" i="1" s="1"/>
  <c r="CA109" i="1" a="1"/>
  <c r="CA109" i="1" s="1"/>
  <c r="CC109" i="1" s="1"/>
  <c r="CA117" i="1" a="1"/>
  <c r="CA117" i="1" s="1"/>
  <c r="CC117" i="1" s="1"/>
  <c r="CA125" i="1" a="1"/>
  <c r="CA125" i="1" s="1"/>
  <c r="CC125" i="1" s="1"/>
  <c r="CA133" i="1" a="1"/>
  <c r="CA133" i="1" s="1"/>
  <c r="CC133" i="1" s="1"/>
  <c r="CA127" i="1" a="1"/>
  <c r="CA127" i="1" s="1"/>
  <c r="CC127" i="1" s="1"/>
  <c r="CA128" i="1" a="1"/>
  <c r="CA128" i="1" s="1"/>
  <c r="CC128" i="1" s="1"/>
  <c r="CA121" i="1" a="1"/>
  <c r="CA121" i="1" s="1"/>
  <c r="CC121" i="1" s="1"/>
  <c r="CA122" i="1" a="1"/>
  <c r="CA122" i="1" s="1"/>
  <c r="CC122" i="1" s="1"/>
  <c r="CA130" i="1" a="1"/>
  <c r="CA130" i="1" s="1"/>
  <c r="CC130" i="1" s="1"/>
  <c r="CA120" i="1" a="1"/>
  <c r="CA120" i="1" s="1"/>
  <c r="CC120" i="1" s="1"/>
  <c r="CA123" i="1" a="1"/>
  <c r="CA123" i="1" s="1"/>
  <c r="CC123" i="1" s="1"/>
  <c r="CA140" i="1" a="1"/>
  <c r="CA140" i="1" s="1"/>
  <c r="CC140" i="1" s="1"/>
  <c r="CA141" i="1" a="1"/>
  <c r="CA141" i="1" s="1"/>
  <c r="CC141" i="1" s="1"/>
  <c r="CA135" i="1" a="1"/>
  <c r="CA135" i="1" s="1"/>
  <c r="CC135" i="1" s="1"/>
  <c r="CA137" i="1" a="1"/>
  <c r="CA137" i="1" s="1"/>
  <c r="CC137" i="1" s="1"/>
  <c r="CA139" i="1" a="1"/>
  <c r="CA139" i="1" s="1"/>
  <c r="CC139" i="1" s="1"/>
  <c r="BX185" i="1"/>
  <c r="BZ185" i="1" s="1"/>
  <c r="BZ42" i="1"/>
  <c r="BX161" i="1"/>
  <c r="BZ161" i="1" s="1"/>
  <c r="BZ31" i="1"/>
  <c r="BX208" i="1"/>
  <c r="BZ208" i="1" s="1"/>
  <c r="BZ18" i="1"/>
  <c r="BX204" i="1"/>
  <c r="BZ204" i="1" s="1"/>
  <c r="BZ12" i="1"/>
  <c r="BX172" i="1"/>
  <c r="BZ172" i="1" s="1"/>
  <c r="BZ36" i="1"/>
  <c r="BX206" i="1"/>
  <c r="BZ206" i="1" s="1"/>
  <c r="BZ21" i="1"/>
  <c r="BX191" i="1"/>
  <c r="BZ191" i="1" s="1"/>
  <c r="BZ44" i="1"/>
  <c r="BX211" i="1"/>
  <c r="BZ211" i="1" s="1"/>
  <c r="BZ20" i="1"/>
  <c r="CA172" i="1" l="1"/>
  <c r="CC172" i="1" s="1"/>
  <c r="CC36" i="1"/>
  <c r="CA163" i="1"/>
  <c r="CC163" i="1" s="1"/>
  <c r="CC32" i="1"/>
  <c r="CC42" i="1"/>
  <c r="CA185" i="1"/>
  <c r="CC185" i="1" s="1"/>
  <c r="CA161" i="1"/>
  <c r="CC161" i="1" s="1"/>
  <c r="CC31" i="1"/>
  <c r="CA190" i="1"/>
  <c r="CC190" i="1" s="1"/>
  <c r="CC51" i="1"/>
  <c r="CA191" i="1"/>
  <c r="CC191" i="1" s="1"/>
  <c r="CC44" i="1"/>
  <c r="CA209" i="1"/>
  <c r="CC209" i="1" s="1"/>
  <c r="CC14" i="1"/>
  <c r="CA180" i="1"/>
  <c r="CC180" i="1" s="1"/>
  <c r="CC40" i="1"/>
  <c r="CC21" i="1"/>
  <c r="CA206" i="1"/>
  <c r="CC206" i="1" s="1"/>
  <c r="CA205" i="1"/>
  <c r="CC205" i="1" s="1"/>
  <c r="CC13" i="1"/>
  <c r="CD8" i="1" a="1"/>
  <c r="CD8" i="1" s="1"/>
  <c r="CF8" i="1" s="1"/>
  <c r="CD9" i="1" a="1"/>
  <c r="CD9" i="1" s="1"/>
  <c r="CF9" i="1" s="1"/>
  <c r="CG4" i="1"/>
  <c r="CD6" i="1" a="1"/>
  <c r="CD6" i="1" s="1"/>
  <c r="CF6" i="1" s="1"/>
  <c r="CD13" i="1" a="1"/>
  <c r="CD13" i="1" s="1"/>
  <c r="CD14" i="1" a="1"/>
  <c r="CD14" i="1" s="1"/>
  <c r="CD10" i="1" a="1"/>
  <c r="CD10" i="1" s="1"/>
  <c r="CF10" i="1" s="1"/>
  <c r="CD11" i="1" a="1"/>
  <c r="CD11" i="1" s="1"/>
  <c r="CF11" i="1" s="1"/>
  <c r="CD12" i="1" a="1"/>
  <c r="CD12" i="1" s="1"/>
  <c r="CD15" i="1" a="1"/>
  <c r="CD15" i="1" s="1"/>
  <c r="CF15" i="1" s="1"/>
  <c r="CD17" i="1" a="1"/>
  <c r="CD17" i="1" s="1"/>
  <c r="CF17" i="1" s="1"/>
  <c r="CD19" i="1" a="1"/>
  <c r="CD19" i="1" s="1"/>
  <c r="CD20" i="1" a="1"/>
  <c r="CD20" i="1" s="1"/>
  <c r="CD23" i="1" a="1"/>
  <c r="CD23" i="1" s="1"/>
  <c r="CF23" i="1" s="1"/>
  <c r="CD21" i="1" a="1"/>
  <c r="CD21" i="1" s="1"/>
  <c r="CD18" i="1" a="1"/>
  <c r="CD18" i="1" s="1"/>
  <c r="CD22" i="1" a="1"/>
  <c r="CD22" i="1" s="1"/>
  <c r="CF22" i="1" s="1"/>
  <c r="CD27" i="1" a="1"/>
  <c r="CD27" i="1" s="1"/>
  <c r="CD25" i="1" a="1"/>
  <c r="CD25" i="1" s="1"/>
  <c r="CF25" i="1" s="1"/>
  <c r="CD28" i="1" a="1"/>
  <c r="CD28" i="1" s="1"/>
  <c r="CD31" i="1" a="1"/>
  <c r="CD31" i="1" s="1"/>
  <c r="CD32" i="1" a="1"/>
  <c r="CD32" i="1" s="1"/>
  <c r="CD34" i="1" a="1"/>
  <c r="CD34" i="1" s="1"/>
  <c r="CD33" i="1" a="1"/>
  <c r="CD33" i="1" s="1"/>
  <c r="CD36" i="1" a="1"/>
  <c r="CD36" i="1" s="1"/>
  <c r="CD38" i="1" a="1"/>
  <c r="CD38" i="1" s="1"/>
  <c r="CD39" i="1" a="1"/>
  <c r="CD39" i="1" s="1"/>
  <c r="CD43" i="1" a="1"/>
  <c r="CD43" i="1" s="1"/>
  <c r="CD40" i="1" a="1"/>
  <c r="CD40" i="1" s="1"/>
  <c r="CD44" i="1" a="1"/>
  <c r="CD44" i="1" s="1"/>
  <c r="CD42" i="1" a="1"/>
  <c r="CD42" i="1" s="1"/>
  <c r="CD45" i="1" a="1"/>
  <c r="CD45" i="1" s="1"/>
  <c r="CF45" i="1" s="1"/>
  <c r="CD46" i="1" a="1"/>
  <c r="CD46" i="1" s="1"/>
  <c r="CF46" i="1" s="1"/>
  <c r="CD49" i="1" a="1"/>
  <c r="CD49" i="1" s="1"/>
  <c r="CF49" i="1" s="1"/>
  <c r="CD54" i="1" a="1"/>
  <c r="CD54" i="1" s="1"/>
  <c r="CF54" i="1" s="1"/>
  <c r="CD55" i="1" a="1"/>
  <c r="CD55" i="1" s="1"/>
  <c r="CF55" i="1" s="1"/>
  <c r="CD51" i="1" a="1"/>
  <c r="CD51" i="1" s="1"/>
  <c r="CD48" i="1" a="1"/>
  <c r="CD48" i="1" s="1"/>
  <c r="CF48" i="1" s="1"/>
  <c r="CD50" i="1" a="1"/>
  <c r="CD50" i="1" s="1"/>
  <c r="CF50" i="1" s="1"/>
  <c r="CD52" i="1" a="1"/>
  <c r="CD52" i="1" s="1"/>
  <c r="CF52" i="1" s="1"/>
  <c r="CD47" i="1" a="1"/>
  <c r="CD47" i="1" s="1"/>
  <c r="CF47" i="1" s="1"/>
  <c r="CD56" i="1" a="1"/>
  <c r="CD56" i="1" s="1"/>
  <c r="CF56" i="1" s="1"/>
  <c r="CD66" i="1"/>
  <c r="CD58" i="1" a="1"/>
  <c r="CD58" i="1" s="1"/>
  <c r="CF58" i="1" s="1"/>
  <c r="CD60" i="1" a="1"/>
  <c r="CD60" i="1" s="1"/>
  <c r="CF60" i="1" s="1"/>
  <c r="CD61" i="1" a="1"/>
  <c r="CD61" i="1" s="1"/>
  <c r="CF61" i="1" s="1"/>
  <c r="CD62" i="1" a="1"/>
  <c r="CD62" i="1" s="1"/>
  <c r="CF62" i="1" s="1"/>
  <c r="CD71" i="1" a="1"/>
  <c r="CD71" i="1" s="1"/>
  <c r="CF71" i="1" s="1"/>
  <c r="CD72" i="1" a="1"/>
  <c r="CD72" i="1" s="1"/>
  <c r="CF72" i="1" s="1"/>
  <c r="CD73" i="1" a="1"/>
  <c r="CD73" i="1" s="1"/>
  <c r="CF73" i="1" s="1"/>
  <c r="CD74" i="1" a="1"/>
  <c r="CD74" i="1" s="1"/>
  <c r="CF74" i="1" s="1"/>
  <c r="CD69" i="1" a="1"/>
  <c r="CD69" i="1" s="1"/>
  <c r="CF69" i="1" s="1"/>
  <c r="CD70" i="1" a="1"/>
  <c r="CD70" i="1" s="1"/>
  <c r="CF70" i="1" s="1"/>
  <c r="CD68" i="1" a="1"/>
  <c r="CD68" i="1" s="1"/>
  <c r="CF68" i="1" s="1"/>
  <c r="CD76" i="1" a="1"/>
  <c r="CD76" i="1" s="1"/>
  <c r="CF76" i="1" s="1"/>
  <c r="CD77" i="1" a="1"/>
  <c r="CD77" i="1" s="1"/>
  <c r="CF77" i="1" s="1"/>
  <c r="CD78" i="1" a="1"/>
  <c r="CD78" i="1" s="1"/>
  <c r="CF78" i="1" s="1"/>
  <c r="CD79" i="1" a="1"/>
  <c r="CD79" i="1" s="1"/>
  <c r="CF79" i="1" s="1"/>
  <c r="CD80" i="1" a="1"/>
  <c r="CD80" i="1" s="1"/>
  <c r="CF80" i="1" s="1"/>
  <c r="CD75" i="1" a="1"/>
  <c r="CD75" i="1" s="1"/>
  <c r="CF75" i="1" s="1"/>
  <c r="CD82" i="1" a="1"/>
  <c r="CD82" i="1" s="1"/>
  <c r="CF82" i="1" s="1"/>
  <c r="CD90" i="1" a="1"/>
  <c r="CD90" i="1" s="1"/>
  <c r="CF90" i="1" s="1"/>
  <c r="CD83" i="1" a="1"/>
  <c r="CD83" i="1" s="1"/>
  <c r="CF83" i="1" s="1"/>
  <c r="CD91" i="1" a="1"/>
  <c r="CD91" i="1" s="1"/>
  <c r="CF91" i="1" s="1"/>
  <c r="CD81" i="1" a="1"/>
  <c r="CD81" i="1" s="1"/>
  <c r="CF81" i="1" s="1"/>
  <c r="CD84" i="1" a="1"/>
  <c r="CD84" i="1" s="1"/>
  <c r="CF84" i="1" s="1"/>
  <c r="CD92" i="1" a="1"/>
  <c r="CD92" i="1" s="1"/>
  <c r="CF92" i="1" s="1"/>
  <c r="CD85" i="1" a="1"/>
  <c r="CD85" i="1" s="1"/>
  <c r="CF85" i="1" s="1"/>
  <c r="CD86" i="1" a="1"/>
  <c r="CD86" i="1" s="1"/>
  <c r="CF86" i="1" s="1"/>
  <c r="CD88" i="1" a="1"/>
  <c r="CD88" i="1" s="1"/>
  <c r="CF88" i="1" s="1"/>
  <c r="CD94" i="1" a="1"/>
  <c r="CD94" i="1" s="1"/>
  <c r="CF94" i="1" s="1"/>
  <c r="CD93" i="1" a="1"/>
  <c r="CD93" i="1" s="1"/>
  <c r="CF93" i="1" s="1"/>
  <c r="CD95" i="1" a="1"/>
  <c r="CD95" i="1" s="1"/>
  <c r="CF95" i="1" s="1"/>
  <c r="CD97" i="1" a="1"/>
  <c r="CD97" i="1" s="1"/>
  <c r="CF97" i="1" s="1"/>
  <c r="CD98" i="1" a="1"/>
  <c r="CD98" i="1" s="1"/>
  <c r="CF98" i="1" s="1"/>
  <c r="CD99" i="1" a="1"/>
  <c r="CD99" i="1" s="1"/>
  <c r="CF99" i="1" s="1"/>
  <c r="CD100" i="1" a="1"/>
  <c r="CD100" i="1" s="1"/>
  <c r="CF100" i="1" s="1"/>
  <c r="CD101" i="1" a="1"/>
  <c r="CD101" i="1" s="1"/>
  <c r="CF101" i="1" s="1"/>
  <c r="CD105" i="1" a="1"/>
  <c r="CD105" i="1" s="1"/>
  <c r="CF105" i="1" s="1"/>
  <c r="CD113" i="1" a="1"/>
  <c r="CD113" i="1" s="1"/>
  <c r="CF113" i="1" s="1"/>
  <c r="CD106" i="1" a="1"/>
  <c r="CD106" i="1" s="1"/>
  <c r="CF106" i="1" s="1"/>
  <c r="CD107" i="1" a="1"/>
  <c r="CD107" i="1" s="1"/>
  <c r="CF107" i="1" s="1"/>
  <c r="CD115" i="1" a="1"/>
  <c r="CD115" i="1" s="1"/>
  <c r="CF115" i="1" s="1"/>
  <c r="CD108" i="1" a="1"/>
  <c r="CD108" i="1" s="1"/>
  <c r="CF108" i="1" s="1"/>
  <c r="CD116" i="1" a="1"/>
  <c r="CD116" i="1" s="1"/>
  <c r="CF116" i="1" s="1"/>
  <c r="CD109" i="1" a="1"/>
  <c r="CD109" i="1" s="1"/>
  <c r="CF109" i="1" s="1"/>
  <c r="CD117" i="1" a="1"/>
  <c r="CD117" i="1" s="1"/>
  <c r="CF117" i="1" s="1"/>
  <c r="CD102" i="1" a="1"/>
  <c r="CD102" i="1" s="1"/>
  <c r="CF102" i="1" s="1"/>
  <c r="CD110" i="1" a="1"/>
  <c r="CD110" i="1" s="1"/>
  <c r="CF110" i="1" s="1"/>
  <c r="CD118" i="1" a="1"/>
  <c r="CD118" i="1" s="1"/>
  <c r="CF118" i="1" s="1"/>
  <c r="CD103" i="1" a="1"/>
  <c r="CD103" i="1" s="1"/>
  <c r="CF103" i="1" s="1"/>
  <c r="CD111" i="1" a="1"/>
  <c r="CD111" i="1" s="1"/>
  <c r="CF111" i="1" s="1"/>
  <c r="CD119" i="1" a="1"/>
  <c r="CD119" i="1" s="1"/>
  <c r="CF119" i="1" s="1"/>
  <c r="CD104" i="1" a="1"/>
  <c r="CD104" i="1" s="1"/>
  <c r="CF104" i="1" s="1"/>
  <c r="CD112" i="1" a="1"/>
  <c r="CD112" i="1" s="1"/>
  <c r="CF112" i="1" s="1"/>
  <c r="CD127" i="1" a="1"/>
  <c r="CD127" i="1" s="1"/>
  <c r="CF127" i="1" s="1"/>
  <c r="CD135" i="1" a="1"/>
  <c r="CD135" i="1" s="1"/>
  <c r="CF135" i="1" s="1"/>
  <c r="CD128" i="1" a="1"/>
  <c r="CD128" i="1" s="1"/>
  <c r="CF128" i="1" s="1"/>
  <c r="CD121" i="1" a="1"/>
  <c r="CD121" i="1" s="1"/>
  <c r="CF121" i="1" s="1"/>
  <c r="CD120" i="1" a="1"/>
  <c r="CD120" i="1" s="1"/>
  <c r="CF120" i="1" s="1"/>
  <c r="CD122" i="1" a="1"/>
  <c r="CD122" i="1" s="1"/>
  <c r="CF122" i="1" s="1"/>
  <c r="CD130" i="1" a="1"/>
  <c r="CD130" i="1" s="1"/>
  <c r="CF130" i="1" s="1"/>
  <c r="CD123" i="1" a="1"/>
  <c r="CD123" i="1" s="1"/>
  <c r="CF123" i="1" s="1"/>
  <c r="CD125" i="1" a="1"/>
  <c r="CD125" i="1" s="1"/>
  <c r="CF125" i="1" s="1"/>
  <c r="CD133" i="1" a="1"/>
  <c r="CD133" i="1" s="1"/>
  <c r="CF133" i="1" s="1"/>
  <c r="CD137" i="1" a="1"/>
  <c r="CD137" i="1" s="1"/>
  <c r="CF137" i="1" s="1"/>
  <c r="CD139" i="1" a="1"/>
  <c r="CD139" i="1" s="1"/>
  <c r="CF139" i="1" s="1"/>
  <c r="CD140" i="1" a="1"/>
  <c r="CD140" i="1" s="1"/>
  <c r="CF140" i="1" s="1"/>
  <c r="CD141" i="1" a="1"/>
  <c r="CD141" i="1" s="1"/>
  <c r="CF141" i="1" s="1"/>
  <c r="CC43" i="1"/>
  <c r="CA188" i="1"/>
  <c r="CC188" i="1" s="1"/>
  <c r="CA179" i="1"/>
  <c r="CC179" i="1" s="1"/>
  <c r="CC39" i="1"/>
  <c r="CA157" i="1"/>
  <c r="CC157" i="1" s="1"/>
  <c r="CC28" i="1"/>
  <c r="CA211" i="1"/>
  <c r="CC211" i="1" s="1"/>
  <c r="CC20" i="1"/>
  <c r="CC12" i="1"/>
  <c r="CA204" i="1"/>
  <c r="CC204" i="1" s="1"/>
  <c r="CA178" i="1"/>
  <c r="CC178" i="1" s="1"/>
  <c r="CC38" i="1"/>
  <c r="CA156" i="1"/>
  <c r="CC156" i="1" s="1"/>
  <c r="CC27" i="1"/>
  <c r="CA210" i="1"/>
  <c r="CC210" i="1" s="1"/>
  <c r="CC19" i="1"/>
  <c r="CA208" i="1"/>
  <c r="CC208" i="1" s="1"/>
  <c r="CC18" i="1"/>
  <c r="CA166" i="1"/>
  <c r="CC166" i="1" s="1"/>
  <c r="CC34" i="1"/>
  <c r="CC33" i="1"/>
  <c r="CA165" i="1"/>
  <c r="CC165" i="1" s="1"/>
  <c r="CD178" i="1" l="1"/>
  <c r="CF178" i="1" s="1"/>
  <c r="CF38" i="1"/>
  <c r="CD204" i="1"/>
  <c r="CF204" i="1" s="1"/>
  <c r="CF12" i="1"/>
  <c r="CD206" i="1"/>
  <c r="CF206" i="1" s="1"/>
  <c r="CF21" i="1"/>
  <c r="CD185" i="1"/>
  <c r="CF185" i="1" s="1"/>
  <c r="CF42" i="1"/>
  <c r="CD172" i="1"/>
  <c r="CF172" i="1" s="1"/>
  <c r="CF36" i="1"/>
  <c r="CD157" i="1"/>
  <c r="CF157" i="1" s="1"/>
  <c r="CF28" i="1"/>
  <c r="CD191" i="1"/>
  <c r="CF191" i="1" s="1"/>
  <c r="CF44" i="1"/>
  <c r="CD211" i="1"/>
  <c r="CF211" i="1" s="1"/>
  <c r="CF20" i="1"/>
  <c r="CD209" i="1"/>
  <c r="CF209" i="1" s="1"/>
  <c r="CF14" i="1"/>
  <c r="CD190" i="1"/>
  <c r="CF190" i="1" s="1"/>
  <c r="CF51" i="1"/>
  <c r="CD165" i="1"/>
  <c r="CF165" i="1" s="1"/>
  <c r="CF33" i="1"/>
  <c r="CD156" i="1"/>
  <c r="CF156" i="1" s="1"/>
  <c r="CF27" i="1"/>
  <c r="CD210" i="1"/>
  <c r="CF210" i="1" s="1"/>
  <c r="CF19" i="1"/>
  <c r="CF13" i="1"/>
  <c r="CD205" i="1"/>
  <c r="CF205" i="1" s="1"/>
  <c r="CD180" i="1"/>
  <c r="CF180" i="1" s="1"/>
  <c r="CF40" i="1"/>
  <c r="CD166" i="1"/>
  <c r="CF166" i="1" s="1"/>
  <c r="CF34" i="1"/>
  <c r="CD188" i="1"/>
  <c r="CF188" i="1" s="1"/>
  <c r="CF43" i="1"/>
  <c r="CD163" i="1"/>
  <c r="CF163" i="1" s="1"/>
  <c r="CF32" i="1"/>
  <c r="CJ4" i="1"/>
  <c r="CG8" i="1" a="1"/>
  <c r="CG8" i="1" s="1"/>
  <c r="CI8" i="1" s="1"/>
  <c r="CG9" i="1" a="1"/>
  <c r="CG9" i="1" s="1"/>
  <c r="CI9" i="1" s="1"/>
  <c r="CG6" i="1" a="1"/>
  <c r="CG6" i="1" s="1"/>
  <c r="CI6" i="1" s="1"/>
  <c r="CG10" i="1" a="1"/>
  <c r="CG10" i="1" s="1"/>
  <c r="CI10" i="1" s="1"/>
  <c r="CG11" i="1" a="1"/>
  <c r="CG11" i="1" s="1"/>
  <c r="CI11" i="1" s="1"/>
  <c r="CG12" i="1" a="1"/>
  <c r="CG12" i="1" s="1"/>
  <c r="CG15" i="1" a="1"/>
  <c r="CG15" i="1" s="1"/>
  <c r="CI15" i="1" s="1"/>
  <c r="CG13" i="1" a="1"/>
  <c r="CG13" i="1" s="1"/>
  <c r="CG14" i="1" a="1"/>
  <c r="CG14" i="1" s="1"/>
  <c r="CG18" i="1" a="1"/>
  <c r="CG18" i="1" s="1"/>
  <c r="CG17" i="1" a="1"/>
  <c r="CG17" i="1" s="1"/>
  <c r="CI17" i="1" s="1"/>
  <c r="CG19" i="1"/>
  <c r="CG22" i="1" a="1"/>
  <c r="CG22" i="1" s="1"/>
  <c r="CI22" i="1" s="1"/>
  <c r="CG20" i="1" a="1"/>
  <c r="CG20" i="1" s="1"/>
  <c r="CG23" i="1" a="1"/>
  <c r="CG23" i="1" s="1"/>
  <c r="CI23" i="1" s="1"/>
  <c r="CG25" i="1" a="1"/>
  <c r="CG25" i="1" s="1"/>
  <c r="CI25" i="1" s="1"/>
  <c r="CG21" i="1" a="1"/>
  <c r="CG21" i="1" s="1"/>
  <c r="CG27" i="1" a="1"/>
  <c r="CG27" i="1" s="1"/>
  <c r="CG28" i="1" a="1"/>
  <c r="CG28" i="1" s="1"/>
  <c r="CG31" i="1" a="1"/>
  <c r="CG31" i="1" s="1"/>
  <c r="CG32" i="1" a="1"/>
  <c r="CG32" i="1" s="1"/>
  <c r="CG33" i="1" a="1"/>
  <c r="CG33" i="1" s="1"/>
  <c r="CG36" i="1" a="1"/>
  <c r="CG36" i="1" s="1"/>
  <c r="CG38" i="1" a="1"/>
  <c r="CG38" i="1" s="1"/>
  <c r="CG39" i="1" a="1"/>
  <c r="CG39" i="1" s="1"/>
  <c r="CG40" i="1" a="1"/>
  <c r="CG40" i="1" s="1"/>
  <c r="CG42" i="1" a="1"/>
  <c r="CG42" i="1" s="1"/>
  <c r="CG34" i="1" a="1"/>
  <c r="CG34" i="1" s="1"/>
  <c r="CG44" i="1" a="1"/>
  <c r="CG44" i="1" s="1"/>
  <c r="CG45" i="1" a="1"/>
  <c r="CG45" i="1" s="1"/>
  <c r="CI45" i="1" s="1"/>
  <c r="CG49" i="1" a="1"/>
  <c r="CG49" i="1" s="1"/>
  <c r="CI49" i="1" s="1"/>
  <c r="CG46" i="1" a="1"/>
  <c r="CG46" i="1" s="1"/>
  <c r="CI46" i="1" s="1"/>
  <c r="CG43" i="1" a="1"/>
  <c r="CG43" i="1" s="1"/>
  <c r="CG47" i="1" a="1"/>
  <c r="CG47" i="1" s="1"/>
  <c r="CI47" i="1" s="1"/>
  <c r="CG51" i="1" a="1"/>
  <c r="CG51" i="1" s="1"/>
  <c r="CG50" i="1" a="1"/>
  <c r="CG50" i="1" s="1"/>
  <c r="CI50" i="1" s="1"/>
  <c r="CG52" i="1" a="1"/>
  <c r="CG52" i="1" s="1"/>
  <c r="CI52" i="1" s="1"/>
  <c r="CG54" i="1" a="1"/>
  <c r="CG54" i="1" s="1"/>
  <c r="CI54" i="1" s="1"/>
  <c r="CG55" i="1" a="1"/>
  <c r="CG55" i="1" s="1"/>
  <c r="CI55" i="1" s="1"/>
  <c r="CG66" i="1"/>
  <c r="CG58" i="1" a="1"/>
  <c r="CG58" i="1" s="1"/>
  <c r="CI58" i="1" s="1"/>
  <c r="CG60" i="1" a="1"/>
  <c r="CG60" i="1" s="1"/>
  <c r="CI60" i="1" s="1"/>
  <c r="CG61" i="1" a="1"/>
  <c r="CG61" i="1" s="1"/>
  <c r="CI61" i="1" s="1"/>
  <c r="CG62" i="1" a="1"/>
  <c r="CG62" i="1" s="1"/>
  <c r="CI62" i="1" s="1"/>
  <c r="CG48" i="1" a="1"/>
  <c r="CG48" i="1" s="1"/>
  <c r="CI48" i="1" s="1"/>
  <c r="CG56" i="1" a="1"/>
  <c r="CG56" i="1" s="1"/>
  <c r="CI56" i="1" s="1"/>
  <c r="CG71" i="1" a="1"/>
  <c r="CG71" i="1" s="1"/>
  <c r="CI71" i="1" s="1"/>
  <c r="CG72" i="1" a="1"/>
  <c r="CG72" i="1" s="1"/>
  <c r="CI72" i="1" s="1"/>
  <c r="CG73" i="1" a="1"/>
  <c r="CG73" i="1" s="1"/>
  <c r="CI73" i="1" s="1"/>
  <c r="CG69" i="1" a="1"/>
  <c r="CG69" i="1" s="1"/>
  <c r="CI69" i="1" s="1"/>
  <c r="CG70" i="1" a="1"/>
  <c r="CG70" i="1" s="1"/>
  <c r="CI70" i="1" s="1"/>
  <c r="CG68" i="1" a="1"/>
  <c r="CG68" i="1" s="1"/>
  <c r="CI68" i="1" s="1"/>
  <c r="CG74" i="1" a="1"/>
  <c r="CG74" i="1" s="1"/>
  <c r="CI74" i="1" s="1"/>
  <c r="CG76" i="1" a="1"/>
  <c r="CG76" i="1" s="1"/>
  <c r="CI76" i="1" s="1"/>
  <c r="CG77" i="1" a="1"/>
  <c r="CG77" i="1" s="1"/>
  <c r="CI77" i="1" s="1"/>
  <c r="CG78" i="1" a="1"/>
  <c r="CG78" i="1" s="1"/>
  <c r="CI78" i="1" s="1"/>
  <c r="CG79" i="1" a="1"/>
  <c r="CG79" i="1" s="1"/>
  <c r="CI79" i="1" s="1"/>
  <c r="CG80" i="1" a="1"/>
  <c r="CG80" i="1" s="1"/>
  <c r="CI80" i="1" s="1"/>
  <c r="CG75" i="1" a="1"/>
  <c r="CG75" i="1" s="1"/>
  <c r="CI75" i="1" s="1"/>
  <c r="CG85" i="1" a="1"/>
  <c r="CG85" i="1" s="1"/>
  <c r="CI85" i="1" s="1"/>
  <c r="CG86" i="1" a="1"/>
  <c r="CG86" i="1" s="1"/>
  <c r="CI86" i="1" s="1"/>
  <c r="CG88" i="1" a="1"/>
  <c r="CG88" i="1" s="1"/>
  <c r="CI88" i="1" s="1"/>
  <c r="CG81" i="1" a="1"/>
  <c r="CG81" i="1" s="1"/>
  <c r="CI81" i="1" s="1"/>
  <c r="CG82" i="1" a="1"/>
  <c r="CG82" i="1" s="1"/>
  <c r="CI82" i="1" s="1"/>
  <c r="CG83" i="1" a="1"/>
  <c r="CG83" i="1" s="1"/>
  <c r="CI83" i="1" s="1"/>
  <c r="CG90" i="1" a="1"/>
  <c r="CG90" i="1" s="1"/>
  <c r="CI90" i="1" s="1"/>
  <c r="CG91" i="1" a="1"/>
  <c r="CG91" i="1" s="1"/>
  <c r="CI91" i="1" s="1"/>
  <c r="CG84" i="1" a="1"/>
  <c r="CG84" i="1" s="1"/>
  <c r="CI84" i="1" s="1"/>
  <c r="CG92" i="1" a="1"/>
  <c r="CG92" i="1" s="1"/>
  <c r="CI92" i="1" s="1"/>
  <c r="CG97" i="1" a="1"/>
  <c r="CG97" i="1" s="1"/>
  <c r="CI97" i="1" s="1"/>
  <c r="CG98" i="1" a="1"/>
  <c r="CG98" i="1" s="1"/>
  <c r="CI98" i="1" s="1"/>
  <c r="CG99" i="1" a="1"/>
  <c r="CG99" i="1" s="1"/>
  <c r="CI99" i="1" s="1"/>
  <c r="CG100" i="1" a="1"/>
  <c r="CG100" i="1" s="1"/>
  <c r="CI100" i="1" s="1"/>
  <c r="CG101" i="1" a="1"/>
  <c r="CG101" i="1" s="1"/>
  <c r="CI101" i="1" s="1"/>
  <c r="CG93" i="1" a="1"/>
  <c r="CG93" i="1" s="1"/>
  <c r="CI93" i="1" s="1"/>
  <c r="CG94" i="1" a="1"/>
  <c r="CG94" i="1" s="1"/>
  <c r="CI94" i="1" s="1"/>
  <c r="CG95" i="1" a="1"/>
  <c r="CG95" i="1" s="1"/>
  <c r="CI95" i="1" s="1"/>
  <c r="CG108" i="1" a="1"/>
  <c r="CG108" i="1" s="1"/>
  <c r="CI108" i="1" s="1"/>
  <c r="CG116" i="1" a="1"/>
  <c r="CG116" i="1" s="1"/>
  <c r="CI116" i="1" s="1"/>
  <c r="CG109" i="1" a="1"/>
  <c r="CG109" i="1" s="1"/>
  <c r="CI109" i="1" s="1"/>
  <c r="CG117" i="1" a="1"/>
  <c r="CG117" i="1" s="1"/>
  <c r="CI117" i="1" s="1"/>
  <c r="CG102" i="1" a="1"/>
  <c r="CG102" i="1" s="1"/>
  <c r="CI102" i="1" s="1"/>
  <c r="CG110" i="1" a="1"/>
  <c r="CG110" i="1" s="1"/>
  <c r="CI110" i="1" s="1"/>
  <c r="CG118" i="1" a="1"/>
  <c r="CG118" i="1" s="1"/>
  <c r="CI118" i="1" s="1"/>
  <c r="CG103" i="1" a="1"/>
  <c r="CG103" i="1" s="1"/>
  <c r="CI103" i="1" s="1"/>
  <c r="CG111" i="1" a="1"/>
  <c r="CG111" i="1" s="1"/>
  <c r="CI111" i="1" s="1"/>
  <c r="CG119" i="1" a="1"/>
  <c r="CG119" i="1" s="1"/>
  <c r="CI119" i="1" s="1"/>
  <c r="CG104" i="1" a="1"/>
  <c r="CG104" i="1" s="1"/>
  <c r="CI104" i="1" s="1"/>
  <c r="CG112" i="1" a="1"/>
  <c r="CG112" i="1" s="1"/>
  <c r="CI112" i="1" s="1"/>
  <c r="CG105" i="1" a="1"/>
  <c r="CG105" i="1" s="1"/>
  <c r="CI105" i="1" s="1"/>
  <c r="CG113" i="1" a="1"/>
  <c r="CG113" i="1" s="1"/>
  <c r="CI113" i="1" s="1"/>
  <c r="CG106" i="1" a="1"/>
  <c r="CG106" i="1" s="1"/>
  <c r="CI106" i="1" s="1"/>
  <c r="CG107" i="1" a="1"/>
  <c r="CG107" i="1" s="1"/>
  <c r="CI107" i="1" s="1"/>
  <c r="CG115" i="1" a="1"/>
  <c r="CG115" i="1" s="1"/>
  <c r="CI115" i="1" s="1"/>
  <c r="CG120" i="1" a="1"/>
  <c r="CG120" i="1" s="1"/>
  <c r="CI120" i="1" s="1"/>
  <c r="CG122" i="1" a="1"/>
  <c r="CG122" i="1" s="1"/>
  <c r="CI122" i="1" s="1"/>
  <c r="CG130" i="1" a="1"/>
  <c r="CG130" i="1" s="1"/>
  <c r="CI130" i="1" s="1"/>
  <c r="CG123" i="1" a="1"/>
  <c r="CG123" i="1" s="1"/>
  <c r="CI123" i="1" s="1"/>
  <c r="CG125" i="1" a="1"/>
  <c r="CG125" i="1" s="1"/>
  <c r="CI125" i="1" s="1"/>
  <c r="CG127" i="1" a="1"/>
  <c r="CG127" i="1" s="1"/>
  <c r="CI127" i="1" s="1"/>
  <c r="CG128" i="1" a="1"/>
  <c r="CG128" i="1" s="1"/>
  <c r="CI128" i="1" s="1"/>
  <c r="CG121" i="1" a="1"/>
  <c r="CG121" i="1" s="1"/>
  <c r="CI121" i="1" s="1"/>
  <c r="CG133" i="1" a="1"/>
  <c r="CG133" i="1" s="1"/>
  <c r="CI133" i="1" s="1"/>
  <c r="CG139" i="1" a="1"/>
  <c r="CG139" i="1" s="1"/>
  <c r="CI139" i="1" s="1"/>
  <c r="CG135" i="1" a="1"/>
  <c r="CG135" i="1" s="1"/>
  <c r="CI135" i="1" s="1"/>
  <c r="CG140" i="1" a="1"/>
  <c r="CG140" i="1" s="1"/>
  <c r="CI140" i="1" s="1"/>
  <c r="CG141" i="1" a="1"/>
  <c r="CG141" i="1" s="1"/>
  <c r="CI141" i="1" s="1"/>
  <c r="CG137" i="1" a="1"/>
  <c r="CG137" i="1" s="1"/>
  <c r="CI137" i="1" s="1"/>
  <c r="CD179" i="1"/>
  <c r="CF179" i="1" s="1"/>
  <c r="CF39" i="1"/>
  <c r="CD161" i="1"/>
  <c r="CF161" i="1" s="1"/>
  <c r="CF31" i="1"/>
  <c r="CF18" i="1"/>
  <c r="CD208" i="1"/>
  <c r="CF208" i="1" s="1"/>
  <c r="CI39" i="1" l="1"/>
  <c r="CG179" i="1"/>
  <c r="CI179" i="1" s="1"/>
  <c r="CG211" i="1"/>
  <c r="CI211" i="1" s="1"/>
  <c r="CI20" i="1"/>
  <c r="CJ8" i="1" a="1"/>
  <c r="CJ8" i="1" s="1"/>
  <c r="CL8" i="1" s="1"/>
  <c r="CJ9" i="1" a="1"/>
  <c r="CJ9" i="1" s="1"/>
  <c r="CL9" i="1" s="1"/>
  <c r="CM4" i="1"/>
  <c r="CJ6" i="1" a="1"/>
  <c r="CJ6" i="1" s="1"/>
  <c r="CL6" i="1" s="1"/>
  <c r="CJ12" i="1" a="1"/>
  <c r="CJ12" i="1" s="1"/>
  <c r="CJ13" i="1" a="1"/>
  <c r="CJ13" i="1" s="1"/>
  <c r="CJ14" i="1" a="1"/>
  <c r="CJ14" i="1" s="1"/>
  <c r="CJ10" i="1" a="1"/>
  <c r="CJ10" i="1" s="1"/>
  <c r="CL10" i="1" s="1"/>
  <c r="CJ11" i="1" a="1"/>
  <c r="CJ11" i="1" s="1"/>
  <c r="CL11" i="1" s="1"/>
  <c r="CJ17" i="1" a="1"/>
  <c r="CJ17" i="1" s="1"/>
  <c r="CL17" i="1" s="1"/>
  <c r="CJ15" i="1" a="1"/>
  <c r="CJ15" i="1" s="1"/>
  <c r="CL15" i="1" s="1"/>
  <c r="CJ18" i="1" a="1"/>
  <c r="CJ18" i="1" s="1"/>
  <c r="CJ19" i="1" a="1"/>
  <c r="CJ19" i="1" s="1"/>
  <c r="CJ20" i="1" a="1"/>
  <c r="CJ20" i="1" s="1"/>
  <c r="CJ21" i="1" a="1"/>
  <c r="CJ21" i="1" s="1"/>
  <c r="CJ22" i="1" a="1"/>
  <c r="CJ22" i="1" s="1"/>
  <c r="CL22" i="1" s="1"/>
  <c r="CJ23" i="1" a="1"/>
  <c r="CJ23" i="1" s="1"/>
  <c r="CL23" i="1" s="1"/>
  <c r="CJ25" i="1" a="1"/>
  <c r="CJ25" i="1" s="1"/>
  <c r="CL25" i="1" s="1"/>
  <c r="CJ27" i="1" a="1"/>
  <c r="CJ27" i="1" s="1"/>
  <c r="CJ28" i="1" a="1"/>
  <c r="CJ28" i="1" s="1"/>
  <c r="CJ31" i="1" a="1"/>
  <c r="CJ31" i="1" s="1"/>
  <c r="CJ32" i="1" a="1"/>
  <c r="CJ32" i="1" s="1"/>
  <c r="CJ33" i="1" a="1"/>
  <c r="CJ33" i="1" s="1"/>
  <c r="CJ34" i="1" a="1"/>
  <c r="CJ34" i="1" s="1"/>
  <c r="CJ38" i="1" a="1"/>
  <c r="CJ38" i="1" s="1"/>
  <c r="CJ36" i="1" a="1"/>
  <c r="CJ36" i="1" s="1"/>
  <c r="CJ40" i="1" a="1"/>
  <c r="CJ40" i="1" s="1"/>
  <c r="CJ46" i="1" a="1"/>
  <c r="CJ46" i="1" s="1"/>
  <c r="CL46" i="1" s="1"/>
  <c r="CJ39" i="1" a="1"/>
  <c r="CJ39" i="1" s="1"/>
  <c r="CJ42" i="1" a="1"/>
  <c r="CJ42" i="1" s="1"/>
  <c r="CJ43" i="1" a="1"/>
  <c r="CJ43" i="1" s="1"/>
  <c r="CJ44" i="1" a="1"/>
  <c r="CJ44" i="1" s="1"/>
  <c r="CJ45" i="1" a="1"/>
  <c r="CJ45" i="1" s="1"/>
  <c r="CL45" i="1" s="1"/>
  <c r="CJ47" i="1" a="1"/>
  <c r="CJ47" i="1" s="1"/>
  <c r="CL47" i="1" s="1"/>
  <c r="CJ48" i="1" a="1"/>
  <c r="CJ48" i="1" s="1"/>
  <c r="CL48" i="1" s="1"/>
  <c r="CJ54" i="1" a="1"/>
  <c r="CJ54" i="1" s="1"/>
  <c r="CL54" i="1" s="1"/>
  <c r="CJ51" i="1"/>
  <c r="CJ49" i="1" a="1"/>
  <c r="CJ49" i="1" s="1"/>
  <c r="CL49" i="1" s="1"/>
  <c r="CJ52" i="1" a="1"/>
  <c r="CJ52" i="1" s="1"/>
  <c r="CL52" i="1" s="1"/>
  <c r="CJ55" i="1" a="1"/>
  <c r="CJ55" i="1" s="1"/>
  <c r="CL55" i="1" s="1"/>
  <c r="CJ58" i="1" a="1"/>
  <c r="CJ58" i="1" s="1"/>
  <c r="CL58" i="1" s="1"/>
  <c r="CJ60" i="1" a="1"/>
  <c r="CJ60" i="1" s="1"/>
  <c r="CL60" i="1" s="1"/>
  <c r="CJ61" i="1" a="1"/>
  <c r="CJ61" i="1" s="1"/>
  <c r="CL61" i="1" s="1"/>
  <c r="CJ62" i="1" a="1"/>
  <c r="CJ62" i="1" s="1"/>
  <c r="CL62" i="1" s="1"/>
  <c r="CJ50" i="1"/>
  <c r="CL50" i="1" s="1"/>
  <c r="CJ56" i="1" a="1"/>
  <c r="CJ56" i="1" s="1"/>
  <c r="CL56" i="1" s="1"/>
  <c r="CJ68" i="1" a="1"/>
  <c r="CJ68" i="1" s="1"/>
  <c r="CL68" i="1" s="1"/>
  <c r="CJ66" i="1"/>
  <c r="CJ71" i="1" a="1"/>
  <c r="CJ71" i="1" s="1"/>
  <c r="CL71" i="1" s="1"/>
  <c r="CJ72" i="1" a="1"/>
  <c r="CJ72" i="1" s="1"/>
  <c r="CL72" i="1" s="1"/>
  <c r="CJ73" i="1" a="1"/>
  <c r="CJ73" i="1" s="1"/>
  <c r="CL73" i="1" s="1"/>
  <c r="CJ69" i="1" a="1"/>
  <c r="CJ69" i="1" s="1"/>
  <c r="CL69" i="1" s="1"/>
  <c r="CJ70" i="1" a="1"/>
  <c r="CJ70" i="1" s="1"/>
  <c r="CL70" i="1" s="1"/>
  <c r="CJ74" i="1" a="1"/>
  <c r="CJ74" i="1" s="1"/>
  <c r="CL74" i="1" s="1"/>
  <c r="CJ76" i="1" a="1"/>
  <c r="CJ76" i="1" s="1"/>
  <c r="CL76" i="1" s="1"/>
  <c r="CJ77" i="1" a="1"/>
  <c r="CJ77" i="1" s="1"/>
  <c r="CL77" i="1" s="1"/>
  <c r="CJ78" i="1" a="1"/>
  <c r="CJ78" i="1" s="1"/>
  <c r="CL78" i="1" s="1"/>
  <c r="CJ79" i="1" a="1"/>
  <c r="CJ79" i="1" s="1"/>
  <c r="CL79" i="1" s="1"/>
  <c r="CJ80" i="1" a="1"/>
  <c r="CJ80" i="1" s="1"/>
  <c r="CL80" i="1" s="1"/>
  <c r="CJ75" i="1" a="1"/>
  <c r="CJ75" i="1" s="1"/>
  <c r="CL75" i="1" s="1"/>
  <c r="CJ82" i="1" a="1"/>
  <c r="CJ82" i="1" s="1"/>
  <c r="CL82" i="1" s="1"/>
  <c r="CJ88" i="1" a="1"/>
  <c r="CJ88" i="1" s="1"/>
  <c r="CL88" i="1" s="1"/>
  <c r="CJ83" i="1" a="1"/>
  <c r="CJ83" i="1" s="1"/>
  <c r="CL83" i="1" s="1"/>
  <c r="CJ81" i="1" a="1"/>
  <c r="CJ81" i="1" s="1"/>
  <c r="CL81" i="1" s="1"/>
  <c r="CJ90" i="1" a="1"/>
  <c r="CJ90" i="1" s="1"/>
  <c r="CL90" i="1" s="1"/>
  <c r="CJ84" i="1" a="1"/>
  <c r="CJ84" i="1" s="1"/>
  <c r="CL84" i="1" s="1"/>
  <c r="CJ92" i="1" a="1"/>
  <c r="CJ92" i="1" s="1"/>
  <c r="CL92" i="1" s="1"/>
  <c r="CJ85" i="1" a="1"/>
  <c r="CJ85" i="1" s="1"/>
  <c r="CL85" i="1" s="1"/>
  <c r="CJ86" i="1" a="1"/>
  <c r="CJ86" i="1" s="1"/>
  <c r="CL86" i="1" s="1"/>
  <c r="CJ100" i="1" a="1"/>
  <c r="CJ100" i="1" s="1"/>
  <c r="CL100" i="1" s="1"/>
  <c r="CJ91" i="1" a="1"/>
  <c r="CJ91" i="1" s="1"/>
  <c r="CL91" i="1" s="1"/>
  <c r="CJ93" i="1" a="1"/>
  <c r="CJ93" i="1" s="1"/>
  <c r="CL93" i="1" s="1"/>
  <c r="CJ101" i="1" a="1"/>
  <c r="CJ101" i="1" s="1"/>
  <c r="CL101" i="1" s="1"/>
  <c r="CJ94" i="1" a="1"/>
  <c r="CJ94" i="1" s="1"/>
  <c r="CL94" i="1" s="1"/>
  <c r="CJ95" i="1" a="1"/>
  <c r="CJ95" i="1" s="1"/>
  <c r="CL95" i="1" s="1"/>
  <c r="CJ97" i="1" a="1"/>
  <c r="CJ97" i="1" s="1"/>
  <c r="CL97" i="1" s="1"/>
  <c r="CJ98" i="1" a="1"/>
  <c r="CJ98" i="1" s="1"/>
  <c r="CL98" i="1" s="1"/>
  <c r="CJ99" i="1" a="1"/>
  <c r="CJ99" i="1" s="1"/>
  <c r="CL99" i="1" s="1"/>
  <c r="CJ103" i="1" a="1"/>
  <c r="CJ103" i="1" s="1"/>
  <c r="CL103" i="1" s="1"/>
  <c r="CJ111" i="1" a="1"/>
  <c r="CJ111" i="1" s="1"/>
  <c r="CL111" i="1" s="1"/>
  <c r="CJ119" i="1" a="1"/>
  <c r="CJ119" i="1" s="1"/>
  <c r="CL119" i="1" s="1"/>
  <c r="CJ104" i="1" a="1"/>
  <c r="CJ104" i="1" s="1"/>
  <c r="CL104" i="1" s="1"/>
  <c r="CJ112" i="1" a="1"/>
  <c r="CJ112" i="1" s="1"/>
  <c r="CL112" i="1" s="1"/>
  <c r="CJ105" i="1" a="1"/>
  <c r="CJ105" i="1" s="1"/>
  <c r="CL105" i="1" s="1"/>
  <c r="CJ113" i="1" a="1"/>
  <c r="CJ113" i="1" s="1"/>
  <c r="CL113" i="1" s="1"/>
  <c r="CJ106" i="1" a="1"/>
  <c r="CJ106" i="1" s="1"/>
  <c r="CL106" i="1" s="1"/>
  <c r="CJ107" i="1" a="1"/>
  <c r="CJ107" i="1" s="1"/>
  <c r="CL107" i="1" s="1"/>
  <c r="CJ115" i="1" a="1"/>
  <c r="CJ115" i="1" s="1"/>
  <c r="CL115" i="1" s="1"/>
  <c r="CJ108" i="1" a="1"/>
  <c r="CJ108" i="1" s="1"/>
  <c r="CL108" i="1" s="1"/>
  <c r="CJ116" i="1" a="1"/>
  <c r="CJ116" i="1" s="1"/>
  <c r="CL116" i="1" s="1"/>
  <c r="CJ109" i="1" a="1"/>
  <c r="CJ109" i="1" s="1"/>
  <c r="CL109" i="1" s="1"/>
  <c r="CJ117" i="1" a="1"/>
  <c r="CJ117" i="1" s="1"/>
  <c r="CL117" i="1" s="1"/>
  <c r="CJ102" i="1" a="1"/>
  <c r="CJ102" i="1" s="1"/>
  <c r="CL102" i="1" s="1"/>
  <c r="CJ110" i="1" a="1"/>
  <c r="CJ110" i="1" s="1"/>
  <c r="CL110" i="1" s="1"/>
  <c r="CJ118" i="1" a="1"/>
  <c r="CJ118" i="1" s="1"/>
  <c r="CL118" i="1" s="1"/>
  <c r="CJ125" i="1" a="1"/>
  <c r="CJ125" i="1" s="1"/>
  <c r="CL125" i="1" s="1"/>
  <c r="CJ133" i="1" a="1"/>
  <c r="CJ133" i="1" s="1"/>
  <c r="CL133" i="1" s="1"/>
  <c r="CJ127" i="1" a="1"/>
  <c r="CJ127" i="1" s="1"/>
  <c r="CL127" i="1" s="1"/>
  <c r="CJ135" i="1" a="1"/>
  <c r="CJ135" i="1" s="1"/>
  <c r="CL135" i="1" s="1"/>
  <c r="CJ128" i="1" a="1"/>
  <c r="CJ128" i="1" s="1"/>
  <c r="CL128" i="1" s="1"/>
  <c r="CJ120" i="1" a="1"/>
  <c r="CJ120" i="1" s="1"/>
  <c r="CL120" i="1" s="1"/>
  <c r="CJ121" i="1" a="1"/>
  <c r="CJ121" i="1" s="1"/>
  <c r="CL121" i="1" s="1"/>
  <c r="CJ122" i="1" a="1"/>
  <c r="CJ122" i="1" s="1"/>
  <c r="CL122" i="1" s="1"/>
  <c r="CJ130" i="1" a="1"/>
  <c r="CJ130" i="1" s="1"/>
  <c r="CL130" i="1" s="1"/>
  <c r="CJ123" i="1" a="1"/>
  <c r="CJ123" i="1" s="1"/>
  <c r="CL123" i="1" s="1"/>
  <c r="CJ141" i="1" a="1"/>
  <c r="CJ141" i="1" s="1"/>
  <c r="CL141" i="1" s="1"/>
  <c r="CJ137" i="1" a="1"/>
  <c r="CJ137" i="1" s="1"/>
  <c r="CL137" i="1" s="1"/>
  <c r="CJ139" i="1" a="1"/>
  <c r="CJ139" i="1" s="1"/>
  <c r="CL139" i="1" s="1"/>
  <c r="CJ140" i="1" a="1"/>
  <c r="CJ140" i="1" s="1"/>
  <c r="CL140" i="1" s="1"/>
  <c r="CI38" i="1"/>
  <c r="CG178" i="1"/>
  <c r="CI178" i="1" s="1"/>
  <c r="CG157" i="1"/>
  <c r="CI157" i="1" s="1"/>
  <c r="CI28" i="1"/>
  <c r="CG204" i="1"/>
  <c r="CI204" i="1" s="1"/>
  <c r="CI12" i="1"/>
  <c r="CG191" i="1"/>
  <c r="CI191" i="1" s="1"/>
  <c r="CI44" i="1"/>
  <c r="CG210" i="1"/>
  <c r="CI210" i="1" s="1"/>
  <c r="CI19" i="1"/>
  <c r="CG172" i="1"/>
  <c r="CI172" i="1" s="1"/>
  <c r="CI36" i="1"/>
  <c r="CG156" i="1"/>
  <c r="CI156" i="1" s="1"/>
  <c r="CI27" i="1"/>
  <c r="CG190" i="1"/>
  <c r="CI190" i="1" s="1"/>
  <c r="CI51" i="1"/>
  <c r="CG166" i="1"/>
  <c r="CI166" i="1" s="1"/>
  <c r="CI34" i="1"/>
  <c r="CG165" i="1"/>
  <c r="CI165" i="1" s="1"/>
  <c r="CI33" i="1"/>
  <c r="CG208" i="1"/>
  <c r="CI208" i="1" s="1"/>
  <c r="CI18" i="1"/>
  <c r="CG185" i="1"/>
  <c r="CI185" i="1" s="1"/>
  <c r="CI42" i="1"/>
  <c r="CG163" i="1"/>
  <c r="CI163" i="1" s="1"/>
  <c r="CI32" i="1"/>
  <c r="CG206" i="1"/>
  <c r="CI206" i="1" s="1"/>
  <c r="CI21" i="1"/>
  <c r="CG209" i="1"/>
  <c r="CI209" i="1" s="1"/>
  <c r="CI14" i="1"/>
  <c r="CE29" i="1" a="1"/>
  <c r="CE29" i="1" s="1"/>
  <c r="CT29" i="1" a="1"/>
  <c r="CT29" i="1" s="1"/>
  <c r="DI29" i="1" a="1"/>
  <c r="DI29" i="1" s="1"/>
  <c r="BS29" i="1" a="1"/>
  <c r="BS29" i="1" s="1"/>
  <c r="ED29" i="1" a="1"/>
  <c r="ED29" i="1" s="1"/>
  <c r="DF29" i="1" a="1"/>
  <c r="DF29" i="1" s="1"/>
  <c r="BD29" i="1" a="1"/>
  <c r="BD29" i="1" s="1"/>
  <c r="BP29" i="1" a="1"/>
  <c r="BP29" i="1" s="1"/>
  <c r="CW29" i="1" a="1"/>
  <c r="CW29" i="1" s="1"/>
  <c r="BA29" i="1" a="1"/>
  <c r="BA29" i="1" s="1"/>
  <c r="CZ29" i="1" a="1"/>
  <c r="CZ29" i="1" s="1"/>
  <c r="AZ29" i="1" a="1"/>
  <c r="AZ29" i="1" s="1"/>
  <c r="AZ158" i="1" s="1"/>
  <c r="BC29" i="1" a="1"/>
  <c r="BC29" i="1" s="1"/>
  <c r="BC158" i="1" s="1"/>
  <c r="BF29" i="1" a="1"/>
  <c r="BF29" i="1" s="1"/>
  <c r="BF158" i="1" s="1"/>
  <c r="BI29" i="1" a="1"/>
  <c r="BI29" i="1" s="1"/>
  <c r="BI158" i="1" s="1"/>
  <c r="BO29" i="1" a="1"/>
  <c r="BO29" i="1" s="1"/>
  <c r="BO158" i="1" s="1"/>
  <c r="BU29" i="1" a="1"/>
  <c r="BU29" i="1" s="1"/>
  <c r="BU158" i="1" s="1"/>
  <c r="CA29" i="1" a="1"/>
  <c r="CA29" i="1" s="1"/>
  <c r="CA158" i="1" s="1"/>
  <c r="CD29" i="1" a="1"/>
  <c r="CD29" i="1" s="1"/>
  <c r="CD158" i="1" s="1"/>
  <c r="CG188" i="1"/>
  <c r="CI188" i="1" s="1"/>
  <c r="CI43" i="1"/>
  <c r="CG161" i="1"/>
  <c r="CI161" i="1" s="1"/>
  <c r="CI31" i="1"/>
  <c r="CG205" i="1"/>
  <c r="CI205" i="1" s="1"/>
  <c r="CI13" i="1"/>
  <c r="CG180" i="1"/>
  <c r="CI180" i="1" s="1"/>
  <c r="CI40" i="1"/>
  <c r="BX29" i="1" l="1" a="1"/>
  <c r="BX29" i="1" s="1"/>
  <c r="BX158" i="1" s="1"/>
  <c r="DU29" i="1" a="1"/>
  <c r="DU29" i="1" s="1"/>
  <c r="DX29" i="1" a="1"/>
  <c r="DX29" i="1" s="1"/>
  <c r="DX158" i="1" s="1"/>
  <c r="CK29" i="1" a="1"/>
  <c r="CK29" i="1" s="1"/>
  <c r="DO29" i="1" a="1"/>
  <c r="DO29" i="1" s="1"/>
  <c r="AX29" i="1" a="1"/>
  <c r="AX29" i="1" s="1"/>
  <c r="CB29" i="1" a="1"/>
  <c r="CB29" i="1" s="1"/>
  <c r="DR29" i="1" a="1"/>
  <c r="DR29" i="1" s="1"/>
  <c r="DL29" i="1" a="1"/>
  <c r="DL29" i="1" s="1"/>
  <c r="DC29" i="1" a="1"/>
  <c r="DC29" i="1" s="1"/>
  <c r="DF158" i="1"/>
  <c r="CF29" i="1"/>
  <c r="CE158" i="1"/>
  <c r="CF158" i="1" s="1"/>
  <c r="CD30" i="1" a="1"/>
  <c r="CD30" i="1" s="1"/>
  <c r="CD160" i="1" s="1"/>
  <c r="DU30" i="1" a="1"/>
  <c r="DU30" i="1" s="1"/>
  <c r="EA30" i="1" a="1"/>
  <c r="EA30" i="1" s="1"/>
  <c r="BJ30" i="1" a="1"/>
  <c r="BJ30" i="1" s="1"/>
  <c r="CK30" i="1" a="1"/>
  <c r="CK30" i="1" s="1"/>
  <c r="BO30" i="1" a="1"/>
  <c r="BO30" i="1" s="1"/>
  <c r="BO160" i="1" s="1"/>
  <c r="CG30" i="1" a="1"/>
  <c r="CG30" i="1" s="1"/>
  <c r="CG160" i="1" s="1"/>
  <c r="BY30" i="1" a="1"/>
  <c r="BY30" i="1" s="1"/>
  <c r="CH30" i="1" a="1"/>
  <c r="CH30" i="1" s="1"/>
  <c r="BP30" i="1" a="1"/>
  <c r="BP30" i="1" s="1"/>
  <c r="DR30" i="1" a="1"/>
  <c r="DR30" i="1" s="1"/>
  <c r="BR30" i="1" a="1"/>
  <c r="BR30" i="1" s="1"/>
  <c r="BR160" i="1" s="1"/>
  <c r="BG30" i="1" a="1"/>
  <c r="BG30" i="1" s="1"/>
  <c r="DL30" i="1" a="1"/>
  <c r="DL30" i="1" s="1"/>
  <c r="CN30" i="1" a="1"/>
  <c r="CN30" i="1" s="1"/>
  <c r="EJ30" i="1" a="1"/>
  <c r="EJ30" i="1" s="1"/>
  <c r="BU30" i="1" a="1"/>
  <c r="BU30" i="1" s="1"/>
  <c r="BU160" i="1" s="1"/>
  <c r="CE30" i="1" a="1"/>
  <c r="CE30" i="1" s="1"/>
  <c r="BM30" i="1" a="1"/>
  <c r="BM30" i="1" s="1"/>
  <c r="DO30" i="1" a="1"/>
  <c r="DO30" i="1" s="1"/>
  <c r="AX30" i="1" a="1"/>
  <c r="AX30" i="1" s="1"/>
  <c r="AZ30" i="1" a="1"/>
  <c r="AZ30" i="1" s="1"/>
  <c r="AZ160" i="1" s="1"/>
  <c r="BX30" i="1" a="1"/>
  <c r="BX30" i="1" s="1"/>
  <c r="BX160" i="1" s="1"/>
  <c r="DC30" i="1" a="1"/>
  <c r="DC30" i="1" s="1"/>
  <c r="DF30" i="1" a="1"/>
  <c r="DF30" i="1" s="1"/>
  <c r="BV30" i="1" a="1"/>
  <c r="BV30" i="1" s="1"/>
  <c r="BD30" i="1" a="1"/>
  <c r="BD30" i="1" s="1"/>
  <c r="BC30" i="1" a="1"/>
  <c r="BC30" i="1" s="1"/>
  <c r="BC160" i="1" s="1"/>
  <c r="CA30" i="1" a="1"/>
  <c r="CA30" i="1" s="1"/>
  <c r="CA160" i="1" s="1"/>
  <c r="EG30" i="1" a="1"/>
  <c r="EG30" i="1" s="1"/>
  <c r="BA30" i="1" a="1"/>
  <c r="BA30" i="1" s="1"/>
  <c r="CB30" i="1" a="1"/>
  <c r="CB30" i="1" s="1"/>
  <c r="CW30" i="1" a="1"/>
  <c r="CW30" i="1" s="1"/>
  <c r="BF30" i="1" a="1"/>
  <c r="BF30" i="1" s="1"/>
  <c r="BF160" i="1" s="1"/>
  <c r="BS30" i="1" a="1"/>
  <c r="BS30" i="1" s="1"/>
  <c r="CT30" i="1" a="1"/>
  <c r="CT30" i="1" s="1"/>
  <c r="DI30" i="1" a="1"/>
  <c r="DI30" i="1" s="1"/>
  <c r="DX30" i="1" a="1"/>
  <c r="DX30" i="1" s="1"/>
  <c r="BI30" i="1" a="1"/>
  <c r="BI30" i="1" s="1"/>
  <c r="BI160" i="1" s="1"/>
  <c r="CQ30" i="1" a="1"/>
  <c r="CQ30" i="1" s="1"/>
  <c r="CZ30" i="1" a="1"/>
  <c r="CZ30" i="1" s="1"/>
  <c r="AW30" i="1" a="1"/>
  <c r="AW30" i="1" s="1"/>
  <c r="AW160" i="1" s="1"/>
  <c r="ED30" i="1" a="1"/>
  <c r="ED30" i="1" s="1"/>
  <c r="BL30" i="1" a="1"/>
  <c r="BL30" i="1" s="1"/>
  <c r="BL160" i="1" s="1"/>
  <c r="CH29" i="1" a="1"/>
  <c r="CH29" i="1" s="1"/>
  <c r="BG29" i="1" a="1"/>
  <c r="BG29" i="1" s="1"/>
  <c r="BR29" i="1" a="1"/>
  <c r="BR29" i="1" s="1"/>
  <c r="BR158" i="1" s="1"/>
  <c r="EA29" i="1" a="1"/>
  <c r="EA29" i="1" s="1"/>
  <c r="EJ29" i="1" a="1"/>
  <c r="EJ29" i="1" s="1"/>
  <c r="BJ29" i="1" a="1"/>
  <c r="BJ29" i="1" s="1"/>
  <c r="EG29" i="1" a="1"/>
  <c r="EG29" i="1" s="1"/>
  <c r="CJ161" i="1"/>
  <c r="CL161" i="1" s="1"/>
  <c r="CL31" i="1"/>
  <c r="DO158" i="1"/>
  <c r="ED158" i="1"/>
  <c r="CJ172" i="1"/>
  <c r="CL172" i="1" s="1"/>
  <c r="CL36" i="1"/>
  <c r="CJ157" i="1"/>
  <c r="CL157" i="1" s="1"/>
  <c r="CL28" i="1"/>
  <c r="CW158" i="1"/>
  <c r="CT158" i="1"/>
  <c r="BL29" i="1" a="1"/>
  <c r="BL29" i="1" s="1"/>
  <c r="BL158" i="1" s="1"/>
  <c r="CN29" i="1" a="1"/>
  <c r="CN29" i="1" s="1"/>
  <c r="AW29" i="1" a="1"/>
  <c r="AW29" i="1" s="1"/>
  <c r="AW158" i="1" s="1"/>
  <c r="CQ29" i="1" a="1"/>
  <c r="CQ29" i="1" s="1"/>
  <c r="BV29" i="1" a="1"/>
  <c r="BV29" i="1" s="1"/>
  <c r="CL44" i="1"/>
  <c r="CJ191" i="1"/>
  <c r="CL191" i="1" s="1"/>
  <c r="CJ178" i="1"/>
  <c r="CL178" i="1" s="1"/>
  <c r="CL38" i="1"/>
  <c r="CJ30" i="1" a="1"/>
  <c r="CJ30" i="1" s="1"/>
  <c r="CJ160" i="1" s="1"/>
  <c r="CJ206" i="1"/>
  <c r="CL206" i="1" s="1"/>
  <c r="CL21" i="1"/>
  <c r="BQ29" i="1"/>
  <c r="BP158" i="1"/>
  <c r="BQ158" i="1" s="1"/>
  <c r="BS158" i="1"/>
  <c r="AX158" i="1"/>
  <c r="CJ188" i="1"/>
  <c r="CL188" i="1" s="1"/>
  <c r="CL43" i="1"/>
  <c r="CJ29" i="1" a="1"/>
  <c r="CJ29" i="1" s="1"/>
  <c r="CJ158" i="1" s="1"/>
  <c r="CJ211" i="1"/>
  <c r="CL211" i="1" s="1"/>
  <c r="CL20" i="1"/>
  <c r="CL14" i="1"/>
  <c r="CJ209" i="1"/>
  <c r="CL209" i="1" s="1"/>
  <c r="CJ190" i="1"/>
  <c r="CL190" i="1" s="1"/>
  <c r="CL51" i="1"/>
  <c r="CL42" i="1"/>
  <c r="CJ185" i="1"/>
  <c r="CL185" i="1" s="1"/>
  <c r="CL27" i="1"/>
  <c r="CJ156" i="1"/>
  <c r="CL156" i="1" s="1"/>
  <c r="CJ210" i="1"/>
  <c r="CL210" i="1" s="1"/>
  <c r="CL19" i="1"/>
  <c r="CJ205" i="1"/>
  <c r="CL205" i="1" s="1"/>
  <c r="CL13" i="1"/>
  <c r="CC29" i="1"/>
  <c r="CB158" i="1"/>
  <c r="CC158" i="1" s="1"/>
  <c r="DR158" i="1"/>
  <c r="DU158" i="1"/>
  <c r="DI158" i="1"/>
  <c r="DC158" i="1"/>
  <c r="CJ179" i="1"/>
  <c r="CL179" i="1" s="1"/>
  <c r="CL39" i="1"/>
  <c r="CJ166" i="1"/>
  <c r="CL166" i="1" s="1"/>
  <c r="CL34" i="1"/>
  <c r="CJ208" i="1"/>
  <c r="CL208" i="1" s="1"/>
  <c r="CL18" i="1"/>
  <c r="CL12" i="1"/>
  <c r="CJ204" i="1"/>
  <c r="CL204" i="1" s="1"/>
  <c r="DL158" i="1"/>
  <c r="CZ158" i="1"/>
  <c r="BB29" i="1"/>
  <c r="BA158" i="1"/>
  <c r="BB158" i="1" s="1"/>
  <c r="CK158" i="1"/>
  <c r="CJ165" i="1"/>
  <c r="CL165" i="1" s="1"/>
  <c r="CL33" i="1"/>
  <c r="BE29" i="1"/>
  <c r="BD158" i="1"/>
  <c r="BE158" i="1" s="1"/>
  <c r="BY29" i="1" a="1"/>
  <c r="BY29" i="1" s="1"/>
  <c r="BM29" i="1" a="1"/>
  <c r="BM29" i="1" s="1"/>
  <c r="CJ180" i="1"/>
  <c r="CL180" i="1" s="1"/>
  <c r="CL40" i="1"/>
  <c r="CJ163" i="1"/>
  <c r="CL163" i="1" s="1"/>
  <c r="CL32" i="1"/>
  <c r="CP4" i="1"/>
  <c r="CM8" i="1" a="1"/>
  <c r="CM8" i="1" s="1"/>
  <c r="CO8" i="1" s="1"/>
  <c r="CM9" i="1" a="1"/>
  <c r="CM9" i="1" s="1"/>
  <c r="CO9" i="1" s="1"/>
  <c r="CM6" i="1" a="1"/>
  <c r="CM6" i="1" s="1"/>
  <c r="CO6" i="1" s="1"/>
  <c r="CM10" i="1" a="1"/>
  <c r="CM10" i="1" s="1"/>
  <c r="CO10" i="1" s="1"/>
  <c r="CM14" i="1" a="1"/>
  <c r="CM14" i="1" s="1"/>
  <c r="CM11" i="1" a="1"/>
  <c r="CM11" i="1" s="1"/>
  <c r="CO11" i="1" s="1"/>
  <c r="CM12" i="1" a="1"/>
  <c r="CM12" i="1" s="1"/>
  <c r="CM13" i="1" a="1"/>
  <c r="CM13" i="1" s="1"/>
  <c r="CM15" i="1" a="1"/>
  <c r="CM15" i="1" s="1"/>
  <c r="CO15" i="1" s="1"/>
  <c r="CM20" i="1" a="1"/>
  <c r="CM20" i="1" s="1"/>
  <c r="CM17" i="1" a="1"/>
  <c r="CM17" i="1" s="1"/>
  <c r="CO17" i="1" s="1"/>
  <c r="CM18" i="1" a="1"/>
  <c r="CM18" i="1" s="1"/>
  <c r="CM19" i="1" a="1"/>
  <c r="CM19" i="1" s="1"/>
  <c r="CM21" i="1" a="1"/>
  <c r="CM21" i="1" s="1"/>
  <c r="CM27" i="1" a="1"/>
  <c r="CM27" i="1" s="1"/>
  <c r="CM22" i="1" a="1"/>
  <c r="CM22" i="1" s="1"/>
  <c r="CO22" i="1" s="1"/>
  <c r="CM23" i="1" a="1"/>
  <c r="CM23" i="1" s="1"/>
  <c r="CO23" i="1" s="1"/>
  <c r="CM25" i="1" a="1"/>
  <c r="CM25" i="1" s="1"/>
  <c r="CO25" i="1" s="1"/>
  <c r="CM28" i="1" a="1"/>
  <c r="CM28" i="1" s="1"/>
  <c r="CM29" i="1" a="1"/>
  <c r="CM29" i="1" s="1"/>
  <c r="CM158" i="1" s="1"/>
  <c r="CM30" i="1" a="1"/>
  <c r="CM30" i="1" s="1"/>
  <c r="CM160" i="1" s="1"/>
  <c r="CM31" i="1" a="1"/>
  <c r="CM31" i="1" s="1"/>
  <c r="CM32" i="1" a="1"/>
  <c r="CM32" i="1" s="1"/>
  <c r="CM33" i="1" a="1"/>
  <c r="CM33" i="1" s="1"/>
  <c r="CM36" i="1" a="1"/>
  <c r="CM36" i="1" s="1"/>
  <c r="CM34" i="1" a="1"/>
  <c r="CM34" i="1" s="1"/>
  <c r="CM38" i="1" a="1"/>
  <c r="CM38" i="1" s="1"/>
  <c r="CM39" i="1" a="1"/>
  <c r="CM39" i="1" s="1"/>
  <c r="CM40" i="1" a="1"/>
  <c r="CM40" i="1" s="1"/>
  <c r="CM41" i="1" a="1"/>
  <c r="CM41" i="1" s="1"/>
  <c r="CM183" i="1" s="1"/>
  <c r="CM43" i="1" a="1"/>
  <c r="CM43" i="1" s="1"/>
  <c r="CM47" i="1" a="1"/>
  <c r="CM47" i="1" s="1"/>
  <c r="CO47" i="1" s="1"/>
  <c r="CM44" i="1" a="1"/>
  <c r="CM44" i="1" s="1"/>
  <c r="CM48" i="1" a="1"/>
  <c r="CM48" i="1" s="1"/>
  <c r="CO48" i="1" s="1"/>
  <c r="CM45" i="1" a="1"/>
  <c r="CM45" i="1" s="1"/>
  <c r="CO45" i="1" s="1"/>
  <c r="CM42" i="1" a="1"/>
  <c r="CM42" i="1" s="1"/>
  <c r="CM46" i="1" a="1"/>
  <c r="CM46" i="1" s="1"/>
  <c r="CO46" i="1" s="1"/>
  <c r="CM51" i="1" a="1"/>
  <c r="CM51" i="1" s="1"/>
  <c r="CM50" i="1" a="1"/>
  <c r="CM50" i="1" s="1"/>
  <c r="CO50" i="1" s="1"/>
  <c r="CM49" i="1" a="1"/>
  <c r="CM49" i="1" s="1"/>
  <c r="CO49" i="1" s="1"/>
  <c r="CM52" i="1" a="1"/>
  <c r="CM52" i="1" s="1"/>
  <c r="CO52" i="1" s="1"/>
  <c r="CM56" i="1" a="1"/>
  <c r="CM56" i="1" s="1"/>
  <c r="CO56" i="1" s="1"/>
  <c r="CM54" i="1" a="1"/>
  <c r="CM54" i="1" s="1"/>
  <c r="CO54" i="1" s="1"/>
  <c r="CM68" i="1" a="1"/>
  <c r="CM68" i="1" s="1"/>
  <c r="CO68" i="1" s="1"/>
  <c r="CM55" i="1" a="1"/>
  <c r="CM55" i="1" s="1"/>
  <c r="CO55" i="1" s="1"/>
  <c r="CM58" i="1" a="1"/>
  <c r="CM58" i="1" s="1"/>
  <c r="CO58" i="1" s="1"/>
  <c r="CM60" i="1" a="1"/>
  <c r="CM60" i="1" s="1"/>
  <c r="CO60" i="1" s="1"/>
  <c r="CM61" i="1" a="1"/>
  <c r="CM61" i="1" s="1"/>
  <c r="CO61" i="1" s="1"/>
  <c r="CM62" i="1" a="1"/>
  <c r="CM62" i="1" s="1"/>
  <c r="CO62" i="1" s="1"/>
  <c r="CM71" i="1" a="1"/>
  <c r="CM71" i="1" s="1"/>
  <c r="CO71" i="1" s="1"/>
  <c r="CM72" i="1" a="1"/>
  <c r="CM72" i="1" s="1"/>
  <c r="CO72" i="1" s="1"/>
  <c r="CM73" i="1" a="1"/>
  <c r="CM73" i="1" s="1"/>
  <c r="CO73" i="1" s="1"/>
  <c r="CM74" i="1" a="1"/>
  <c r="CM74" i="1" s="1"/>
  <c r="CO74" i="1" s="1"/>
  <c r="CM75" i="1" a="1"/>
  <c r="CM75" i="1" s="1"/>
  <c r="CO75" i="1" s="1"/>
  <c r="CM69" i="1" a="1"/>
  <c r="CM69" i="1" s="1"/>
  <c r="CO69" i="1" s="1"/>
  <c r="CM70" i="1" a="1"/>
  <c r="CM70" i="1" s="1"/>
  <c r="CO70" i="1" s="1"/>
  <c r="CM66" i="1"/>
  <c r="CM76" i="1" a="1"/>
  <c r="CM76" i="1" s="1"/>
  <c r="CO76" i="1" s="1"/>
  <c r="CM77" i="1" a="1"/>
  <c r="CM77" i="1" s="1"/>
  <c r="CO77" i="1" s="1"/>
  <c r="CM78" i="1" a="1"/>
  <c r="CM78" i="1" s="1"/>
  <c r="CO78" i="1" s="1"/>
  <c r="CM79" i="1" a="1"/>
  <c r="CM79" i="1" s="1"/>
  <c r="CO79" i="1" s="1"/>
  <c r="CM80" i="1" a="1"/>
  <c r="CM80" i="1" s="1"/>
  <c r="CO80" i="1" s="1"/>
  <c r="CM81" i="1" a="1"/>
  <c r="CM81" i="1" s="1"/>
  <c r="CO81" i="1" s="1"/>
  <c r="CM91" i="1" a="1"/>
  <c r="CM91" i="1" s="1"/>
  <c r="CO91" i="1" s="1"/>
  <c r="CM84" i="1" a="1"/>
  <c r="CM84" i="1" s="1"/>
  <c r="CO84" i="1" s="1"/>
  <c r="CM92" i="1" a="1"/>
  <c r="CM92" i="1" s="1"/>
  <c r="CO92" i="1" s="1"/>
  <c r="CM85" i="1" a="1"/>
  <c r="CM85" i="1" s="1"/>
  <c r="CO85" i="1" s="1"/>
  <c r="CM93" i="1" a="1"/>
  <c r="CM93" i="1" s="1"/>
  <c r="CO93" i="1" s="1"/>
  <c r="CM86" i="1" a="1"/>
  <c r="CM86" i="1" s="1"/>
  <c r="CO86" i="1" s="1"/>
  <c r="CM88" i="1" a="1"/>
  <c r="CM88" i="1" s="1"/>
  <c r="CO88" i="1" s="1"/>
  <c r="CM82" i="1" a="1"/>
  <c r="CM82" i="1" s="1"/>
  <c r="CO82" i="1" s="1"/>
  <c r="CM83" i="1" a="1"/>
  <c r="CM83" i="1" s="1"/>
  <c r="CO83" i="1" s="1"/>
  <c r="CM95" i="1" a="1"/>
  <c r="CM95" i="1" s="1"/>
  <c r="CO95" i="1" s="1"/>
  <c r="CM97" i="1" a="1"/>
  <c r="CM97" i="1" s="1"/>
  <c r="CO97" i="1" s="1"/>
  <c r="CM98" i="1" a="1"/>
  <c r="CM98" i="1" s="1"/>
  <c r="CO98" i="1" s="1"/>
  <c r="CM99" i="1" a="1"/>
  <c r="CM99" i="1" s="1"/>
  <c r="CO99" i="1" s="1"/>
  <c r="CM90" i="1" a="1"/>
  <c r="CM90" i="1" s="1"/>
  <c r="CO90" i="1" s="1"/>
  <c r="CM100" i="1" a="1"/>
  <c r="CM100" i="1" s="1"/>
  <c r="CO100" i="1" s="1"/>
  <c r="CM101" i="1" a="1"/>
  <c r="CM101" i="1" s="1"/>
  <c r="CO101" i="1" s="1"/>
  <c r="CM94" i="1" a="1"/>
  <c r="CM94" i="1" s="1"/>
  <c r="CO94" i="1" s="1"/>
  <c r="CM106" i="1" a="1"/>
  <c r="CM106" i="1" s="1"/>
  <c r="CO106" i="1" s="1"/>
  <c r="CM107" i="1" a="1"/>
  <c r="CM107" i="1" s="1"/>
  <c r="CO107" i="1" s="1"/>
  <c r="CM115" i="1" a="1"/>
  <c r="CM115" i="1" s="1"/>
  <c r="CO115" i="1" s="1"/>
  <c r="CM108" i="1" a="1"/>
  <c r="CM108" i="1" s="1"/>
  <c r="CO108" i="1" s="1"/>
  <c r="CM116" i="1" a="1"/>
  <c r="CM116" i="1" s="1"/>
  <c r="CO116" i="1" s="1"/>
  <c r="CM109" i="1" a="1"/>
  <c r="CM109" i="1" s="1"/>
  <c r="CO109" i="1" s="1"/>
  <c r="CM117" i="1" a="1"/>
  <c r="CM117" i="1" s="1"/>
  <c r="CO117" i="1" s="1"/>
  <c r="CM102" i="1" a="1"/>
  <c r="CM102" i="1" s="1"/>
  <c r="CO102" i="1" s="1"/>
  <c r="CM110" i="1" a="1"/>
  <c r="CM110" i="1" s="1"/>
  <c r="CO110" i="1" s="1"/>
  <c r="CM118" i="1" a="1"/>
  <c r="CM118" i="1" s="1"/>
  <c r="CO118" i="1" s="1"/>
  <c r="CM103" i="1" a="1"/>
  <c r="CM103" i="1" s="1"/>
  <c r="CO103" i="1" s="1"/>
  <c r="CM111" i="1" a="1"/>
  <c r="CM111" i="1" s="1"/>
  <c r="CO111" i="1" s="1"/>
  <c r="CM119" i="1" a="1"/>
  <c r="CM119" i="1" s="1"/>
  <c r="CO119" i="1" s="1"/>
  <c r="CM104" i="1" a="1"/>
  <c r="CM104" i="1" s="1"/>
  <c r="CO104" i="1" s="1"/>
  <c r="CM112" i="1" a="1"/>
  <c r="CM112" i="1" s="1"/>
  <c r="CO112" i="1" s="1"/>
  <c r="CM105" i="1" a="1"/>
  <c r="CM105" i="1" s="1"/>
  <c r="CO105" i="1" s="1"/>
  <c r="CM113" i="1" a="1"/>
  <c r="CM113" i="1" s="1"/>
  <c r="CO113" i="1" s="1"/>
  <c r="CM120" i="1" a="1"/>
  <c r="CM120" i="1" s="1"/>
  <c r="CO120" i="1" s="1"/>
  <c r="CM128" i="1" a="1"/>
  <c r="CM128" i="1" s="1"/>
  <c r="CO128" i="1" s="1"/>
  <c r="CM121" i="1" a="1"/>
  <c r="CM121" i="1" s="1"/>
  <c r="CO121" i="1" s="1"/>
  <c r="CM122" i="1" a="1"/>
  <c r="CM122" i="1" s="1"/>
  <c r="CO122" i="1" s="1"/>
  <c r="CM130" i="1" a="1"/>
  <c r="CM130" i="1" s="1"/>
  <c r="CO130" i="1" s="1"/>
  <c r="CM123" i="1" a="1"/>
  <c r="CM123" i="1" s="1"/>
  <c r="CO123" i="1" s="1"/>
  <c r="CM125" i="1" a="1"/>
  <c r="CM125" i="1" s="1"/>
  <c r="CO125" i="1" s="1"/>
  <c r="CM127" i="1" a="1"/>
  <c r="CM127" i="1" s="1"/>
  <c r="CO127" i="1" s="1"/>
  <c r="CM137" i="1" a="1"/>
  <c r="CM137" i="1" s="1"/>
  <c r="CO137" i="1" s="1"/>
  <c r="CM139" i="1" a="1"/>
  <c r="CM139" i="1" s="1"/>
  <c r="CO139" i="1" s="1"/>
  <c r="CM140" i="1" a="1"/>
  <c r="CM140" i="1" s="1"/>
  <c r="CO140" i="1" s="1"/>
  <c r="CM133" i="1" a="1"/>
  <c r="CM133" i="1" s="1"/>
  <c r="CO133" i="1" s="1"/>
  <c r="CM141" i="1" a="1"/>
  <c r="CM141" i="1" s="1"/>
  <c r="CO141" i="1" s="1"/>
  <c r="CM135" i="1" a="1"/>
  <c r="CM135" i="1" s="1"/>
  <c r="CO135" i="1" s="1"/>
  <c r="CG29" i="1" a="1"/>
  <c r="CG29" i="1" s="1"/>
  <c r="CG158" i="1" s="1"/>
  <c r="AY29" i="1" l="1"/>
  <c r="CL158" i="1"/>
  <c r="CL29" i="1"/>
  <c r="CM178" i="1"/>
  <c r="CO178" i="1" s="1"/>
  <c r="CO38" i="1"/>
  <c r="CO21" i="1"/>
  <c r="CM206" i="1"/>
  <c r="CO206" i="1" s="1"/>
  <c r="CM204" i="1"/>
  <c r="CO204" i="1" s="1"/>
  <c r="CO12" i="1"/>
  <c r="CP8" i="1" a="1"/>
  <c r="CP8" i="1" s="1"/>
  <c r="CR8" i="1" s="1"/>
  <c r="CP9" i="1" a="1"/>
  <c r="CP9" i="1" s="1"/>
  <c r="CR9" i="1" s="1"/>
  <c r="CS4" i="1"/>
  <c r="CP6" i="1" a="1"/>
  <c r="CP6" i="1" s="1"/>
  <c r="CR6" i="1" s="1"/>
  <c r="CP11" i="1" a="1"/>
  <c r="CP11" i="1" s="1"/>
  <c r="CR11" i="1" s="1"/>
  <c r="CP12" i="1" a="1"/>
  <c r="CP12" i="1" s="1"/>
  <c r="CP13" i="1" a="1"/>
  <c r="CP13" i="1" s="1"/>
  <c r="CP10" i="1" a="1"/>
  <c r="CP10" i="1" s="1"/>
  <c r="CR10" i="1" s="1"/>
  <c r="CP14" i="1" a="1"/>
  <c r="CP14" i="1" s="1"/>
  <c r="CP15" i="1" a="1"/>
  <c r="CP15" i="1" s="1"/>
  <c r="CR15" i="1" s="1"/>
  <c r="CP17" i="1" a="1"/>
  <c r="CP17" i="1" s="1"/>
  <c r="CR17" i="1" s="1"/>
  <c r="CP21" i="1" a="1"/>
  <c r="CP21" i="1" s="1"/>
  <c r="CP18" i="1" a="1"/>
  <c r="CP18" i="1" s="1"/>
  <c r="CP19" i="1" a="1"/>
  <c r="CP19" i="1" s="1"/>
  <c r="CP20" i="1" a="1"/>
  <c r="CP20" i="1" s="1"/>
  <c r="CP22" i="1" a="1"/>
  <c r="CP22" i="1" s="1"/>
  <c r="CR22" i="1" s="1"/>
  <c r="CP23" i="1" a="1"/>
  <c r="CP23" i="1" s="1"/>
  <c r="CR23" i="1" s="1"/>
  <c r="CP25" i="1" a="1"/>
  <c r="CP25" i="1" s="1"/>
  <c r="CR25" i="1" s="1"/>
  <c r="CP29" i="1" a="1"/>
  <c r="CP29" i="1" s="1"/>
  <c r="CP158" i="1" s="1"/>
  <c r="CP27" i="1" a="1"/>
  <c r="CP27" i="1" s="1"/>
  <c r="CP28" i="1" a="1"/>
  <c r="CP28" i="1" s="1"/>
  <c r="CP31" i="1" a="1"/>
  <c r="CP31" i="1" s="1"/>
  <c r="CP32" i="1" a="1"/>
  <c r="CP32" i="1" s="1"/>
  <c r="CP33" i="1" a="1"/>
  <c r="CP33" i="1" s="1"/>
  <c r="CP30" i="1" a="1"/>
  <c r="CP30" i="1" s="1"/>
  <c r="CP160" i="1" s="1"/>
  <c r="CP34" i="1" a="1"/>
  <c r="CP34" i="1" s="1"/>
  <c r="CP38" i="1" a="1"/>
  <c r="CP38" i="1" s="1"/>
  <c r="CP39" i="1" a="1"/>
  <c r="CP39" i="1" s="1"/>
  <c r="CP40" i="1" a="1"/>
  <c r="CP40" i="1" s="1"/>
  <c r="CP41" i="1" a="1"/>
  <c r="CP41" i="1" s="1"/>
  <c r="CP183" i="1" s="1"/>
  <c r="CP36" i="1" a="1"/>
  <c r="CP36" i="1" s="1"/>
  <c r="CP45" i="1" a="1"/>
  <c r="CP45" i="1" s="1"/>
  <c r="CR45" i="1" s="1"/>
  <c r="CP42" i="1" a="1"/>
  <c r="CP42" i="1" s="1"/>
  <c r="CP43" i="1" a="1"/>
  <c r="CP43" i="1" s="1"/>
  <c r="CP44" i="1" a="1"/>
  <c r="CP44" i="1" s="1"/>
  <c r="CP48" i="1" a="1"/>
  <c r="CP48" i="1" s="1"/>
  <c r="CR48" i="1" s="1"/>
  <c r="CP46" i="1" a="1"/>
  <c r="CP46" i="1" s="1"/>
  <c r="CR46" i="1" s="1"/>
  <c r="CP49" i="1" a="1"/>
  <c r="CP49" i="1" s="1"/>
  <c r="CR49" i="1" s="1"/>
  <c r="CP52" i="1" a="1"/>
  <c r="CP52" i="1" s="1"/>
  <c r="CR52" i="1" s="1"/>
  <c r="CP54" i="1" a="1"/>
  <c r="CP54" i="1" s="1"/>
  <c r="CR54" i="1" s="1"/>
  <c r="CP47" i="1" a="1"/>
  <c r="CP47" i="1" s="1"/>
  <c r="CR47" i="1" s="1"/>
  <c r="CP50" i="1" a="1"/>
  <c r="CP50" i="1" s="1"/>
  <c r="CR50" i="1" s="1"/>
  <c r="CP51" i="1" a="1"/>
  <c r="CP51" i="1" s="1"/>
  <c r="CP56" i="1" a="1"/>
  <c r="CP56" i="1" s="1"/>
  <c r="CR56" i="1" s="1"/>
  <c r="CP58" i="1" a="1"/>
  <c r="CP58" i="1" s="1"/>
  <c r="CR58" i="1" s="1"/>
  <c r="CP60" i="1" a="1"/>
  <c r="CP60" i="1" s="1"/>
  <c r="CR60" i="1" s="1"/>
  <c r="CP61" i="1" a="1"/>
  <c r="CP61" i="1" s="1"/>
  <c r="CR61" i="1" s="1"/>
  <c r="CP62" i="1" a="1"/>
  <c r="CP62" i="1" s="1"/>
  <c r="CR62" i="1" s="1"/>
  <c r="CP55" i="1" a="1"/>
  <c r="CP55" i="1" s="1"/>
  <c r="CR55" i="1" s="1"/>
  <c r="CP69" i="1" a="1"/>
  <c r="CP69" i="1" s="1"/>
  <c r="CR69" i="1" s="1"/>
  <c r="CP70" i="1" a="1"/>
  <c r="CP70" i="1" s="1"/>
  <c r="CR70" i="1" s="1"/>
  <c r="CP68" i="1" a="1"/>
  <c r="CP68" i="1" s="1"/>
  <c r="CR68" i="1" s="1"/>
  <c r="CP66" i="1"/>
  <c r="CP71" i="1" a="1"/>
  <c r="CP71" i="1" s="1"/>
  <c r="CR71" i="1" s="1"/>
  <c r="CP72" i="1" a="1"/>
  <c r="CP72" i="1" s="1"/>
  <c r="CR72" i="1" s="1"/>
  <c r="CP73" i="1" a="1"/>
  <c r="CP73" i="1" s="1"/>
  <c r="CR73" i="1" s="1"/>
  <c r="CP74" i="1" a="1"/>
  <c r="CP74" i="1" s="1"/>
  <c r="CR74" i="1" s="1"/>
  <c r="CP75" i="1" a="1"/>
  <c r="CP75" i="1" s="1"/>
  <c r="CR75" i="1" s="1"/>
  <c r="CP76" i="1" a="1"/>
  <c r="CP76" i="1" s="1"/>
  <c r="CR76" i="1" s="1"/>
  <c r="CP77" i="1" a="1"/>
  <c r="CP77" i="1" s="1"/>
  <c r="CR77" i="1" s="1"/>
  <c r="CP78" i="1" a="1"/>
  <c r="CP78" i="1" s="1"/>
  <c r="CR78" i="1" s="1"/>
  <c r="CP79" i="1" a="1"/>
  <c r="CP79" i="1" s="1"/>
  <c r="CR79" i="1" s="1"/>
  <c r="CP80" i="1" a="1"/>
  <c r="CP80" i="1" s="1"/>
  <c r="CR80" i="1" s="1"/>
  <c r="CP86" i="1" a="1"/>
  <c r="CP86" i="1" s="1"/>
  <c r="CR86" i="1" s="1"/>
  <c r="CP81" i="1" a="1"/>
  <c r="CP81" i="1" s="1"/>
  <c r="CR81" i="1" s="1"/>
  <c r="CP82" i="1" a="1"/>
  <c r="CP82" i="1" s="1"/>
  <c r="CR82" i="1" s="1"/>
  <c r="CP88" i="1" a="1"/>
  <c r="CP88" i="1" s="1"/>
  <c r="CR88" i="1" s="1"/>
  <c r="CP83" i="1" a="1"/>
  <c r="CP83" i="1" s="1"/>
  <c r="CR83" i="1" s="1"/>
  <c r="CP90" i="1" a="1"/>
  <c r="CP90" i="1" s="1"/>
  <c r="CR90" i="1" s="1"/>
  <c r="CP84" i="1" a="1"/>
  <c r="CP84" i="1" s="1"/>
  <c r="CR84" i="1" s="1"/>
  <c r="CP92" i="1" a="1"/>
  <c r="CP92" i="1" s="1"/>
  <c r="CR92" i="1" s="1"/>
  <c r="CP85" i="1" a="1"/>
  <c r="CP85" i="1" s="1"/>
  <c r="CR85" i="1" s="1"/>
  <c r="CP98" i="1" a="1"/>
  <c r="CP98" i="1" s="1"/>
  <c r="CR98" i="1" s="1"/>
  <c r="CP99" i="1" a="1"/>
  <c r="CP99" i="1" s="1"/>
  <c r="CR99" i="1" s="1"/>
  <c r="CP100" i="1" a="1"/>
  <c r="CP100" i="1" s="1"/>
  <c r="CR100" i="1" s="1"/>
  <c r="CP94" i="1" a="1"/>
  <c r="CP94" i="1" s="1"/>
  <c r="CR94" i="1" s="1"/>
  <c r="CP95" i="1" a="1"/>
  <c r="CP95" i="1" s="1"/>
  <c r="CR95" i="1" s="1"/>
  <c r="CP91" i="1" a="1"/>
  <c r="CP91" i="1" s="1"/>
  <c r="CR91" i="1" s="1"/>
  <c r="CP93" i="1" a="1"/>
  <c r="CP93" i="1" s="1"/>
  <c r="CR93" i="1" s="1"/>
  <c r="CP97" i="1" a="1"/>
  <c r="CP97" i="1" s="1"/>
  <c r="CR97" i="1" s="1"/>
  <c r="CP109" i="1" a="1"/>
  <c r="CP109" i="1" s="1"/>
  <c r="CR109" i="1" s="1"/>
  <c r="CP117" i="1" a="1"/>
  <c r="CP117" i="1" s="1"/>
  <c r="CR117" i="1" s="1"/>
  <c r="CP102" i="1" a="1"/>
  <c r="CP102" i="1" s="1"/>
  <c r="CR102" i="1" s="1"/>
  <c r="CP110" i="1" a="1"/>
  <c r="CP110" i="1" s="1"/>
  <c r="CR110" i="1" s="1"/>
  <c r="CP118" i="1" a="1"/>
  <c r="CP118" i="1" s="1"/>
  <c r="CR118" i="1" s="1"/>
  <c r="CP103" i="1" a="1"/>
  <c r="CP103" i="1" s="1"/>
  <c r="CR103" i="1" s="1"/>
  <c r="CP111" i="1" a="1"/>
  <c r="CP111" i="1" s="1"/>
  <c r="CR111" i="1" s="1"/>
  <c r="CP119" i="1" a="1"/>
  <c r="CP119" i="1" s="1"/>
  <c r="CR119" i="1" s="1"/>
  <c r="CP104" i="1" a="1"/>
  <c r="CP104" i="1" s="1"/>
  <c r="CR104" i="1" s="1"/>
  <c r="CP112" i="1" a="1"/>
  <c r="CP112" i="1" s="1"/>
  <c r="CR112" i="1" s="1"/>
  <c r="CP105" i="1" a="1"/>
  <c r="CP105" i="1" s="1"/>
  <c r="CR105" i="1" s="1"/>
  <c r="CP113" i="1" a="1"/>
  <c r="CP113" i="1" s="1"/>
  <c r="CR113" i="1" s="1"/>
  <c r="CP101" i="1" a="1"/>
  <c r="CP101" i="1" s="1"/>
  <c r="CR101" i="1" s="1"/>
  <c r="CP106" i="1" a="1"/>
  <c r="CP106" i="1" s="1"/>
  <c r="CR106" i="1" s="1"/>
  <c r="CP107" i="1" a="1"/>
  <c r="CP107" i="1" s="1"/>
  <c r="CR107" i="1" s="1"/>
  <c r="CP115" i="1" a="1"/>
  <c r="CP115" i="1" s="1"/>
  <c r="CR115" i="1" s="1"/>
  <c r="CP108" i="1" a="1"/>
  <c r="CP108" i="1" s="1"/>
  <c r="CR108" i="1" s="1"/>
  <c r="CP116" i="1" a="1"/>
  <c r="CP116" i="1" s="1"/>
  <c r="CR116" i="1" s="1"/>
  <c r="CP123" i="1" a="1"/>
  <c r="CP123" i="1" s="1"/>
  <c r="CR123" i="1" s="1"/>
  <c r="CP125" i="1" a="1"/>
  <c r="CP125" i="1" s="1"/>
  <c r="CR125" i="1" s="1"/>
  <c r="CP133" i="1" a="1"/>
  <c r="CP133" i="1" s="1"/>
  <c r="CR133" i="1" s="1"/>
  <c r="CP127" i="1" a="1"/>
  <c r="CP127" i="1" s="1"/>
  <c r="CR127" i="1" s="1"/>
  <c r="CP120" i="1" a="1"/>
  <c r="CP120" i="1" s="1"/>
  <c r="CR120" i="1" s="1"/>
  <c r="CP128" i="1" a="1"/>
  <c r="CP128" i="1" s="1"/>
  <c r="CR128" i="1" s="1"/>
  <c r="CP121" i="1" a="1"/>
  <c r="CP121" i="1" s="1"/>
  <c r="CR121" i="1" s="1"/>
  <c r="CP122" i="1" a="1"/>
  <c r="CP122" i="1" s="1"/>
  <c r="CR122" i="1" s="1"/>
  <c r="CP130" i="1" a="1"/>
  <c r="CP130" i="1" s="1"/>
  <c r="CR130" i="1" s="1"/>
  <c r="CP139" i="1" a="1"/>
  <c r="CP139" i="1" s="1"/>
  <c r="CR139" i="1" s="1"/>
  <c r="CP140" i="1" a="1"/>
  <c r="CP140" i="1" s="1"/>
  <c r="CR140" i="1" s="1"/>
  <c r="CP141" i="1" a="1"/>
  <c r="CP141" i="1" s="1"/>
  <c r="CR141" i="1" s="1"/>
  <c r="CP135" i="1" a="1"/>
  <c r="CP135" i="1" s="1"/>
  <c r="CR135" i="1" s="1"/>
  <c r="CP137" i="1" a="1"/>
  <c r="CP137" i="1" s="1"/>
  <c r="CR137" i="1" s="1"/>
  <c r="BT158" i="1"/>
  <c r="EJ158" i="1"/>
  <c r="CZ160" i="1"/>
  <c r="CW160" i="1"/>
  <c r="DF160" i="1"/>
  <c r="CI30" i="1"/>
  <c r="CH160" i="1"/>
  <c r="CI160" i="1" s="1"/>
  <c r="CM191" i="1"/>
  <c r="CO191" i="1" s="1"/>
  <c r="CO44" i="1"/>
  <c r="CO28" i="1"/>
  <c r="CM157" i="1"/>
  <c r="CO157" i="1" s="1"/>
  <c r="CM210" i="1"/>
  <c r="CO210" i="1" s="1"/>
  <c r="CO19" i="1"/>
  <c r="BT29" i="1"/>
  <c r="EA158" i="1"/>
  <c r="CR30" i="1"/>
  <c r="CQ160" i="1"/>
  <c r="CR160" i="1" s="1"/>
  <c r="CC30" i="1"/>
  <c r="CB160" i="1"/>
  <c r="CC160" i="1" s="1"/>
  <c r="DC160" i="1"/>
  <c r="EJ160" i="1"/>
  <c r="BZ30" i="1"/>
  <c r="BY160" i="1"/>
  <c r="BZ160" i="1" s="1"/>
  <c r="BX41" i="1" a="1"/>
  <c r="BX41" i="1" s="1"/>
  <c r="BX183" i="1" s="1"/>
  <c r="BV41" i="1" a="1"/>
  <c r="BV41" i="1" s="1"/>
  <c r="CB41" i="1" a="1"/>
  <c r="CB41" i="1" s="1"/>
  <c r="DF41" i="1" a="1"/>
  <c r="DF41" i="1" s="1"/>
  <c r="DC41" i="1" a="1"/>
  <c r="DC41" i="1" s="1"/>
  <c r="AZ41" i="1" a="1"/>
  <c r="AZ41" i="1" s="1"/>
  <c r="AZ183" i="1" s="1"/>
  <c r="CT41" i="1" a="1"/>
  <c r="CT41" i="1" s="1"/>
  <c r="CZ41" i="1" a="1"/>
  <c r="CZ41" i="1" s="1"/>
  <c r="DU41" i="1" a="1"/>
  <c r="DU41" i="1" s="1"/>
  <c r="CE41" i="1" a="1"/>
  <c r="CE41" i="1" s="1"/>
  <c r="BC41" i="1" a="1"/>
  <c r="BC41" i="1" s="1"/>
  <c r="BC183" i="1" s="1"/>
  <c r="EG41" i="1" a="1"/>
  <c r="EG41" i="1" s="1"/>
  <c r="DO41" i="1" a="1"/>
  <c r="DO41" i="1" s="1"/>
  <c r="BY41" i="1" a="1"/>
  <c r="BY41" i="1" s="1"/>
  <c r="DR41" i="1" a="1"/>
  <c r="DR41" i="1" s="1"/>
  <c r="BF41" i="1" a="1"/>
  <c r="BF41" i="1" s="1"/>
  <c r="BF183" i="1" s="1"/>
  <c r="BM41" i="1" a="1"/>
  <c r="BM41" i="1" s="1"/>
  <c r="BS41" i="1" a="1"/>
  <c r="BS41" i="1" s="1"/>
  <c r="BA41" i="1" a="1"/>
  <c r="BA41" i="1" s="1"/>
  <c r="BG41" i="1" a="1"/>
  <c r="BG41" i="1" s="1"/>
  <c r="BI41" i="1" a="1"/>
  <c r="BI41" i="1" s="1"/>
  <c r="BI183" i="1" s="1"/>
  <c r="CK41" i="1" a="1"/>
  <c r="CK41" i="1" s="1"/>
  <c r="CQ41" i="1" a="1"/>
  <c r="CQ41" i="1" s="1"/>
  <c r="DL41" i="1" a="1"/>
  <c r="DL41" i="1" s="1"/>
  <c r="AW41" i="1" a="1"/>
  <c r="AW41" i="1" s="1"/>
  <c r="AW183" i="1" s="1"/>
  <c r="BL41" i="1" a="1"/>
  <c r="BL41" i="1" s="1"/>
  <c r="BL183" i="1" s="1"/>
  <c r="DI41" i="1" a="1"/>
  <c r="DI41" i="1" s="1"/>
  <c r="ED41" i="1" a="1"/>
  <c r="ED41" i="1" s="1"/>
  <c r="CN41" i="1" a="1"/>
  <c r="CN41" i="1" s="1"/>
  <c r="CW41" i="1" a="1"/>
  <c r="CW41" i="1" s="1"/>
  <c r="BO41" i="1" a="1"/>
  <c r="BO41" i="1" s="1"/>
  <c r="BO183" i="1" s="1"/>
  <c r="CA41" i="1" a="1"/>
  <c r="CA41" i="1" s="1"/>
  <c r="CA183" i="1" s="1"/>
  <c r="DX41" i="1" a="1"/>
  <c r="DX41" i="1" s="1"/>
  <c r="BJ41" i="1" a="1"/>
  <c r="BJ41" i="1" s="1"/>
  <c r="EA41" i="1" a="1"/>
  <c r="EA41" i="1" s="1"/>
  <c r="EJ41" i="1" a="1"/>
  <c r="EJ41" i="1" s="1"/>
  <c r="BR41" i="1" a="1"/>
  <c r="BR41" i="1" s="1"/>
  <c r="BR183" i="1" s="1"/>
  <c r="AX41" i="1" a="1"/>
  <c r="AX41" i="1" s="1"/>
  <c r="BD41" i="1" a="1"/>
  <c r="BD41" i="1" s="1"/>
  <c r="CH41" i="1" a="1"/>
  <c r="CH41" i="1" s="1"/>
  <c r="BP41" i="1" a="1"/>
  <c r="BP41" i="1" s="1"/>
  <c r="BU41" i="1" a="1"/>
  <c r="BU41" i="1" s="1"/>
  <c r="BU183" i="1" s="1"/>
  <c r="CD41" i="1" a="1"/>
  <c r="CD41" i="1" s="1"/>
  <c r="CD183" i="1" s="1"/>
  <c r="CG41" i="1" a="1"/>
  <c r="CG41" i="1" s="1"/>
  <c r="CG183" i="1" s="1"/>
  <c r="CJ41" i="1" a="1"/>
  <c r="CJ41" i="1" s="1"/>
  <c r="CJ183" i="1" s="1"/>
  <c r="CM166" i="1"/>
  <c r="CO166" i="1" s="1"/>
  <c r="CO34" i="1"/>
  <c r="CO18" i="1"/>
  <c r="CM208" i="1"/>
  <c r="CO208" i="1" s="1"/>
  <c r="CO14" i="1"/>
  <c r="CM209" i="1"/>
  <c r="CO209" i="1" s="1"/>
  <c r="BB30" i="1"/>
  <c r="BA160" i="1"/>
  <c r="BB160" i="1" s="1"/>
  <c r="CO30" i="1"/>
  <c r="CN160" i="1"/>
  <c r="CO160" i="1" s="1"/>
  <c r="CM188" i="1"/>
  <c r="CO188" i="1" s="1"/>
  <c r="CO43" i="1"/>
  <c r="CM172" i="1"/>
  <c r="CO172" i="1" s="1"/>
  <c r="CO36" i="1"/>
  <c r="BW29" i="1"/>
  <c r="BV158" i="1"/>
  <c r="BW158" i="1" s="1"/>
  <c r="BH29" i="1"/>
  <c r="BG158" i="1"/>
  <c r="BH158" i="1" s="1"/>
  <c r="DX160" i="1"/>
  <c r="EG160" i="1"/>
  <c r="DL160" i="1"/>
  <c r="CM190" i="1"/>
  <c r="CO190" i="1" s="1"/>
  <c r="CO51" i="1"/>
  <c r="CM165" i="1"/>
  <c r="CO165" i="1" s="1"/>
  <c r="CO33" i="1"/>
  <c r="CM211" i="1"/>
  <c r="CO211" i="1" s="1"/>
  <c r="CO20" i="1"/>
  <c r="CR29" i="1"/>
  <c r="CQ158" i="1"/>
  <c r="CR158" i="1" s="1"/>
  <c r="CI29" i="1"/>
  <c r="CH158" i="1"/>
  <c r="CI158" i="1" s="1"/>
  <c r="DI160" i="1"/>
  <c r="AY30" i="1"/>
  <c r="AX160" i="1"/>
  <c r="AY160" i="1" s="1"/>
  <c r="BH30" i="1"/>
  <c r="BG160" i="1"/>
  <c r="BH160" i="1" s="1"/>
  <c r="CL30" i="1"/>
  <c r="CK160" i="1"/>
  <c r="CL160" i="1" s="1"/>
  <c r="CM163" i="1"/>
  <c r="CO163" i="1" s="1"/>
  <c r="CO32" i="1"/>
  <c r="BN29" i="1"/>
  <c r="BM158" i="1"/>
  <c r="BN158" i="1" s="1"/>
  <c r="CT160" i="1"/>
  <c r="DO160" i="1"/>
  <c r="BK30" i="1"/>
  <c r="BJ160" i="1"/>
  <c r="BK160" i="1" s="1"/>
  <c r="CM185" i="1"/>
  <c r="CO185" i="1" s="1"/>
  <c r="CO42" i="1"/>
  <c r="CM180" i="1"/>
  <c r="CO180" i="1" s="1"/>
  <c r="CO40" i="1"/>
  <c r="CM161" i="1"/>
  <c r="CO161" i="1" s="1"/>
  <c r="CO31" i="1"/>
  <c r="CM156" i="1"/>
  <c r="CO156" i="1" s="1"/>
  <c r="CO27" i="1"/>
  <c r="BZ29" i="1"/>
  <c r="BY158" i="1"/>
  <c r="BZ158" i="1" s="1"/>
  <c r="AY158" i="1"/>
  <c r="CO29" i="1"/>
  <c r="CN158" i="1"/>
  <c r="CO158" i="1" s="1"/>
  <c r="EG158" i="1"/>
  <c r="ED160" i="1"/>
  <c r="BT30" i="1"/>
  <c r="BS160" i="1"/>
  <c r="BT160" i="1" s="1"/>
  <c r="BE30" i="1"/>
  <c r="BD160" i="1"/>
  <c r="BE160" i="1" s="1"/>
  <c r="BN30" i="1"/>
  <c r="BM160" i="1"/>
  <c r="BN160" i="1" s="1"/>
  <c r="DR160" i="1"/>
  <c r="EA160" i="1"/>
  <c r="CM179" i="1"/>
  <c r="CO179" i="1" s="1"/>
  <c r="CO39" i="1"/>
  <c r="CM205" i="1"/>
  <c r="CO205" i="1" s="1"/>
  <c r="CO13" i="1"/>
  <c r="BK29" i="1"/>
  <c r="BJ158" i="1"/>
  <c r="BK158" i="1" s="1"/>
  <c r="BW30" i="1"/>
  <c r="BV160" i="1"/>
  <c r="BW160" i="1" s="1"/>
  <c r="CF30" i="1"/>
  <c r="CE160" i="1"/>
  <c r="CF160" i="1" s="1"/>
  <c r="BQ30" i="1"/>
  <c r="BP160" i="1"/>
  <c r="BQ160" i="1" s="1"/>
  <c r="DU160" i="1"/>
  <c r="BK41" i="1" l="1"/>
  <c r="BJ183" i="1"/>
  <c r="BK183" i="1" s="1"/>
  <c r="BT41" i="1"/>
  <c r="BS183" i="1"/>
  <c r="BT183" i="1" s="1"/>
  <c r="CF41" i="1"/>
  <c r="CE183" i="1"/>
  <c r="CF183" i="1" s="1"/>
  <c r="BW41" i="1"/>
  <c r="BV183" i="1"/>
  <c r="BW183" i="1" s="1"/>
  <c r="CP190" i="1"/>
  <c r="CR190" i="1" s="1"/>
  <c r="CR51" i="1"/>
  <c r="CR40" i="1"/>
  <c r="CP180" i="1"/>
  <c r="CR180" i="1" s="1"/>
  <c r="CR31" i="1"/>
  <c r="CP161" i="1"/>
  <c r="CR161" i="1" s="1"/>
  <c r="BQ41" i="1"/>
  <c r="BP183" i="1"/>
  <c r="BQ183" i="1" s="1"/>
  <c r="DX183" i="1"/>
  <c r="BN41" i="1"/>
  <c r="BM183" i="1"/>
  <c r="BN183" i="1" s="1"/>
  <c r="DU183" i="1"/>
  <c r="CP191" i="1"/>
  <c r="CR191" i="1" s="1"/>
  <c r="CR44" i="1"/>
  <c r="CP179" i="1"/>
  <c r="CR179" i="1" s="1"/>
  <c r="CR39" i="1"/>
  <c r="CR28" i="1"/>
  <c r="CP157" i="1"/>
  <c r="CR157" i="1" s="1"/>
  <c r="CP211" i="1"/>
  <c r="CR211" i="1" s="1"/>
  <c r="CR20" i="1"/>
  <c r="CP205" i="1"/>
  <c r="CR205" i="1" s="1"/>
  <c r="CR13" i="1"/>
  <c r="CI41" i="1"/>
  <c r="CH183" i="1"/>
  <c r="CI183" i="1" s="1"/>
  <c r="DL183" i="1"/>
  <c r="CZ183" i="1"/>
  <c r="CA37" i="1" a="1"/>
  <c r="CA37" i="1" s="1"/>
  <c r="CA176" i="1" s="1"/>
  <c r="CC176" i="1" s="1"/>
  <c r="BM37" i="1" a="1"/>
  <c r="BM37" i="1" s="1"/>
  <c r="BS37" i="1" a="1"/>
  <c r="BS37" i="1" s="1"/>
  <c r="BY37" i="1" a="1"/>
  <c r="BY37" i="1" s="1"/>
  <c r="EA37" i="1" a="1"/>
  <c r="EA37" i="1" s="1"/>
  <c r="BI37" i="1" a="1"/>
  <c r="BI37" i="1" s="1"/>
  <c r="BI176" i="1" s="1"/>
  <c r="BK176" i="1" s="1"/>
  <c r="CK37" i="1" a="1"/>
  <c r="CK37" i="1" s="1"/>
  <c r="CQ37" i="1" a="1"/>
  <c r="CQ37" i="1" s="1"/>
  <c r="CW37" i="1" a="1"/>
  <c r="CW37" i="1" s="1"/>
  <c r="BP37" i="1" a="1"/>
  <c r="BP37" i="1" s="1"/>
  <c r="BQ37" i="1" s="1"/>
  <c r="BL37" i="1" a="1"/>
  <c r="BL37" i="1" s="1"/>
  <c r="BL176" i="1" s="1"/>
  <c r="BN176" i="1" s="1"/>
  <c r="DI37" i="1" a="1"/>
  <c r="DI37" i="1" s="1"/>
  <c r="ED37" i="1" a="1"/>
  <c r="ED37" i="1" s="1"/>
  <c r="EJ37" i="1" a="1"/>
  <c r="EJ37" i="1" s="1"/>
  <c r="DL37" i="1" a="1"/>
  <c r="DL37" i="1" s="1"/>
  <c r="BO37" i="1" a="1"/>
  <c r="BO37" i="1" s="1"/>
  <c r="BO176" i="1" s="1"/>
  <c r="BQ176" i="1" s="1"/>
  <c r="DX37" i="1" a="1"/>
  <c r="DX37" i="1" s="1"/>
  <c r="BJ37" i="1" a="1"/>
  <c r="BJ37" i="1" s="1"/>
  <c r="BK37" i="1" s="1"/>
  <c r="BG37" i="1" a="1"/>
  <c r="BG37" i="1" s="1"/>
  <c r="AW37" i="1" a="1"/>
  <c r="AW37" i="1" s="1"/>
  <c r="AW176" i="1" s="1"/>
  <c r="AY176" i="1" s="1"/>
  <c r="BR37" i="1" a="1"/>
  <c r="BR37" i="1" s="1"/>
  <c r="BR176" i="1" s="1"/>
  <c r="BT176" i="1" s="1"/>
  <c r="AX37" i="1" a="1"/>
  <c r="AX37" i="1" s="1"/>
  <c r="AY37" i="1" s="1"/>
  <c r="BD37" i="1" a="1"/>
  <c r="BD37" i="1" s="1"/>
  <c r="CH37" i="1" a="1"/>
  <c r="CH37" i="1" s="1"/>
  <c r="CE37" i="1" a="1"/>
  <c r="CE37" i="1" s="1"/>
  <c r="BU37" i="1" a="1"/>
  <c r="BU37" i="1" s="1"/>
  <c r="BU176" i="1" s="1"/>
  <c r="BW176" i="1" s="1"/>
  <c r="BV37" i="1" a="1"/>
  <c r="BV37" i="1" s="1"/>
  <c r="CB37" i="1" a="1"/>
  <c r="CB37" i="1" s="1"/>
  <c r="CC37" i="1" s="1"/>
  <c r="DF37" i="1" a="1"/>
  <c r="DF37" i="1" s="1"/>
  <c r="DC37" i="1" a="1"/>
  <c r="DC37" i="1" s="1"/>
  <c r="AZ37" i="1" a="1"/>
  <c r="AZ37" i="1" s="1"/>
  <c r="AZ176" i="1" s="1"/>
  <c r="BB176" i="1" s="1"/>
  <c r="BX37" i="1" a="1"/>
  <c r="BX37" i="1" s="1"/>
  <c r="BX176" i="1" s="1"/>
  <c r="BZ176" i="1" s="1"/>
  <c r="CT37" i="1" a="1"/>
  <c r="CT37" i="1" s="1"/>
  <c r="CZ37" i="1" a="1"/>
  <c r="CZ37" i="1" s="1"/>
  <c r="DU37" i="1" a="1"/>
  <c r="DU37" i="1" s="1"/>
  <c r="DR37" i="1" a="1"/>
  <c r="DR37" i="1" s="1"/>
  <c r="BC37" i="1" a="1"/>
  <c r="BC37" i="1" s="1"/>
  <c r="BC176" i="1" s="1"/>
  <c r="BE176" i="1" s="1"/>
  <c r="CD37" i="1" a="1"/>
  <c r="CD37" i="1" s="1"/>
  <c r="CD176" i="1" s="1"/>
  <c r="CF176" i="1" s="1"/>
  <c r="EG37" i="1" a="1"/>
  <c r="EG37" i="1" s="1"/>
  <c r="DO37" i="1" a="1"/>
  <c r="DO37" i="1" s="1"/>
  <c r="BA37" i="1" a="1"/>
  <c r="BA37" i="1" s="1"/>
  <c r="BB37" i="1" s="1"/>
  <c r="CN37" i="1" a="1"/>
  <c r="CN37" i="1" s="1"/>
  <c r="CO37" i="1" s="1"/>
  <c r="BF37" i="1" a="1"/>
  <c r="BF37" i="1" s="1"/>
  <c r="BF176" i="1" s="1"/>
  <c r="BH176" i="1" s="1"/>
  <c r="CG37" i="1" a="1"/>
  <c r="CG37" i="1" s="1"/>
  <c r="CG176" i="1" s="1"/>
  <c r="CI176" i="1" s="1"/>
  <c r="CJ37" i="1" a="1"/>
  <c r="CJ37" i="1" s="1"/>
  <c r="CJ176" i="1" s="1"/>
  <c r="CL176" i="1" s="1"/>
  <c r="CM37" i="1" a="1"/>
  <c r="CM37" i="1" s="1"/>
  <c r="CM176" i="1" s="1"/>
  <c r="CO176" i="1" s="1"/>
  <c r="CP188" i="1"/>
  <c r="CR188" i="1" s="1"/>
  <c r="CR43" i="1"/>
  <c r="CP178" i="1"/>
  <c r="CR178" i="1" s="1"/>
  <c r="CR38" i="1"/>
  <c r="CP156" i="1"/>
  <c r="CR156" i="1" s="1"/>
  <c r="CR27" i="1"/>
  <c r="CP210" i="1"/>
  <c r="CR210" i="1" s="1"/>
  <c r="CR19" i="1"/>
  <c r="BE41" i="1"/>
  <c r="BD183" i="1"/>
  <c r="BE183" i="1" s="1"/>
  <c r="CR41" i="1"/>
  <c r="CQ183" i="1"/>
  <c r="CR183" i="1" s="1"/>
  <c r="DR183" i="1"/>
  <c r="CT183" i="1"/>
  <c r="CP185" i="1"/>
  <c r="CR185" i="1" s="1"/>
  <c r="CR42" i="1"/>
  <c r="CP37" i="1" a="1"/>
  <c r="CP37" i="1" s="1"/>
  <c r="CP176" i="1" s="1"/>
  <c r="CR176" i="1" s="1"/>
  <c r="CR18" i="1"/>
  <c r="CP208" i="1"/>
  <c r="CR208" i="1" s="1"/>
  <c r="CP204" i="1"/>
  <c r="CR204" i="1" s="1"/>
  <c r="CR12" i="1"/>
  <c r="AY41" i="1"/>
  <c r="AX183" i="1"/>
  <c r="AY183" i="1" s="1"/>
  <c r="CW183" i="1"/>
  <c r="CL41" i="1"/>
  <c r="CK183" i="1"/>
  <c r="CL183" i="1" s="1"/>
  <c r="BZ41" i="1"/>
  <c r="BY183" i="1"/>
  <c r="BZ183" i="1" s="1"/>
  <c r="CP166" i="1"/>
  <c r="CR166" i="1" s="1"/>
  <c r="CR34" i="1"/>
  <c r="CR21" i="1"/>
  <c r="CP206" i="1"/>
  <c r="CR206" i="1" s="1"/>
  <c r="CO41" i="1"/>
  <c r="CN183" i="1"/>
  <c r="CO183" i="1" s="1"/>
  <c r="DO183" i="1"/>
  <c r="DC183" i="1"/>
  <c r="CR36" i="1"/>
  <c r="CP172" i="1"/>
  <c r="CR172" i="1" s="1"/>
  <c r="EJ183" i="1"/>
  <c r="ED183" i="1"/>
  <c r="BH41" i="1"/>
  <c r="BG183" i="1"/>
  <c r="BH183" i="1" s="1"/>
  <c r="EG183" i="1"/>
  <c r="DF183" i="1"/>
  <c r="CP165" i="1"/>
  <c r="CR165" i="1" s="1"/>
  <c r="CR33" i="1"/>
  <c r="CS6" i="1" a="1"/>
  <c r="CS6" i="1" s="1"/>
  <c r="CU6" i="1" s="1"/>
  <c r="CV4" i="1"/>
  <c r="CS8" i="1" a="1"/>
  <c r="CS8" i="1" s="1"/>
  <c r="CU8" i="1" s="1"/>
  <c r="CS12" i="1" a="1"/>
  <c r="CS12" i="1" s="1"/>
  <c r="CS13" i="1" a="1"/>
  <c r="CS13" i="1" s="1"/>
  <c r="CS10" i="1" a="1"/>
  <c r="CS10" i="1" s="1"/>
  <c r="CU10" i="1" s="1"/>
  <c r="CS14" i="1" a="1"/>
  <c r="CS14" i="1" s="1"/>
  <c r="CS9" i="1" a="1"/>
  <c r="CS9" i="1" s="1"/>
  <c r="CU9" i="1" s="1"/>
  <c r="CS11" i="1" a="1"/>
  <c r="CS11" i="1" s="1"/>
  <c r="CU11" i="1" s="1"/>
  <c r="CS15" i="1" a="1"/>
  <c r="CS15" i="1" s="1"/>
  <c r="CU15" i="1" s="1"/>
  <c r="CS18" i="1" a="1"/>
  <c r="CS18" i="1" s="1"/>
  <c r="CS19" i="1" a="1"/>
  <c r="CS19" i="1" s="1"/>
  <c r="CS17" i="1" a="1"/>
  <c r="CS17" i="1" s="1"/>
  <c r="CU17" i="1" s="1"/>
  <c r="CS21" i="1" a="1"/>
  <c r="CS21" i="1" s="1"/>
  <c r="CS22" i="1" a="1"/>
  <c r="CS22" i="1" s="1"/>
  <c r="CU22" i="1" s="1"/>
  <c r="CS25" i="1" a="1"/>
  <c r="CS25" i="1" s="1"/>
  <c r="CU25" i="1" s="1"/>
  <c r="CS27" i="1" a="1"/>
  <c r="CS27" i="1" s="1"/>
  <c r="CS28" i="1" a="1"/>
  <c r="CS28" i="1" s="1"/>
  <c r="CS23" i="1" a="1"/>
  <c r="CS23" i="1" s="1"/>
  <c r="CU23" i="1" s="1"/>
  <c r="CS20" i="1" a="1"/>
  <c r="CS20" i="1" s="1"/>
  <c r="CS31" i="1" a="1"/>
  <c r="CS31" i="1" s="1"/>
  <c r="CS32" i="1" a="1"/>
  <c r="CS32" i="1" s="1"/>
  <c r="CS33" i="1" a="1"/>
  <c r="CS33" i="1" s="1"/>
  <c r="CS30" i="1" a="1"/>
  <c r="CS30" i="1" s="1"/>
  <c r="CS29" i="1" a="1"/>
  <c r="CS29" i="1" s="1"/>
  <c r="CS36" i="1" a="1"/>
  <c r="CS36" i="1" s="1"/>
  <c r="CS34" i="1" a="1"/>
  <c r="CS34" i="1" s="1"/>
  <c r="CS38" i="1" a="1"/>
  <c r="CS38" i="1" s="1"/>
  <c r="CS39" i="1" a="1"/>
  <c r="CS39" i="1" s="1"/>
  <c r="CS40" i="1" a="1"/>
  <c r="CS40" i="1" s="1"/>
  <c r="CS46" i="1" a="1"/>
  <c r="CS46" i="1" s="1"/>
  <c r="CU46" i="1" s="1"/>
  <c r="CS37" i="1" a="1"/>
  <c r="CS37" i="1" s="1"/>
  <c r="CS176" i="1" s="1"/>
  <c r="CU176" i="1" s="1"/>
  <c r="CS43" i="1" a="1"/>
  <c r="CS43" i="1" s="1"/>
  <c r="CS47" i="1" a="1"/>
  <c r="CS47" i="1" s="1"/>
  <c r="CU47" i="1" s="1"/>
  <c r="CS44" i="1" a="1"/>
  <c r="CS44" i="1" s="1"/>
  <c r="CS48" i="1" a="1"/>
  <c r="CS48" i="1" s="1"/>
  <c r="CU48" i="1" s="1"/>
  <c r="CS41" i="1" a="1"/>
  <c r="CS41" i="1" s="1"/>
  <c r="CS183" i="1" s="1"/>
  <c r="CS42" i="1" a="1"/>
  <c r="CS42" i="1" s="1"/>
  <c r="CS45" i="1" a="1"/>
  <c r="CS45" i="1" s="1"/>
  <c r="CU45" i="1" s="1"/>
  <c r="CS49" i="1" a="1"/>
  <c r="CS49" i="1" s="1"/>
  <c r="CU49" i="1" s="1"/>
  <c r="CS51" i="1" a="1"/>
  <c r="CS51" i="1" s="1"/>
  <c r="CS55" i="1" a="1"/>
  <c r="CS55" i="1" s="1"/>
  <c r="CU55" i="1" s="1"/>
  <c r="CS50" i="1" a="1"/>
  <c r="CS50" i="1" s="1"/>
  <c r="CU50" i="1" s="1"/>
  <c r="CS52" i="1" a="1"/>
  <c r="CS52" i="1" s="1"/>
  <c r="CU52" i="1" s="1"/>
  <c r="CS56" i="1" a="1"/>
  <c r="CS56" i="1" s="1"/>
  <c r="CU56" i="1" s="1"/>
  <c r="CS66" i="1"/>
  <c r="CS54" i="1" a="1"/>
  <c r="CS54" i="1" s="1"/>
  <c r="CU54" i="1" s="1"/>
  <c r="CS58" i="1" a="1"/>
  <c r="CS58" i="1" s="1"/>
  <c r="CU58" i="1" s="1"/>
  <c r="CS60" i="1" a="1"/>
  <c r="CS60" i="1" s="1"/>
  <c r="CU60" i="1" s="1"/>
  <c r="CS61" i="1" a="1"/>
  <c r="CS61" i="1" s="1"/>
  <c r="CU61" i="1" s="1"/>
  <c r="CS62" i="1" a="1"/>
  <c r="CS62" i="1" s="1"/>
  <c r="CU62" i="1" s="1"/>
  <c r="CS71" i="1" a="1"/>
  <c r="CS71" i="1" s="1"/>
  <c r="CU71" i="1" s="1"/>
  <c r="CS72" i="1" a="1"/>
  <c r="CS72" i="1" s="1"/>
  <c r="CU72" i="1" s="1"/>
  <c r="CS73" i="1" a="1"/>
  <c r="CS73" i="1" s="1"/>
  <c r="CU73" i="1" s="1"/>
  <c r="CS69" i="1" a="1"/>
  <c r="CS69" i="1" s="1"/>
  <c r="CU69" i="1" s="1"/>
  <c r="CS70" i="1" a="1"/>
  <c r="CS70" i="1" s="1"/>
  <c r="CU70" i="1" s="1"/>
  <c r="CS68" i="1" a="1"/>
  <c r="CS68" i="1" s="1"/>
  <c r="CU68" i="1" s="1"/>
  <c r="CS74" i="1" a="1"/>
  <c r="CS74" i="1" s="1"/>
  <c r="CU74" i="1" s="1"/>
  <c r="CS75" i="1" a="1"/>
  <c r="CS75" i="1" s="1"/>
  <c r="CU75" i="1" s="1"/>
  <c r="CS76" i="1" a="1"/>
  <c r="CS76" i="1" s="1"/>
  <c r="CU76" i="1" s="1"/>
  <c r="CS77" i="1" a="1"/>
  <c r="CS77" i="1" s="1"/>
  <c r="CU77" i="1" s="1"/>
  <c r="CS78" i="1" a="1"/>
  <c r="CS78" i="1" s="1"/>
  <c r="CU78" i="1" s="1"/>
  <c r="CS79" i="1" a="1"/>
  <c r="CS79" i="1" s="1"/>
  <c r="CU79" i="1" s="1"/>
  <c r="CS83" i="1" a="1"/>
  <c r="CS83" i="1" s="1"/>
  <c r="CU83" i="1" s="1"/>
  <c r="CS89" i="1" a="1"/>
  <c r="CS89" i="1" s="1"/>
  <c r="CS80" i="1" a="1"/>
  <c r="CS80" i="1" s="1"/>
  <c r="CU80" i="1" s="1"/>
  <c r="CS90" i="1" a="1"/>
  <c r="CS90" i="1" s="1"/>
  <c r="CU90" i="1" s="1"/>
  <c r="CS91" i="1" a="1"/>
  <c r="CS91" i="1" s="1"/>
  <c r="CU91" i="1" s="1"/>
  <c r="CS84" i="1" a="1"/>
  <c r="CS84" i="1" s="1"/>
  <c r="CU84" i="1" s="1"/>
  <c r="CS85" i="1" a="1"/>
  <c r="CS85" i="1" s="1"/>
  <c r="CU85" i="1" s="1"/>
  <c r="CS81" i="1" a="1"/>
  <c r="CS81" i="1" s="1"/>
  <c r="CU81" i="1" s="1"/>
  <c r="CS86" i="1" a="1"/>
  <c r="CS86" i="1" s="1"/>
  <c r="CU86" i="1" s="1"/>
  <c r="CS82" i="1" a="1"/>
  <c r="CS82" i="1" s="1"/>
  <c r="CU82" i="1" s="1"/>
  <c r="CS88" i="1" a="1"/>
  <c r="CS88" i="1" s="1"/>
  <c r="CU88" i="1" s="1"/>
  <c r="CS101" i="1" a="1"/>
  <c r="CS101" i="1" s="1"/>
  <c r="CU101" i="1" s="1"/>
  <c r="CS94" i="1" a="1"/>
  <c r="CS94" i="1" s="1"/>
  <c r="CU94" i="1" s="1"/>
  <c r="CS95" i="1" a="1"/>
  <c r="CS95" i="1" s="1"/>
  <c r="CU95" i="1" s="1"/>
  <c r="CS92" i="1" a="1"/>
  <c r="CS92" i="1" s="1"/>
  <c r="CU92" i="1" s="1"/>
  <c r="CS93" i="1" a="1"/>
  <c r="CS93" i="1" s="1"/>
  <c r="CU93" i="1" s="1"/>
  <c r="CS97" i="1" a="1"/>
  <c r="CS97" i="1" s="1"/>
  <c r="CU97" i="1" s="1"/>
  <c r="CS98" i="1" a="1"/>
  <c r="CS98" i="1" s="1"/>
  <c r="CU98" i="1" s="1"/>
  <c r="CS99" i="1" a="1"/>
  <c r="CS99" i="1" s="1"/>
  <c r="CU99" i="1" s="1"/>
  <c r="CS100" i="1" a="1"/>
  <c r="CS100" i="1" s="1"/>
  <c r="CU100" i="1" s="1"/>
  <c r="CS104" i="1" a="1"/>
  <c r="CS104" i="1" s="1"/>
  <c r="CU104" i="1" s="1"/>
  <c r="CS112" i="1" a="1"/>
  <c r="CS112" i="1" s="1"/>
  <c r="CU112" i="1" s="1"/>
  <c r="CS105" i="1" a="1"/>
  <c r="CS105" i="1" s="1"/>
  <c r="CU105" i="1" s="1"/>
  <c r="CS113" i="1" a="1"/>
  <c r="CS113" i="1" s="1"/>
  <c r="CU113" i="1" s="1"/>
  <c r="CS106" i="1" a="1"/>
  <c r="CS106" i="1" s="1"/>
  <c r="CU106" i="1" s="1"/>
  <c r="CS107" i="1" a="1"/>
  <c r="CS107" i="1" s="1"/>
  <c r="CU107" i="1" s="1"/>
  <c r="CS115" i="1" a="1"/>
  <c r="CS115" i="1" s="1"/>
  <c r="CU115" i="1" s="1"/>
  <c r="CS108" i="1" a="1"/>
  <c r="CS108" i="1" s="1"/>
  <c r="CU108" i="1" s="1"/>
  <c r="CS116" i="1" a="1"/>
  <c r="CS116" i="1" s="1"/>
  <c r="CU116" i="1" s="1"/>
  <c r="CS109" i="1" a="1"/>
  <c r="CS109" i="1" s="1"/>
  <c r="CU109" i="1" s="1"/>
  <c r="CS117" i="1" a="1"/>
  <c r="CS117" i="1" s="1"/>
  <c r="CU117" i="1" s="1"/>
  <c r="CS102" i="1" a="1"/>
  <c r="CS102" i="1" s="1"/>
  <c r="CU102" i="1" s="1"/>
  <c r="CS110" i="1" a="1"/>
  <c r="CS110" i="1" s="1"/>
  <c r="CU110" i="1" s="1"/>
  <c r="CS118" i="1" a="1"/>
  <c r="CS118" i="1" s="1"/>
  <c r="CU118" i="1" s="1"/>
  <c r="CS103" i="1" a="1"/>
  <c r="CS103" i="1" s="1"/>
  <c r="CU103" i="1" s="1"/>
  <c r="CS111" i="1" a="1"/>
  <c r="CS111" i="1" s="1"/>
  <c r="CU111" i="1" s="1"/>
  <c r="CS127" i="1" a="1"/>
  <c r="CS127" i="1" s="1"/>
  <c r="CU127" i="1" s="1"/>
  <c r="CS135" i="1" a="1"/>
  <c r="CS135" i="1" s="1"/>
  <c r="CU135" i="1" s="1"/>
  <c r="CS120" i="1" a="1"/>
  <c r="CS120" i="1" s="1"/>
  <c r="CU120" i="1" s="1"/>
  <c r="CS128" i="1" a="1"/>
  <c r="CS128" i="1" s="1"/>
  <c r="CU128" i="1" s="1"/>
  <c r="CS121" i="1" a="1"/>
  <c r="CS121" i="1" s="1"/>
  <c r="CU121" i="1" s="1"/>
  <c r="CS122" i="1" a="1"/>
  <c r="CS122" i="1" s="1"/>
  <c r="CU122" i="1" s="1"/>
  <c r="CS130" i="1" a="1"/>
  <c r="CS130" i="1" s="1"/>
  <c r="CU130" i="1" s="1"/>
  <c r="CS123" i="1" a="1"/>
  <c r="CS123" i="1" s="1"/>
  <c r="CU123" i="1" s="1"/>
  <c r="CS119" i="1" a="1"/>
  <c r="CS119" i="1" s="1"/>
  <c r="CU119" i="1" s="1"/>
  <c r="CS125" i="1" a="1"/>
  <c r="CS125" i="1" s="1"/>
  <c r="CU125" i="1" s="1"/>
  <c r="CS133" i="1" a="1"/>
  <c r="CS133" i="1" s="1"/>
  <c r="CU133" i="1" s="1"/>
  <c r="CS137" i="1" a="1"/>
  <c r="CS137" i="1" s="1"/>
  <c r="CU137" i="1" s="1"/>
  <c r="CS139" i="1" a="1"/>
  <c r="CS139" i="1" s="1"/>
  <c r="CU139" i="1" s="1"/>
  <c r="CS140" i="1" a="1"/>
  <c r="CS140" i="1" s="1"/>
  <c r="CU140" i="1" s="1"/>
  <c r="CS141" i="1" a="1"/>
  <c r="CS141" i="1" s="1"/>
  <c r="CU141" i="1" s="1"/>
  <c r="EA183" i="1"/>
  <c r="DI183" i="1"/>
  <c r="BB41" i="1"/>
  <c r="BA183" i="1"/>
  <c r="BB183" i="1" s="1"/>
  <c r="CC41" i="1"/>
  <c r="CB183" i="1"/>
  <c r="CC183" i="1" s="1"/>
  <c r="CR32" i="1"/>
  <c r="CP163" i="1"/>
  <c r="CR163" i="1" s="1"/>
  <c r="CP209" i="1"/>
  <c r="CR209" i="1" s="1"/>
  <c r="CR14" i="1"/>
  <c r="CF37" i="1" l="1"/>
  <c r="BE37" i="1"/>
  <c r="CS158" i="1"/>
  <c r="CU158" i="1" s="1"/>
  <c r="CU29" i="1"/>
  <c r="CS156" i="1"/>
  <c r="CU156" i="1" s="1"/>
  <c r="CU27" i="1"/>
  <c r="CS208" i="1"/>
  <c r="CU208" i="1" s="1"/>
  <c r="CU18" i="1"/>
  <c r="CU13" i="1"/>
  <c r="CS205" i="1"/>
  <c r="CU205" i="1" s="1"/>
  <c r="CS160" i="1"/>
  <c r="CU160" i="1" s="1"/>
  <c r="CU30" i="1"/>
  <c r="CS204" i="1"/>
  <c r="CU204" i="1" s="1"/>
  <c r="CU12" i="1"/>
  <c r="BZ37" i="1"/>
  <c r="CS185" i="1"/>
  <c r="CU185" i="1" s="1"/>
  <c r="CU42" i="1"/>
  <c r="CS180" i="1"/>
  <c r="CU180" i="1" s="1"/>
  <c r="CU40" i="1"/>
  <c r="CS165" i="1"/>
  <c r="CU165" i="1" s="1"/>
  <c r="CU33" i="1"/>
  <c r="BW37" i="1"/>
  <c r="BH37" i="1"/>
  <c r="BT37" i="1"/>
  <c r="CS179" i="1"/>
  <c r="CU179" i="1" s="1"/>
  <c r="CU39" i="1"/>
  <c r="CS163" i="1"/>
  <c r="CU163" i="1" s="1"/>
  <c r="CU32" i="1"/>
  <c r="CY4" i="1"/>
  <c r="CV6" i="1" a="1"/>
  <c r="CV6" i="1" s="1"/>
  <c r="CX6" i="1" s="1"/>
  <c r="CV8" i="1" a="1"/>
  <c r="CV8" i="1" s="1"/>
  <c r="CX8" i="1" s="1"/>
  <c r="CV9" i="1" a="1"/>
  <c r="CV9" i="1" s="1"/>
  <c r="CX9" i="1" s="1"/>
  <c r="CV10" i="1" a="1"/>
  <c r="CV10" i="1" s="1"/>
  <c r="CX10" i="1" s="1"/>
  <c r="CV11" i="1" a="1"/>
  <c r="CV11" i="1" s="1"/>
  <c r="CX11" i="1" s="1"/>
  <c r="CV15" i="1" a="1"/>
  <c r="CV15" i="1" s="1"/>
  <c r="CX15" i="1" s="1"/>
  <c r="CV12" i="1" a="1"/>
  <c r="CV12" i="1" s="1"/>
  <c r="CV13" i="1" a="1"/>
  <c r="CV13" i="1" s="1"/>
  <c r="CV14" i="1" a="1"/>
  <c r="CV14" i="1" s="1"/>
  <c r="CV17" i="1" a="1"/>
  <c r="CV17" i="1" s="1"/>
  <c r="CX17" i="1" s="1"/>
  <c r="CV20" i="1" a="1"/>
  <c r="CV20" i="1" s="1"/>
  <c r="CV21" i="1" a="1"/>
  <c r="CV21" i="1" s="1"/>
  <c r="CV18" i="1" a="1"/>
  <c r="CV18" i="1" s="1"/>
  <c r="CV19" i="1" a="1"/>
  <c r="CV19" i="1" s="1"/>
  <c r="CV22" i="1" a="1"/>
  <c r="CV22" i="1" s="1"/>
  <c r="CX22" i="1" s="1"/>
  <c r="CV23" i="1" a="1"/>
  <c r="CV23" i="1" s="1"/>
  <c r="CX23" i="1" s="1"/>
  <c r="CV25" i="1" a="1"/>
  <c r="CV25" i="1" s="1"/>
  <c r="CX25" i="1" s="1"/>
  <c r="CV28" i="1" a="1"/>
  <c r="CV28" i="1" s="1"/>
  <c r="CV27" i="1" a="1"/>
  <c r="CV27" i="1" s="1"/>
  <c r="CV29" i="1" a="1"/>
  <c r="CV29" i="1" s="1"/>
  <c r="CV30" i="1" a="1"/>
  <c r="CV30" i="1" s="1"/>
  <c r="CV31" i="1" a="1"/>
  <c r="CV31" i="1" s="1"/>
  <c r="CV32" i="1" a="1"/>
  <c r="CV32" i="1" s="1"/>
  <c r="CV33" i="1" a="1"/>
  <c r="CV33" i="1" s="1"/>
  <c r="CV34" i="1" a="1"/>
  <c r="CV34" i="1" s="1"/>
  <c r="CV36" i="1" a="1"/>
  <c r="CV36" i="1" s="1"/>
  <c r="CV37" i="1" a="1"/>
  <c r="CV37" i="1" s="1"/>
  <c r="CV176" i="1" s="1"/>
  <c r="CX176" i="1" s="1"/>
  <c r="CV38" i="1" a="1"/>
  <c r="CV38" i="1" s="1"/>
  <c r="CV39" i="1" a="1"/>
  <c r="CV39" i="1" s="1"/>
  <c r="CV40" i="1" a="1"/>
  <c r="CV40" i="1" s="1"/>
  <c r="CV41" i="1" a="1"/>
  <c r="CV41" i="1" s="1"/>
  <c r="CV44" i="1" a="1"/>
  <c r="CV44" i="1" s="1"/>
  <c r="CV42" i="1" a="1"/>
  <c r="CV42" i="1" s="1"/>
  <c r="CV45" i="1" a="1"/>
  <c r="CV45" i="1" s="1"/>
  <c r="CX45" i="1" s="1"/>
  <c r="CV43" i="1" a="1"/>
  <c r="CV43" i="1" s="1"/>
  <c r="CV47" i="1" a="1"/>
  <c r="CV47" i="1" s="1"/>
  <c r="CX47" i="1" s="1"/>
  <c r="CV48" i="1" a="1"/>
  <c r="CV48" i="1" s="1"/>
  <c r="CX48" i="1" s="1"/>
  <c r="CV51" i="1" a="1"/>
  <c r="CV51" i="1" s="1"/>
  <c r="CV55" i="1" a="1"/>
  <c r="CV55" i="1" s="1"/>
  <c r="CX55" i="1" s="1"/>
  <c r="CV50" i="1" a="1"/>
  <c r="CV50" i="1" s="1"/>
  <c r="CX50" i="1" s="1"/>
  <c r="CV52" i="1" a="1"/>
  <c r="CV52" i="1" s="1"/>
  <c r="CX52" i="1" s="1"/>
  <c r="CV46" i="1" a="1"/>
  <c r="CV46" i="1" s="1"/>
  <c r="CX46" i="1" s="1"/>
  <c r="CV49" i="1" a="1"/>
  <c r="CV49" i="1" s="1"/>
  <c r="CX49" i="1" s="1"/>
  <c r="CV54" i="1" a="1"/>
  <c r="CV54" i="1" s="1"/>
  <c r="CX54" i="1" s="1"/>
  <c r="CV56" i="1" a="1"/>
  <c r="CV56" i="1" s="1"/>
  <c r="CX56" i="1" s="1"/>
  <c r="CV58" i="1" a="1"/>
  <c r="CV58" i="1" s="1"/>
  <c r="CX58" i="1" s="1"/>
  <c r="CV60" i="1" a="1"/>
  <c r="CV60" i="1" s="1"/>
  <c r="CX60" i="1" s="1"/>
  <c r="CV61" i="1" a="1"/>
  <c r="CV61" i="1" s="1"/>
  <c r="CX61" i="1" s="1"/>
  <c r="CV62" i="1" a="1"/>
  <c r="CV62" i="1" s="1"/>
  <c r="CX62" i="1" s="1"/>
  <c r="CV71" i="1" a="1"/>
  <c r="CV71" i="1" s="1"/>
  <c r="CX71" i="1" s="1"/>
  <c r="CV72" i="1" a="1"/>
  <c r="CV72" i="1" s="1"/>
  <c r="CX72" i="1" s="1"/>
  <c r="CV73" i="1" a="1"/>
  <c r="CV73" i="1" s="1"/>
  <c r="CX73" i="1" s="1"/>
  <c r="CV69" i="1" a="1"/>
  <c r="CV69" i="1" s="1"/>
  <c r="CX69" i="1" s="1"/>
  <c r="CV70" i="1" a="1"/>
  <c r="CV70" i="1" s="1"/>
  <c r="CX70" i="1" s="1"/>
  <c r="CV68" i="1" a="1"/>
  <c r="CV68" i="1" s="1"/>
  <c r="CX68" i="1" s="1"/>
  <c r="CV66" i="1"/>
  <c r="CV74" i="1" a="1"/>
  <c r="CV74" i="1" s="1"/>
  <c r="CX74" i="1" s="1"/>
  <c r="CV75" i="1" a="1"/>
  <c r="CV75" i="1" s="1"/>
  <c r="CX75" i="1" s="1"/>
  <c r="CV76" i="1" a="1"/>
  <c r="CV76" i="1" s="1"/>
  <c r="CX76" i="1" s="1"/>
  <c r="CV77" i="1" a="1"/>
  <c r="CV77" i="1" s="1"/>
  <c r="CX77" i="1" s="1"/>
  <c r="CV84" i="1" a="1"/>
  <c r="CV84" i="1" s="1"/>
  <c r="CX84" i="1" s="1"/>
  <c r="CV92" i="1" a="1"/>
  <c r="CV92" i="1" s="1"/>
  <c r="CX92" i="1" s="1"/>
  <c r="CV79" i="1" a="1"/>
  <c r="CV79" i="1" s="1"/>
  <c r="CX79" i="1" s="1"/>
  <c r="CV85" i="1" a="1"/>
  <c r="CV85" i="1" s="1"/>
  <c r="CX85" i="1" s="1"/>
  <c r="CV93" i="1" a="1"/>
  <c r="CV93" i="1" s="1"/>
  <c r="CX93" i="1" s="1"/>
  <c r="CV81" i="1" a="1"/>
  <c r="CV81" i="1" s="1"/>
  <c r="CX81" i="1" s="1"/>
  <c r="CV86" i="1" a="1"/>
  <c r="CV86" i="1" s="1"/>
  <c r="CX86" i="1" s="1"/>
  <c r="CV82" i="1" a="1"/>
  <c r="CV82" i="1" s="1"/>
  <c r="CX82" i="1" s="1"/>
  <c r="CV80" i="1" a="1"/>
  <c r="CV80" i="1" s="1"/>
  <c r="CX80" i="1" s="1"/>
  <c r="CV83" i="1" a="1"/>
  <c r="CV83" i="1" s="1"/>
  <c r="CX83" i="1" s="1"/>
  <c r="CV88" i="1" a="1"/>
  <c r="CV88" i="1" s="1"/>
  <c r="CX88" i="1" s="1"/>
  <c r="CV78" i="1" a="1"/>
  <c r="CV78" i="1" s="1"/>
  <c r="CX78" i="1" s="1"/>
  <c r="CV89" i="1" a="1"/>
  <c r="CV89" i="1" s="1"/>
  <c r="CV90" i="1" a="1"/>
  <c r="CV90" i="1" s="1"/>
  <c r="CX90" i="1" s="1"/>
  <c r="CV97" i="1" a="1"/>
  <c r="CV97" i="1" s="1"/>
  <c r="CX97" i="1" s="1"/>
  <c r="CV98" i="1" a="1"/>
  <c r="CV98" i="1" s="1"/>
  <c r="CX98" i="1" s="1"/>
  <c r="CV91" i="1" a="1"/>
  <c r="CV91" i="1" s="1"/>
  <c r="CX91" i="1" s="1"/>
  <c r="CV99" i="1" a="1"/>
  <c r="CV99" i="1" s="1"/>
  <c r="CX99" i="1" s="1"/>
  <c r="CV100" i="1" a="1"/>
  <c r="CV100" i="1" s="1"/>
  <c r="CX100" i="1" s="1"/>
  <c r="CV101" i="1" a="1"/>
  <c r="CV101" i="1" s="1"/>
  <c r="CX101" i="1" s="1"/>
  <c r="CV94" i="1" a="1"/>
  <c r="CV94" i="1" s="1"/>
  <c r="CX94" i="1" s="1"/>
  <c r="CV95" i="1" a="1"/>
  <c r="CV95" i="1" s="1"/>
  <c r="CX95" i="1" s="1"/>
  <c r="CV107" i="1" a="1"/>
  <c r="CV107" i="1" s="1"/>
  <c r="CX107" i="1" s="1"/>
  <c r="CV115" i="1" a="1"/>
  <c r="CV115" i="1" s="1"/>
  <c r="CX115" i="1" s="1"/>
  <c r="CV108" i="1" a="1"/>
  <c r="CV108" i="1" s="1"/>
  <c r="CX108" i="1" s="1"/>
  <c r="CV116" i="1" a="1"/>
  <c r="CV116" i="1" s="1"/>
  <c r="CX116" i="1" s="1"/>
  <c r="CV109" i="1" a="1"/>
  <c r="CV109" i="1" s="1"/>
  <c r="CX109" i="1" s="1"/>
  <c r="CV117" i="1" a="1"/>
  <c r="CV117" i="1" s="1"/>
  <c r="CX117" i="1" s="1"/>
  <c r="CV102" i="1" a="1"/>
  <c r="CV102" i="1" s="1"/>
  <c r="CX102" i="1" s="1"/>
  <c r="CV110" i="1" a="1"/>
  <c r="CV110" i="1" s="1"/>
  <c r="CX110" i="1" s="1"/>
  <c r="CV118" i="1" a="1"/>
  <c r="CV118" i="1" s="1"/>
  <c r="CX118" i="1" s="1"/>
  <c r="CV103" i="1" a="1"/>
  <c r="CV103" i="1" s="1"/>
  <c r="CX103" i="1" s="1"/>
  <c r="CV111" i="1" a="1"/>
  <c r="CV111" i="1" s="1"/>
  <c r="CX111" i="1" s="1"/>
  <c r="CV119" i="1" a="1"/>
  <c r="CV119" i="1" s="1"/>
  <c r="CX119" i="1" s="1"/>
  <c r="CV104" i="1" a="1"/>
  <c r="CV104" i="1" s="1"/>
  <c r="CX104" i="1" s="1"/>
  <c r="CV112" i="1" a="1"/>
  <c r="CV112" i="1" s="1"/>
  <c r="CX112" i="1" s="1"/>
  <c r="CV105" i="1" a="1"/>
  <c r="CV105" i="1" s="1"/>
  <c r="CX105" i="1" s="1"/>
  <c r="CV113" i="1" a="1"/>
  <c r="CV113" i="1" s="1"/>
  <c r="CX113" i="1" s="1"/>
  <c r="CV106" i="1" a="1"/>
  <c r="CV106" i="1" s="1"/>
  <c r="CX106" i="1" s="1"/>
  <c r="CV121" i="1" a="1"/>
  <c r="CV121" i="1" s="1"/>
  <c r="CX121" i="1" s="1"/>
  <c r="CV122" i="1" a="1"/>
  <c r="CV122" i="1" s="1"/>
  <c r="CX122" i="1" s="1"/>
  <c r="CV130" i="1" a="1"/>
  <c r="CV130" i="1" s="1"/>
  <c r="CX130" i="1" s="1"/>
  <c r="CV123" i="1" a="1"/>
  <c r="CV123" i="1" s="1"/>
  <c r="CX123" i="1" s="1"/>
  <c r="CV125" i="1" a="1"/>
  <c r="CV125" i="1" s="1"/>
  <c r="CX125" i="1" s="1"/>
  <c r="CV133" i="1" a="1"/>
  <c r="CV133" i="1" s="1"/>
  <c r="CX133" i="1" s="1"/>
  <c r="CV127" i="1" a="1"/>
  <c r="CV127" i="1" s="1"/>
  <c r="CX127" i="1" s="1"/>
  <c r="CV135" i="1" a="1"/>
  <c r="CV135" i="1" s="1"/>
  <c r="CX135" i="1" s="1"/>
  <c r="CV120" i="1" a="1"/>
  <c r="CV120" i="1" s="1"/>
  <c r="CX120" i="1" s="1"/>
  <c r="CV128" i="1" a="1"/>
  <c r="CV128" i="1" s="1"/>
  <c r="CX128" i="1" s="1"/>
  <c r="CV137" i="1" a="1"/>
  <c r="CV137" i="1" s="1"/>
  <c r="CX137" i="1" s="1"/>
  <c r="CV139" i="1" a="1"/>
  <c r="CV139" i="1" s="1"/>
  <c r="CX139" i="1" s="1"/>
  <c r="CV140" i="1" a="1"/>
  <c r="CV140" i="1" s="1"/>
  <c r="CX140" i="1" s="1"/>
  <c r="CV141" i="1" a="1"/>
  <c r="CV141" i="1" s="1"/>
  <c r="CX141" i="1" s="1"/>
  <c r="BN37" i="1"/>
  <c r="CS178" i="1"/>
  <c r="CU178" i="1" s="1"/>
  <c r="CU38" i="1"/>
  <c r="CS161" i="1"/>
  <c r="CU161" i="1" s="1"/>
  <c r="CU31" i="1"/>
  <c r="CU37" i="1"/>
  <c r="CX37" i="1"/>
  <c r="CU44" i="1"/>
  <c r="CS191" i="1"/>
  <c r="CU191" i="1" s="1"/>
  <c r="CS166" i="1"/>
  <c r="CU166" i="1" s="1"/>
  <c r="CU34" i="1"/>
  <c r="CU20" i="1"/>
  <c r="CS211" i="1"/>
  <c r="CU211" i="1" s="1"/>
  <c r="CU21" i="1"/>
  <c r="CS206" i="1"/>
  <c r="CU206" i="1" s="1"/>
  <c r="CU183" i="1"/>
  <c r="CI37" i="1"/>
  <c r="CR37" i="1"/>
  <c r="AW89" i="1" a="1"/>
  <c r="AW89" i="1" s="1"/>
  <c r="BP89" i="1" a="1"/>
  <c r="BP89" i="1" s="1"/>
  <c r="CN89" i="1" a="1"/>
  <c r="CN89" i="1" s="1"/>
  <c r="DL89" i="1" a="1"/>
  <c r="DL89" i="1" s="1"/>
  <c r="EJ89" i="1" a="1"/>
  <c r="EJ89" i="1" s="1"/>
  <c r="BG89" i="1" a="1"/>
  <c r="BG89" i="1" s="1"/>
  <c r="CE89" i="1" a="1"/>
  <c r="CE89" i="1" s="1"/>
  <c r="DC89" i="1" a="1"/>
  <c r="DC89" i="1" s="1"/>
  <c r="EA89" i="1" a="1"/>
  <c r="EA89" i="1" s="1"/>
  <c r="AX89" i="1" a="1"/>
  <c r="AX89" i="1" s="1"/>
  <c r="AY89" i="1" s="1"/>
  <c r="BV89" i="1" a="1"/>
  <c r="BV89" i="1" s="1"/>
  <c r="CT89" i="1" a="1"/>
  <c r="CT89" i="1" s="1"/>
  <c r="CU89" i="1" s="1"/>
  <c r="DR89" i="1" a="1"/>
  <c r="DR89" i="1" s="1"/>
  <c r="BM89" i="1" a="1"/>
  <c r="BM89" i="1" s="1"/>
  <c r="CK89" i="1" a="1"/>
  <c r="CK89" i="1" s="1"/>
  <c r="DI89" i="1" a="1"/>
  <c r="DI89" i="1" s="1"/>
  <c r="EG89" i="1" a="1"/>
  <c r="EG89" i="1" s="1"/>
  <c r="BD89" i="1" a="1"/>
  <c r="BD89" i="1" s="1"/>
  <c r="CB89" i="1" a="1"/>
  <c r="CB89" i="1" s="1"/>
  <c r="CZ89" i="1" a="1"/>
  <c r="CZ89" i="1" s="1"/>
  <c r="DX89" i="1" a="1"/>
  <c r="DX89" i="1" s="1"/>
  <c r="BS89" i="1" a="1"/>
  <c r="BS89" i="1" s="1"/>
  <c r="CQ89" i="1" a="1"/>
  <c r="CQ89" i="1" s="1"/>
  <c r="DO89" i="1" a="1"/>
  <c r="DO89" i="1" s="1"/>
  <c r="BJ89" i="1" a="1"/>
  <c r="BJ89" i="1" s="1"/>
  <c r="CH89" i="1" a="1"/>
  <c r="CH89" i="1" s="1"/>
  <c r="DF89" i="1" a="1"/>
  <c r="DF89" i="1" s="1"/>
  <c r="ED89" i="1" a="1"/>
  <c r="ED89" i="1" s="1"/>
  <c r="BA89" i="1" a="1"/>
  <c r="BA89" i="1" s="1"/>
  <c r="BB89" i="1" s="1"/>
  <c r="BY89" i="1" a="1"/>
  <c r="BY89" i="1" s="1"/>
  <c r="BZ89" i="1" s="1"/>
  <c r="CW89" i="1" a="1"/>
  <c r="CW89" i="1" s="1"/>
  <c r="CX89" i="1" s="1"/>
  <c r="DU89" i="1" a="1"/>
  <c r="DU89" i="1" s="1"/>
  <c r="AZ89" i="1" a="1"/>
  <c r="AZ89" i="1" s="1"/>
  <c r="BC89" i="1" a="1"/>
  <c r="BC89" i="1" s="1"/>
  <c r="BF89" i="1" a="1"/>
  <c r="BF89" i="1" s="1"/>
  <c r="BI89" i="1" a="1"/>
  <c r="BI89" i="1" s="1"/>
  <c r="BL89" i="1" a="1"/>
  <c r="BL89" i="1" s="1"/>
  <c r="BO89" i="1" a="1"/>
  <c r="BO89" i="1" s="1"/>
  <c r="BR89" i="1" a="1"/>
  <c r="BR89" i="1" s="1"/>
  <c r="BU89" i="1" a="1"/>
  <c r="BU89" i="1" s="1"/>
  <c r="BX89" i="1" a="1"/>
  <c r="BX89" i="1" s="1"/>
  <c r="CA89" i="1" a="1"/>
  <c r="CA89" i="1" s="1"/>
  <c r="CD89" i="1" a="1"/>
  <c r="CD89" i="1" s="1"/>
  <c r="CG89" i="1" a="1"/>
  <c r="CG89" i="1" s="1"/>
  <c r="CJ89" i="1" a="1"/>
  <c r="CJ89" i="1" s="1"/>
  <c r="CM89" i="1" a="1"/>
  <c r="CM89" i="1" s="1"/>
  <c r="CP89" i="1" a="1"/>
  <c r="CP89" i="1" s="1"/>
  <c r="CS172" i="1"/>
  <c r="CU172" i="1" s="1"/>
  <c r="CU36" i="1"/>
  <c r="CU14" i="1"/>
  <c r="CS209" i="1"/>
  <c r="CU209" i="1" s="1"/>
  <c r="CU41" i="1"/>
  <c r="CL37" i="1"/>
  <c r="CS190" i="1"/>
  <c r="CU190" i="1" s="1"/>
  <c r="CU51" i="1"/>
  <c r="CS188" i="1"/>
  <c r="CU188" i="1" s="1"/>
  <c r="CU43" i="1"/>
  <c r="CU28" i="1"/>
  <c r="CS157" i="1"/>
  <c r="CU157" i="1" s="1"/>
  <c r="CS210" i="1"/>
  <c r="CU210" i="1" s="1"/>
  <c r="CU19" i="1"/>
  <c r="CV188" i="1" l="1"/>
  <c r="CX188" i="1" s="1"/>
  <c r="CX43" i="1"/>
  <c r="CV158" i="1"/>
  <c r="CX158" i="1" s="1"/>
  <c r="CX29" i="1"/>
  <c r="CV210" i="1"/>
  <c r="CX210" i="1" s="1"/>
  <c r="CX19" i="1"/>
  <c r="CV204" i="1"/>
  <c r="CX204" i="1" s="1"/>
  <c r="CX12" i="1"/>
  <c r="DB4" i="1"/>
  <c r="CY8" i="1" a="1"/>
  <c r="CY8" i="1" s="1"/>
  <c r="DA8" i="1" s="1"/>
  <c r="CY9" i="1" a="1"/>
  <c r="CY9" i="1" s="1"/>
  <c r="DA9" i="1" s="1"/>
  <c r="CY6" i="1" a="1"/>
  <c r="CY6" i="1" s="1"/>
  <c r="DA6" i="1" s="1"/>
  <c r="CY11" i="1" a="1"/>
  <c r="CY11" i="1" s="1"/>
  <c r="DA11" i="1" s="1"/>
  <c r="CY12" i="1" a="1"/>
  <c r="CY12" i="1" s="1"/>
  <c r="CY13" i="1" a="1"/>
  <c r="CY13" i="1" s="1"/>
  <c r="CY10" i="1" a="1"/>
  <c r="CY10" i="1" s="1"/>
  <c r="DA10" i="1" s="1"/>
  <c r="CY14" i="1" a="1"/>
  <c r="CY14" i="1" s="1"/>
  <c r="CY17" i="1" a="1"/>
  <c r="CY17" i="1" s="1"/>
  <c r="DA17" i="1" s="1"/>
  <c r="CY15" i="1" a="1"/>
  <c r="CY15" i="1" s="1"/>
  <c r="DA15" i="1" s="1"/>
  <c r="CY18" i="1" a="1"/>
  <c r="CY18" i="1" s="1"/>
  <c r="CY19" i="1" a="1"/>
  <c r="CY19" i="1" s="1"/>
  <c r="CY20" i="1" a="1"/>
  <c r="CY20" i="1" s="1"/>
  <c r="CY21" i="1" a="1"/>
  <c r="CY21" i="1" s="1"/>
  <c r="CY22" i="1" a="1"/>
  <c r="CY22" i="1" s="1"/>
  <c r="DA22" i="1" s="1"/>
  <c r="CY23" i="1" a="1"/>
  <c r="CY23" i="1" s="1"/>
  <c r="DA23" i="1" s="1"/>
  <c r="CY25" i="1" a="1"/>
  <c r="CY25" i="1" s="1"/>
  <c r="DA25" i="1" s="1"/>
  <c r="CY27" i="1" a="1"/>
  <c r="CY27" i="1" s="1"/>
  <c r="CY29" i="1" a="1"/>
  <c r="CY29" i="1" s="1"/>
  <c r="CY30" i="1" a="1"/>
  <c r="CY30" i="1" s="1"/>
  <c r="CY31" i="1" a="1"/>
  <c r="CY31" i="1" s="1"/>
  <c r="CY32" i="1" a="1"/>
  <c r="CY32" i="1" s="1"/>
  <c r="CY33" i="1" a="1"/>
  <c r="CY33" i="1" s="1"/>
  <c r="CY28" i="1" a="1"/>
  <c r="CY28" i="1" s="1"/>
  <c r="CY37" i="1" a="1"/>
  <c r="CY37" i="1" s="1"/>
  <c r="CY38" i="1" a="1"/>
  <c r="CY38" i="1" s="1"/>
  <c r="CY39" i="1" a="1"/>
  <c r="CY39" i="1" s="1"/>
  <c r="CY40" i="1" a="1"/>
  <c r="CY40" i="1" s="1"/>
  <c r="CY41" i="1" a="1"/>
  <c r="CY41" i="1" s="1"/>
  <c r="CY42" i="1" a="1"/>
  <c r="CY42" i="1" s="1"/>
  <c r="CY34" i="1" a="1"/>
  <c r="CY34" i="1" s="1"/>
  <c r="CY45" i="1" a="1"/>
  <c r="CY45" i="1" s="1"/>
  <c r="DA45" i="1" s="1"/>
  <c r="CY36" i="1" a="1"/>
  <c r="CY36" i="1" s="1"/>
  <c r="CY46" i="1" a="1"/>
  <c r="CY46" i="1" s="1"/>
  <c r="DA46" i="1" s="1"/>
  <c r="CY43" i="1" a="1"/>
  <c r="CY43" i="1" s="1"/>
  <c r="CY47" i="1" a="1"/>
  <c r="CY47" i="1" s="1"/>
  <c r="DA47" i="1" s="1"/>
  <c r="CY44" i="1" a="1"/>
  <c r="CY44" i="1" s="1"/>
  <c r="CY48" i="1" a="1"/>
  <c r="CY48" i="1" s="1"/>
  <c r="DA48" i="1" s="1"/>
  <c r="CY49" i="1" a="1"/>
  <c r="CY49" i="1" s="1"/>
  <c r="DA49" i="1" s="1"/>
  <c r="CY54" i="1" a="1"/>
  <c r="CY54" i="1" s="1"/>
  <c r="DA54" i="1" s="1"/>
  <c r="CY51" i="1" a="1"/>
  <c r="CY51" i="1" s="1"/>
  <c r="CY55" i="1" a="1"/>
  <c r="CY55" i="1" s="1"/>
  <c r="DA55" i="1" s="1"/>
  <c r="CY52" i="1" a="1"/>
  <c r="CY52" i="1" s="1"/>
  <c r="DA52" i="1" s="1"/>
  <c r="CY56" i="1" a="1"/>
  <c r="CY56" i="1" s="1"/>
  <c r="DA56" i="1" s="1"/>
  <c r="CY66" i="1"/>
  <c r="CY58" i="1" a="1"/>
  <c r="CY58" i="1" s="1"/>
  <c r="DA58" i="1" s="1"/>
  <c r="CY60" i="1" a="1"/>
  <c r="CY60" i="1" s="1"/>
  <c r="DA60" i="1" s="1"/>
  <c r="CY61" i="1" a="1"/>
  <c r="CY61" i="1" s="1"/>
  <c r="DA61" i="1" s="1"/>
  <c r="CY62" i="1" a="1"/>
  <c r="CY62" i="1" s="1"/>
  <c r="DA62" i="1" s="1"/>
  <c r="CY50" i="1" a="1"/>
  <c r="CY50" i="1" s="1"/>
  <c r="DA50" i="1" s="1"/>
  <c r="CY71" i="1" a="1"/>
  <c r="CY71" i="1" s="1"/>
  <c r="DA71" i="1" s="1"/>
  <c r="CY72" i="1" a="1"/>
  <c r="CY72" i="1" s="1"/>
  <c r="DA72" i="1" s="1"/>
  <c r="CY73" i="1" a="1"/>
  <c r="CY73" i="1" s="1"/>
  <c r="DA73" i="1" s="1"/>
  <c r="CY74" i="1" a="1"/>
  <c r="CY74" i="1" s="1"/>
  <c r="DA74" i="1" s="1"/>
  <c r="CY68" i="1" a="1"/>
  <c r="CY68" i="1" s="1"/>
  <c r="DA68" i="1" s="1"/>
  <c r="CY69" i="1" a="1"/>
  <c r="CY69" i="1" s="1"/>
  <c r="DA69" i="1" s="1"/>
  <c r="CY70" i="1" a="1"/>
  <c r="CY70" i="1" s="1"/>
  <c r="DA70" i="1" s="1"/>
  <c r="CY75" i="1" a="1"/>
  <c r="CY75" i="1" s="1"/>
  <c r="DA75" i="1" s="1"/>
  <c r="CY76" i="1" a="1"/>
  <c r="CY76" i="1" s="1"/>
  <c r="DA76" i="1" s="1"/>
  <c r="CY77" i="1" a="1"/>
  <c r="CY77" i="1" s="1"/>
  <c r="DA77" i="1" s="1"/>
  <c r="CY78" i="1" a="1"/>
  <c r="CY78" i="1" s="1"/>
  <c r="DA78" i="1" s="1"/>
  <c r="CY79" i="1" a="1"/>
  <c r="CY79" i="1" s="1"/>
  <c r="DA79" i="1" s="1"/>
  <c r="CY80" i="1" a="1"/>
  <c r="CY80" i="1" s="1"/>
  <c r="DA80" i="1" s="1"/>
  <c r="CY81" i="1" a="1"/>
  <c r="CY81" i="1" s="1"/>
  <c r="DA81" i="1" s="1"/>
  <c r="CY83" i="1" a="1"/>
  <c r="CY83" i="1" s="1"/>
  <c r="DA83" i="1" s="1"/>
  <c r="CY87" i="1" a="1"/>
  <c r="CY87" i="1" s="1"/>
  <c r="CY88" i="1" a="1"/>
  <c r="CY88" i="1" s="1"/>
  <c r="DA88" i="1" s="1"/>
  <c r="CY89" i="1" a="1"/>
  <c r="CY89" i="1" s="1"/>
  <c r="DA89" i="1" s="1"/>
  <c r="CY91" i="1" a="1"/>
  <c r="CY91" i="1" s="1"/>
  <c r="DA91" i="1" s="1"/>
  <c r="CY84" i="1" a="1"/>
  <c r="CY84" i="1" s="1"/>
  <c r="DA84" i="1" s="1"/>
  <c r="CY85" i="1" a="1"/>
  <c r="CY85" i="1" s="1"/>
  <c r="DA85" i="1" s="1"/>
  <c r="CY93" i="1" a="1"/>
  <c r="CY93" i="1" s="1"/>
  <c r="DA93" i="1" s="1"/>
  <c r="CY82" i="1" a="1"/>
  <c r="CY82" i="1" s="1"/>
  <c r="DA82" i="1" s="1"/>
  <c r="CY86" i="1" a="1"/>
  <c r="CY86" i="1" s="1"/>
  <c r="DA86" i="1" s="1"/>
  <c r="CY92" i="1" a="1"/>
  <c r="CY92" i="1" s="1"/>
  <c r="DA92" i="1" s="1"/>
  <c r="CY99" i="1" a="1"/>
  <c r="CY99" i="1" s="1"/>
  <c r="DA99" i="1" s="1"/>
  <c r="CY100" i="1" a="1"/>
  <c r="CY100" i="1" s="1"/>
  <c r="DA100" i="1" s="1"/>
  <c r="CY101" i="1" a="1"/>
  <c r="CY101" i="1" s="1"/>
  <c r="DA101" i="1" s="1"/>
  <c r="CY94" i="1" a="1"/>
  <c r="CY94" i="1" s="1"/>
  <c r="DA94" i="1" s="1"/>
  <c r="CY95" i="1" a="1"/>
  <c r="CY95" i="1" s="1"/>
  <c r="DA95" i="1" s="1"/>
  <c r="CY90" i="1" a="1"/>
  <c r="CY90" i="1" s="1"/>
  <c r="DA90" i="1" s="1"/>
  <c r="CY97" i="1" a="1"/>
  <c r="CY97" i="1" s="1"/>
  <c r="DA97" i="1" s="1"/>
  <c r="CY98" i="1" a="1"/>
  <c r="CY98" i="1" s="1"/>
  <c r="DA98" i="1" s="1"/>
  <c r="CY102" i="1" a="1"/>
  <c r="CY102" i="1" s="1"/>
  <c r="DA102" i="1" s="1"/>
  <c r="CY110" i="1" a="1"/>
  <c r="CY110" i="1" s="1"/>
  <c r="DA110" i="1" s="1"/>
  <c r="CY118" i="1" a="1"/>
  <c r="CY118" i="1" s="1"/>
  <c r="DA118" i="1" s="1"/>
  <c r="CY103" i="1" a="1"/>
  <c r="CY103" i="1" s="1"/>
  <c r="DA103" i="1" s="1"/>
  <c r="CY111" i="1" a="1"/>
  <c r="CY111" i="1" s="1"/>
  <c r="DA111" i="1" s="1"/>
  <c r="CY119" i="1" a="1"/>
  <c r="CY119" i="1" s="1"/>
  <c r="DA119" i="1" s="1"/>
  <c r="CY104" i="1" a="1"/>
  <c r="CY104" i="1" s="1"/>
  <c r="DA104" i="1" s="1"/>
  <c r="CY112" i="1" a="1"/>
  <c r="CY112" i="1" s="1"/>
  <c r="DA112" i="1" s="1"/>
  <c r="CY105" i="1" a="1"/>
  <c r="CY105" i="1" s="1"/>
  <c r="DA105" i="1" s="1"/>
  <c r="CY113" i="1" a="1"/>
  <c r="CY113" i="1" s="1"/>
  <c r="DA113" i="1" s="1"/>
  <c r="CY106" i="1" a="1"/>
  <c r="CY106" i="1" s="1"/>
  <c r="DA106" i="1" s="1"/>
  <c r="CY107" i="1" a="1"/>
  <c r="CY107" i="1" s="1"/>
  <c r="DA107" i="1" s="1"/>
  <c r="CY115" i="1" a="1"/>
  <c r="CY115" i="1" s="1"/>
  <c r="DA115" i="1" s="1"/>
  <c r="CY108" i="1" a="1"/>
  <c r="CY108" i="1" s="1"/>
  <c r="DA108" i="1" s="1"/>
  <c r="CY116" i="1" a="1"/>
  <c r="CY116" i="1" s="1"/>
  <c r="DA116" i="1" s="1"/>
  <c r="CY109" i="1" a="1"/>
  <c r="CY109" i="1" s="1"/>
  <c r="DA109" i="1" s="1"/>
  <c r="CY117" i="1" a="1"/>
  <c r="CY117" i="1" s="1"/>
  <c r="DA117" i="1" s="1"/>
  <c r="CY125" i="1" a="1"/>
  <c r="CY125" i="1" s="1"/>
  <c r="DA125" i="1" s="1"/>
  <c r="CY133" i="1" a="1"/>
  <c r="CY133" i="1" s="1"/>
  <c r="DA133" i="1" s="1"/>
  <c r="CY127" i="1" a="1"/>
  <c r="CY127" i="1" s="1"/>
  <c r="DA127" i="1" s="1"/>
  <c r="CY120" i="1" a="1"/>
  <c r="CY120" i="1" s="1"/>
  <c r="DA120" i="1" s="1"/>
  <c r="CY128" i="1" a="1"/>
  <c r="CY128" i="1" s="1"/>
  <c r="DA128" i="1" s="1"/>
  <c r="CY121" i="1" a="1"/>
  <c r="CY121" i="1" s="1"/>
  <c r="DA121" i="1" s="1"/>
  <c r="CY122" i="1" a="1"/>
  <c r="CY122" i="1" s="1"/>
  <c r="DA122" i="1" s="1"/>
  <c r="CY130" i="1" a="1"/>
  <c r="CY130" i="1" s="1"/>
  <c r="DA130" i="1" s="1"/>
  <c r="CY123" i="1" a="1"/>
  <c r="CY123" i="1" s="1"/>
  <c r="DA123" i="1" s="1"/>
  <c r="CY140" i="1" a="1"/>
  <c r="CY140" i="1" s="1"/>
  <c r="DA140" i="1" s="1"/>
  <c r="CY141" i="1" a="1"/>
  <c r="CY141" i="1" s="1"/>
  <c r="DA141" i="1" s="1"/>
  <c r="CY135" i="1" a="1"/>
  <c r="CY135" i="1" s="1"/>
  <c r="DA135" i="1" s="1"/>
  <c r="CY137" i="1" a="1"/>
  <c r="CY137" i="1" s="1"/>
  <c r="DA137" i="1" s="1"/>
  <c r="CY139" i="1" a="1"/>
  <c r="CY139" i="1" s="1"/>
  <c r="DA139" i="1" s="1"/>
  <c r="CC89" i="1"/>
  <c r="BW89" i="1"/>
  <c r="CO89" i="1"/>
  <c r="CV172" i="1"/>
  <c r="CX172" i="1" s="1"/>
  <c r="CX36" i="1"/>
  <c r="CV156" i="1"/>
  <c r="CX156" i="1" s="1"/>
  <c r="CX27" i="1"/>
  <c r="CV208" i="1"/>
  <c r="CX208" i="1" s="1"/>
  <c r="CX18" i="1"/>
  <c r="CI89" i="1"/>
  <c r="BE89" i="1"/>
  <c r="BQ89" i="1"/>
  <c r="CV185" i="1"/>
  <c r="CX185" i="1" s="1"/>
  <c r="CX42" i="1"/>
  <c r="CV206" i="1"/>
  <c r="CX206" i="1" s="1"/>
  <c r="CX21" i="1"/>
  <c r="BO87" i="1" a="1"/>
  <c r="BO87" i="1" s="1"/>
  <c r="EG87" i="1" a="1"/>
  <c r="EG87" i="1" s="1"/>
  <c r="BJ87" i="1" a="1"/>
  <c r="BJ87" i="1" s="1"/>
  <c r="AW87" i="1" a="1"/>
  <c r="AW87" i="1" s="1"/>
  <c r="EA87" i="1" a="1"/>
  <c r="EA87" i="1" s="1"/>
  <c r="AX87" i="1" a="1"/>
  <c r="AX87" i="1" s="1"/>
  <c r="CH87" i="1" a="1"/>
  <c r="CH87" i="1" s="1"/>
  <c r="CI87" i="1" s="1"/>
  <c r="CT87" i="1" a="1"/>
  <c r="CT87" i="1" s="1"/>
  <c r="ED87" i="1" a="1"/>
  <c r="ED87" i="1" s="1"/>
  <c r="BC87" i="1" a="1"/>
  <c r="BC87" i="1" s="1"/>
  <c r="CB87" i="1" a="1"/>
  <c r="CB87" i="1" s="1"/>
  <c r="CN87" i="1" a="1"/>
  <c r="CN87" i="1" s="1"/>
  <c r="DX87" i="1" a="1"/>
  <c r="DX87" i="1" s="1"/>
  <c r="BF87" i="1" a="1"/>
  <c r="BF87" i="1" s="1"/>
  <c r="BR87" i="1" a="1"/>
  <c r="BR87" i="1" s="1"/>
  <c r="BM87" i="1" a="1"/>
  <c r="BM87" i="1" s="1"/>
  <c r="BS87" i="1" a="1"/>
  <c r="BS87" i="1" s="1"/>
  <c r="BY87" i="1" a="1"/>
  <c r="BY87" i="1" s="1"/>
  <c r="BG87" i="1" a="1"/>
  <c r="BG87" i="1" s="1"/>
  <c r="BI87" i="1" a="1"/>
  <c r="BI87" i="1" s="1"/>
  <c r="DU87" i="1" a="1"/>
  <c r="DU87" i="1" s="1"/>
  <c r="CK87" i="1" a="1"/>
  <c r="CK87" i="1" s="1"/>
  <c r="CL87" i="1" s="1"/>
  <c r="CQ87" i="1" a="1"/>
  <c r="CQ87" i="1" s="1"/>
  <c r="CW87" i="1" a="1"/>
  <c r="CW87" i="1" s="1"/>
  <c r="CE87" i="1" a="1"/>
  <c r="CE87" i="1" s="1"/>
  <c r="CF87" i="1" s="1"/>
  <c r="BL87" i="1" a="1"/>
  <c r="BL87" i="1" s="1"/>
  <c r="DI87" i="1" a="1"/>
  <c r="DI87" i="1" s="1"/>
  <c r="DO87" i="1" a="1"/>
  <c r="DO87" i="1" s="1"/>
  <c r="DC87" i="1" a="1"/>
  <c r="DC87" i="1" s="1"/>
  <c r="BD87" i="1" a="1"/>
  <c r="BD87" i="1" s="1"/>
  <c r="BE87" i="1" s="1"/>
  <c r="BP87" i="1" a="1"/>
  <c r="BP87" i="1" s="1"/>
  <c r="BV87" i="1" a="1"/>
  <c r="BV87" i="1" s="1"/>
  <c r="DF87" i="1" a="1"/>
  <c r="DF87" i="1" s="1"/>
  <c r="AZ87" i="1" a="1"/>
  <c r="AZ87" i="1" s="1"/>
  <c r="BA87" i="1" a="1"/>
  <c r="BA87" i="1" s="1"/>
  <c r="CZ87" i="1" a="1"/>
  <c r="CZ87" i="1" s="1"/>
  <c r="DA87" i="1" s="1"/>
  <c r="DL87" i="1" a="1"/>
  <c r="DL87" i="1" s="1"/>
  <c r="DR87" i="1" a="1"/>
  <c r="DR87" i="1" s="1"/>
  <c r="EJ87" i="1" a="1"/>
  <c r="EJ87" i="1" s="1"/>
  <c r="BU87" i="1" a="1"/>
  <c r="BU87" i="1" s="1"/>
  <c r="BX87" i="1" a="1"/>
  <c r="BX87" i="1" s="1"/>
  <c r="CA87" i="1" a="1"/>
  <c r="CA87" i="1" s="1"/>
  <c r="CD87" i="1" a="1"/>
  <c r="CD87" i="1" s="1"/>
  <c r="CG87" i="1" a="1"/>
  <c r="CG87" i="1" s="1"/>
  <c r="CJ87" i="1" a="1"/>
  <c r="CJ87" i="1" s="1"/>
  <c r="CM87" i="1" a="1"/>
  <c r="CM87" i="1" s="1"/>
  <c r="CP87" i="1" a="1"/>
  <c r="CP87" i="1" s="1"/>
  <c r="CS87" i="1" a="1"/>
  <c r="CS87" i="1" s="1"/>
  <c r="BK89" i="1"/>
  <c r="CV87" i="1" a="1"/>
  <c r="CV87" i="1" s="1"/>
  <c r="CV191" i="1"/>
  <c r="CX191" i="1" s="1"/>
  <c r="CX44" i="1"/>
  <c r="CV166" i="1"/>
  <c r="CX166" i="1" s="1"/>
  <c r="CX34" i="1"/>
  <c r="CV157" i="1"/>
  <c r="CX157" i="1" s="1"/>
  <c r="CX28" i="1"/>
  <c r="CV183" i="1"/>
  <c r="CX183" i="1" s="1"/>
  <c r="CX41" i="1"/>
  <c r="CV165" i="1"/>
  <c r="CX165" i="1" s="1"/>
  <c r="CX33" i="1"/>
  <c r="CV211" i="1"/>
  <c r="CX211" i="1" s="1"/>
  <c r="CX20" i="1"/>
  <c r="CR89" i="1"/>
  <c r="CL89" i="1"/>
  <c r="CF89" i="1"/>
  <c r="CV190" i="1"/>
  <c r="CX190" i="1" s="1"/>
  <c r="CX51" i="1"/>
  <c r="CV180" i="1"/>
  <c r="CX180" i="1" s="1"/>
  <c r="CX40" i="1"/>
  <c r="CV163" i="1"/>
  <c r="CX163" i="1" s="1"/>
  <c r="CX32" i="1"/>
  <c r="BT89" i="1"/>
  <c r="BN89" i="1"/>
  <c r="BH89" i="1"/>
  <c r="CX39" i="1"/>
  <c r="CV179" i="1"/>
  <c r="CX179" i="1" s="1"/>
  <c r="CV161" i="1"/>
  <c r="CX161" i="1" s="1"/>
  <c r="CX31" i="1"/>
  <c r="CX14" i="1"/>
  <c r="CV209" i="1"/>
  <c r="CX209" i="1" s="1"/>
  <c r="CV178" i="1"/>
  <c r="CX178" i="1" s="1"/>
  <c r="CX38" i="1"/>
  <c r="CV160" i="1"/>
  <c r="CX160" i="1" s="1"/>
  <c r="CX30" i="1"/>
  <c r="CV205" i="1"/>
  <c r="CX205" i="1" s="1"/>
  <c r="CX13" i="1"/>
  <c r="BN87" i="1" l="1"/>
  <c r="BQ87" i="1"/>
  <c r="CX87" i="1"/>
  <c r="AY87" i="1"/>
  <c r="CR87" i="1"/>
  <c r="CY166" i="1"/>
  <c r="DA166" i="1" s="1"/>
  <c r="DA34" i="1"/>
  <c r="CY157" i="1"/>
  <c r="DA157" i="1" s="1"/>
  <c r="DA28" i="1"/>
  <c r="DA33" i="1"/>
  <c r="CY165" i="1"/>
  <c r="DA165" i="1" s="1"/>
  <c r="CO87" i="1"/>
  <c r="CY191" i="1"/>
  <c r="DA191" i="1" s="1"/>
  <c r="DA44" i="1"/>
  <c r="CY185" i="1"/>
  <c r="DA185" i="1" s="1"/>
  <c r="DA42" i="1"/>
  <c r="CY163" i="1"/>
  <c r="DA163" i="1" s="1"/>
  <c r="DA32" i="1"/>
  <c r="BB87" i="1"/>
  <c r="BH87" i="1"/>
  <c r="CC87" i="1"/>
  <c r="BK87" i="1"/>
  <c r="CY183" i="1"/>
  <c r="DA183" i="1" s="1"/>
  <c r="DA41" i="1"/>
  <c r="CY161" i="1"/>
  <c r="DA161" i="1" s="1"/>
  <c r="DA31" i="1"/>
  <c r="CY209" i="1"/>
  <c r="DA209" i="1" s="1"/>
  <c r="DA14" i="1"/>
  <c r="BW87" i="1"/>
  <c r="CU87" i="1"/>
  <c r="BZ87" i="1"/>
  <c r="DA43" i="1"/>
  <c r="CY188" i="1"/>
  <c r="DA188" i="1" s="1"/>
  <c r="CY180" i="1"/>
  <c r="DA180" i="1" s="1"/>
  <c r="DA40" i="1"/>
  <c r="CY160" i="1"/>
  <c r="DA160" i="1" s="1"/>
  <c r="DA30" i="1"/>
  <c r="CY206" i="1"/>
  <c r="DA206" i="1" s="1"/>
  <c r="DA21" i="1"/>
  <c r="DB8" i="1" a="1"/>
  <c r="DB8" i="1" s="1"/>
  <c r="DD8" i="1" s="1"/>
  <c r="DE4" i="1"/>
  <c r="DB6" i="1" a="1"/>
  <c r="DB6" i="1" s="1"/>
  <c r="DD6" i="1" s="1"/>
  <c r="DB13" i="1" a="1"/>
  <c r="DB13" i="1" s="1"/>
  <c r="DB10" i="1" a="1"/>
  <c r="DB10" i="1" s="1"/>
  <c r="DD10" i="1" s="1"/>
  <c r="DB14" i="1" a="1"/>
  <c r="DB14" i="1" s="1"/>
  <c r="DB9" i="1" a="1"/>
  <c r="DB9" i="1" s="1"/>
  <c r="DD9" i="1" s="1"/>
  <c r="DB11" i="1" a="1"/>
  <c r="DB11" i="1" s="1"/>
  <c r="DD11" i="1" s="1"/>
  <c r="DB12" i="1" a="1"/>
  <c r="DB12" i="1" s="1"/>
  <c r="DB15" i="1" a="1"/>
  <c r="DB15" i="1" s="1"/>
  <c r="DD15" i="1" s="1"/>
  <c r="DB19" i="1" a="1"/>
  <c r="DB19" i="1" s="1"/>
  <c r="DB20" i="1" a="1"/>
  <c r="DB20" i="1" s="1"/>
  <c r="DB17" i="1" a="1"/>
  <c r="DB17" i="1" s="1"/>
  <c r="DD17" i="1" s="1"/>
  <c r="DB23" i="1" a="1"/>
  <c r="DB23" i="1" s="1"/>
  <c r="DD23" i="1" s="1"/>
  <c r="DB21" i="1" a="1"/>
  <c r="DB21" i="1" s="1"/>
  <c r="DB22" i="1" a="1"/>
  <c r="DB22" i="1" s="1"/>
  <c r="DD22" i="1" s="1"/>
  <c r="DB18" i="1" a="1"/>
  <c r="DB18" i="1" s="1"/>
  <c r="DB27" i="1" a="1"/>
  <c r="DB27" i="1" s="1"/>
  <c r="DB28" i="1" a="1"/>
  <c r="DB28" i="1" s="1"/>
  <c r="DB25" i="1" a="1"/>
  <c r="DB25" i="1" s="1"/>
  <c r="DD25" i="1" s="1"/>
  <c r="DB30" i="1" a="1"/>
  <c r="DB30" i="1" s="1"/>
  <c r="DB29" i="1" a="1"/>
  <c r="DB29" i="1" s="1"/>
  <c r="DB31" i="1" a="1"/>
  <c r="DB31" i="1" s="1"/>
  <c r="DB32" i="1" a="1"/>
  <c r="DB32" i="1" s="1"/>
  <c r="DB34" i="1" a="1"/>
  <c r="DB34" i="1" s="1"/>
  <c r="DB33" i="1" a="1"/>
  <c r="DB33" i="1" s="1"/>
  <c r="DB36" i="1" a="1"/>
  <c r="DB36" i="1" s="1"/>
  <c r="DB37" i="1" a="1"/>
  <c r="DB37" i="1" s="1"/>
  <c r="DB38" i="1" a="1"/>
  <c r="DB38" i="1" s="1"/>
  <c r="DB39" i="1" a="1"/>
  <c r="DB39" i="1" s="1"/>
  <c r="DB40" i="1" a="1"/>
  <c r="DB40" i="1" s="1"/>
  <c r="DB43" i="1" a="1"/>
  <c r="DB43" i="1" s="1"/>
  <c r="DB41" i="1" a="1"/>
  <c r="DB41" i="1" s="1"/>
  <c r="DB42" i="1" a="1"/>
  <c r="DB42" i="1" s="1"/>
  <c r="DB44" i="1" a="1"/>
  <c r="DB44" i="1" s="1"/>
  <c r="DB45" i="1" a="1"/>
  <c r="DB45" i="1" s="1"/>
  <c r="DD45" i="1" s="1"/>
  <c r="DB46" i="1" a="1"/>
  <c r="DB46" i="1" s="1"/>
  <c r="DD46" i="1" s="1"/>
  <c r="DB49" i="1" a="1"/>
  <c r="DB49" i="1" s="1"/>
  <c r="DD49" i="1" s="1"/>
  <c r="DB54" i="1" a="1"/>
  <c r="DB54" i="1" s="1"/>
  <c r="DD54" i="1" s="1"/>
  <c r="DB51" i="1" a="1"/>
  <c r="DB51" i="1" s="1"/>
  <c r="DB47" i="1" a="1"/>
  <c r="DB47" i="1" s="1"/>
  <c r="DD47" i="1" s="1"/>
  <c r="DB50" i="1" a="1"/>
  <c r="DB50" i="1" s="1"/>
  <c r="DD50" i="1" s="1"/>
  <c r="DB52" i="1" a="1"/>
  <c r="DB52" i="1" s="1"/>
  <c r="DD52" i="1" s="1"/>
  <c r="DB48" i="1" a="1"/>
  <c r="DB48" i="1" s="1"/>
  <c r="DD48" i="1" s="1"/>
  <c r="DB56" i="1" a="1"/>
  <c r="DB56" i="1" s="1"/>
  <c r="DD56" i="1" s="1"/>
  <c r="DB66" i="1"/>
  <c r="DB55" i="1" a="1"/>
  <c r="DB55" i="1" s="1"/>
  <c r="DD55" i="1" s="1"/>
  <c r="DB58" i="1" a="1"/>
  <c r="DB58" i="1" s="1"/>
  <c r="DD58" i="1" s="1"/>
  <c r="DB60" i="1" a="1"/>
  <c r="DB60" i="1" s="1"/>
  <c r="DD60" i="1" s="1"/>
  <c r="DB61" i="1" a="1"/>
  <c r="DB61" i="1" s="1"/>
  <c r="DD61" i="1" s="1"/>
  <c r="DB62" i="1" a="1"/>
  <c r="DB62" i="1" s="1"/>
  <c r="DD62" i="1" s="1"/>
  <c r="DB68" i="1" a="1"/>
  <c r="DB68" i="1" s="1"/>
  <c r="DD68" i="1" s="1"/>
  <c r="DB71" i="1" a="1"/>
  <c r="DB71" i="1" s="1"/>
  <c r="DD71" i="1" s="1"/>
  <c r="DB72" i="1" a="1"/>
  <c r="DB72" i="1" s="1"/>
  <c r="DD72" i="1" s="1"/>
  <c r="DB73" i="1" a="1"/>
  <c r="DB73" i="1" s="1"/>
  <c r="DD73" i="1" s="1"/>
  <c r="DB74" i="1" a="1"/>
  <c r="DB74" i="1" s="1"/>
  <c r="DD74" i="1" s="1"/>
  <c r="DB69" i="1" a="1"/>
  <c r="DB69" i="1" s="1"/>
  <c r="DD69" i="1" s="1"/>
  <c r="DB70" i="1" a="1"/>
  <c r="DB70" i="1" s="1"/>
  <c r="DD70" i="1" s="1"/>
  <c r="DB76" i="1" a="1"/>
  <c r="DB76" i="1" s="1"/>
  <c r="DD76" i="1" s="1"/>
  <c r="DB77" i="1" a="1"/>
  <c r="DB77" i="1" s="1"/>
  <c r="DD77" i="1" s="1"/>
  <c r="DB78" i="1" a="1"/>
  <c r="DB78" i="1" s="1"/>
  <c r="DD78" i="1" s="1"/>
  <c r="DB79" i="1" a="1"/>
  <c r="DB79" i="1" s="1"/>
  <c r="DD79" i="1" s="1"/>
  <c r="DB80" i="1" a="1"/>
  <c r="DB80" i="1" s="1"/>
  <c r="DD80" i="1" s="1"/>
  <c r="DB75" i="1" a="1"/>
  <c r="DB75" i="1" s="1"/>
  <c r="DD75" i="1" s="1"/>
  <c r="DB90" i="1" a="1"/>
  <c r="DB90" i="1" s="1"/>
  <c r="DD90" i="1" s="1"/>
  <c r="DB81" i="1" a="1"/>
  <c r="DB81" i="1" s="1"/>
  <c r="DD81" i="1" s="1"/>
  <c r="DB91" i="1" a="1"/>
  <c r="DB91" i="1" s="1"/>
  <c r="DD91" i="1" s="1"/>
  <c r="DB84" i="1" a="1"/>
  <c r="DB84" i="1" s="1"/>
  <c r="DD84" i="1" s="1"/>
  <c r="DB92" i="1" a="1"/>
  <c r="DB92" i="1" s="1"/>
  <c r="DD92" i="1" s="1"/>
  <c r="DB85" i="1" a="1"/>
  <c r="DB85" i="1" s="1"/>
  <c r="DD85" i="1" s="1"/>
  <c r="DB82" i="1" a="1"/>
  <c r="DB82" i="1" s="1"/>
  <c r="DD82" i="1" s="1"/>
  <c r="DB86" i="1" a="1"/>
  <c r="DB86" i="1" s="1"/>
  <c r="DD86" i="1" s="1"/>
  <c r="DB83" i="1" a="1"/>
  <c r="DB83" i="1" s="1"/>
  <c r="DD83" i="1" s="1"/>
  <c r="DB87" i="1" a="1"/>
  <c r="DB87" i="1" s="1"/>
  <c r="DD87" i="1" s="1"/>
  <c r="DB88" i="1" a="1"/>
  <c r="DB88" i="1" s="1"/>
  <c r="DD88" i="1" s="1"/>
  <c r="DB89" i="1" a="1"/>
  <c r="DB89" i="1" s="1"/>
  <c r="DD89" i="1" s="1"/>
  <c r="DB94" i="1" a="1"/>
  <c r="DB94" i="1" s="1"/>
  <c r="DD94" i="1" s="1"/>
  <c r="DB95" i="1" a="1"/>
  <c r="DB95" i="1" s="1"/>
  <c r="DD95" i="1" s="1"/>
  <c r="DB97" i="1" a="1"/>
  <c r="DB97" i="1" s="1"/>
  <c r="DD97" i="1" s="1"/>
  <c r="DB98" i="1" a="1"/>
  <c r="DB98" i="1" s="1"/>
  <c r="DD98" i="1" s="1"/>
  <c r="DB99" i="1" a="1"/>
  <c r="DB99" i="1" s="1"/>
  <c r="DD99" i="1" s="1"/>
  <c r="DB93" i="1" a="1"/>
  <c r="DB93" i="1" s="1"/>
  <c r="DD93" i="1" s="1"/>
  <c r="DB100" i="1" a="1"/>
  <c r="DB100" i="1" s="1"/>
  <c r="DD100" i="1" s="1"/>
  <c r="DB101" i="1" a="1"/>
  <c r="DB101" i="1" s="1"/>
  <c r="DD101" i="1" s="1"/>
  <c r="DB105" i="1" a="1"/>
  <c r="DB105" i="1" s="1"/>
  <c r="DD105" i="1" s="1"/>
  <c r="DB113" i="1" a="1"/>
  <c r="DB113" i="1" s="1"/>
  <c r="DD113" i="1" s="1"/>
  <c r="DB106" i="1" a="1"/>
  <c r="DB106" i="1" s="1"/>
  <c r="DD106" i="1" s="1"/>
  <c r="DB107" i="1" a="1"/>
  <c r="DB107" i="1" s="1"/>
  <c r="DD107" i="1" s="1"/>
  <c r="DB115" i="1" a="1"/>
  <c r="DB115" i="1" s="1"/>
  <c r="DD115" i="1" s="1"/>
  <c r="DB108" i="1" a="1"/>
  <c r="DB108" i="1" s="1"/>
  <c r="DD108" i="1" s="1"/>
  <c r="DB116" i="1" a="1"/>
  <c r="DB116" i="1" s="1"/>
  <c r="DD116" i="1" s="1"/>
  <c r="DB109" i="1" a="1"/>
  <c r="DB109" i="1" s="1"/>
  <c r="DD109" i="1" s="1"/>
  <c r="DB117" i="1" a="1"/>
  <c r="DB117" i="1" s="1"/>
  <c r="DD117" i="1" s="1"/>
  <c r="DB102" i="1" a="1"/>
  <c r="DB102" i="1" s="1"/>
  <c r="DD102" i="1" s="1"/>
  <c r="DB110" i="1" a="1"/>
  <c r="DB110" i="1" s="1"/>
  <c r="DD110" i="1" s="1"/>
  <c r="DB118" i="1" a="1"/>
  <c r="DB118" i="1" s="1"/>
  <c r="DD118" i="1" s="1"/>
  <c r="DB103" i="1" a="1"/>
  <c r="DB103" i="1" s="1"/>
  <c r="DD103" i="1" s="1"/>
  <c r="DB111" i="1" a="1"/>
  <c r="DB111" i="1" s="1"/>
  <c r="DD111" i="1" s="1"/>
  <c r="DB104" i="1" a="1"/>
  <c r="DB104" i="1" s="1"/>
  <c r="DD104" i="1" s="1"/>
  <c r="DB112" i="1" a="1"/>
  <c r="DB112" i="1" s="1"/>
  <c r="DD112" i="1" s="1"/>
  <c r="DB127" i="1" a="1"/>
  <c r="DB127" i="1" s="1"/>
  <c r="DD127" i="1" s="1"/>
  <c r="DB135" i="1" a="1"/>
  <c r="DB135" i="1" s="1"/>
  <c r="DD135" i="1" s="1"/>
  <c r="DB120" i="1" a="1"/>
  <c r="DB120" i="1" s="1"/>
  <c r="DD120" i="1" s="1"/>
  <c r="DB128" i="1" a="1"/>
  <c r="DB128" i="1" s="1"/>
  <c r="DD128" i="1" s="1"/>
  <c r="DB121" i="1" a="1"/>
  <c r="DB121" i="1" s="1"/>
  <c r="DD121" i="1" s="1"/>
  <c r="DB122" i="1" a="1"/>
  <c r="DB122" i="1" s="1"/>
  <c r="DD122" i="1" s="1"/>
  <c r="DB130" i="1" a="1"/>
  <c r="DB130" i="1" s="1"/>
  <c r="DD130" i="1" s="1"/>
  <c r="DB119" i="1" a="1"/>
  <c r="DB119" i="1" s="1"/>
  <c r="DD119" i="1" s="1"/>
  <c r="DB123" i="1" a="1"/>
  <c r="DB123" i="1" s="1"/>
  <c r="DD123" i="1" s="1"/>
  <c r="DB125" i="1" a="1"/>
  <c r="DB125" i="1" s="1"/>
  <c r="DD125" i="1" s="1"/>
  <c r="DB133" i="1" a="1"/>
  <c r="DB133" i="1" s="1"/>
  <c r="DD133" i="1" s="1"/>
  <c r="DB137" i="1" a="1"/>
  <c r="DB137" i="1" s="1"/>
  <c r="DD137" i="1" s="1"/>
  <c r="DB139" i="1" a="1"/>
  <c r="DB139" i="1" s="1"/>
  <c r="DD139" i="1" s="1"/>
  <c r="DB140" i="1" a="1"/>
  <c r="DB140" i="1" s="1"/>
  <c r="DD140" i="1" s="1"/>
  <c r="DB141" i="1" a="1"/>
  <c r="DB141" i="1" s="1"/>
  <c r="DD141" i="1" s="1"/>
  <c r="DB35" i="1" s="1" a="1"/>
  <c r="DB35" i="1" s="1"/>
  <c r="DB167" i="1" s="1"/>
  <c r="BG96" i="1" a="1"/>
  <c r="BG96" i="1" s="1"/>
  <c r="BH96" i="1" s="1"/>
  <c r="BM96" i="1" a="1"/>
  <c r="BM96" i="1" s="1"/>
  <c r="CE96" i="1" a="1"/>
  <c r="CE96" i="1" s="1"/>
  <c r="BC96" i="1" a="1"/>
  <c r="BC96" i="1" s="1"/>
  <c r="EA96" i="1" a="1"/>
  <c r="EA96" i="1" s="1"/>
  <c r="EG96" i="1" a="1"/>
  <c r="EG96" i="1" s="1"/>
  <c r="BF96" i="1" a="1"/>
  <c r="BF96" i="1" s="1"/>
  <c r="AX96" i="1" a="1"/>
  <c r="AX96" i="1" s="1"/>
  <c r="ED96" i="1" a="1"/>
  <c r="ED96" i="1" s="1"/>
  <c r="CZ96" i="1" a="1"/>
  <c r="CZ96" i="1" s="1"/>
  <c r="EJ96" i="1" a="1"/>
  <c r="EJ96" i="1" s="1"/>
  <c r="DR96" i="1" a="1"/>
  <c r="DR96" i="1" s="1"/>
  <c r="BU96" i="1" a="1"/>
  <c r="BU96" i="1" s="1"/>
  <c r="BX96" i="1" a="1"/>
  <c r="BX96" i="1" s="1"/>
  <c r="CP96" i="1" a="1"/>
  <c r="CP96" i="1" s="1"/>
  <c r="CS96" i="1" a="1"/>
  <c r="CS96" i="1" s="1"/>
  <c r="BT87" i="1"/>
  <c r="DA51" i="1"/>
  <c r="CY190" i="1"/>
  <c r="DA190" i="1" s="1"/>
  <c r="CY179" i="1"/>
  <c r="DA179" i="1" s="1"/>
  <c r="DA39" i="1"/>
  <c r="CY158" i="1"/>
  <c r="DA158" i="1" s="1"/>
  <c r="DA29" i="1"/>
  <c r="CY211" i="1"/>
  <c r="DA211" i="1" s="1"/>
  <c r="DA20" i="1"/>
  <c r="DA13" i="1"/>
  <c r="CY205" i="1"/>
  <c r="DA205" i="1" s="1"/>
  <c r="CY172" i="1"/>
  <c r="DA172" i="1" s="1"/>
  <c r="DA36" i="1"/>
  <c r="CY178" i="1"/>
  <c r="DA178" i="1" s="1"/>
  <c r="DA38" i="1"/>
  <c r="DA19" i="1"/>
  <c r="CY210" i="1"/>
  <c r="DA210" i="1" s="1"/>
  <c r="DA12" i="1"/>
  <c r="CY204" i="1"/>
  <c r="DA204" i="1" s="1"/>
  <c r="CY176" i="1"/>
  <c r="DA176" i="1" s="1"/>
  <c r="DA37" i="1"/>
  <c r="CY156" i="1"/>
  <c r="DA156" i="1" s="1"/>
  <c r="DA27" i="1"/>
  <c r="CY208" i="1"/>
  <c r="DA208" i="1" s="1"/>
  <c r="DA18" i="1"/>
  <c r="BI96" i="1" l="1" a="1"/>
  <c r="BI96" i="1" s="1"/>
  <c r="AW96" i="1" a="1"/>
  <c r="AW96" i="1" s="1"/>
  <c r="CT96" i="1" a="1"/>
  <c r="CT96" i="1" s="1"/>
  <c r="CU96" i="1" s="1"/>
  <c r="BY96" i="1" a="1"/>
  <c r="BY96" i="1" s="1"/>
  <c r="CV96" i="1" a="1"/>
  <c r="CV96" i="1" s="1"/>
  <c r="DL96" i="1" a="1"/>
  <c r="DL96" i="1" s="1"/>
  <c r="BJ96" i="1" a="1"/>
  <c r="BJ96" i="1" s="1"/>
  <c r="BK96" i="1" s="1"/>
  <c r="BS96" i="1" a="1"/>
  <c r="BS96" i="1" s="1"/>
  <c r="DI96" i="1" a="1"/>
  <c r="DI96" i="1" s="1"/>
  <c r="BA96" i="1" a="1"/>
  <c r="BA96" i="1" s="1"/>
  <c r="CG96" i="1" a="1"/>
  <c r="CG96" i="1" s="1"/>
  <c r="BV96" i="1" a="1"/>
  <c r="BV96" i="1" s="1"/>
  <c r="BW96" i="1" s="1"/>
  <c r="DO96" i="1" a="1"/>
  <c r="DO96" i="1" s="1"/>
  <c r="DX96" i="1" a="1"/>
  <c r="DX96" i="1" s="1"/>
  <c r="CM96" i="1" a="1"/>
  <c r="CM96" i="1" s="1"/>
  <c r="DC96" i="1" a="1"/>
  <c r="DC96" i="1" s="1"/>
  <c r="CJ96" i="1" a="1"/>
  <c r="CJ96" i="1" s="1"/>
  <c r="DU96" i="1" a="1"/>
  <c r="DU96" i="1" s="1"/>
  <c r="CD96" i="1" a="1"/>
  <c r="CD96" i="1" s="1"/>
  <c r="BL96" i="1" a="1"/>
  <c r="BL96" i="1" s="1"/>
  <c r="BN96" i="1" s="1"/>
  <c r="CB96" i="1" a="1"/>
  <c r="CB96" i="1" s="1"/>
  <c r="CN96" i="1" a="1"/>
  <c r="CN96" i="1" s="1"/>
  <c r="CA96" i="1" a="1"/>
  <c r="CA96" i="1" s="1"/>
  <c r="DF96" i="1" a="1"/>
  <c r="DF96" i="1" s="1"/>
  <c r="AZ96" i="1" a="1"/>
  <c r="AZ96" i="1" s="1"/>
  <c r="BD96" i="1" a="1"/>
  <c r="BD96" i="1" s="1"/>
  <c r="BE96" i="1" s="1"/>
  <c r="CK96" i="1" a="1"/>
  <c r="CK96" i="1" s="1"/>
  <c r="CL96" i="1" s="1"/>
  <c r="BR96" i="1" a="1"/>
  <c r="BR96" i="1" s="1"/>
  <c r="BT96" i="1" s="1"/>
  <c r="BP96" i="1" a="1"/>
  <c r="BP96" i="1" s="1"/>
  <c r="CW96" i="1" a="1"/>
  <c r="CW96" i="1" s="1"/>
  <c r="BO96" i="1" a="1"/>
  <c r="BO96" i="1" s="1"/>
  <c r="CH96" i="1" a="1"/>
  <c r="CH96" i="1" s="1"/>
  <c r="CQ96" i="1" a="1"/>
  <c r="CQ96" i="1" s="1"/>
  <c r="DB178" i="1"/>
  <c r="DD178" i="1" s="1"/>
  <c r="DD38" i="1"/>
  <c r="DB158" i="1"/>
  <c r="DD158" i="1" s="1"/>
  <c r="DD29" i="1"/>
  <c r="DB206" i="1"/>
  <c r="DD206" i="1" s="1"/>
  <c r="DD21" i="1"/>
  <c r="DB204" i="1"/>
  <c r="DD204" i="1" s="1"/>
  <c r="DD12" i="1"/>
  <c r="DB176" i="1"/>
  <c r="DD176" i="1" s="1"/>
  <c r="DD37" i="1"/>
  <c r="DB160" i="1"/>
  <c r="DD160" i="1" s="1"/>
  <c r="DD30" i="1"/>
  <c r="CO96" i="1"/>
  <c r="BZ96" i="1"/>
  <c r="DB191" i="1"/>
  <c r="DD191" i="1" s="1"/>
  <c r="DD44" i="1"/>
  <c r="DB96" i="1" a="1"/>
  <c r="DB96" i="1" s="1"/>
  <c r="DB185" i="1"/>
  <c r="DD185" i="1" s="1"/>
  <c r="DD42" i="1"/>
  <c r="DB172" i="1"/>
  <c r="DD172" i="1" s="1"/>
  <c r="DD36" i="1"/>
  <c r="DD28" i="1"/>
  <c r="DB157" i="1"/>
  <c r="DD157" i="1" s="1"/>
  <c r="DD14" i="1"/>
  <c r="DB209" i="1"/>
  <c r="DD209" i="1" s="1"/>
  <c r="AY96" i="1"/>
  <c r="CF96" i="1"/>
  <c r="BU35" i="1" a="1"/>
  <c r="BU35" i="1" s="1"/>
  <c r="BU167" i="1" s="1"/>
  <c r="BX35" i="1" a="1"/>
  <c r="BX35" i="1" s="1"/>
  <c r="BX167" i="1" s="1"/>
  <c r="CT35" i="1" a="1"/>
  <c r="CT35" i="1" s="1"/>
  <c r="DU35" i="1" a="1"/>
  <c r="DU35" i="1" s="1"/>
  <c r="ED35" i="1" a="1"/>
  <c r="ED35" i="1" s="1"/>
  <c r="CE35" i="1" a="1"/>
  <c r="CE35" i="1" s="1"/>
  <c r="BI35" i="1" a="1"/>
  <c r="BI35" i="1" s="1"/>
  <c r="BI167" i="1" s="1"/>
  <c r="BP35" i="1" a="1"/>
  <c r="BP35" i="1" s="1"/>
  <c r="CN35" i="1" a="1"/>
  <c r="CN35" i="1" s="1"/>
  <c r="BL35" i="1" a="1"/>
  <c r="BL35" i="1" s="1"/>
  <c r="BL167" i="1" s="1"/>
  <c r="BA35" i="1" a="1"/>
  <c r="BA35" i="1" s="1"/>
  <c r="DF35" i="1" a="1"/>
  <c r="DF35" i="1" s="1"/>
  <c r="AX35" i="1" a="1"/>
  <c r="AX35" i="1" s="1"/>
  <c r="BD35" i="1" a="1"/>
  <c r="BD35" i="1" s="1"/>
  <c r="EJ35" i="1" a="1"/>
  <c r="EJ35" i="1" s="1"/>
  <c r="BY35" i="1" a="1"/>
  <c r="BY35" i="1" s="1"/>
  <c r="DC35" i="1" a="1"/>
  <c r="DC35" i="1" s="1"/>
  <c r="BJ35" i="1" a="1"/>
  <c r="BJ35" i="1" s="1"/>
  <c r="BO35" i="1" a="1"/>
  <c r="BO35" i="1" s="1"/>
  <c r="BO167" i="1" s="1"/>
  <c r="AZ35" i="1" a="1"/>
  <c r="AZ35" i="1" s="1"/>
  <c r="AZ167" i="1" s="1"/>
  <c r="AW35" i="1" a="1"/>
  <c r="AW35" i="1" s="1"/>
  <c r="AW167" i="1" s="1"/>
  <c r="BM35" i="1" a="1"/>
  <c r="BM35" i="1" s="1"/>
  <c r="DX35" i="1" a="1"/>
  <c r="DX35" i="1" s="1"/>
  <c r="BR35" i="1" a="1"/>
  <c r="BR35" i="1" s="1"/>
  <c r="BR167" i="1" s="1"/>
  <c r="CQ35" i="1" a="1"/>
  <c r="CQ35" i="1" s="1"/>
  <c r="CW35" i="1" a="1"/>
  <c r="CW35" i="1" s="1"/>
  <c r="BV35" i="1" a="1"/>
  <c r="BV35" i="1" s="1"/>
  <c r="DI35" i="1" a="1"/>
  <c r="DI35" i="1" s="1"/>
  <c r="BG35" i="1" a="1"/>
  <c r="BG35" i="1" s="1"/>
  <c r="CK35" i="1" a="1"/>
  <c r="CK35" i="1" s="1"/>
  <c r="EG35" i="1" a="1"/>
  <c r="EG35" i="1" s="1"/>
  <c r="DR35" i="1" a="1"/>
  <c r="DR35" i="1" s="1"/>
  <c r="CH35" i="1" a="1"/>
  <c r="CH35" i="1" s="1"/>
  <c r="DO35" i="1" a="1"/>
  <c r="DO35" i="1" s="1"/>
  <c r="DL35" i="1" a="1"/>
  <c r="DL35" i="1" s="1"/>
  <c r="EA35" i="1" a="1"/>
  <c r="EA35" i="1" s="1"/>
  <c r="CZ35" i="1" a="1"/>
  <c r="CZ35" i="1" s="1"/>
  <c r="CB35" i="1" a="1"/>
  <c r="CB35" i="1" s="1"/>
  <c r="BC35" i="1" a="1"/>
  <c r="BC35" i="1" s="1"/>
  <c r="BC167" i="1" s="1"/>
  <c r="BF35" i="1" a="1"/>
  <c r="BF35" i="1" s="1"/>
  <c r="BF167" i="1" s="1"/>
  <c r="BS35" i="1" a="1"/>
  <c r="BS35" i="1" s="1"/>
  <c r="CA35" i="1" a="1"/>
  <c r="CA35" i="1" s="1"/>
  <c r="CA167" i="1" s="1"/>
  <c r="CD35" i="1" a="1"/>
  <c r="CD35" i="1" s="1"/>
  <c r="CD167" i="1" s="1"/>
  <c r="CG35" i="1" a="1"/>
  <c r="CG35" i="1" s="1"/>
  <c r="CG167" i="1" s="1"/>
  <c r="CJ35" i="1" a="1"/>
  <c r="CJ35" i="1" s="1"/>
  <c r="CJ167" i="1" s="1"/>
  <c r="CM35" i="1" a="1"/>
  <c r="CM35" i="1" s="1"/>
  <c r="CM167" i="1" s="1"/>
  <c r="CP35" i="1" a="1"/>
  <c r="CP35" i="1" s="1"/>
  <c r="CP167" i="1" s="1"/>
  <c r="CS35" i="1" a="1"/>
  <c r="CS35" i="1" s="1"/>
  <c r="CS167" i="1" s="1"/>
  <c r="CV35" i="1" a="1"/>
  <c r="CV35" i="1" s="1"/>
  <c r="CV167" i="1" s="1"/>
  <c r="CY35" i="1" a="1"/>
  <c r="CY35" i="1" s="1"/>
  <c r="CY167" i="1" s="1"/>
  <c r="DB183" i="1"/>
  <c r="DD183" i="1" s="1"/>
  <c r="DD41" i="1"/>
  <c r="DB165" i="1"/>
  <c r="DD165" i="1" s="1"/>
  <c r="DD33" i="1"/>
  <c r="DD27" i="1"/>
  <c r="DB156" i="1"/>
  <c r="DD156" i="1" s="1"/>
  <c r="BQ96" i="1"/>
  <c r="CX96" i="1"/>
  <c r="DD51" i="1"/>
  <c r="DB190" i="1"/>
  <c r="DD190" i="1" s="1"/>
  <c r="DB188" i="1"/>
  <c r="DD188" i="1" s="1"/>
  <c r="DD43" i="1"/>
  <c r="DB166" i="1"/>
  <c r="DD166" i="1" s="1"/>
  <c r="DD34" i="1"/>
  <c r="DB211" i="1"/>
  <c r="DD211" i="1" s="1"/>
  <c r="DD20" i="1"/>
  <c r="DD13" i="1"/>
  <c r="DB205" i="1"/>
  <c r="DD205" i="1" s="1"/>
  <c r="CI96" i="1"/>
  <c r="DD96" i="1"/>
  <c r="CR96" i="1"/>
  <c r="DB180" i="1"/>
  <c r="DD180" i="1" s="1"/>
  <c r="DD40" i="1"/>
  <c r="DB163" i="1"/>
  <c r="DD163" i="1" s="1"/>
  <c r="DD32" i="1"/>
  <c r="DD18" i="1"/>
  <c r="DB208" i="1"/>
  <c r="DD208" i="1" s="1"/>
  <c r="DB210" i="1"/>
  <c r="DD210" i="1" s="1"/>
  <c r="DD19" i="1"/>
  <c r="CC96" i="1"/>
  <c r="DB179" i="1"/>
  <c r="DD179" i="1" s="1"/>
  <c r="DD39" i="1"/>
  <c r="DB161" i="1"/>
  <c r="DD161" i="1" s="1"/>
  <c r="DD31" i="1"/>
  <c r="DH4" i="1"/>
  <c r="DE8" i="1" a="1"/>
  <c r="DE8" i="1" s="1"/>
  <c r="DG8" i="1" s="1"/>
  <c r="DE9" i="1" a="1"/>
  <c r="DE9" i="1" s="1"/>
  <c r="DG9" i="1" s="1"/>
  <c r="DE6" i="1" a="1"/>
  <c r="DE6" i="1" s="1"/>
  <c r="DG6" i="1" s="1"/>
  <c r="DE10" i="1" a="1"/>
  <c r="DE10" i="1" s="1"/>
  <c r="DG10" i="1" s="1"/>
  <c r="DE11" i="1" a="1"/>
  <c r="DE11" i="1" s="1"/>
  <c r="DG11" i="1" s="1"/>
  <c r="DE12" i="1" a="1"/>
  <c r="DE12" i="1" s="1"/>
  <c r="DE14" i="1" a="1"/>
  <c r="DE14" i="1" s="1"/>
  <c r="DE13" i="1" a="1"/>
  <c r="DE13" i="1" s="1"/>
  <c r="DE15" i="1" a="1"/>
  <c r="DE15" i="1" s="1"/>
  <c r="DG15" i="1" s="1"/>
  <c r="DE17" i="1" a="1"/>
  <c r="DE17" i="1" s="1"/>
  <c r="DG17" i="1" s="1"/>
  <c r="DE18" i="1" a="1"/>
  <c r="DE18" i="1" s="1"/>
  <c r="DE19" i="1" a="1"/>
  <c r="DE19" i="1" s="1"/>
  <c r="DE22" i="1" a="1"/>
  <c r="DE22" i="1" s="1"/>
  <c r="DG22" i="1" s="1"/>
  <c r="DE20" i="1" a="1"/>
  <c r="DE20" i="1" s="1"/>
  <c r="DE21" i="1" a="1"/>
  <c r="DE21" i="1" s="1"/>
  <c r="DE25" i="1" a="1"/>
  <c r="DE25" i="1" s="1"/>
  <c r="DG25" i="1" s="1"/>
  <c r="DE23" i="1" a="1"/>
  <c r="DE23" i="1" s="1"/>
  <c r="DG23" i="1" s="1"/>
  <c r="DE27" i="1" a="1"/>
  <c r="DE27" i="1" s="1"/>
  <c r="DE28" i="1" a="1"/>
  <c r="DE28" i="1" s="1"/>
  <c r="DE30" i="1" a="1"/>
  <c r="DE30" i="1" s="1"/>
  <c r="DE29" i="1" a="1"/>
  <c r="DE29" i="1" s="1"/>
  <c r="DE31" i="1" a="1"/>
  <c r="DE31" i="1" s="1"/>
  <c r="DE32" i="1" a="1"/>
  <c r="DE32" i="1" s="1"/>
  <c r="DE33" i="1" a="1"/>
  <c r="DE33" i="1" s="1"/>
  <c r="DE36" i="1" a="1"/>
  <c r="DE36" i="1" s="1"/>
  <c r="DE35" i="1" a="1"/>
  <c r="DE35" i="1" s="1"/>
  <c r="DE167" i="1" s="1"/>
  <c r="DE37" i="1" a="1"/>
  <c r="DE37" i="1" s="1"/>
  <c r="DE38" i="1" a="1"/>
  <c r="DE38" i="1" s="1"/>
  <c r="DE39" i="1" a="1"/>
  <c r="DE39" i="1" s="1"/>
  <c r="DE40" i="1" a="1"/>
  <c r="DE40" i="1" s="1"/>
  <c r="DE41" i="1" a="1"/>
  <c r="DE41" i="1" s="1"/>
  <c r="DE34" i="1" a="1"/>
  <c r="DE34" i="1" s="1"/>
  <c r="DE44" i="1" a="1"/>
  <c r="DE44" i="1" s="1"/>
  <c r="DE45" i="1" a="1"/>
  <c r="DE45" i="1" s="1"/>
  <c r="DG45" i="1" s="1"/>
  <c r="DE49" i="1" a="1"/>
  <c r="DE49" i="1" s="1"/>
  <c r="DG49" i="1" s="1"/>
  <c r="DE46" i="1" a="1"/>
  <c r="DE46" i="1" s="1"/>
  <c r="DG46" i="1" s="1"/>
  <c r="DE43" i="1" a="1"/>
  <c r="DE43" i="1" s="1"/>
  <c r="DE47" i="1" a="1"/>
  <c r="DE47" i="1" s="1"/>
  <c r="DG47" i="1" s="1"/>
  <c r="DE42" i="1" a="1"/>
  <c r="DE42" i="1" s="1"/>
  <c r="DE50" i="1" a="1"/>
  <c r="DE50" i="1" s="1"/>
  <c r="DG50" i="1" s="1"/>
  <c r="DE52" i="1" a="1"/>
  <c r="DE52" i="1" s="1"/>
  <c r="DG52" i="1" s="1"/>
  <c r="DE54" i="1" a="1"/>
  <c r="DE54" i="1" s="1"/>
  <c r="DG54" i="1" s="1"/>
  <c r="DE48" i="1" a="1"/>
  <c r="DE48" i="1" s="1"/>
  <c r="DG48" i="1" s="1"/>
  <c r="DE51" i="1" a="1"/>
  <c r="DE51" i="1" s="1"/>
  <c r="DE55" i="1" a="1"/>
  <c r="DE55" i="1" s="1"/>
  <c r="DG55" i="1" s="1"/>
  <c r="DE66" i="1"/>
  <c r="DE58" i="1" a="1"/>
  <c r="DE58" i="1" s="1"/>
  <c r="DG58" i="1" s="1"/>
  <c r="DE60" i="1" a="1"/>
  <c r="DE60" i="1" s="1"/>
  <c r="DG60" i="1" s="1"/>
  <c r="DE61" i="1" a="1"/>
  <c r="DE61" i="1" s="1"/>
  <c r="DG61" i="1" s="1"/>
  <c r="DE62" i="1" a="1"/>
  <c r="DE62" i="1" s="1"/>
  <c r="DG62" i="1" s="1"/>
  <c r="DE56" i="1" a="1"/>
  <c r="DE56" i="1" s="1"/>
  <c r="DG56" i="1" s="1"/>
  <c r="DE68" i="1" a="1"/>
  <c r="DE68" i="1" s="1"/>
  <c r="DG68" i="1" s="1"/>
  <c r="DE71" i="1" a="1"/>
  <c r="DE71" i="1" s="1"/>
  <c r="DG71" i="1" s="1"/>
  <c r="DE72" i="1" a="1"/>
  <c r="DE72" i="1" s="1"/>
  <c r="DG72" i="1" s="1"/>
  <c r="DE73" i="1" a="1"/>
  <c r="DE73" i="1" s="1"/>
  <c r="DG73" i="1" s="1"/>
  <c r="DE69" i="1" a="1"/>
  <c r="DE69" i="1" s="1"/>
  <c r="DG69" i="1" s="1"/>
  <c r="DE70" i="1" a="1"/>
  <c r="DE70" i="1" s="1"/>
  <c r="DG70" i="1" s="1"/>
  <c r="DE75" i="1" a="1"/>
  <c r="DE75" i="1" s="1"/>
  <c r="DG75" i="1" s="1"/>
  <c r="DE74" i="1" a="1"/>
  <c r="DE74" i="1" s="1"/>
  <c r="DG74" i="1" s="1"/>
  <c r="DE76" i="1" a="1"/>
  <c r="DE76" i="1" s="1"/>
  <c r="DG76" i="1" s="1"/>
  <c r="DE77" i="1" a="1"/>
  <c r="DE77" i="1" s="1"/>
  <c r="DG77" i="1" s="1"/>
  <c r="DE78" i="1" a="1"/>
  <c r="DE78" i="1" s="1"/>
  <c r="DG78" i="1" s="1"/>
  <c r="DE79" i="1" a="1"/>
  <c r="DE79" i="1" s="1"/>
  <c r="DG79" i="1" s="1"/>
  <c r="DE80" i="1" a="1"/>
  <c r="DE80" i="1" s="1"/>
  <c r="DG80" i="1" s="1"/>
  <c r="DE85" i="1" a="1"/>
  <c r="DE85" i="1" s="1"/>
  <c r="DG85" i="1" s="1"/>
  <c r="DE82" i="1" a="1"/>
  <c r="DE82" i="1" s="1"/>
  <c r="DG82" i="1" s="1"/>
  <c r="DE83" i="1" a="1"/>
  <c r="DE83" i="1" s="1"/>
  <c r="DG83" i="1" s="1"/>
  <c r="DE86" i="1" a="1"/>
  <c r="DE86" i="1" s="1"/>
  <c r="DG86" i="1" s="1"/>
  <c r="DE87" i="1" a="1"/>
  <c r="DE87" i="1" s="1"/>
  <c r="DG87" i="1" s="1"/>
  <c r="DE88" i="1" a="1"/>
  <c r="DE88" i="1" s="1"/>
  <c r="DG88" i="1" s="1"/>
  <c r="DE89" i="1" a="1"/>
  <c r="DE89" i="1" s="1"/>
  <c r="DG89" i="1" s="1"/>
  <c r="DE81" i="1" a="1"/>
  <c r="DE81" i="1" s="1"/>
  <c r="DG81" i="1" s="1"/>
  <c r="DE90" i="1" a="1"/>
  <c r="DE90" i="1" s="1"/>
  <c r="DG90" i="1" s="1"/>
  <c r="DE91" i="1" a="1"/>
  <c r="DE91" i="1" s="1"/>
  <c r="DG91" i="1" s="1"/>
  <c r="DE84" i="1" a="1"/>
  <c r="DE84" i="1" s="1"/>
  <c r="DG84" i="1" s="1"/>
  <c r="DE97" i="1" a="1"/>
  <c r="DE97" i="1" s="1"/>
  <c r="DG97" i="1" s="1"/>
  <c r="DE98" i="1" a="1"/>
  <c r="DE98" i="1" s="1"/>
  <c r="DG98" i="1" s="1"/>
  <c r="DE93" i="1" a="1"/>
  <c r="DE93" i="1" s="1"/>
  <c r="DG93" i="1" s="1"/>
  <c r="DE99" i="1" a="1"/>
  <c r="DE99" i="1" s="1"/>
  <c r="DG99" i="1" s="1"/>
  <c r="DE100" i="1" a="1"/>
  <c r="DE100" i="1" s="1"/>
  <c r="DG100" i="1" s="1"/>
  <c r="DE101" i="1" a="1"/>
  <c r="DE101" i="1" s="1"/>
  <c r="DG101" i="1" s="1"/>
  <c r="DE92" i="1" a="1"/>
  <c r="DE92" i="1" s="1"/>
  <c r="DG92" i="1" s="1"/>
  <c r="DE94" i="1" a="1"/>
  <c r="DE94" i="1" s="1"/>
  <c r="DG94" i="1" s="1"/>
  <c r="DE95" i="1" a="1"/>
  <c r="DE95" i="1" s="1"/>
  <c r="DG95" i="1" s="1"/>
  <c r="DE96" i="1" a="1"/>
  <c r="DE96" i="1" s="1"/>
  <c r="DG96" i="1" s="1"/>
  <c r="DE108" i="1" a="1"/>
  <c r="DE108" i="1" s="1"/>
  <c r="DG108" i="1" s="1"/>
  <c r="DE116" i="1" a="1"/>
  <c r="DE116" i="1" s="1"/>
  <c r="DG116" i="1" s="1"/>
  <c r="DE109" i="1" a="1"/>
  <c r="DE109" i="1" s="1"/>
  <c r="DG109" i="1" s="1"/>
  <c r="DE117" i="1" a="1"/>
  <c r="DE117" i="1" s="1"/>
  <c r="DG117" i="1" s="1"/>
  <c r="DE102" i="1" a="1"/>
  <c r="DE102" i="1" s="1"/>
  <c r="DG102" i="1" s="1"/>
  <c r="DE110" i="1" a="1"/>
  <c r="DE110" i="1" s="1"/>
  <c r="DG110" i="1" s="1"/>
  <c r="DE118" i="1" a="1"/>
  <c r="DE118" i="1" s="1"/>
  <c r="DG118" i="1" s="1"/>
  <c r="DE103" i="1" a="1"/>
  <c r="DE103" i="1" s="1"/>
  <c r="DG103" i="1" s="1"/>
  <c r="DE111" i="1" a="1"/>
  <c r="DE111" i="1" s="1"/>
  <c r="DG111" i="1" s="1"/>
  <c r="DE119" i="1" a="1"/>
  <c r="DE119" i="1" s="1"/>
  <c r="DG119" i="1" s="1"/>
  <c r="DE104" i="1" a="1"/>
  <c r="DE104" i="1" s="1"/>
  <c r="DG104" i="1" s="1"/>
  <c r="DE112" i="1" a="1"/>
  <c r="DE112" i="1" s="1"/>
  <c r="DG112" i="1" s="1"/>
  <c r="DE105" i="1" a="1"/>
  <c r="DE105" i="1" s="1"/>
  <c r="DG105" i="1" s="1"/>
  <c r="DE113" i="1" a="1"/>
  <c r="DE113" i="1" s="1"/>
  <c r="DG113" i="1" s="1"/>
  <c r="DE106" i="1" a="1"/>
  <c r="DE106" i="1" s="1"/>
  <c r="DG106" i="1" s="1"/>
  <c r="DE107" i="1" a="1"/>
  <c r="DE107" i="1" s="1"/>
  <c r="DG107" i="1" s="1"/>
  <c r="DE115" i="1" a="1"/>
  <c r="DE115" i="1" s="1"/>
  <c r="DG115" i="1" s="1"/>
  <c r="DE122" i="1" a="1"/>
  <c r="DE122" i="1" s="1"/>
  <c r="DG122" i="1" s="1"/>
  <c r="DE130" i="1" a="1"/>
  <c r="DE130" i="1" s="1"/>
  <c r="DG130" i="1" s="1"/>
  <c r="DE123" i="1" a="1"/>
  <c r="DE123" i="1" s="1"/>
  <c r="DG123" i="1" s="1"/>
  <c r="DE125" i="1" a="1"/>
  <c r="DE125" i="1" s="1"/>
  <c r="DG125" i="1" s="1"/>
  <c r="DE127" i="1" a="1"/>
  <c r="DE127" i="1" s="1"/>
  <c r="DG127" i="1" s="1"/>
  <c r="DE120" i="1" a="1"/>
  <c r="DE120" i="1" s="1"/>
  <c r="DG120" i="1" s="1"/>
  <c r="DE128" i="1" a="1"/>
  <c r="DE128" i="1" s="1"/>
  <c r="DG128" i="1" s="1"/>
  <c r="DE121" i="1" a="1"/>
  <c r="DE121" i="1" s="1"/>
  <c r="DG121" i="1" s="1"/>
  <c r="DE139" i="1" a="1"/>
  <c r="DE139" i="1" s="1"/>
  <c r="DG139" i="1" s="1"/>
  <c r="DE140" i="1" a="1"/>
  <c r="DE140" i="1" s="1"/>
  <c r="DG140" i="1" s="1"/>
  <c r="DE135" i="1" a="1"/>
  <c r="DE135" i="1" s="1"/>
  <c r="DG135" i="1" s="1"/>
  <c r="DE141" i="1" a="1"/>
  <c r="DE141" i="1" s="1"/>
  <c r="DG141" i="1" s="1"/>
  <c r="DE133" i="1" a="1"/>
  <c r="DE133" i="1" s="1"/>
  <c r="DG133" i="1" s="1"/>
  <c r="DE137" i="1" a="1"/>
  <c r="DE137" i="1" s="1"/>
  <c r="DG137" i="1" s="1"/>
  <c r="CY96" i="1" a="1"/>
  <c r="CY96" i="1" s="1"/>
  <c r="DA96" i="1" s="1"/>
  <c r="BB96" i="1" l="1"/>
  <c r="DG38" i="1"/>
  <c r="DE178" i="1"/>
  <c r="DG178" i="1" s="1"/>
  <c r="DE176" i="1"/>
  <c r="DG176" i="1" s="1"/>
  <c r="DG37" i="1"/>
  <c r="DE157" i="1"/>
  <c r="DG157" i="1" s="1"/>
  <c r="DG28" i="1"/>
  <c r="DE204" i="1"/>
  <c r="DG204" i="1" s="1"/>
  <c r="DG12" i="1"/>
  <c r="DR167" i="1"/>
  <c r="BZ35" i="1"/>
  <c r="BY167" i="1"/>
  <c r="BZ167" i="1" s="1"/>
  <c r="BQ35" i="1"/>
  <c r="BP167" i="1"/>
  <c r="BQ167" i="1" s="1"/>
  <c r="DE156" i="1"/>
  <c r="DG156" i="1" s="1"/>
  <c r="DG27" i="1"/>
  <c r="DE210" i="1"/>
  <c r="DG210" i="1" s="1"/>
  <c r="DG19" i="1"/>
  <c r="EG167" i="1"/>
  <c r="DX167" i="1"/>
  <c r="EJ167" i="1"/>
  <c r="DG20" i="1"/>
  <c r="DE211" i="1"/>
  <c r="DG211" i="1" s="1"/>
  <c r="DD35" i="1"/>
  <c r="DC167" i="1"/>
  <c r="DD167" i="1" s="1"/>
  <c r="DE191" i="1"/>
  <c r="DG191" i="1" s="1"/>
  <c r="DG44" i="1"/>
  <c r="DE172" i="1"/>
  <c r="DG172" i="1" s="1"/>
  <c r="DG36" i="1"/>
  <c r="DE208" i="1"/>
  <c r="DG208" i="1" s="1"/>
  <c r="DG18" i="1"/>
  <c r="CC35" i="1"/>
  <c r="CB167" i="1"/>
  <c r="CC167" i="1" s="1"/>
  <c r="CL35" i="1"/>
  <c r="CK167" i="1"/>
  <c r="CL167" i="1" s="1"/>
  <c r="BN35" i="1"/>
  <c r="BM167" i="1"/>
  <c r="BN167" i="1" s="1"/>
  <c r="BE35" i="1"/>
  <c r="BD167" i="1"/>
  <c r="BE167" i="1" s="1"/>
  <c r="CF35" i="1"/>
  <c r="CE167" i="1"/>
  <c r="CF167" i="1" s="1"/>
  <c r="BT35" i="1"/>
  <c r="BS167" i="1"/>
  <c r="BT167" i="1" s="1"/>
  <c r="CO35" i="1"/>
  <c r="CN167" i="1"/>
  <c r="CO167" i="1" s="1"/>
  <c r="DE166" i="1"/>
  <c r="DG166" i="1" s="1"/>
  <c r="DG34" i="1"/>
  <c r="DE165" i="1"/>
  <c r="DG165" i="1" s="1"/>
  <c r="DG33" i="1"/>
  <c r="DA35" i="1"/>
  <c r="CZ167" i="1"/>
  <c r="DA167" i="1" s="1"/>
  <c r="BH35" i="1"/>
  <c r="BG167" i="1"/>
  <c r="BH167" i="1" s="1"/>
  <c r="AY35" i="1"/>
  <c r="AX167" i="1"/>
  <c r="ED167" i="1"/>
  <c r="DE160" i="1"/>
  <c r="DG160" i="1" s="1"/>
  <c r="DG30" i="1"/>
  <c r="CI35" i="1"/>
  <c r="CH167" i="1"/>
  <c r="CI167" i="1" s="1"/>
  <c r="DE185" i="1"/>
  <c r="DG185" i="1" s="1"/>
  <c r="DG42" i="1"/>
  <c r="DE183" i="1"/>
  <c r="DG183" i="1" s="1"/>
  <c r="DG41" i="1"/>
  <c r="DE163" i="1"/>
  <c r="DG163" i="1" s="1"/>
  <c r="DG32" i="1"/>
  <c r="EA167" i="1"/>
  <c r="DI167" i="1"/>
  <c r="DG35" i="1"/>
  <c r="DF167" i="1"/>
  <c r="DG167" i="1" s="1"/>
  <c r="DU167" i="1"/>
  <c r="DE209" i="1"/>
  <c r="DG209" i="1" s="1"/>
  <c r="DG14" i="1"/>
  <c r="DH8" i="1" a="1"/>
  <c r="DH8" i="1" s="1"/>
  <c r="DJ8" i="1" s="1"/>
  <c r="DH9" i="1" a="1"/>
  <c r="DH9" i="1" s="1"/>
  <c r="DJ9" i="1" s="1"/>
  <c r="DK4" i="1"/>
  <c r="DH6" i="1" a="1"/>
  <c r="DH6" i="1" s="1"/>
  <c r="DJ6" i="1" s="1"/>
  <c r="DH12" i="1" a="1"/>
  <c r="DH12" i="1" s="1"/>
  <c r="DH13" i="1" a="1"/>
  <c r="DH13" i="1" s="1"/>
  <c r="DH10" i="1" a="1"/>
  <c r="DH10" i="1" s="1"/>
  <c r="DJ10" i="1" s="1"/>
  <c r="DH14" i="1" a="1"/>
  <c r="DH14" i="1" s="1"/>
  <c r="DH11" i="1" a="1"/>
  <c r="DH11" i="1" s="1"/>
  <c r="DJ11" i="1" s="1"/>
  <c r="DH17" i="1" a="1"/>
  <c r="DH17" i="1" s="1"/>
  <c r="DJ17" i="1" s="1"/>
  <c r="DH15" i="1" a="1"/>
  <c r="DH15" i="1" s="1"/>
  <c r="DJ15" i="1" s="1"/>
  <c r="DH18" i="1" a="1"/>
  <c r="DH18" i="1" s="1"/>
  <c r="DH19" i="1" a="1"/>
  <c r="DH19" i="1" s="1"/>
  <c r="DH20" i="1" a="1"/>
  <c r="DH20" i="1" s="1"/>
  <c r="DH22" i="1" a="1"/>
  <c r="DH22" i="1" s="1"/>
  <c r="DJ22" i="1" s="1"/>
  <c r="DH21" i="1" a="1"/>
  <c r="DH21" i="1" s="1"/>
  <c r="DH23" i="1" a="1"/>
  <c r="DH23" i="1" s="1"/>
  <c r="DJ23" i="1" s="1"/>
  <c r="DH25" i="1" a="1"/>
  <c r="DH25" i="1" s="1"/>
  <c r="DJ25" i="1" s="1"/>
  <c r="DH27" i="1" a="1"/>
  <c r="DH27" i="1" s="1"/>
  <c r="DH28" i="1" a="1"/>
  <c r="DH28" i="1" s="1"/>
  <c r="DH29" i="1" a="1"/>
  <c r="DH29" i="1" s="1"/>
  <c r="DH30" i="1"/>
  <c r="DH31" i="1" a="1"/>
  <c r="DH31" i="1" s="1"/>
  <c r="DH32" i="1" a="1"/>
  <c r="DH32" i="1" s="1"/>
  <c r="DH33" i="1" a="1"/>
  <c r="DH33" i="1" s="1"/>
  <c r="DH34" i="1" a="1"/>
  <c r="DH34" i="1" s="1"/>
  <c r="DH36" i="1" a="1"/>
  <c r="DH36" i="1" s="1"/>
  <c r="DH37" i="1" a="1"/>
  <c r="DH37" i="1" s="1"/>
  <c r="DH38" i="1" a="1"/>
  <c r="DH38" i="1" s="1"/>
  <c r="DH46" i="1" a="1"/>
  <c r="DH46" i="1" s="1"/>
  <c r="DJ46" i="1" s="1"/>
  <c r="DH43" i="1" a="1"/>
  <c r="DH43" i="1" s="1"/>
  <c r="DH42" i="1" a="1"/>
  <c r="DH42" i="1" s="1"/>
  <c r="DH35" i="1" a="1"/>
  <c r="DH35" i="1" s="1"/>
  <c r="DH167" i="1" s="1"/>
  <c r="DH39" i="1" a="1"/>
  <c r="DH39" i="1" s="1"/>
  <c r="DH44" i="1" a="1"/>
  <c r="DH44" i="1" s="1"/>
  <c r="DH40" i="1" a="1"/>
  <c r="DH40" i="1" s="1"/>
  <c r="DH41" i="1" a="1"/>
  <c r="DH41" i="1" s="1"/>
  <c r="DH45" i="1" a="1"/>
  <c r="DH45" i="1" s="1"/>
  <c r="DJ45" i="1" s="1"/>
  <c r="DH47" i="1" a="1"/>
  <c r="DH47" i="1" s="1"/>
  <c r="DJ47" i="1" s="1"/>
  <c r="DH54" i="1" a="1"/>
  <c r="DH54" i="1" s="1"/>
  <c r="DJ54" i="1" s="1"/>
  <c r="DH48" i="1" a="1"/>
  <c r="DH48" i="1" s="1"/>
  <c r="DJ48" i="1" s="1"/>
  <c r="DH51" i="1" a="1"/>
  <c r="DH51" i="1" s="1"/>
  <c r="DH50" i="1" a="1"/>
  <c r="DH50" i="1" s="1"/>
  <c r="DJ50" i="1" s="1"/>
  <c r="DH49" i="1" a="1"/>
  <c r="DH49" i="1" s="1"/>
  <c r="DJ49" i="1" s="1"/>
  <c r="DH58" i="1" a="1"/>
  <c r="DH58" i="1" s="1"/>
  <c r="DJ58" i="1" s="1"/>
  <c r="DH60" i="1" a="1"/>
  <c r="DH60" i="1" s="1"/>
  <c r="DJ60" i="1" s="1"/>
  <c r="DH61" i="1" a="1"/>
  <c r="DH61" i="1" s="1"/>
  <c r="DJ61" i="1" s="1"/>
  <c r="DH62" i="1" a="1"/>
  <c r="DH62" i="1" s="1"/>
  <c r="DJ62" i="1" s="1"/>
  <c r="DH56" i="1" a="1"/>
  <c r="DH56" i="1" s="1"/>
  <c r="DJ56" i="1" s="1"/>
  <c r="DH52" i="1" a="1"/>
  <c r="DH52" i="1" s="1"/>
  <c r="DJ52" i="1" s="1"/>
  <c r="DH55" i="1" a="1"/>
  <c r="DH55" i="1" s="1"/>
  <c r="DJ55" i="1" s="1"/>
  <c r="DH68" i="1" a="1"/>
  <c r="DH68" i="1" s="1"/>
  <c r="DJ68" i="1" s="1"/>
  <c r="DH71" i="1" a="1"/>
  <c r="DH71" i="1" s="1"/>
  <c r="DJ71" i="1" s="1"/>
  <c r="DH72" i="1" a="1"/>
  <c r="DH72" i="1" s="1"/>
  <c r="DJ72" i="1" s="1"/>
  <c r="DH73" i="1" a="1"/>
  <c r="DH73" i="1" s="1"/>
  <c r="DJ73" i="1" s="1"/>
  <c r="DH69" i="1" a="1"/>
  <c r="DH69" i="1" s="1"/>
  <c r="DJ69" i="1" s="1"/>
  <c r="DH70" i="1" a="1"/>
  <c r="DH70" i="1" s="1"/>
  <c r="DJ70" i="1" s="1"/>
  <c r="DH66" i="1"/>
  <c r="DH75" i="1" a="1"/>
  <c r="DH75" i="1" s="1"/>
  <c r="DJ75" i="1" s="1"/>
  <c r="DH74" i="1" a="1"/>
  <c r="DH74" i="1" s="1"/>
  <c r="DJ74" i="1" s="1"/>
  <c r="DH76" i="1" a="1"/>
  <c r="DH76" i="1" s="1"/>
  <c r="DJ76" i="1" s="1"/>
  <c r="DH77" i="1" a="1"/>
  <c r="DH77" i="1" s="1"/>
  <c r="DJ77" i="1" s="1"/>
  <c r="DH78" i="1" a="1"/>
  <c r="DH78" i="1" s="1"/>
  <c r="DJ78" i="1" s="1"/>
  <c r="DH79" i="1" a="1"/>
  <c r="DH79" i="1" s="1"/>
  <c r="DJ79" i="1" s="1"/>
  <c r="DH82" i="1" a="1"/>
  <c r="DH82" i="1" s="1"/>
  <c r="DJ82" i="1" s="1"/>
  <c r="DH88" i="1" a="1"/>
  <c r="DH88" i="1" s="1"/>
  <c r="DJ88" i="1" s="1"/>
  <c r="DH89" i="1" a="1"/>
  <c r="DH89" i="1" s="1"/>
  <c r="DJ89" i="1" s="1"/>
  <c r="DH81" i="1" a="1"/>
  <c r="DH81" i="1" s="1"/>
  <c r="DJ81" i="1" s="1"/>
  <c r="DH90" i="1" a="1"/>
  <c r="DH90" i="1" s="1"/>
  <c r="DJ90" i="1" s="1"/>
  <c r="DH84" i="1" a="1"/>
  <c r="DH84" i="1" s="1"/>
  <c r="DJ84" i="1" s="1"/>
  <c r="DH92" i="1" a="1"/>
  <c r="DH92" i="1" s="1"/>
  <c r="DJ92" i="1" s="1"/>
  <c r="DH83" i="1" a="1"/>
  <c r="DH83" i="1" s="1"/>
  <c r="DJ83" i="1" s="1"/>
  <c r="DH85" i="1" a="1"/>
  <c r="DH85" i="1" s="1"/>
  <c r="DJ85" i="1" s="1"/>
  <c r="DH86" i="1" a="1"/>
  <c r="DH86" i="1" s="1"/>
  <c r="DJ86" i="1" s="1"/>
  <c r="DH80" i="1" a="1"/>
  <c r="DH80" i="1" s="1"/>
  <c r="DJ80" i="1" s="1"/>
  <c r="DH87" i="1" a="1"/>
  <c r="DH87" i="1" s="1"/>
  <c r="DJ87" i="1" s="1"/>
  <c r="DH100" i="1" a="1"/>
  <c r="DH100" i="1" s="1"/>
  <c r="DJ100" i="1" s="1"/>
  <c r="DH101" i="1" a="1"/>
  <c r="DH101" i="1" s="1"/>
  <c r="DJ101" i="1" s="1"/>
  <c r="DH94" i="1" a="1"/>
  <c r="DH94" i="1" s="1"/>
  <c r="DJ94" i="1" s="1"/>
  <c r="DH95" i="1" a="1"/>
  <c r="DH95" i="1" s="1"/>
  <c r="DJ95" i="1" s="1"/>
  <c r="DH96" i="1" a="1"/>
  <c r="DH96" i="1" s="1"/>
  <c r="DJ96" i="1" s="1"/>
  <c r="DH97" i="1" a="1"/>
  <c r="DH97" i="1" s="1"/>
  <c r="DJ97" i="1" s="1"/>
  <c r="DH91" i="1" a="1"/>
  <c r="DH91" i="1" s="1"/>
  <c r="DJ91" i="1" s="1"/>
  <c r="DH93" i="1" a="1"/>
  <c r="DH93" i="1" s="1"/>
  <c r="DJ93" i="1" s="1"/>
  <c r="DH98" i="1" a="1"/>
  <c r="DH98" i="1" s="1"/>
  <c r="DJ98" i="1" s="1"/>
  <c r="DH99" i="1" a="1"/>
  <c r="DH99" i="1" s="1"/>
  <c r="DJ99" i="1" s="1"/>
  <c r="DH103" i="1" a="1"/>
  <c r="DH103" i="1" s="1"/>
  <c r="DJ103" i="1" s="1"/>
  <c r="DH111" i="1" a="1"/>
  <c r="DH111" i="1" s="1"/>
  <c r="DJ111" i="1" s="1"/>
  <c r="DH119" i="1" a="1"/>
  <c r="DH119" i="1" s="1"/>
  <c r="DJ119" i="1" s="1"/>
  <c r="DH104" i="1" a="1"/>
  <c r="DH104" i="1" s="1"/>
  <c r="DJ104" i="1" s="1"/>
  <c r="DH112" i="1" a="1"/>
  <c r="DH112" i="1" s="1"/>
  <c r="DJ112" i="1" s="1"/>
  <c r="DH105" i="1" a="1"/>
  <c r="DH105" i="1" s="1"/>
  <c r="DJ105" i="1" s="1"/>
  <c r="DH113" i="1" a="1"/>
  <c r="DH113" i="1" s="1"/>
  <c r="DJ113" i="1" s="1"/>
  <c r="DH106" i="1" a="1"/>
  <c r="DH106" i="1" s="1"/>
  <c r="DJ106" i="1" s="1"/>
  <c r="DH107" i="1" a="1"/>
  <c r="DH107" i="1" s="1"/>
  <c r="DJ107" i="1" s="1"/>
  <c r="DH115" i="1" a="1"/>
  <c r="DH115" i="1" s="1"/>
  <c r="DJ115" i="1" s="1"/>
  <c r="DH108" i="1" a="1"/>
  <c r="DH108" i="1" s="1"/>
  <c r="DJ108" i="1" s="1"/>
  <c r="DH116" i="1" a="1"/>
  <c r="DH116" i="1" s="1"/>
  <c r="DJ116" i="1" s="1"/>
  <c r="DH109" i="1" a="1"/>
  <c r="DH109" i="1" s="1"/>
  <c r="DJ109" i="1" s="1"/>
  <c r="DH117" i="1" a="1"/>
  <c r="DH117" i="1" s="1"/>
  <c r="DJ117" i="1" s="1"/>
  <c r="DH102" i="1" a="1"/>
  <c r="DH102" i="1" s="1"/>
  <c r="DJ102" i="1" s="1"/>
  <c r="DH110" i="1" a="1"/>
  <c r="DH110" i="1" s="1"/>
  <c r="DJ110" i="1" s="1"/>
  <c r="DH118" i="1" a="1"/>
  <c r="DH118" i="1" s="1"/>
  <c r="DJ118" i="1" s="1"/>
  <c r="DH125" i="1" a="1"/>
  <c r="DH125" i="1" s="1"/>
  <c r="DJ125" i="1" s="1"/>
  <c r="DH133" i="1" a="1"/>
  <c r="DH133" i="1" s="1"/>
  <c r="DJ133" i="1" s="1"/>
  <c r="DH127" i="1" a="1"/>
  <c r="DH127" i="1" s="1"/>
  <c r="DJ127" i="1" s="1"/>
  <c r="DH135" i="1" a="1"/>
  <c r="DH135" i="1" s="1"/>
  <c r="DJ135" i="1" s="1"/>
  <c r="DH120" i="1" a="1"/>
  <c r="DH120" i="1" s="1"/>
  <c r="DJ120" i="1" s="1"/>
  <c r="DH128" i="1" a="1"/>
  <c r="DH128" i="1" s="1"/>
  <c r="DJ128" i="1" s="1"/>
  <c r="DH121" i="1" a="1"/>
  <c r="DH121" i="1" s="1"/>
  <c r="DJ121" i="1" s="1"/>
  <c r="DH122" i="1" a="1"/>
  <c r="DH122" i="1" s="1"/>
  <c r="DJ122" i="1" s="1"/>
  <c r="DH130" i="1" a="1"/>
  <c r="DH130" i="1" s="1"/>
  <c r="DJ130" i="1" s="1"/>
  <c r="DH123" i="1" a="1"/>
  <c r="DH123" i="1" s="1"/>
  <c r="DJ123" i="1" s="1"/>
  <c r="DH141" i="1" a="1"/>
  <c r="DH141" i="1" s="1"/>
  <c r="DJ141" i="1" s="1"/>
  <c r="DH137" i="1" a="1"/>
  <c r="DH137" i="1" s="1"/>
  <c r="DJ137" i="1" s="1"/>
  <c r="DH139" i="1" a="1"/>
  <c r="DH139" i="1" s="1"/>
  <c r="DJ139" i="1" s="1"/>
  <c r="DH140" i="1" a="1"/>
  <c r="DH140" i="1" s="1"/>
  <c r="DJ140" i="1" s="1"/>
  <c r="CR35" i="1"/>
  <c r="CQ167" i="1"/>
  <c r="CR167" i="1" s="1"/>
  <c r="DE180" i="1"/>
  <c r="DG180" i="1" s="1"/>
  <c r="DG40" i="1"/>
  <c r="DE161" i="1"/>
  <c r="DG161" i="1" s="1"/>
  <c r="DG31" i="1"/>
  <c r="DE205" i="1"/>
  <c r="DG205" i="1" s="1"/>
  <c r="DG13" i="1"/>
  <c r="DL167" i="1"/>
  <c r="BW35" i="1"/>
  <c r="BV167" i="1"/>
  <c r="BW167" i="1" s="1"/>
  <c r="BB35" i="1"/>
  <c r="BA167" i="1"/>
  <c r="BB167" i="1" s="1"/>
  <c r="CU35" i="1"/>
  <c r="CT167" i="1"/>
  <c r="CU167" i="1" s="1"/>
  <c r="DE190" i="1"/>
  <c r="DG190" i="1" s="1"/>
  <c r="DG51" i="1"/>
  <c r="DE188" i="1"/>
  <c r="DG188" i="1" s="1"/>
  <c r="DG43" i="1"/>
  <c r="DG39" i="1"/>
  <c r="DE179" i="1"/>
  <c r="DG179" i="1" s="1"/>
  <c r="DE158" i="1"/>
  <c r="DG158" i="1" s="1"/>
  <c r="DG29" i="1"/>
  <c r="DE206" i="1"/>
  <c r="DG206" i="1" s="1"/>
  <c r="DG21" i="1"/>
  <c r="DO167" i="1"/>
  <c r="CX35" i="1"/>
  <c r="CW167" i="1"/>
  <c r="CX167" i="1" s="1"/>
  <c r="BK35" i="1"/>
  <c r="BJ167" i="1"/>
  <c r="BK167" i="1" s="1"/>
  <c r="DH160" i="1" l="1"/>
  <c r="DJ160" i="1" s="1"/>
  <c r="DJ30" i="1"/>
  <c r="DH206" i="1"/>
  <c r="DJ206" i="1" s="1"/>
  <c r="DJ21" i="1"/>
  <c r="DJ167" i="1"/>
  <c r="AY167" i="1"/>
  <c r="DH188" i="1"/>
  <c r="DJ188" i="1" s="1"/>
  <c r="DJ43" i="1"/>
  <c r="DH183" i="1"/>
  <c r="DJ183" i="1" s="1"/>
  <c r="DJ41" i="1"/>
  <c r="DH178" i="1"/>
  <c r="DJ178" i="1" s="1"/>
  <c r="DJ38" i="1"/>
  <c r="DH158" i="1"/>
  <c r="DJ158" i="1" s="1"/>
  <c r="DJ29" i="1"/>
  <c r="DH209" i="1"/>
  <c r="DJ209" i="1" s="1"/>
  <c r="DJ14" i="1"/>
  <c r="DJ35" i="1"/>
  <c r="DH161" i="1"/>
  <c r="DJ161" i="1" s="1"/>
  <c r="DJ31" i="1"/>
  <c r="DH180" i="1"/>
  <c r="DJ180" i="1" s="1"/>
  <c r="DJ40" i="1"/>
  <c r="DH176" i="1"/>
  <c r="DJ176" i="1" s="1"/>
  <c r="DJ37" i="1"/>
  <c r="DH157" i="1"/>
  <c r="DJ157" i="1" s="1"/>
  <c r="DJ28" i="1"/>
  <c r="DH211" i="1"/>
  <c r="DJ211" i="1" s="1"/>
  <c r="DJ20" i="1"/>
  <c r="DH190" i="1"/>
  <c r="DJ190" i="1" s="1"/>
  <c r="DJ51" i="1"/>
  <c r="DJ44" i="1"/>
  <c r="DH191" i="1"/>
  <c r="DJ191" i="1" s="1"/>
  <c r="DH172" i="1"/>
  <c r="DJ172" i="1" s="1"/>
  <c r="DJ36" i="1"/>
  <c r="DJ27" i="1"/>
  <c r="DH156" i="1"/>
  <c r="DJ156" i="1" s="1"/>
  <c r="DH210" i="1"/>
  <c r="DJ210" i="1" s="1"/>
  <c r="DJ19" i="1"/>
  <c r="DH205" i="1"/>
  <c r="DJ205" i="1" s="1"/>
  <c r="DJ13" i="1"/>
  <c r="DH179" i="1"/>
  <c r="DJ179" i="1" s="1"/>
  <c r="DJ39" i="1"/>
  <c r="DH166" i="1"/>
  <c r="DJ166" i="1" s="1"/>
  <c r="DJ34" i="1"/>
  <c r="DH208" i="1"/>
  <c r="DJ208" i="1" s="1"/>
  <c r="DJ18" i="1"/>
  <c r="DJ12" i="1"/>
  <c r="DH204" i="1"/>
  <c r="DJ204" i="1" s="1"/>
  <c r="DH165" i="1"/>
  <c r="DJ165" i="1" s="1"/>
  <c r="DJ33" i="1"/>
  <c r="DH185" i="1"/>
  <c r="DJ185" i="1" s="1"/>
  <c r="DJ42" i="1"/>
  <c r="DH163" i="1"/>
  <c r="DJ163" i="1" s="1"/>
  <c r="DJ32" i="1"/>
  <c r="DN4" i="1"/>
  <c r="DK8" i="1" a="1"/>
  <c r="DK8" i="1" s="1"/>
  <c r="DM8" i="1" s="1"/>
  <c r="DK9" i="1" a="1"/>
  <c r="DK9" i="1" s="1"/>
  <c r="DM9" i="1" s="1"/>
  <c r="DK6" i="1"/>
  <c r="DM6" i="1" s="1"/>
  <c r="DK10" i="1" a="1"/>
  <c r="DK10" i="1" s="1"/>
  <c r="DM10" i="1" s="1"/>
  <c r="DK11" i="1" a="1"/>
  <c r="DK11" i="1" s="1"/>
  <c r="DM11" i="1" s="1"/>
  <c r="DK12" i="1" a="1"/>
  <c r="DK12" i="1" s="1"/>
  <c r="DK14" i="1" a="1"/>
  <c r="DK14" i="1" s="1"/>
  <c r="DK13" i="1" a="1"/>
  <c r="DK13" i="1" s="1"/>
  <c r="DK17" i="1" a="1"/>
  <c r="DK17" i="1" s="1"/>
  <c r="DM17" i="1" s="1"/>
  <c r="DK20" i="1" a="1"/>
  <c r="DK20" i="1" s="1"/>
  <c r="DK15" i="1" a="1"/>
  <c r="DK15" i="1" s="1"/>
  <c r="DM15" i="1" s="1"/>
  <c r="DK18" i="1" a="1"/>
  <c r="DK18" i="1" s="1"/>
  <c r="DK19" i="1" a="1"/>
  <c r="DK19" i="1" s="1"/>
  <c r="DK27" i="1" a="1"/>
  <c r="DK27" i="1" s="1"/>
  <c r="DK22" i="1" a="1"/>
  <c r="DK22" i="1" s="1"/>
  <c r="DM22" i="1" s="1"/>
  <c r="DK23" i="1" a="1"/>
  <c r="DK23" i="1" s="1"/>
  <c r="DM23" i="1" s="1"/>
  <c r="DK25" i="1" a="1"/>
  <c r="DK25" i="1" s="1"/>
  <c r="DM25" i="1" s="1"/>
  <c r="DK30" i="1" a="1"/>
  <c r="DK30" i="1" s="1"/>
  <c r="DK28" i="1" a="1"/>
  <c r="DK28" i="1" s="1"/>
  <c r="DK29" i="1" a="1"/>
  <c r="DK29" i="1" s="1"/>
  <c r="DK21" i="1" a="1"/>
  <c r="DK21" i="1" s="1"/>
  <c r="DK31" i="1" a="1"/>
  <c r="DK31" i="1" s="1"/>
  <c r="DK32" i="1" a="1"/>
  <c r="DK32" i="1" s="1"/>
  <c r="DK33" i="1" a="1"/>
  <c r="DK33" i="1" s="1"/>
  <c r="DK35" i="1" a="1"/>
  <c r="DK35" i="1" s="1"/>
  <c r="DK36" i="1" a="1"/>
  <c r="DK36" i="1" s="1"/>
  <c r="DK34" i="1" a="1"/>
  <c r="DK34" i="1" s="1"/>
  <c r="DK37" i="1" a="1"/>
  <c r="DK37" i="1" s="1"/>
  <c r="DK38" i="1" a="1"/>
  <c r="DK38" i="1" s="1"/>
  <c r="DK39" i="1" a="1"/>
  <c r="DK39" i="1" s="1"/>
  <c r="DK40" i="1" a="1"/>
  <c r="DK40" i="1" s="1"/>
  <c r="DK41" i="1" a="1"/>
  <c r="DK41" i="1" s="1"/>
  <c r="DK42" i="1" a="1"/>
  <c r="DK42" i="1" s="1"/>
  <c r="DK43" i="1" a="1"/>
  <c r="DK43" i="1" s="1"/>
  <c r="DK47" i="1" a="1"/>
  <c r="DK47" i="1" s="1"/>
  <c r="DM47" i="1" s="1"/>
  <c r="DK44" i="1" a="1"/>
  <c r="DK44" i="1" s="1"/>
  <c r="DK48" i="1" a="1"/>
  <c r="DK48" i="1" s="1"/>
  <c r="DM48" i="1" s="1"/>
  <c r="DK45" i="1" a="1"/>
  <c r="DK45" i="1" s="1"/>
  <c r="DM45" i="1" s="1"/>
  <c r="DK46" i="1" a="1"/>
  <c r="DK46" i="1" s="1"/>
  <c r="DM46" i="1" s="1"/>
  <c r="DK51" i="1" a="1"/>
  <c r="DK51" i="1" s="1"/>
  <c r="DK50" i="1" a="1"/>
  <c r="DK50" i="1" s="1"/>
  <c r="DM50" i="1" s="1"/>
  <c r="DK49" i="1" a="1"/>
  <c r="DK49" i="1" s="1"/>
  <c r="DM49" i="1" s="1"/>
  <c r="DK52" i="1" a="1"/>
  <c r="DK52" i="1" s="1"/>
  <c r="DM52" i="1" s="1"/>
  <c r="DK56" i="1" a="1"/>
  <c r="DK56" i="1" s="1"/>
  <c r="DM56" i="1" s="1"/>
  <c r="DK54" i="1" a="1"/>
  <c r="DK54" i="1" s="1"/>
  <c r="DM54" i="1" s="1"/>
  <c r="DK55" i="1" a="1"/>
  <c r="DK55" i="1" s="1"/>
  <c r="DM55" i="1" s="1"/>
  <c r="DK58" i="1" a="1"/>
  <c r="DK58" i="1" s="1"/>
  <c r="DM58" i="1" s="1"/>
  <c r="DK60" i="1" a="1"/>
  <c r="DK60" i="1" s="1"/>
  <c r="DM60" i="1" s="1"/>
  <c r="DK61" i="1" a="1"/>
  <c r="DK61" i="1" s="1"/>
  <c r="DM61" i="1" s="1"/>
  <c r="DK66" i="1"/>
  <c r="DK68" i="1" a="1"/>
  <c r="DK68" i="1" s="1"/>
  <c r="DM68" i="1" s="1"/>
  <c r="DK71" i="1" a="1"/>
  <c r="DK71" i="1" s="1"/>
  <c r="DM71" i="1" s="1"/>
  <c r="DK72" i="1" a="1"/>
  <c r="DK72" i="1" s="1"/>
  <c r="DM72" i="1" s="1"/>
  <c r="DK73" i="1" a="1"/>
  <c r="DK73" i="1" s="1"/>
  <c r="DM73" i="1" s="1"/>
  <c r="DK74" i="1" a="1"/>
  <c r="DK74" i="1" s="1"/>
  <c r="DM74" i="1" s="1"/>
  <c r="DK75" i="1" a="1"/>
  <c r="DK75" i="1" s="1"/>
  <c r="DM75" i="1" s="1"/>
  <c r="DK62" i="1" a="1"/>
  <c r="DK62" i="1" s="1"/>
  <c r="DM62" i="1" s="1"/>
  <c r="DK69" i="1" a="1"/>
  <c r="DK69" i="1" s="1"/>
  <c r="DM69" i="1" s="1"/>
  <c r="DK70" i="1" a="1"/>
  <c r="DK70" i="1" s="1"/>
  <c r="DM70" i="1" s="1"/>
  <c r="DK76" i="1" a="1"/>
  <c r="DK76" i="1" s="1"/>
  <c r="DM76" i="1" s="1"/>
  <c r="DK77" i="1" a="1"/>
  <c r="DK77" i="1" s="1"/>
  <c r="DM77" i="1" s="1"/>
  <c r="DK78" i="1" a="1"/>
  <c r="DK78" i="1" s="1"/>
  <c r="DM78" i="1" s="1"/>
  <c r="DK79" i="1" a="1"/>
  <c r="DK79" i="1" s="1"/>
  <c r="DM79" i="1" s="1"/>
  <c r="DK80" i="1" a="1"/>
  <c r="DK80" i="1" s="1"/>
  <c r="DM80" i="1" s="1"/>
  <c r="DK81" i="1" a="1"/>
  <c r="DK81" i="1" s="1"/>
  <c r="DM81" i="1" s="1"/>
  <c r="DK91" i="1" a="1"/>
  <c r="DK91" i="1" s="1"/>
  <c r="DM91" i="1" s="1"/>
  <c r="DK84" i="1" a="1"/>
  <c r="DK84" i="1" s="1"/>
  <c r="DM84" i="1" s="1"/>
  <c r="DK92" i="1" a="1"/>
  <c r="DK92" i="1" s="1"/>
  <c r="DM92" i="1" s="1"/>
  <c r="DK82" i="1" a="1"/>
  <c r="DK82" i="1" s="1"/>
  <c r="DM82" i="1" s="1"/>
  <c r="DK83" i="1" a="1"/>
  <c r="DK83" i="1" s="1"/>
  <c r="DM83" i="1" s="1"/>
  <c r="DK85" i="1" a="1"/>
  <c r="DK85" i="1" s="1"/>
  <c r="DM85" i="1" s="1"/>
  <c r="DK86" i="1" a="1"/>
  <c r="DK86" i="1" s="1"/>
  <c r="DM86" i="1" s="1"/>
  <c r="DK87" i="1" a="1"/>
  <c r="DK87" i="1" s="1"/>
  <c r="DM87" i="1" s="1"/>
  <c r="DK88" i="1" a="1"/>
  <c r="DK88" i="1" s="1"/>
  <c r="DM88" i="1" s="1"/>
  <c r="DK89" i="1" a="1"/>
  <c r="DK89" i="1" s="1"/>
  <c r="DM89" i="1" s="1"/>
  <c r="DK95" i="1" a="1"/>
  <c r="DK95" i="1" s="1"/>
  <c r="DM95" i="1" s="1"/>
  <c r="DK93" i="1" a="1"/>
  <c r="DK93" i="1" s="1"/>
  <c r="DM93" i="1" s="1"/>
  <c r="DK96" i="1" a="1"/>
  <c r="DK96" i="1" s="1"/>
  <c r="DM96" i="1" s="1"/>
  <c r="DK97" i="1" a="1"/>
  <c r="DK97" i="1" s="1"/>
  <c r="DM97" i="1" s="1"/>
  <c r="DK98" i="1" a="1"/>
  <c r="DK98" i="1" s="1"/>
  <c r="DM98" i="1" s="1"/>
  <c r="DK99" i="1" a="1"/>
  <c r="DK99" i="1" s="1"/>
  <c r="DM99" i="1" s="1"/>
  <c r="DK100" i="1" a="1"/>
  <c r="DK100" i="1" s="1"/>
  <c r="DM100" i="1" s="1"/>
  <c r="DK101" i="1" a="1"/>
  <c r="DK101" i="1" s="1"/>
  <c r="DM101" i="1" s="1"/>
  <c r="DK90" i="1" a="1"/>
  <c r="DK90" i="1" s="1"/>
  <c r="DM90" i="1" s="1"/>
  <c r="DK94" i="1" a="1"/>
  <c r="DK94" i="1" s="1"/>
  <c r="DM94" i="1" s="1"/>
  <c r="DK106" i="1" a="1"/>
  <c r="DK106" i="1" s="1"/>
  <c r="DM106" i="1" s="1"/>
  <c r="DK107" i="1" a="1"/>
  <c r="DK107" i="1" s="1"/>
  <c r="DM107" i="1" s="1"/>
  <c r="DK115" i="1" a="1"/>
  <c r="DK115" i="1" s="1"/>
  <c r="DM115" i="1" s="1"/>
  <c r="DK108" i="1" a="1"/>
  <c r="DK108" i="1" s="1"/>
  <c r="DM108" i="1" s="1"/>
  <c r="DK116" i="1" a="1"/>
  <c r="DK116" i="1" s="1"/>
  <c r="DM116" i="1" s="1"/>
  <c r="DK109" i="1" a="1"/>
  <c r="DK109" i="1" s="1"/>
  <c r="DM109" i="1" s="1"/>
  <c r="DK117" i="1" a="1"/>
  <c r="DK117" i="1" s="1"/>
  <c r="DM117" i="1" s="1"/>
  <c r="DK102" i="1" a="1"/>
  <c r="DK102" i="1" s="1"/>
  <c r="DM102" i="1" s="1"/>
  <c r="DK110" i="1" a="1"/>
  <c r="DK110" i="1" s="1"/>
  <c r="DM110" i="1" s="1"/>
  <c r="DK118" i="1" a="1"/>
  <c r="DK118" i="1" s="1"/>
  <c r="DM118" i="1" s="1"/>
  <c r="DK103" i="1" a="1"/>
  <c r="DK103" i="1" s="1"/>
  <c r="DM103" i="1" s="1"/>
  <c r="DK111" i="1" a="1"/>
  <c r="DK111" i="1" s="1"/>
  <c r="DM111" i="1" s="1"/>
  <c r="DK119" i="1" a="1"/>
  <c r="DK119" i="1" s="1"/>
  <c r="DM119" i="1" s="1"/>
  <c r="DK104" i="1" a="1"/>
  <c r="DK104" i="1" s="1"/>
  <c r="DM104" i="1" s="1"/>
  <c r="DK112" i="1" a="1"/>
  <c r="DK112" i="1" s="1"/>
  <c r="DM112" i="1" s="1"/>
  <c r="DK105" i="1" a="1"/>
  <c r="DK105" i="1" s="1"/>
  <c r="DM105" i="1" s="1"/>
  <c r="DK113" i="1" a="1"/>
  <c r="DK113" i="1" s="1"/>
  <c r="DM113" i="1" s="1"/>
  <c r="DK120" i="1" a="1"/>
  <c r="DK120" i="1" s="1"/>
  <c r="DM120" i="1" s="1"/>
  <c r="DK128" i="1" a="1"/>
  <c r="DK128" i="1" s="1"/>
  <c r="DM128" i="1" s="1"/>
  <c r="DK121" i="1" a="1"/>
  <c r="DK121" i="1" s="1"/>
  <c r="DM121" i="1" s="1"/>
  <c r="DK122" i="1" a="1"/>
  <c r="DK122" i="1" s="1"/>
  <c r="DM122" i="1" s="1"/>
  <c r="DK130" i="1" a="1"/>
  <c r="DK130" i="1" s="1"/>
  <c r="DM130" i="1" s="1"/>
  <c r="DK123" i="1" a="1"/>
  <c r="DK123" i="1" s="1"/>
  <c r="DM123" i="1" s="1"/>
  <c r="DK125" i="1" a="1"/>
  <c r="DK125" i="1" s="1"/>
  <c r="DM125" i="1" s="1"/>
  <c r="DK127" i="1" a="1"/>
  <c r="DK127" i="1" s="1"/>
  <c r="DM127" i="1" s="1"/>
  <c r="DK135" i="1" a="1"/>
  <c r="DK135" i="1" s="1"/>
  <c r="DM135" i="1" s="1"/>
  <c r="DK137" i="1" a="1"/>
  <c r="DK137" i="1" s="1"/>
  <c r="DM137" i="1" s="1"/>
  <c r="DK133" i="1" a="1"/>
  <c r="DK133" i="1" s="1"/>
  <c r="DM133" i="1" s="1"/>
  <c r="DK139" i="1" a="1"/>
  <c r="DK139" i="1" s="1"/>
  <c r="DM139" i="1" s="1"/>
  <c r="DK140" i="1" a="1"/>
  <c r="DK140" i="1" s="1"/>
  <c r="DM140" i="1" s="1"/>
  <c r="DK141" i="1" a="1"/>
  <c r="DK141" i="1" s="1"/>
  <c r="DM141" i="1" s="1"/>
  <c r="DK190" i="1" l="1"/>
  <c r="DM190" i="1" s="1"/>
  <c r="DM51" i="1"/>
  <c r="DK165" i="1"/>
  <c r="DM165" i="1" s="1"/>
  <c r="DM33" i="1"/>
  <c r="DK211" i="1"/>
  <c r="DM211" i="1" s="1"/>
  <c r="DM20" i="1"/>
  <c r="DK180" i="1"/>
  <c r="DM180" i="1" s="1"/>
  <c r="DM40" i="1"/>
  <c r="DK163" i="1"/>
  <c r="DM163" i="1" s="1"/>
  <c r="DM32" i="1"/>
  <c r="DK179" i="1"/>
  <c r="DM179" i="1" s="1"/>
  <c r="DM39" i="1"/>
  <c r="DK161" i="1"/>
  <c r="DM161" i="1" s="1"/>
  <c r="DM31" i="1"/>
  <c r="DK156" i="1"/>
  <c r="DM156" i="1" s="1"/>
  <c r="DM27" i="1"/>
  <c r="DK178" i="1"/>
  <c r="DM178" i="1" s="1"/>
  <c r="DM38" i="1"/>
  <c r="DM21" i="1"/>
  <c r="DK206" i="1"/>
  <c r="DM206" i="1" s="1"/>
  <c r="DK205" i="1"/>
  <c r="DM205" i="1" s="1"/>
  <c r="DM13" i="1"/>
  <c r="DK183" i="1"/>
  <c r="DM183" i="1" s="1"/>
  <c r="DM41" i="1"/>
  <c r="DK191" i="1"/>
  <c r="DM191" i="1" s="1"/>
  <c r="DM44" i="1"/>
  <c r="DK176" i="1"/>
  <c r="DM176" i="1" s="1"/>
  <c r="DM37" i="1"/>
  <c r="DK158" i="1"/>
  <c r="DM158" i="1" s="1"/>
  <c r="DM29" i="1"/>
  <c r="DM14" i="1"/>
  <c r="DK209" i="1"/>
  <c r="DM209" i="1" s="1"/>
  <c r="DN6" i="1"/>
  <c r="DP6" i="1" s="1"/>
  <c r="DN8" i="1"/>
  <c r="DP8" i="1" s="1"/>
  <c r="DN9" i="1"/>
  <c r="DP9" i="1" s="1"/>
  <c r="DQ4" i="1"/>
  <c r="DN11" i="1"/>
  <c r="DP11" i="1" s="1"/>
  <c r="DN12" i="1"/>
  <c r="DP12" i="1" s="1"/>
  <c r="DN13" i="1"/>
  <c r="DP13" i="1" s="1"/>
  <c r="DN10" i="1"/>
  <c r="DP10" i="1" s="1"/>
  <c r="DN14" i="1"/>
  <c r="DP14" i="1" s="1"/>
  <c r="DN15" i="1"/>
  <c r="DP15" i="1" s="1"/>
  <c r="DN21" i="1"/>
  <c r="DP21" i="1" s="1"/>
  <c r="DN18" i="1"/>
  <c r="DP18" i="1" s="1"/>
  <c r="DN17" i="1"/>
  <c r="DP17" i="1" s="1"/>
  <c r="DN19" i="1"/>
  <c r="DP19" i="1" s="1"/>
  <c r="DN20" i="1"/>
  <c r="DP20" i="1" s="1"/>
  <c r="DN22" i="1"/>
  <c r="DP22" i="1" s="1"/>
  <c r="DN23" i="1"/>
  <c r="DP23" i="1" s="1"/>
  <c r="DN25" i="1"/>
  <c r="DP25" i="1" s="1"/>
  <c r="DN27" i="1"/>
  <c r="DN28" i="1"/>
  <c r="DN29" i="1"/>
  <c r="DN30" i="1"/>
  <c r="DN31" i="1"/>
  <c r="DN32" i="1"/>
  <c r="DN33" i="1"/>
  <c r="DN34" i="1"/>
  <c r="DN37" i="1"/>
  <c r="DN38" i="1"/>
  <c r="DN39" i="1"/>
  <c r="DN40" i="1"/>
  <c r="DN41" i="1"/>
  <c r="DN35" i="1"/>
  <c r="DN36" i="1"/>
  <c r="DN45" i="1"/>
  <c r="DP45" i="1" s="1"/>
  <c r="DN42" i="1"/>
  <c r="DN43" i="1"/>
  <c r="DN44" i="1"/>
  <c r="DN48" i="1"/>
  <c r="DP48" i="1" s="1"/>
  <c r="DN49" i="1"/>
  <c r="DP49" i="1" s="1"/>
  <c r="DN52" i="1"/>
  <c r="DP52" i="1" s="1"/>
  <c r="DN46" i="1"/>
  <c r="DP46" i="1" s="1"/>
  <c r="DN54" i="1"/>
  <c r="DP54" i="1" s="1"/>
  <c r="DN47" i="1"/>
  <c r="DP47" i="1" s="1"/>
  <c r="DN50" i="1"/>
  <c r="DP50" i="1" s="1"/>
  <c r="DN56" i="1"/>
  <c r="DP56" i="1" s="1"/>
  <c r="DN58" i="1"/>
  <c r="DP58" i="1" s="1"/>
  <c r="DN60" i="1"/>
  <c r="DP60" i="1" s="1"/>
  <c r="DN61" i="1"/>
  <c r="DP61" i="1" s="1"/>
  <c r="DN62" i="1"/>
  <c r="DP62" i="1" s="1"/>
  <c r="DN55" i="1"/>
  <c r="DP55" i="1" s="1"/>
  <c r="DN51" i="1"/>
  <c r="DN69" i="1" a="1"/>
  <c r="DN69" i="1" s="1"/>
  <c r="DP69" i="1" s="1"/>
  <c r="DN70" i="1" a="1"/>
  <c r="DN70" i="1" s="1"/>
  <c r="DP70" i="1" s="1"/>
  <c r="DN66" i="1"/>
  <c r="DN68" i="1" a="1"/>
  <c r="DN68" i="1" s="1"/>
  <c r="DP68" i="1" s="1"/>
  <c r="DN71" i="1" a="1"/>
  <c r="DN71" i="1" s="1"/>
  <c r="DP71" i="1" s="1"/>
  <c r="DN72" i="1" a="1"/>
  <c r="DN72" i="1" s="1"/>
  <c r="DP72" i="1" s="1"/>
  <c r="DN73" i="1" a="1"/>
  <c r="DN73" i="1" s="1"/>
  <c r="DP73" i="1" s="1"/>
  <c r="DN74" i="1" a="1"/>
  <c r="DN74" i="1" s="1"/>
  <c r="DP74" i="1" s="1"/>
  <c r="DN75" i="1" a="1"/>
  <c r="DN75" i="1" s="1"/>
  <c r="DP75" i="1" s="1"/>
  <c r="DN76" i="1" a="1"/>
  <c r="DN76" i="1" s="1"/>
  <c r="DP76" i="1" s="1"/>
  <c r="DN77" i="1" a="1"/>
  <c r="DN77" i="1" s="1"/>
  <c r="DP77" i="1" s="1"/>
  <c r="DN78" i="1" a="1"/>
  <c r="DN78" i="1" s="1"/>
  <c r="DP78" i="1" s="1"/>
  <c r="DN79" i="1" a="1"/>
  <c r="DN79" i="1" s="1"/>
  <c r="DP79" i="1" s="1"/>
  <c r="DN80" i="1" a="1"/>
  <c r="DN80" i="1" s="1"/>
  <c r="DP80" i="1" s="1"/>
  <c r="DN86" i="1" a="1"/>
  <c r="DN86" i="1" s="1"/>
  <c r="DP86" i="1" s="1"/>
  <c r="DN81" i="1" a="1"/>
  <c r="DN81" i="1" s="1"/>
  <c r="DP81" i="1" s="1"/>
  <c r="DN87" i="1" a="1"/>
  <c r="DN87" i="1" s="1"/>
  <c r="DP87" i="1" s="1"/>
  <c r="DN88" i="1" a="1"/>
  <c r="DN88" i="1" s="1"/>
  <c r="DP88" i="1" s="1"/>
  <c r="DN89" i="1" a="1"/>
  <c r="DN89" i="1" s="1"/>
  <c r="DP89" i="1" s="1"/>
  <c r="DN90" i="1" a="1"/>
  <c r="DN90" i="1" s="1"/>
  <c r="DP90" i="1" s="1"/>
  <c r="DN82" i="1" a="1"/>
  <c r="DN82" i="1" s="1"/>
  <c r="DP82" i="1" s="1"/>
  <c r="DN84" i="1" a="1"/>
  <c r="DN84" i="1" s="1"/>
  <c r="DP84" i="1" s="1"/>
  <c r="DN92" i="1" a="1"/>
  <c r="DN92" i="1" s="1"/>
  <c r="DP92" i="1" s="1"/>
  <c r="DN83" i="1" a="1"/>
  <c r="DN83" i="1" s="1"/>
  <c r="DP83" i="1" s="1"/>
  <c r="DN85" i="1" a="1"/>
  <c r="DN85" i="1" s="1"/>
  <c r="DP85" i="1" s="1"/>
  <c r="DN98" i="1" a="1"/>
  <c r="DN98" i="1" s="1"/>
  <c r="DP98" i="1" s="1"/>
  <c r="DN99" i="1" a="1"/>
  <c r="DN99" i="1" s="1"/>
  <c r="DP99" i="1" s="1"/>
  <c r="DN100" i="1" a="1"/>
  <c r="DN100" i="1" s="1"/>
  <c r="DP100" i="1" s="1"/>
  <c r="DN91" i="1" a="1"/>
  <c r="DN91" i="1" s="1"/>
  <c r="DP91" i="1" s="1"/>
  <c r="DN94" i="1" a="1"/>
  <c r="DN94" i="1" s="1"/>
  <c r="DP94" i="1" s="1"/>
  <c r="DN93" i="1" a="1"/>
  <c r="DN93" i="1" s="1"/>
  <c r="DP93" i="1" s="1"/>
  <c r="DN95" i="1" a="1"/>
  <c r="DN95" i="1" s="1"/>
  <c r="DP95" i="1" s="1"/>
  <c r="DN96" i="1" a="1"/>
  <c r="DN96" i="1" s="1"/>
  <c r="DP96" i="1" s="1"/>
  <c r="DN97" i="1" a="1"/>
  <c r="DN97" i="1" s="1"/>
  <c r="DP97" i="1" s="1"/>
  <c r="DN109" i="1" a="1"/>
  <c r="DN109" i="1" s="1"/>
  <c r="DP109" i="1" s="1"/>
  <c r="DN117" i="1" a="1"/>
  <c r="DN117" i="1" s="1"/>
  <c r="DP117" i="1" s="1"/>
  <c r="DN102" i="1" a="1"/>
  <c r="DN102" i="1" s="1"/>
  <c r="DP102" i="1" s="1"/>
  <c r="DN110" i="1" a="1"/>
  <c r="DN110" i="1" s="1"/>
  <c r="DP110" i="1" s="1"/>
  <c r="DN118" i="1" a="1"/>
  <c r="DN118" i="1" s="1"/>
  <c r="DP118" i="1" s="1"/>
  <c r="DN103" i="1" a="1"/>
  <c r="DN103" i="1" s="1"/>
  <c r="DP103" i="1" s="1"/>
  <c r="DN111" i="1" a="1"/>
  <c r="DN111" i="1" s="1"/>
  <c r="DP111" i="1" s="1"/>
  <c r="DN119" i="1" a="1"/>
  <c r="DN119" i="1" s="1"/>
  <c r="DP119" i="1" s="1"/>
  <c r="DN104" i="1" a="1"/>
  <c r="DN104" i="1" s="1"/>
  <c r="DP104" i="1" s="1"/>
  <c r="DN112" i="1" a="1"/>
  <c r="DN112" i="1" s="1"/>
  <c r="DP112" i="1" s="1"/>
  <c r="DN105" i="1" a="1"/>
  <c r="DN105" i="1" s="1"/>
  <c r="DP105" i="1" s="1"/>
  <c r="DN113" i="1" a="1"/>
  <c r="DN113" i="1" s="1"/>
  <c r="DP113" i="1" s="1"/>
  <c r="DN101" i="1" a="1"/>
  <c r="DN101" i="1" s="1"/>
  <c r="DP101" i="1" s="1"/>
  <c r="DN106" i="1" a="1"/>
  <c r="DN106" i="1" s="1"/>
  <c r="DP106" i="1" s="1"/>
  <c r="DN107" i="1" a="1"/>
  <c r="DN107" i="1" s="1"/>
  <c r="DP107" i="1" s="1"/>
  <c r="DN115" i="1" a="1"/>
  <c r="DN115" i="1" s="1"/>
  <c r="DP115" i="1" s="1"/>
  <c r="DN108" i="1" a="1"/>
  <c r="DN108" i="1" s="1"/>
  <c r="DP108" i="1" s="1"/>
  <c r="DN116" i="1" a="1"/>
  <c r="DN116" i="1" s="1"/>
  <c r="DP116" i="1" s="1"/>
  <c r="DN123" i="1" a="1"/>
  <c r="DN123" i="1" s="1"/>
  <c r="DP123" i="1" s="1"/>
  <c r="DN125" i="1" a="1"/>
  <c r="DN125" i="1" s="1"/>
  <c r="DP125" i="1" s="1"/>
  <c r="DN133" i="1" a="1"/>
  <c r="DN133" i="1" s="1"/>
  <c r="DP133" i="1" s="1"/>
  <c r="DN127" i="1" a="1"/>
  <c r="DN127" i="1" s="1"/>
  <c r="DP127" i="1" s="1"/>
  <c r="DN120" i="1" a="1"/>
  <c r="DN120" i="1" s="1"/>
  <c r="DP120" i="1" s="1"/>
  <c r="DN128" i="1" a="1"/>
  <c r="DN128" i="1" s="1"/>
  <c r="DP128" i="1" s="1"/>
  <c r="DN121" i="1" a="1"/>
  <c r="DN121" i="1" s="1"/>
  <c r="DP121" i="1" s="1"/>
  <c r="DN122" i="1" a="1"/>
  <c r="DN122" i="1" s="1"/>
  <c r="DP122" i="1" s="1"/>
  <c r="DN130" i="1" a="1"/>
  <c r="DN130" i="1" s="1"/>
  <c r="DP130" i="1" s="1"/>
  <c r="DN139" i="1" a="1"/>
  <c r="DN139" i="1" s="1"/>
  <c r="DP139" i="1" s="1"/>
  <c r="DN140" i="1" a="1"/>
  <c r="DN140" i="1" s="1"/>
  <c r="DP140" i="1" s="1"/>
  <c r="DN141" i="1" a="1"/>
  <c r="DN141" i="1" s="1"/>
  <c r="DP141" i="1" s="1"/>
  <c r="DN135" i="1" a="1"/>
  <c r="DN135" i="1" s="1"/>
  <c r="DP135" i="1" s="1"/>
  <c r="DN137" i="1" a="1"/>
  <c r="DN137" i="1" s="1"/>
  <c r="DP137" i="1" s="1"/>
  <c r="DK166" i="1"/>
  <c r="DM166" i="1" s="1"/>
  <c r="DM34" i="1"/>
  <c r="DM28" i="1"/>
  <c r="DK157" i="1"/>
  <c r="DM157" i="1" s="1"/>
  <c r="DK210" i="1"/>
  <c r="DM210" i="1" s="1"/>
  <c r="DM19" i="1"/>
  <c r="DK204" i="1"/>
  <c r="DM204" i="1" s="1"/>
  <c r="DM12" i="1"/>
  <c r="DK188" i="1"/>
  <c r="DM188" i="1" s="1"/>
  <c r="DM43" i="1"/>
  <c r="DM36" i="1"/>
  <c r="DK172" i="1"/>
  <c r="DM172" i="1" s="1"/>
  <c r="DK160" i="1"/>
  <c r="DM160" i="1" s="1"/>
  <c r="DM30" i="1"/>
  <c r="DM18" i="1"/>
  <c r="DK208" i="1"/>
  <c r="DM208" i="1" s="1"/>
  <c r="DK185" i="1"/>
  <c r="DM185" i="1" s="1"/>
  <c r="DM42" i="1"/>
  <c r="DK167" i="1"/>
  <c r="DM167" i="1" s="1"/>
  <c r="DM35" i="1"/>
  <c r="DP51" i="1" l="1"/>
  <c r="DN190" i="1"/>
  <c r="DP190" i="1" s="1"/>
  <c r="DN180" i="1"/>
  <c r="DP180" i="1" s="1"/>
  <c r="DP40" i="1"/>
  <c r="DN160" i="1"/>
  <c r="DP160" i="1" s="1"/>
  <c r="DP30" i="1"/>
  <c r="DN191" i="1"/>
  <c r="DP191" i="1" s="1"/>
  <c r="DP44" i="1"/>
  <c r="DN179" i="1"/>
  <c r="DP179" i="1" s="1"/>
  <c r="DP39" i="1"/>
  <c r="DN158" i="1"/>
  <c r="DP158" i="1" s="1"/>
  <c r="DP29" i="1"/>
  <c r="DP43" i="1"/>
  <c r="DN188" i="1"/>
  <c r="DP188" i="1" s="1"/>
  <c r="DN178" i="1"/>
  <c r="DP178" i="1" s="1"/>
  <c r="DP38" i="1"/>
  <c r="DN157" i="1"/>
  <c r="DP157" i="1" s="1"/>
  <c r="DP28" i="1"/>
  <c r="DN185" i="1"/>
  <c r="DP185" i="1" s="1"/>
  <c r="DP42" i="1"/>
  <c r="DN176" i="1"/>
  <c r="DP176" i="1" s="1"/>
  <c r="DP37" i="1"/>
  <c r="DN156" i="1"/>
  <c r="DP156" i="1" s="1"/>
  <c r="DP27" i="1"/>
  <c r="DN166" i="1"/>
  <c r="DP166" i="1" s="1"/>
  <c r="DP34" i="1"/>
  <c r="DN172" i="1"/>
  <c r="DP172" i="1" s="1"/>
  <c r="DP36" i="1"/>
  <c r="DN165" i="1"/>
  <c r="DP165" i="1" s="1"/>
  <c r="DP33" i="1"/>
  <c r="DQ6" i="1" a="1"/>
  <c r="DQ6" i="1" s="1"/>
  <c r="DS6" i="1" s="1"/>
  <c r="DQ8" i="1" a="1"/>
  <c r="DQ8" i="1" s="1"/>
  <c r="DS8" i="1" s="1"/>
  <c r="DT4" i="1"/>
  <c r="DQ13" i="1" a="1"/>
  <c r="DQ13" i="1" s="1"/>
  <c r="DQ9" i="1" a="1"/>
  <c r="DQ9" i="1" s="1"/>
  <c r="DS9" i="1" s="1"/>
  <c r="DQ10" i="1" a="1"/>
  <c r="DQ10" i="1" s="1"/>
  <c r="DS10" i="1" s="1"/>
  <c r="DQ14" i="1" a="1"/>
  <c r="DQ14" i="1" s="1"/>
  <c r="DQ11" i="1" a="1"/>
  <c r="DQ11" i="1" s="1"/>
  <c r="DS11" i="1" s="1"/>
  <c r="DQ12" i="1" a="1"/>
  <c r="DQ12" i="1" s="1"/>
  <c r="DQ17" i="1" a="1"/>
  <c r="DQ17" i="1" s="1"/>
  <c r="DS17" i="1" s="1"/>
  <c r="DQ19" i="1" a="1"/>
  <c r="DQ19" i="1" s="1"/>
  <c r="DQ15" i="1" a="1"/>
  <c r="DQ15" i="1" s="1"/>
  <c r="DS15" i="1" s="1"/>
  <c r="DQ20" i="1" a="1"/>
  <c r="DQ20" i="1" s="1"/>
  <c r="DQ18" i="1" a="1"/>
  <c r="DQ18" i="1" s="1"/>
  <c r="DQ23" i="1" a="1"/>
  <c r="DQ23" i="1" s="1"/>
  <c r="DS23" i="1" s="1"/>
  <c r="DQ21" i="1" a="1"/>
  <c r="DQ21" i="1" s="1"/>
  <c r="DQ22" i="1" a="1"/>
  <c r="DQ22" i="1" s="1"/>
  <c r="DS22" i="1" s="1"/>
  <c r="DQ25" i="1" a="1"/>
  <c r="DQ25" i="1" s="1"/>
  <c r="DS25" i="1" s="1"/>
  <c r="DQ27" i="1" a="1"/>
  <c r="DQ27" i="1" s="1"/>
  <c r="DQ29" i="1" a="1"/>
  <c r="DQ29" i="1" s="1"/>
  <c r="DQ30" i="1" a="1"/>
  <c r="DQ30" i="1" s="1"/>
  <c r="DQ28" i="1" a="1"/>
  <c r="DQ28" i="1" s="1"/>
  <c r="DQ31" i="1" a="1"/>
  <c r="DQ31" i="1" s="1"/>
  <c r="DQ32" i="1" a="1"/>
  <c r="DQ32" i="1" s="1"/>
  <c r="DQ35" i="1" a="1"/>
  <c r="DQ35" i="1" s="1"/>
  <c r="DQ34" i="1" a="1"/>
  <c r="DQ34" i="1" s="1"/>
  <c r="DQ36" i="1" a="1"/>
  <c r="DQ36" i="1" s="1"/>
  <c r="DQ37" i="1" a="1"/>
  <c r="DQ37" i="1" s="1"/>
  <c r="DQ38" i="1" a="1"/>
  <c r="DQ38" i="1" s="1"/>
  <c r="DQ39" i="1" a="1"/>
  <c r="DQ39" i="1" s="1"/>
  <c r="DQ33" i="1" a="1"/>
  <c r="DQ33" i="1" s="1"/>
  <c r="DQ42" i="1" a="1"/>
  <c r="DQ42" i="1" s="1"/>
  <c r="DQ43" i="1" a="1"/>
  <c r="DQ43" i="1" s="1"/>
  <c r="DQ41" i="1" a="1"/>
  <c r="DQ41" i="1" s="1"/>
  <c r="DQ44" i="1" a="1"/>
  <c r="DQ44" i="1" s="1"/>
  <c r="DQ45" i="1" a="1"/>
  <c r="DQ45" i="1" s="1"/>
  <c r="DS45" i="1" s="1"/>
  <c r="DQ40" i="1" a="1"/>
  <c r="DQ40" i="1" s="1"/>
  <c r="DQ46" i="1" a="1"/>
  <c r="DQ46" i="1" s="1"/>
  <c r="DS46" i="1" s="1"/>
  <c r="DQ47" i="1" a="1"/>
  <c r="DQ47" i="1" s="1"/>
  <c r="DS47" i="1" s="1"/>
  <c r="DQ54" i="1" a="1"/>
  <c r="DQ54" i="1" s="1"/>
  <c r="DS54" i="1" s="1"/>
  <c r="DQ51" i="1" a="1"/>
  <c r="DQ51" i="1" s="1"/>
  <c r="DQ50" i="1" a="1"/>
  <c r="DQ50" i="1" s="1"/>
  <c r="DS50" i="1" s="1"/>
  <c r="DQ48" i="1" a="1"/>
  <c r="DQ48" i="1" s="1"/>
  <c r="DS48" i="1" s="1"/>
  <c r="DQ49" i="1" a="1"/>
  <c r="DQ49" i="1" s="1"/>
  <c r="DS49" i="1" s="1"/>
  <c r="DQ52" i="1" a="1"/>
  <c r="DQ52" i="1" s="1"/>
  <c r="DS52" i="1" s="1"/>
  <c r="DQ55" i="1" a="1"/>
  <c r="DQ55" i="1" s="1"/>
  <c r="DS55" i="1" s="1"/>
  <c r="DQ56" i="1" a="1"/>
  <c r="DQ56" i="1" s="1"/>
  <c r="DS56" i="1" s="1"/>
  <c r="DQ58" i="1" a="1"/>
  <c r="DQ58" i="1" s="1"/>
  <c r="DS58" i="1" s="1"/>
  <c r="DQ60" i="1" a="1"/>
  <c r="DQ60" i="1" s="1"/>
  <c r="DS60" i="1" s="1"/>
  <c r="DQ61" i="1" a="1"/>
  <c r="DQ61" i="1" s="1"/>
  <c r="DS61" i="1" s="1"/>
  <c r="DQ62" i="1" a="1"/>
  <c r="DQ62" i="1" s="1"/>
  <c r="DS62" i="1" s="1"/>
  <c r="DQ66" i="1"/>
  <c r="DQ68" i="1" a="1"/>
  <c r="DQ68" i="1" s="1"/>
  <c r="DS68" i="1" s="1"/>
  <c r="DQ71" i="1" a="1"/>
  <c r="DQ71" i="1" s="1"/>
  <c r="DS71" i="1" s="1"/>
  <c r="DQ72" i="1" a="1"/>
  <c r="DQ72" i="1" s="1"/>
  <c r="DS72" i="1" s="1"/>
  <c r="DQ73" i="1" a="1"/>
  <c r="DQ73" i="1" s="1"/>
  <c r="DS73" i="1" s="1"/>
  <c r="DQ69" i="1" a="1"/>
  <c r="DQ69" i="1" s="1"/>
  <c r="DS69" i="1" s="1"/>
  <c r="DQ70" i="1" a="1"/>
  <c r="DQ70" i="1" s="1"/>
  <c r="DS70" i="1" s="1"/>
  <c r="DQ76" i="1" a="1"/>
  <c r="DQ76" i="1" s="1"/>
  <c r="DS76" i="1" s="1"/>
  <c r="DQ77" i="1" a="1"/>
  <c r="DQ77" i="1" s="1"/>
  <c r="DS77" i="1" s="1"/>
  <c r="DQ78" i="1" a="1"/>
  <c r="DQ78" i="1" s="1"/>
  <c r="DS78" i="1" s="1"/>
  <c r="DQ79" i="1" a="1"/>
  <c r="DQ79" i="1" s="1"/>
  <c r="DS79" i="1" s="1"/>
  <c r="DQ74" i="1" a="1"/>
  <c r="DQ74" i="1" s="1"/>
  <c r="DS74" i="1" s="1"/>
  <c r="DQ83" i="1" a="1"/>
  <c r="DQ83" i="1" s="1"/>
  <c r="DS83" i="1" s="1"/>
  <c r="DQ75" i="1" a="1"/>
  <c r="DQ75" i="1" s="1"/>
  <c r="DS75" i="1" s="1"/>
  <c r="DQ89" i="1" a="1"/>
  <c r="DQ89" i="1" s="1"/>
  <c r="DS89" i="1" s="1"/>
  <c r="DQ90" i="1" a="1"/>
  <c r="DQ90" i="1" s="1"/>
  <c r="DS90" i="1" s="1"/>
  <c r="DQ91" i="1" a="1"/>
  <c r="DQ91" i="1" s="1"/>
  <c r="DS91" i="1" s="1"/>
  <c r="DQ82" i="1" a="1"/>
  <c r="DQ82" i="1" s="1"/>
  <c r="DS82" i="1" s="1"/>
  <c r="DQ84" i="1" a="1"/>
  <c r="DQ84" i="1" s="1"/>
  <c r="DS84" i="1" s="1"/>
  <c r="DQ85" i="1" a="1"/>
  <c r="DQ85" i="1" s="1"/>
  <c r="DS85" i="1" s="1"/>
  <c r="DQ81" i="1" a="1"/>
  <c r="DQ81" i="1" s="1"/>
  <c r="DS81" i="1" s="1"/>
  <c r="DQ86" i="1" a="1"/>
  <c r="DQ86" i="1" s="1"/>
  <c r="DS86" i="1" s="1"/>
  <c r="DQ80" i="1" a="1"/>
  <c r="DQ80" i="1" s="1"/>
  <c r="DS80" i="1" s="1"/>
  <c r="DQ87" i="1" a="1"/>
  <c r="DQ87" i="1" s="1"/>
  <c r="DS87" i="1" s="1"/>
  <c r="DQ88" i="1" a="1"/>
  <c r="DQ88" i="1" s="1"/>
  <c r="DS88" i="1" s="1"/>
  <c r="DQ92" i="1" a="1"/>
  <c r="DQ92" i="1" s="1"/>
  <c r="DS92" i="1" s="1"/>
  <c r="DQ101" i="1" a="1"/>
  <c r="DQ101" i="1" s="1"/>
  <c r="DS101" i="1" s="1"/>
  <c r="DQ94" i="1" a="1"/>
  <c r="DQ94" i="1" s="1"/>
  <c r="DS94" i="1" s="1"/>
  <c r="DQ93" i="1" a="1"/>
  <c r="DQ93" i="1" s="1"/>
  <c r="DS93" i="1" s="1"/>
  <c r="DQ95" i="1" a="1"/>
  <c r="DQ95" i="1" s="1"/>
  <c r="DS95" i="1" s="1"/>
  <c r="DQ96" i="1" a="1"/>
  <c r="DQ96" i="1" s="1"/>
  <c r="DS96" i="1" s="1"/>
  <c r="DQ97" i="1" a="1"/>
  <c r="DQ97" i="1" s="1"/>
  <c r="DS97" i="1" s="1"/>
  <c r="DQ98" i="1" a="1"/>
  <c r="DQ98" i="1" s="1"/>
  <c r="DS98" i="1" s="1"/>
  <c r="DQ99" i="1" a="1"/>
  <c r="DQ99" i="1" s="1"/>
  <c r="DS99" i="1" s="1"/>
  <c r="DQ100" i="1" a="1"/>
  <c r="DQ100" i="1" s="1"/>
  <c r="DS100" i="1" s="1"/>
  <c r="DQ104" i="1" a="1"/>
  <c r="DQ104" i="1" s="1"/>
  <c r="DS104" i="1" s="1"/>
  <c r="DQ112" i="1" a="1"/>
  <c r="DQ112" i="1" s="1"/>
  <c r="DS112" i="1" s="1"/>
  <c r="DQ105" i="1" a="1"/>
  <c r="DQ105" i="1" s="1"/>
  <c r="DS105" i="1" s="1"/>
  <c r="DQ113" i="1" a="1"/>
  <c r="DQ113" i="1" s="1"/>
  <c r="DS113" i="1" s="1"/>
  <c r="DQ106" i="1" a="1"/>
  <c r="DQ106" i="1" s="1"/>
  <c r="DS106" i="1" s="1"/>
  <c r="DQ107" i="1" a="1"/>
  <c r="DQ107" i="1" s="1"/>
  <c r="DS107" i="1" s="1"/>
  <c r="DQ115" i="1" a="1"/>
  <c r="DQ115" i="1" s="1"/>
  <c r="DS115" i="1" s="1"/>
  <c r="DQ108" i="1" a="1"/>
  <c r="DQ108" i="1" s="1"/>
  <c r="DS108" i="1" s="1"/>
  <c r="DQ116" i="1" a="1"/>
  <c r="DQ116" i="1" s="1"/>
  <c r="DS116" i="1" s="1"/>
  <c r="DQ109" i="1" a="1"/>
  <c r="DQ109" i="1" s="1"/>
  <c r="DS109" i="1" s="1"/>
  <c r="DQ117" i="1" a="1"/>
  <c r="DQ117" i="1" s="1"/>
  <c r="DS117" i="1" s="1"/>
  <c r="DQ102" i="1" a="1"/>
  <c r="DQ102" i="1" s="1"/>
  <c r="DS102" i="1" s="1"/>
  <c r="DQ110" i="1" a="1"/>
  <c r="DQ110" i="1" s="1"/>
  <c r="DS110" i="1" s="1"/>
  <c r="DQ118" i="1" a="1"/>
  <c r="DQ118" i="1" s="1"/>
  <c r="DS118" i="1" s="1"/>
  <c r="DQ103" i="1" a="1"/>
  <c r="DQ103" i="1" s="1"/>
  <c r="DS103" i="1" s="1"/>
  <c r="DQ111" i="1" a="1"/>
  <c r="DQ111" i="1" s="1"/>
  <c r="DS111" i="1" s="1"/>
  <c r="DQ127" i="1" a="1"/>
  <c r="DQ127" i="1" s="1"/>
  <c r="DS127" i="1" s="1"/>
  <c r="DQ135" i="1" a="1"/>
  <c r="DQ135" i="1" s="1"/>
  <c r="DS135" i="1" s="1"/>
  <c r="DQ119" i="1" a="1"/>
  <c r="DQ119" i="1" s="1"/>
  <c r="DS119" i="1" s="1"/>
  <c r="DQ120" i="1" a="1"/>
  <c r="DQ120" i="1" s="1"/>
  <c r="DS120" i="1" s="1"/>
  <c r="DQ128" i="1" a="1"/>
  <c r="DQ128" i="1" s="1"/>
  <c r="DS128" i="1" s="1"/>
  <c r="DQ121" i="1" a="1"/>
  <c r="DQ121" i="1" s="1"/>
  <c r="DS121" i="1" s="1"/>
  <c r="DQ122" i="1" a="1"/>
  <c r="DQ122" i="1" s="1"/>
  <c r="DS122" i="1" s="1"/>
  <c r="DQ130" i="1" a="1"/>
  <c r="DQ130" i="1" s="1"/>
  <c r="DS130" i="1" s="1"/>
  <c r="DQ123" i="1" a="1"/>
  <c r="DQ123" i="1" s="1"/>
  <c r="DS123" i="1" s="1"/>
  <c r="DQ125" i="1" a="1"/>
  <c r="DQ125" i="1" s="1"/>
  <c r="DS125" i="1" s="1"/>
  <c r="DQ137" i="1" a="1"/>
  <c r="DQ137" i="1" s="1"/>
  <c r="DS137" i="1" s="1"/>
  <c r="DQ139" i="1" a="1"/>
  <c r="DQ139" i="1" s="1"/>
  <c r="DS139" i="1" s="1"/>
  <c r="DQ140" i="1" a="1"/>
  <c r="DQ140" i="1" s="1"/>
  <c r="DS140" i="1" s="1"/>
  <c r="DQ133" i="1" a="1"/>
  <c r="DQ133" i="1" s="1"/>
  <c r="DS133" i="1" s="1"/>
  <c r="DQ141" i="1" a="1"/>
  <c r="DQ141" i="1" s="1"/>
  <c r="DS141" i="1" s="1"/>
  <c r="DN167" i="1"/>
  <c r="DP167" i="1" s="1"/>
  <c r="DP35" i="1"/>
  <c r="DN163" i="1"/>
  <c r="DP163" i="1" s="1"/>
  <c r="DP32" i="1"/>
  <c r="DN183" i="1"/>
  <c r="DP183" i="1" s="1"/>
  <c r="DP41" i="1"/>
  <c r="DN161" i="1"/>
  <c r="DP161" i="1" s="1"/>
  <c r="DP31" i="1"/>
  <c r="DQ179" i="1" l="1"/>
  <c r="DS179" i="1" s="1"/>
  <c r="DS39" i="1"/>
  <c r="DS33" i="1"/>
  <c r="DQ165" i="1"/>
  <c r="DS165" i="1" s="1"/>
  <c r="DQ161" i="1"/>
  <c r="DS161" i="1" s="1"/>
  <c r="DS31" i="1"/>
  <c r="DQ206" i="1"/>
  <c r="DS206" i="1" s="1"/>
  <c r="DS21" i="1"/>
  <c r="DQ204" i="1"/>
  <c r="DS204" i="1" s="1"/>
  <c r="DS12" i="1"/>
  <c r="DQ180" i="1"/>
  <c r="DS180" i="1" s="1"/>
  <c r="DS40" i="1"/>
  <c r="DQ178" i="1"/>
  <c r="DS178" i="1" s="1"/>
  <c r="DS38" i="1"/>
  <c r="DQ160" i="1"/>
  <c r="DS160" i="1" s="1"/>
  <c r="DS30" i="1"/>
  <c r="DQ157" i="1"/>
  <c r="DS157" i="1" s="1"/>
  <c r="DS28" i="1"/>
  <c r="DQ176" i="1"/>
  <c r="DS176" i="1" s="1"/>
  <c r="DS37" i="1"/>
  <c r="DQ158" i="1"/>
  <c r="DS158" i="1" s="1"/>
  <c r="DS29" i="1"/>
  <c r="DS18" i="1"/>
  <c r="DQ208" i="1"/>
  <c r="DS208" i="1" s="1"/>
  <c r="DQ209" i="1"/>
  <c r="DS209" i="1" s="1"/>
  <c r="DS14" i="1"/>
  <c r="DQ191" i="1"/>
  <c r="DS191" i="1" s="1"/>
  <c r="DS44" i="1"/>
  <c r="DQ172" i="1"/>
  <c r="DS172" i="1" s="1"/>
  <c r="DS36" i="1"/>
  <c r="DQ156" i="1"/>
  <c r="DS156" i="1" s="1"/>
  <c r="DS27" i="1"/>
  <c r="DQ211" i="1"/>
  <c r="DS211" i="1" s="1"/>
  <c r="DS20" i="1"/>
  <c r="DQ183" i="1"/>
  <c r="DS183" i="1" s="1"/>
  <c r="DS41" i="1"/>
  <c r="DQ166" i="1"/>
  <c r="DS166" i="1" s="1"/>
  <c r="DS34" i="1"/>
  <c r="DQ190" i="1"/>
  <c r="DS190" i="1" s="1"/>
  <c r="DS51" i="1"/>
  <c r="DQ188" i="1"/>
  <c r="DS188" i="1" s="1"/>
  <c r="DS43" i="1"/>
  <c r="DQ167" i="1"/>
  <c r="DS167" i="1" s="1"/>
  <c r="DS35" i="1"/>
  <c r="DQ210" i="1"/>
  <c r="DS210" i="1" s="1"/>
  <c r="DS19" i="1"/>
  <c r="DS13" i="1"/>
  <c r="DQ205" i="1"/>
  <c r="DS205" i="1" s="1"/>
  <c r="DS42" i="1"/>
  <c r="DQ185" i="1"/>
  <c r="DS185" i="1" s="1"/>
  <c r="DQ163" i="1"/>
  <c r="DS163" i="1" s="1"/>
  <c r="DS32" i="1"/>
  <c r="DW4" i="1"/>
  <c r="DT6" i="1" a="1"/>
  <c r="DT6" i="1" s="1"/>
  <c r="DV6" i="1" s="1"/>
  <c r="DT8" i="1" a="1"/>
  <c r="DT8" i="1" s="1"/>
  <c r="DV8" i="1" s="1"/>
  <c r="DT9" i="1" a="1"/>
  <c r="DT9" i="1" s="1"/>
  <c r="DV9" i="1" s="1"/>
  <c r="DT10" i="1" a="1"/>
  <c r="DT10" i="1" s="1"/>
  <c r="DV10" i="1" s="1"/>
  <c r="DT11" i="1" a="1"/>
  <c r="DT11" i="1" s="1"/>
  <c r="DV11" i="1" s="1"/>
  <c r="DT12" i="1" a="1"/>
  <c r="DT12" i="1" s="1"/>
  <c r="DT13" i="1" a="1"/>
  <c r="DT13" i="1" s="1"/>
  <c r="DT14" i="1" a="1"/>
  <c r="DT14" i="1" s="1"/>
  <c r="DT15" i="1" a="1"/>
  <c r="DT15" i="1" s="1"/>
  <c r="DV15" i="1" s="1"/>
  <c r="DT17" i="1" a="1"/>
  <c r="DT17" i="1" s="1"/>
  <c r="DV17" i="1" s="1"/>
  <c r="DT18" i="1" a="1"/>
  <c r="DT18" i="1" s="1"/>
  <c r="DT19" i="1" a="1"/>
  <c r="DT19" i="1" s="1"/>
  <c r="DT20" i="1" a="1"/>
  <c r="DT20" i="1" s="1"/>
  <c r="DT21" i="1" a="1"/>
  <c r="DT21" i="1" s="1"/>
  <c r="DT22" i="1" a="1"/>
  <c r="DT22" i="1" s="1"/>
  <c r="DV22" i="1" s="1"/>
  <c r="DT23" i="1" a="1"/>
  <c r="DT23" i="1" s="1"/>
  <c r="DV23" i="1" s="1"/>
  <c r="DT25" i="1" a="1"/>
  <c r="DT25" i="1" s="1"/>
  <c r="DV25" i="1" s="1"/>
  <c r="DT27" i="1" a="1"/>
  <c r="DT27" i="1" s="1"/>
  <c r="DT30" i="1" a="1"/>
  <c r="DT30" i="1" s="1"/>
  <c r="DT28" i="1" a="1"/>
  <c r="DT28" i="1" s="1"/>
  <c r="DT29" i="1" a="1"/>
  <c r="DT29" i="1" s="1"/>
  <c r="DT31" i="1" a="1"/>
  <c r="DT31" i="1" s="1"/>
  <c r="DT32" i="1" a="1"/>
  <c r="DT32" i="1" s="1"/>
  <c r="DT33" i="1" a="1"/>
  <c r="DT33" i="1" s="1"/>
  <c r="DT34" i="1" a="1"/>
  <c r="DT34" i="1" s="1"/>
  <c r="DT36" i="1" a="1"/>
  <c r="DT36" i="1" s="1"/>
  <c r="DT37" i="1" a="1"/>
  <c r="DT37" i="1" s="1"/>
  <c r="DT38" i="1" a="1"/>
  <c r="DT38" i="1" s="1"/>
  <c r="DT39" i="1" a="1"/>
  <c r="DT39" i="1" s="1"/>
  <c r="DT40" i="1" a="1"/>
  <c r="DT40" i="1" s="1"/>
  <c r="DT41" i="1" a="1"/>
  <c r="DT41" i="1" s="1"/>
  <c r="DT35" i="1" a="1"/>
  <c r="DT35" i="1" s="1"/>
  <c r="DT44" i="1" a="1"/>
  <c r="DT44" i="1" s="1"/>
  <c r="DT45" i="1" a="1"/>
  <c r="DT45" i="1" s="1"/>
  <c r="DV45" i="1" s="1"/>
  <c r="DT42" i="1" a="1"/>
  <c r="DT42" i="1" s="1"/>
  <c r="DT46" i="1" a="1"/>
  <c r="DT46" i="1" s="1"/>
  <c r="DV46" i="1" s="1"/>
  <c r="DT43" i="1" a="1"/>
  <c r="DT43" i="1" s="1"/>
  <c r="DT47" i="1" a="1"/>
  <c r="DT47" i="1" s="1"/>
  <c r="DV47" i="1" s="1"/>
  <c r="DT49" i="1" a="1"/>
  <c r="DT49" i="1" s="1"/>
  <c r="DV49" i="1" s="1"/>
  <c r="DT50" i="1" a="1"/>
  <c r="DT50" i="1" s="1"/>
  <c r="DV50" i="1" s="1"/>
  <c r="DT52" i="1" a="1"/>
  <c r="DT52" i="1" s="1"/>
  <c r="DV52" i="1" s="1"/>
  <c r="DT54" i="1" a="1"/>
  <c r="DT54" i="1" s="1"/>
  <c r="DV54" i="1" s="1"/>
  <c r="DT51" i="1" a="1"/>
  <c r="DT51" i="1" s="1"/>
  <c r="DT55" i="1" a="1"/>
  <c r="DT55" i="1" s="1"/>
  <c r="DV55" i="1" s="1"/>
  <c r="DT56" i="1" a="1"/>
  <c r="DT56" i="1" s="1"/>
  <c r="DV56" i="1" s="1"/>
  <c r="DT58" i="1" a="1"/>
  <c r="DT58" i="1" s="1"/>
  <c r="DV58" i="1" s="1"/>
  <c r="DT60" i="1" a="1"/>
  <c r="DT60" i="1" s="1"/>
  <c r="DV60" i="1" s="1"/>
  <c r="DT61" i="1" a="1"/>
  <c r="DT61" i="1" s="1"/>
  <c r="DV61" i="1" s="1"/>
  <c r="DT62" i="1" a="1"/>
  <c r="DT62" i="1" s="1"/>
  <c r="DV62" i="1" s="1"/>
  <c r="DT48" i="1" a="1"/>
  <c r="DT48" i="1" s="1"/>
  <c r="DV48" i="1" s="1"/>
  <c r="DT68" i="1" a="1"/>
  <c r="DT68" i="1" s="1"/>
  <c r="DV68" i="1" s="1"/>
  <c r="DT71" i="1" a="1"/>
  <c r="DT71" i="1" s="1"/>
  <c r="DV71" i="1" s="1"/>
  <c r="DT72" i="1" a="1"/>
  <c r="DT72" i="1" s="1"/>
  <c r="DV72" i="1" s="1"/>
  <c r="DT73" i="1" a="1"/>
  <c r="DT73" i="1" s="1"/>
  <c r="DV73" i="1" s="1"/>
  <c r="DT66" i="1"/>
  <c r="DT69" i="1" a="1"/>
  <c r="DT69" i="1" s="1"/>
  <c r="DV69" i="1" s="1"/>
  <c r="DT70" i="1" a="1"/>
  <c r="DT70" i="1" s="1"/>
  <c r="DV70" i="1" s="1"/>
  <c r="DT74" i="1" a="1"/>
  <c r="DT74" i="1" s="1"/>
  <c r="DV74" i="1" s="1"/>
  <c r="DT75" i="1" a="1"/>
  <c r="DT75" i="1" s="1"/>
  <c r="DV75" i="1" s="1"/>
  <c r="DT76" i="1" a="1"/>
  <c r="DT76" i="1" s="1"/>
  <c r="DV76" i="1" s="1"/>
  <c r="DT83" i="1" a="1"/>
  <c r="DT83" i="1" s="1"/>
  <c r="DV83" i="1" s="1"/>
  <c r="DT84" i="1" a="1"/>
  <c r="DT84" i="1" s="1"/>
  <c r="DV84" i="1" s="1"/>
  <c r="DT92" i="1" a="1"/>
  <c r="DT92" i="1" s="1"/>
  <c r="DV92" i="1" s="1"/>
  <c r="DT79" i="1" a="1"/>
  <c r="DT79" i="1" s="1"/>
  <c r="DV79" i="1" s="1"/>
  <c r="DT85" i="1" a="1"/>
  <c r="DT85" i="1" s="1"/>
  <c r="DV85" i="1" s="1"/>
  <c r="DT93" i="1" a="1"/>
  <c r="DT93" i="1" s="1"/>
  <c r="DV93" i="1" s="1"/>
  <c r="DT77" i="1" a="1"/>
  <c r="DT77" i="1" s="1"/>
  <c r="DV77" i="1" s="1"/>
  <c r="DT80" i="1" a="1"/>
  <c r="DT80" i="1" s="1"/>
  <c r="DV80" i="1" s="1"/>
  <c r="DT81" i="1" a="1"/>
  <c r="DT81" i="1" s="1"/>
  <c r="DV81" i="1" s="1"/>
  <c r="DT86" i="1" a="1"/>
  <c r="DT86" i="1" s="1"/>
  <c r="DV86" i="1" s="1"/>
  <c r="DT87" i="1" a="1"/>
  <c r="DT87" i="1" s="1"/>
  <c r="DV87" i="1" s="1"/>
  <c r="DT78" i="1" a="1"/>
  <c r="DT78" i="1" s="1"/>
  <c r="DV78" i="1" s="1"/>
  <c r="DT88" i="1" a="1"/>
  <c r="DT88" i="1" s="1"/>
  <c r="DV88" i="1" s="1"/>
  <c r="DT89" i="1" a="1"/>
  <c r="DT89" i="1" s="1"/>
  <c r="DV89" i="1" s="1"/>
  <c r="DT90" i="1" a="1"/>
  <c r="DT90" i="1" s="1"/>
  <c r="DV90" i="1" s="1"/>
  <c r="DT82" i="1" a="1"/>
  <c r="DT82" i="1" s="1"/>
  <c r="DV82" i="1" s="1"/>
  <c r="DT91" i="1" a="1"/>
  <c r="DT91" i="1" s="1"/>
  <c r="DV91" i="1" s="1"/>
  <c r="DT96" i="1" a="1"/>
  <c r="DT96" i="1" s="1"/>
  <c r="DV96" i="1" s="1"/>
  <c r="DT97" i="1" a="1"/>
  <c r="DT97" i="1" s="1"/>
  <c r="DV97" i="1" s="1"/>
  <c r="DT98" i="1" a="1"/>
  <c r="DT98" i="1" s="1"/>
  <c r="DV98" i="1" s="1"/>
  <c r="DT99" i="1" a="1"/>
  <c r="DT99" i="1" s="1"/>
  <c r="DV99" i="1" s="1"/>
  <c r="DT100" i="1" a="1"/>
  <c r="DT100" i="1" s="1"/>
  <c r="DV100" i="1" s="1"/>
  <c r="DT101" i="1" a="1"/>
  <c r="DT101" i="1" s="1"/>
  <c r="DV101" i="1" s="1"/>
  <c r="DT94" i="1" a="1"/>
  <c r="DT94" i="1" s="1"/>
  <c r="DV94" i="1" s="1"/>
  <c r="DT95" i="1" a="1"/>
  <c r="DT95" i="1" s="1"/>
  <c r="DV95" i="1" s="1"/>
  <c r="DT107" i="1" a="1"/>
  <c r="DT107" i="1" s="1"/>
  <c r="DV107" i="1" s="1"/>
  <c r="DT115" i="1" a="1"/>
  <c r="DT115" i="1" s="1"/>
  <c r="DV115" i="1" s="1"/>
  <c r="DT108" i="1" a="1"/>
  <c r="DT108" i="1" s="1"/>
  <c r="DV108" i="1" s="1"/>
  <c r="DT116" i="1" a="1"/>
  <c r="DT116" i="1" s="1"/>
  <c r="DV116" i="1" s="1"/>
  <c r="DT109" i="1" a="1"/>
  <c r="DT109" i="1" s="1"/>
  <c r="DV109" i="1" s="1"/>
  <c r="DT117" i="1" a="1"/>
  <c r="DT117" i="1" s="1"/>
  <c r="DV117" i="1" s="1"/>
  <c r="DT102" i="1" a="1"/>
  <c r="DT102" i="1" s="1"/>
  <c r="DV102" i="1" s="1"/>
  <c r="DT110" i="1" a="1"/>
  <c r="DT110" i="1" s="1"/>
  <c r="DV110" i="1" s="1"/>
  <c r="DT118" i="1" a="1"/>
  <c r="DT118" i="1" s="1"/>
  <c r="DV118" i="1" s="1"/>
  <c r="DT103" i="1" a="1"/>
  <c r="DT103" i="1" s="1"/>
  <c r="DV103" i="1" s="1"/>
  <c r="DT111" i="1" a="1"/>
  <c r="DT111" i="1" s="1"/>
  <c r="DV111" i="1" s="1"/>
  <c r="DT119" i="1" a="1"/>
  <c r="DT119" i="1" s="1"/>
  <c r="DV119" i="1" s="1"/>
  <c r="DT104" i="1" a="1"/>
  <c r="DT104" i="1" s="1"/>
  <c r="DV104" i="1" s="1"/>
  <c r="DT112" i="1" a="1"/>
  <c r="DT112" i="1" s="1"/>
  <c r="DV112" i="1" s="1"/>
  <c r="DT105" i="1" a="1"/>
  <c r="DT105" i="1" s="1"/>
  <c r="DV105" i="1" s="1"/>
  <c r="DT113" i="1" a="1"/>
  <c r="DT113" i="1" s="1"/>
  <c r="DV113" i="1" s="1"/>
  <c r="DT106" i="1" a="1"/>
  <c r="DT106" i="1" s="1"/>
  <c r="DV106" i="1" s="1"/>
  <c r="DT121" i="1" a="1"/>
  <c r="DT121" i="1" s="1"/>
  <c r="DV121" i="1" s="1"/>
  <c r="DT122" i="1" a="1"/>
  <c r="DT122" i="1" s="1"/>
  <c r="DV122" i="1" s="1"/>
  <c r="DT130" i="1" a="1"/>
  <c r="DT130" i="1" s="1"/>
  <c r="DV130" i="1" s="1"/>
  <c r="DT123" i="1" a="1"/>
  <c r="DT123" i="1" s="1"/>
  <c r="DV123" i="1" s="1"/>
  <c r="DT125" i="1" a="1"/>
  <c r="DT125" i="1" s="1"/>
  <c r="DV125" i="1" s="1"/>
  <c r="DT127" i="1" a="1"/>
  <c r="DT127" i="1" s="1"/>
  <c r="DV127" i="1" s="1"/>
  <c r="DT135" i="1" a="1"/>
  <c r="DT135" i="1" s="1"/>
  <c r="DV135" i="1" s="1"/>
  <c r="DT120" i="1" a="1"/>
  <c r="DT120" i="1" s="1"/>
  <c r="DV120" i="1" s="1"/>
  <c r="DT128" i="1" a="1"/>
  <c r="DT128" i="1" s="1"/>
  <c r="DV128" i="1" s="1"/>
  <c r="DT137" i="1" a="1"/>
  <c r="DT137" i="1" s="1"/>
  <c r="DV137" i="1" s="1"/>
  <c r="DT139" i="1" a="1"/>
  <c r="DT139" i="1" s="1"/>
  <c r="DV139" i="1" s="1"/>
  <c r="DT133" i="1" a="1"/>
  <c r="DT133" i="1" s="1"/>
  <c r="DV133" i="1" s="1"/>
  <c r="DT140" i="1" a="1"/>
  <c r="DT140" i="1" s="1"/>
  <c r="DV140" i="1" s="1"/>
  <c r="DT141" i="1" a="1"/>
  <c r="DT141" i="1" s="1"/>
  <c r="DV141" i="1" s="1"/>
  <c r="DT183" i="1" l="1"/>
  <c r="DV183" i="1" s="1"/>
  <c r="DV41" i="1"/>
  <c r="DT163" i="1"/>
  <c r="DV163" i="1" s="1"/>
  <c r="DV32" i="1"/>
  <c r="DV40" i="1"/>
  <c r="DT180" i="1"/>
  <c r="DV180" i="1" s="1"/>
  <c r="DT161" i="1"/>
  <c r="DV161" i="1" s="1"/>
  <c r="DV31" i="1"/>
  <c r="DT209" i="1"/>
  <c r="DV209" i="1" s="1"/>
  <c r="DV14" i="1"/>
  <c r="DT188" i="1"/>
  <c r="DV188" i="1" s="1"/>
  <c r="DV43" i="1"/>
  <c r="DV39" i="1"/>
  <c r="DT179" i="1"/>
  <c r="DV179" i="1" s="1"/>
  <c r="DT158" i="1"/>
  <c r="DV158" i="1" s="1"/>
  <c r="DV29" i="1"/>
  <c r="DT190" i="1"/>
  <c r="DV190" i="1" s="1"/>
  <c r="DV51" i="1"/>
  <c r="DV38" i="1"/>
  <c r="DT178" i="1"/>
  <c r="DV178" i="1" s="1"/>
  <c r="DT157" i="1"/>
  <c r="DV157" i="1" s="1"/>
  <c r="DV28" i="1"/>
  <c r="DT206" i="1"/>
  <c r="DV206" i="1" s="1"/>
  <c r="DV21" i="1"/>
  <c r="DT205" i="1"/>
  <c r="DV205" i="1" s="1"/>
  <c r="DV13" i="1"/>
  <c r="DZ4" i="1"/>
  <c r="DW6" i="1" a="1"/>
  <c r="DW6" i="1" s="1"/>
  <c r="DY6" i="1" s="1"/>
  <c r="DW8" i="1" a="1"/>
  <c r="DW8" i="1" s="1"/>
  <c r="DY8" i="1" s="1"/>
  <c r="DW9" i="1" a="1"/>
  <c r="DW9" i="1" s="1"/>
  <c r="DY9" i="1" s="1"/>
  <c r="DW12" i="1" a="1"/>
  <c r="DW12" i="1" s="1"/>
  <c r="DW13" i="1" a="1"/>
  <c r="DW13" i="1" s="1"/>
  <c r="DW10" i="1" a="1"/>
  <c r="DW10" i="1" s="1"/>
  <c r="DY10" i="1" s="1"/>
  <c r="DW14" i="1" a="1"/>
  <c r="DW14" i="1" s="1"/>
  <c r="DW11" i="1" a="1"/>
  <c r="DW11" i="1" s="1"/>
  <c r="DY11" i="1" s="1"/>
  <c r="DW17" i="1" a="1"/>
  <c r="DW17" i="1" s="1"/>
  <c r="DY17" i="1" s="1"/>
  <c r="DW15" i="1" a="1"/>
  <c r="DW15" i="1" s="1"/>
  <c r="DY15" i="1" s="1"/>
  <c r="DW18" i="1" a="1"/>
  <c r="DW18" i="1" s="1"/>
  <c r="DW19" i="1" a="1"/>
  <c r="DW19" i="1" s="1"/>
  <c r="DW20" i="1" a="1"/>
  <c r="DW20" i="1" s="1"/>
  <c r="DW22" i="1" a="1"/>
  <c r="DW22" i="1" s="1"/>
  <c r="DY22" i="1" s="1"/>
  <c r="DW21" i="1" a="1"/>
  <c r="DW21" i="1" s="1"/>
  <c r="DW23" i="1" a="1"/>
  <c r="DW23" i="1" s="1"/>
  <c r="DY23" i="1" s="1"/>
  <c r="DW25" i="1" a="1"/>
  <c r="DW25" i="1" s="1"/>
  <c r="DY25" i="1" s="1"/>
  <c r="DW27" i="1" a="1"/>
  <c r="DW27" i="1" s="1"/>
  <c r="DW28" i="1" a="1"/>
  <c r="DW28" i="1" s="1"/>
  <c r="DW29" i="1" a="1"/>
  <c r="DW29" i="1" s="1"/>
  <c r="DW31" i="1" a="1"/>
  <c r="DW31" i="1" s="1"/>
  <c r="DW32" i="1" a="1"/>
  <c r="DW32" i="1" s="1"/>
  <c r="DW33" i="1" a="1"/>
  <c r="DW33" i="1" s="1"/>
  <c r="DW34" i="1" a="1"/>
  <c r="DW34" i="1" s="1"/>
  <c r="DW30" i="1" a="1"/>
  <c r="DW30" i="1" s="1"/>
  <c r="DW35" i="1" a="1"/>
  <c r="DW35" i="1" s="1"/>
  <c r="DW36" i="1" a="1"/>
  <c r="DW36" i="1" s="1"/>
  <c r="DW37" i="1" a="1"/>
  <c r="DW37" i="1" s="1"/>
  <c r="DW38" i="1" a="1"/>
  <c r="DW38" i="1" s="1"/>
  <c r="DW39" i="1" a="1"/>
  <c r="DW39" i="1" s="1"/>
  <c r="DW41" i="1" a="1"/>
  <c r="DW41" i="1" s="1"/>
  <c r="DW42" i="1" a="1"/>
  <c r="DW42" i="1" s="1"/>
  <c r="DW46" i="1" a="1"/>
  <c r="DW46" i="1" s="1"/>
  <c r="DY46" i="1" s="1"/>
  <c r="DW43" i="1" a="1"/>
  <c r="DW43" i="1" s="1"/>
  <c r="DW40" i="1" a="1"/>
  <c r="DW40" i="1" s="1"/>
  <c r="DW44" i="1" a="1"/>
  <c r="DW44" i="1" s="1"/>
  <c r="DW45" i="1" a="1"/>
  <c r="DW45" i="1" s="1"/>
  <c r="DY45" i="1" s="1"/>
  <c r="DW48" i="1" a="1"/>
  <c r="DW48" i="1" s="1"/>
  <c r="DY48" i="1" s="1"/>
  <c r="DW54" i="1" a="1"/>
  <c r="DW54" i="1" s="1"/>
  <c r="DY54" i="1" s="1"/>
  <c r="DW49" i="1" a="1"/>
  <c r="DW49" i="1" s="1"/>
  <c r="DY49" i="1" s="1"/>
  <c r="DW51" i="1" a="1"/>
  <c r="DW51" i="1" s="1"/>
  <c r="DW47" i="1" a="1"/>
  <c r="DW47" i="1" s="1"/>
  <c r="DY47" i="1" s="1"/>
  <c r="DW50" i="1" a="1"/>
  <c r="DW50" i="1" s="1"/>
  <c r="DY50" i="1" s="1"/>
  <c r="DW52" i="1" a="1"/>
  <c r="DW52" i="1" s="1"/>
  <c r="DY52" i="1" s="1"/>
  <c r="DW58" i="1" a="1"/>
  <c r="DW58" i="1" s="1"/>
  <c r="DY58" i="1" s="1"/>
  <c r="DW60" i="1" a="1"/>
  <c r="DW60" i="1" s="1"/>
  <c r="DY60" i="1" s="1"/>
  <c r="DW61" i="1" a="1"/>
  <c r="DW61" i="1" s="1"/>
  <c r="DY61" i="1" s="1"/>
  <c r="DW62" i="1" a="1"/>
  <c r="DW62" i="1" s="1"/>
  <c r="DY62" i="1" s="1"/>
  <c r="DW66" i="1"/>
  <c r="DW56" i="1" a="1"/>
  <c r="DW56" i="1" s="1"/>
  <c r="DY56" i="1" s="1"/>
  <c r="DW55" i="1" a="1"/>
  <c r="DW55" i="1" s="1"/>
  <c r="DY55" i="1" s="1"/>
  <c r="DW68" i="1" a="1"/>
  <c r="DW68" i="1" s="1"/>
  <c r="DY68" i="1" s="1"/>
  <c r="DW71" i="1" a="1"/>
  <c r="DW71" i="1" s="1"/>
  <c r="DY71" i="1" s="1"/>
  <c r="DW72" i="1" a="1"/>
  <c r="DW72" i="1" s="1"/>
  <c r="DY72" i="1" s="1"/>
  <c r="DW73" i="1" a="1"/>
  <c r="DW73" i="1" s="1"/>
  <c r="DY73" i="1" s="1"/>
  <c r="DW74" i="1" a="1"/>
  <c r="DW74" i="1" s="1"/>
  <c r="DY74" i="1" s="1"/>
  <c r="DW69" i="1" a="1"/>
  <c r="DW69" i="1" s="1"/>
  <c r="DY69" i="1" s="1"/>
  <c r="DW70" i="1" a="1"/>
  <c r="DW70" i="1" s="1"/>
  <c r="DY70" i="1" s="1"/>
  <c r="DW76" i="1" a="1"/>
  <c r="DW76" i="1" s="1"/>
  <c r="DY76" i="1" s="1"/>
  <c r="DW77" i="1" a="1"/>
  <c r="DW77" i="1" s="1"/>
  <c r="DY77" i="1" s="1"/>
  <c r="DW78" i="1" a="1"/>
  <c r="DW78" i="1" s="1"/>
  <c r="DY78" i="1" s="1"/>
  <c r="DW79" i="1" a="1"/>
  <c r="DW79" i="1" s="1"/>
  <c r="DY79" i="1" s="1"/>
  <c r="DW80" i="1" a="1"/>
  <c r="DW80" i="1" s="1"/>
  <c r="DY80" i="1" s="1"/>
  <c r="DW81" i="1" a="1"/>
  <c r="DW81" i="1" s="1"/>
  <c r="DY81" i="1" s="1"/>
  <c r="DW75" i="1" a="1"/>
  <c r="DW75" i="1" s="1"/>
  <c r="DY75" i="1" s="1"/>
  <c r="DW87" i="1" a="1"/>
  <c r="DW87" i="1" s="1"/>
  <c r="DY87" i="1" s="1"/>
  <c r="DW88" i="1" a="1"/>
  <c r="DW88" i="1" s="1"/>
  <c r="DY88" i="1" s="1"/>
  <c r="DW89" i="1" a="1"/>
  <c r="DW89" i="1" s="1"/>
  <c r="DY89" i="1" s="1"/>
  <c r="DW82" i="1" a="1"/>
  <c r="DW82" i="1" s="1"/>
  <c r="DY82" i="1" s="1"/>
  <c r="DW83" i="1" a="1"/>
  <c r="DW83" i="1" s="1"/>
  <c r="DY83" i="1" s="1"/>
  <c r="DW91" i="1" a="1"/>
  <c r="DW91" i="1" s="1"/>
  <c r="DY91" i="1" s="1"/>
  <c r="DW84" i="1" a="1"/>
  <c r="DW84" i="1" s="1"/>
  <c r="DY84" i="1" s="1"/>
  <c r="DW85" i="1" a="1"/>
  <c r="DW85" i="1" s="1"/>
  <c r="DY85" i="1" s="1"/>
  <c r="DW93" i="1" a="1"/>
  <c r="DW93" i="1" s="1"/>
  <c r="DY93" i="1" s="1"/>
  <c r="DW86" i="1" a="1"/>
  <c r="DW86" i="1" s="1"/>
  <c r="DY86" i="1" s="1"/>
  <c r="DW90" i="1" a="1"/>
  <c r="DW90" i="1" s="1"/>
  <c r="DY90" i="1" s="1"/>
  <c r="DW99" i="1" a="1"/>
  <c r="DW99" i="1" s="1"/>
  <c r="DY99" i="1" s="1"/>
  <c r="DW100" i="1" a="1"/>
  <c r="DW100" i="1" s="1"/>
  <c r="DY100" i="1" s="1"/>
  <c r="DW101" i="1" a="1"/>
  <c r="DW101" i="1" s="1"/>
  <c r="DY101" i="1" s="1"/>
  <c r="DW94" i="1" a="1"/>
  <c r="DW94" i="1" s="1"/>
  <c r="DY94" i="1" s="1"/>
  <c r="DW95" i="1" a="1"/>
  <c r="DW95" i="1" s="1"/>
  <c r="DY95" i="1" s="1"/>
  <c r="DW92" i="1" a="1"/>
  <c r="DW92" i="1" s="1"/>
  <c r="DY92" i="1" s="1"/>
  <c r="DW96" i="1" a="1"/>
  <c r="DW96" i="1" s="1"/>
  <c r="DY96" i="1" s="1"/>
  <c r="DW97" i="1" a="1"/>
  <c r="DW97" i="1" s="1"/>
  <c r="DY97" i="1" s="1"/>
  <c r="DW98" i="1" a="1"/>
  <c r="DW98" i="1" s="1"/>
  <c r="DY98" i="1" s="1"/>
  <c r="DW102" i="1" a="1"/>
  <c r="DW102" i="1" s="1"/>
  <c r="DY102" i="1" s="1"/>
  <c r="DW110" i="1" a="1"/>
  <c r="DW110" i="1" s="1"/>
  <c r="DY110" i="1" s="1"/>
  <c r="DW118" i="1" a="1"/>
  <c r="DW118" i="1" s="1"/>
  <c r="DY118" i="1" s="1"/>
  <c r="DW103" i="1" a="1"/>
  <c r="DW103" i="1" s="1"/>
  <c r="DY103" i="1" s="1"/>
  <c r="DW111" i="1" a="1"/>
  <c r="DW111" i="1" s="1"/>
  <c r="DY111" i="1" s="1"/>
  <c r="DW119" i="1" a="1"/>
  <c r="DW119" i="1" s="1"/>
  <c r="DY119" i="1" s="1"/>
  <c r="DW104" i="1" a="1"/>
  <c r="DW104" i="1" s="1"/>
  <c r="DY104" i="1" s="1"/>
  <c r="DW112" i="1" a="1"/>
  <c r="DW112" i="1" s="1"/>
  <c r="DY112" i="1" s="1"/>
  <c r="DW105" i="1" a="1"/>
  <c r="DW105" i="1" s="1"/>
  <c r="DY105" i="1" s="1"/>
  <c r="DW113" i="1" a="1"/>
  <c r="DW113" i="1" s="1"/>
  <c r="DY113" i="1" s="1"/>
  <c r="DW106" i="1" a="1"/>
  <c r="DW106" i="1" s="1"/>
  <c r="DY106" i="1" s="1"/>
  <c r="DW107" i="1" a="1"/>
  <c r="DW107" i="1" s="1"/>
  <c r="DY107" i="1" s="1"/>
  <c r="DW115" i="1" a="1"/>
  <c r="DW115" i="1" s="1"/>
  <c r="DY115" i="1" s="1"/>
  <c r="DW108" i="1" a="1"/>
  <c r="DW108" i="1" s="1"/>
  <c r="DY108" i="1" s="1"/>
  <c r="DW116" i="1" a="1"/>
  <c r="DW116" i="1" s="1"/>
  <c r="DY116" i="1" s="1"/>
  <c r="DW109" i="1" a="1"/>
  <c r="DW109" i="1" s="1"/>
  <c r="DY109" i="1" s="1"/>
  <c r="DW117" i="1" a="1"/>
  <c r="DW117" i="1" s="1"/>
  <c r="DY117" i="1" s="1"/>
  <c r="DW125" i="1" a="1"/>
  <c r="DW125" i="1" s="1"/>
  <c r="DY125" i="1" s="1"/>
  <c r="DW133" i="1" a="1"/>
  <c r="DW133" i="1" s="1"/>
  <c r="DY133" i="1" s="1"/>
  <c r="DW127" i="1" a="1"/>
  <c r="DW127" i="1" s="1"/>
  <c r="DY127" i="1" s="1"/>
  <c r="DW120" i="1" a="1"/>
  <c r="DW120" i="1" s="1"/>
  <c r="DY120" i="1" s="1"/>
  <c r="DW128" i="1" a="1"/>
  <c r="DW128" i="1" s="1"/>
  <c r="DY128" i="1" s="1"/>
  <c r="DW121" i="1" a="1"/>
  <c r="DW121" i="1" s="1"/>
  <c r="DY121" i="1" s="1"/>
  <c r="DW122" i="1" a="1"/>
  <c r="DW122" i="1" s="1"/>
  <c r="DY122" i="1" s="1"/>
  <c r="DW130" i="1" a="1"/>
  <c r="DW130" i="1" s="1"/>
  <c r="DY130" i="1" s="1"/>
  <c r="DW123" i="1" a="1"/>
  <c r="DW123" i="1" s="1"/>
  <c r="DY123" i="1" s="1"/>
  <c r="DW140" i="1" a="1"/>
  <c r="DW140" i="1" s="1"/>
  <c r="DY140" i="1" s="1"/>
  <c r="DW141" i="1" a="1"/>
  <c r="DW141" i="1" s="1"/>
  <c r="DY141" i="1" s="1"/>
  <c r="DW135" i="1" a="1"/>
  <c r="DW135" i="1" s="1"/>
  <c r="DY135" i="1" s="1"/>
  <c r="DW137" i="1" a="1"/>
  <c r="DW137" i="1" s="1"/>
  <c r="DY137" i="1" s="1"/>
  <c r="DW139" i="1" a="1"/>
  <c r="DW139" i="1" s="1"/>
  <c r="DY139" i="1" s="1"/>
  <c r="DV42" i="1"/>
  <c r="DT185" i="1"/>
  <c r="DV185" i="1" s="1"/>
  <c r="DT176" i="1"/>
  <c r="DV176" i="1" s="1"/>
  <c r="DV37" i="1"/>
  <c r="DT160" i="1"/>
  <c r="DV160" i="1" s="1"/>
  <c r="DV30" i="1"/>
  <c r="DV20" i="1"/>
  <c r="DT211" i="1"/>
  <c r="DV211" i="1" s="1"/>
  <c r="DT204" i="1"/>
  <c r="DV204" i="1" s="1"/>
  <c r="DV12" i="1"/>
  <c r="DT172" i="1"/>
  <c r="DV172" i="1" s="1"/>
  <c r="DV36" i="1"/>
  <c r="DT210" i="1"/>
  <c r="DV210" i="1" s="1"/>
  <c r="DV19" i="1"/>
  <c r="DT191" i="1"/>
  <c r="DV191" i="1" s="1"/>
  <c r="DV44" i="1"/>
  <c r="DT166" i="1"/>
  <c r="DV166" i="1" s="1"/>
  <c r="DV34" i="1"/>
  <c r="DT156" i="1"/>
  <c r="DV156" i="1" s="1"/>
  <c r="DV27" i="1"/>
  <c r="DT208" i="1"/>
  <c r="DV208" i="1" s="1"/>
  <c r="DV18" i="1"/>
  <c r="DT167" i="1"/>
  <c r="DV167" i="1" s="1"/>
  <c r="DV35" i="1"/>
  <c r="DT165" i="1"/>
  <c r="DV165" i="1" s="1"/>
  <c r="DV33" i="1"/>
  <c r="DW160" i="1" l="1"/>
  <c r="DY160" i="1" s="1"/>
  <c r="DY30" i="1"/>
  <c r="DW208" i="1"/>
  <c r="DY208" i="1" s="1"/>
  <c r="DY18" i="1"/>
  <c r="DY12" i="1"/>
  <c r="DW204" i="1"/>
  <c r="DY204" i="1" s="1"/>
  <c r="DW185" i="1"/>
  <c r="DY185" i="1" s="1"/>
  <c r="DY42" i="1"/>
  <c r="DW166" i="1"/>
  <c r="DY166" i="1" s="1"/>
  <c r="DY34" i="1"/>
  <c r="DW183" i="1"/>
  <c r="DY183" i="1" s="1"/>
  <c r="DY41" i="1"/>
  <c r="DW165" i="1"/>
  <c r="DY165" i="1" s="1"/>
  <c r="DY33" i="1"/>
  <c r="DW179" i="1"/>
  <c r="DY179" i="1" s="1"/>
  <c r="DY39" i="1"/>
  <c r="DW163" i="1"/>
  <c r="DY163" i="1" s="1"/>
  <c r="DY32" i="1"/>
  <c r="DW178" i="1"/>
  <c r="DY178" i="1" s="1"/>
  <c r="DY38" i="1"/>
  <c r="DW161" i="1"/>
  <c r="DY161" i="1" s="1"/>
  <c r="DY31" i="1"/>
  <c r="DW206" i="1"/>
  <c r="DY206" i="1" s="1"/>
  <c r="DY21" i="1"/>
  <c r="DY44" i="1"/>
  <c r="DW191" i="1"/>
  <c r="DY191" i="1" s="1"/>
  <c r="DW176" i="1"/>
  <c r="DY176" i="1" s="1"/>
  <c r="DY37" i="1"/>
  <c r="DW158" i="1"/>
  <c r="DY158" i="1" s="1"/>
  <c r="DY29" i="1"/>
  <c r="DW209" i="1"/>
  <c r="DY209" i="1" s="1"/>
  <c r="DY14" i="1"/>
  <c r="EC4" i="1"/>
  <c r="DZ6" i="1" a="1"/>
  <c r="DZ6" i="1" s="1"/>
  <c r="EB6" i="1" s="1"/>
  <c r="DZ8" i="1" a="1"/>
  <c r="DZ8" i="1" s="1"/>
  <c r="EB8" i="1" s="1"/>
  <c r="DZ9" i="1" a="1"/>
  <c r="DZ9" i="1" s="1"/>
  <c r="EB9" i="1" s="1"/>
  <c r="DZ10" i="1" a="1"/>
  <c r="DZ10" i="1" s="1"/>
  <c r="EB10" i="1" s="1"/>
  <c r="DZ11" i="1" a="1"/>
  <c r="DZ11" i="1" s="1"/>
  <c r="EB11" i="1" s="1"/>
  <c r="DZ12" i="1" a="1"/>
  <c r="DZ12" i="1" s="1"/>
  <c r="DZ14" i="1" a="1"/>
  <c r="DZ14" i="1" s="1"/>
  <c r="DZ13" i="1" a="1"/>
  <c r="DZ13" i="1" s="1"/>
  <c r="DZ15" i="1" a="1"/>
  <c r="DZ15" i="1" s="1"/>
  <c r="EB15" i="1" s="1"/>
  <c r="DZ20" i="1" a="1"/>
  <c r="DZ20" i="1" s="1"/>
  <c r="DZ17" i="1" a="1"/>
  <c r="DZ17" i="1" s="1"/>
  <c r="EB17" i="1" s="1"/>
  <c r="DZ18" i="1" a="1"/>
  <c r="DZ18" i="1" s="1"/>
  <c r="DZ19" i="1" a="1"/>
  <c r="DZ19" i="1" s="1"/>
  <c r="DZ21" i="1" a="1"/>
  <c r="DZ21" i="1" s="1"/>
  <c r="DZ22" i="1" a="1"/>
  <c r="DZ22" i="1" s="1"/>
  <c r="EB22" i="1" s="1"/>
  <c r="DZ25" i="1" a="1"/>
  <c r="DZ25" i="1" s="1"/>
  <c r="EB25" i="1" s="1"/>
  <c r="DZ27" i="1" a="1"/>
  <c r="DZ27" i="1" s="1"/>
  <c r="DZ23" i="1" a="1"/>
  <c r="DZ23" i="1" s="1"/>
  <c r="EB23" i="1" s="1"/>
  <c r="DZ30" i="1" a="1"/>
  <c r="DZ30" i="1" s="1"/>
  <c r="DZ28" i="1" a="1"/>
  <c r="DZ28" i="1" s="1"/>
  <c r="DZ29" i="1" a="1"/>
  <c r="DZ29" i="1" s="1"/>
  <c r="DZ31" i="1" a="1"/>
  <c r="DZ31" i="1" s="1"/>
  <c r="DZ32" i="1" a="1"/>
  <c r="DZ32" i="1" s="1"/>
  <c r="DZ36" i="1" a="1"/>
  <c r="DZ36" i="1" s="1"/>
  <c r="DZ33" i="1" a="1"/>
  <c r="DZ33" i="1" s="1"/>
  <c r="DZ37" i="1" a="1"/>
  <c r="DZ37" i="1" s="1"/>
  <c r="DZ38" i="1" a="1"/>
  <c r="DZ38" i="1" s="1"/>
  <c r="DZ39" i="1" a="1"/>
  <c r="DZ39" i="1" s="1"/>
  <c r="DZ40" i="1" a="1"/>
  <c r="DZ40" i="1" s="1"/>
  <c r="DZ41" i="1" a="1"/>
  <c r="DZ41" i="1" s="1"/>
  <c r="DZ34" i="1" a="1"/>
  <c r="DZ34" i="1" s="1"/>
  <c r="DZ35" i="1" a="1"/>
  <c r="DZ35" i="1" s="1"/>
  <c r="DZ43" i="1" a="1"/>
  <c r="DZ43" i="1" s="1"/>
  <c r="DZ44" i="1" a="1"/>
  <c r="DZ44" i="1" s="1"/>
  <c r="DZ48" i="1" a="1"/>
  <c r="DZ48" i="1" s="1"/>
  <c r="EB48" i="1" s="1"/>
  <c r="DZ45" i="1" a="1"/>
  <c r="DZ45" i="1" s="1"/>
  <c r="EB45" i="1" s="1"/>
  <c r="DZ42" i="1" a="1"/>
  <c r="DZ42" i="1" s="1"/>
  <c r="DZ46" i="1" a="1"/>
  <c r="DZ46" i="1" s="1"/>
  <c r="EB46" i="1" s="1"/>
  <c r="DZ49" i="1" a="1"/>
  <c r="DZ49" i="1" s="1"/>
  <c r="EB49" i="1" s="1"/>
  <c r="DZ51" i="1" a="1"/>
  <c r="DZ51" i="1" s="1"/>
  <c r="DZ50" i="1" a="1"/>
  <c r="DZ50" i="1" s="1"/>
  <c r="EB50" i="1" s="1"/>
  <c r="DZ52" i="1" a="1"/>
  <c r="DZ52" i="1" s="1"/>
  <c r="EB52" i="1" s="1"/>
  <c r="DZ47" i="1" a="1"/>
  <c r="DZ47" i="1" s="1"/>
  <c r="EB47" i="1" s="1"/>
  <c r="DZ54" i="1" a="1"/>
  <c r="DZ54" i="1" s="1"/>
  <c r="EB54" i="1" s="1"/>
  <c r="DZ55" i="1" a="1"/>
  <c r="DZ55" i="1" s="1"/>
  <c r="EB55" i="1" s="1"/>
  <c r="DZ56" i="1" a="1"/>
  <c r="DZ56" i="1" s="1"/>
  <c r="EB56" i="1" s="1"/>
  <c r="DZ66" i="1"/>
  <c r="DZ58" i="1" a="1"/>
  <c r="DZ58" i="1" s="1"/>
  <c r="EB58" i="1" s="1"/>
  <c r="DZ60" i="1" a="1"/>
  <c r="DZ60" i="1" s="1"/>
  <c r="EB60" i="1" s="1"/>
  <c r="DZ61" i="1" a="1"/>
  <c r="DZ61" i="1" s="1"/>
  <c r="EB61" i="1" s="1"/>
  <c r="DZ68" i="1" a="1"/>
  <c r="DZ68" i="1" s="1"/>
  <c r="EB68" i="1" s="1"/>
  <c r="DZ71" i="1" a="1"/>
  <c r="DZ71" i="1" s="1"/>
  <c r="EB71" i="1" s="1"/>
  <c r="DZ72" i="1" a="1"/>
  <c r="DZ72" i="1" s="1"/>
  <c r="EB72" i="1" s="1"/>
  <c r="DZ73" i="1" a="1"/>
  <c r="DZ73" i="1" s="1"/>
  <c r="EB73" i="1" s="1"/>
  <c r="DZ74" i="1" a="1"/>
  <c r="DZ74" i="1" s="1"/>
  <c r="EB74" i="1" s="1"/>
  <c r="DZ69" i="1" a="1"/>
  <c r="DZ69" i="1" s="1"/>
  <c r="EB69" i="1" s="1"/>
  <c r="DZ70" i="1" a="1"/>
  <c r="DZ70" i="1" s="1"/>
  <c r="EB70" i="1" s="1"/>
  <c r="DZ62" i="1" a="1"/>
  <c r="DZ62" i="1" s="1"/>
  <c r="EB62" i="1" s="1"/>
  <c r="DZ76" i="1" a="1"/>
  <c r="DZ76" i="1" s="1"/>
  <c r="EB76" i="1" s="1"/>
  <c r="DZ77" i="1" a="1"/>
  <c r="DZ77" i="1" s="1"/>
  <c r="EB77" i="1" s="1"/>
  <c r="DZ78" i="1" a="1"/>
  <c r="DZ78" i="1" s="1"/>
  <c r="EB78" i="1" s="1"/>
  <c r="DZ79" i="1" a="1"/>
  <c r="DZ79" i="1" s="1"/>
  <c r="EB79" i="1" s="1"/>
  <c r="DZ80" i="1" a="1"/>
  <c r="DZ80" i="1" s="1"/>
  <c r="EB80" i="1" s="1"/>
  <c r="DZ75" i="1" a="1"/>
  <c r="DZ75" i="1" s="1"/>
  <c r="EB75" i="1" s="1"/>
  <c r="DZ82" i="1" a="1"/>
  <c r="DZ82" i="1" s="1"/>
  <c r="EB82" i="1" s="1"/>
  <c r="DZ90" i="1" a="1"/>
  <c r="DZ90" i="1" s="1"/>
  <c r="EB90" i="1" s="1"/>
  <c r="DZ81" i="1" a="1"/>
  <c r="DZ81" i="1" s="1"/>
  <c r="EB81" i="1" s="1"/>
  <c r="DZ83" i="1" a="1"/>
  <c r="DZ83" i="1" s="1"/>
  <c r="EB83" i="1" s="1"/>
  <c r="DZ91" i="1" a="1"/>
  <c r="DZ91" i="1" s="1"/>
  <c r="EB91" i="1" s="1"/>
  <c r="DZ84" i="1" a="1"/>
  <c r="DZ84" i="1" s="1"/>
  <c r="EB84" i="1" s="1"/>
  <c r="DZ92" i="1" a="1"/>
  <c r="DZ92" i="1" s="1"/>
  <c r="EB92" i="1" s="1"/>
  <c r="DZ85" i="1" a="1"/>
  <c r="DZ85" i="1" s="1"/>
  <c r="EB85" i="1" s="1"/>
  <c r="DZ86" i="1" a="1"/>
  <c r="DZ86" i="1" s="1"/>
  <c r="EB86" i="1" s="1"/>
  <c r="DZ87" i="1" a="1"/>
  <c r="DZ87" i="1" s="1"/>
  <c r="EB87" i="1" s="1"/>
  <c r="DZ88" i="1" a="1"/>
  <c r="DZ88" i="1" s="1"/>
  <c r="EB88" i="1" s="1"/>
  <c r="DZ89" i="1" a="1"/>
  <c r="DZ89" i="1" s="1"/>
  <c r="EB89" i="1" s="1"/>
  <c r="DZ94" i="1" a="1"/>
  <c r="DZ94" i="1" s="1"/>
  <c r="EB94" i="1" s="1"/>
  <c r="DZ95" i="1" a="1"/>
  <c r="DZ95" i="1" s="1"/>
  <c r="EB95" i="1" s="1"/>
  <c r="DZ96" i="1" a="1"/>
  <c r="DZ96" i="1" s="1"/>
  <c r="EB96" i="1" s="1"/>
  <c r="DZ97" i="1" a="1"/>
  <c r="DZ97" i="1" s="1"/>
  <c r="EB97" i="1" s="1"/>
  <c r="DZ98" i="1" a="1"/>
  <c r="DZ98" i="1" s="1"/>
  <c r="EB98" i="1" s="1"/>
  <c r="DZ99" i="1" a="1"/>
  <c r="DZ99" i="1" s="1"/>
  <c r="EB99" i="1" s="1"/>
  <c r="DZ93" i="1" a="1"/>
  <c r="DZ93" i="1" s="1"/>
  <c r="EB93" i="1" s="1"/>
  <c r="DZ100" i="1" a="1"/>
  <c r="DZ100" i="1" s="1"/>
  <c r="EB100" i="1" s="1"/>
  <c r="DZ101" i="1" a="1"/>
  <c r="DZ101" i="1" s="1"/>
  <c r="EB101" i="1" s="1"/>
  <c r="DZ105" i="1" a="1"/>
  <c r="DZ105" i="1" s="1"/>
  <c r="EB105" i="1" s="1"/>
  <c r="DZ113" i="1" a="1"/>
  <c r="DZ113" i="1" s="1"/>
  <c r="EB113" i="1" s="1"/>
  <c r="DZ106" i="1" a="1"/>
  <c r="DZ106" i="1" s="1"/>
  <c r="EB106" i="1" s="1"/>
  <c r="DZ107" i="1" a="1"/>
  <c r="DZ107" i="1" s="1"/>
  <c r="EB107" i="1" s="1"/>
  <c r="DZ115" i="1" a="1"/>
  <c r="DZ115" i="1" s="1"/>
  <c r="EB115" i="1" s="1"/>
  <c r="DZ108" i="1" a="1"/>
  <c r="DZ108" i="1" s="1"/>
  <c r="EB108" i="1" s="1"/>
  <c r="DZ116" i="1" a="1"/>
  <c r="DZ116" i="1" s="1"/>
  <c r="EB116" i="1" s="1"/>
  <c r="DZ109" i="1" a="1"/>
  <c r="DZ109" i="1" s="1"/>
  <c r="EB109" i="1" s="1"/>
  <c r="DZ117" i="1" a="1"/>
  <c r="DZ117" i="1" s="1"/>
  <c r="EB117" i="1" s="1"/>
  <c r="DZ102" i="1" a="1"/>
  <c r="DZ102" i="1" s="1"/>
  <c r="EB102" i="1" s="1"/>
  <c r="DZ110" i="1" a="1"/>
  <c r="DZ110" i="1" s="1"/>
  <c r="EB110" i="1" s="1"/>
  <c r="DZ118" i="1" a="1"/>
  <c r="DZ118" i="1" s="1"/>
  <c r="EB118" i="1" s="1"/>
  <c r="DZ103" i="1" a="1"/>
  <c r="DZ103" i="1" s="1"/>
  <c r="EB103" i="1" s="1"/>
  <c r="DZ111" i="1" a="1"/>
  <c r="DZ111" i="1" s="1"/>
  <c r="EB111" i="1" s="1"/>
  <c r="DZ104" i="1" a="1"/>
  <c r="DZ104" i="1" s="1"/>
  <c r="EB104" i="1" s="1"/>
  <c r="DZ112" i="1" a="1"/>
  <c r="DZ112" i="1" s="1"/>
  <c r="EB112" i="1" s="1"/>
  <c r="DZ127" i="1" a="1"/>
  <c r="DZ127" i="1" s="1"/>
  <c r="EB127" i="1" s="1"/>
  <c r="DZ135" i="1" a="1"/>
  <c r="DZ135" i="1" s="1"/>
  <c r="EB135" i="1" s="1"/>
  <c r="DZ120" i="1" a="1"/>
  <c r="DZ120" i="1" s="1"/>
  <c r="EB120" i="1" s="1"/>
  <c r="DZ128" i="1" a="1"/>
  <c r="DZ128" i="1" s="1"/>
  <c r="EB128" i="1" s="1"/>
  <c r="DZ121" i="1" a="1"/>
  <c r="DZ121" i="1" s="1"/>
  <c r="EB121" i="1" s="1"/>
  <c r="DZ122" i="1" a="1"/>
  <c r="DZ122" i="1" s="1"/>
  <c r="EB122" i="1" s="1"/>
  <c r="DZ130" i="1" a="1"/>
  <c r="DZ130" i="1" s="1"/>
  <c r="EB130" i="1" s="1"/>
  <c r="DZ123" i="1" a="1"/>
  <c r="DZ123" i="1" s="1"/>
  <c r="EB123" i="1" s="1"/>
  <c r="DZ125" i="1" a="1"/>
  <c r="DZ125" i="1" s="1"/>
  <c r="EB125" i="1" s="1"/>
  <c r="DZ133" i="1" a="1"/>
  <c r="DZ133" i="1" s="1"/>
  <c r="EB133" i="1" s="1"/>
  <c r="DZ119" i="1" a="1"/>
  <c r="DZ119" i="1" s="1"/>
  <c r="EB119" i="1" s="1"/>
  <c r="DZ137" i="1" a="1"/>
  <c r="DZ137" i="1" s="1"/>
  <c r="EB137" i="1" s="1"/>
  <c r="DZ139" i="1" a="1"/>
  <c r="DZ139" i="1" s="1"/>
  <c r="EB139" i="1" s="1"/>
  <c r="DZ140" i="1" a="1"/>
  <c r="DZ140" i="1" s="1"/>
  <c r="EB140" i="1" s="1"/>
  <c r="DZ141" i="1" a="1"/>
  <c r="DZ141" i="1" s="1"/>
  <c r="EB141" i="1" s="1"/>
  <c r="DW180" i="1"/>
  <c r="DY180" i="1" s="1"/>
  <c r="DY40" i="1"/>
  <c r="DW172" i="1"/>
  <c r="DY172" i="1" s="1"/>
  <c r="DY36" i="1"/>
  <c r="DW157" i="1"/>
  <c r="DY157" i="1" s="1"/>
  <c r="DY28" i="1"/>
  <c r="DW211" i="1"/>
  <c r="DY211" i="1" s="1"/>
  <c r="DY20" i="1"/>
  <c r="DW190" i="1"/>
  <c r="DY190" i="1" s="1"/>
  <c r="DY51" i="1"/>
  <c r="DW188" i="1"/>
  <c r="DY188" i="1" s="1"/>
  <c r="DY43" i="1"/>
  <c r="DW167" i="1"/>
  <c r="DY167" i="1" s="1"/>
  <c r="DY35" i="1"/>
  <c r="DY27" i="1"/>
  <c r="DW156" i="1"/>
  <c r="DY156" i="1" s="1"/>
  <c r="DW210" i="1"/>
  <c r="DY210" i="1" s="1"/>
  <c r="DY19" i="1"/>
  <c r="DW205" i="1"/>
  <c r="DY205" i="1" s="1"/>
  <c r="DY13" i="1"/>
  <c r="DZ190" i="1" l="1"/>
  <c r="EB190" i="1" s="1"/>
  <c r="EB51" i="1"/>
  <c r="DZ167" i="1"/>
  <c r="EB167" i="1" s="1"/>
  <c r="EB35" i="1"/>
  <c r="EB36" i="1"/>
  <c r="DZ172" i="1"/>
  <c r="EB172" i="1" s="1"/>
  <c r="DZ211" i="1"/>
  <c r="EB211" i="1" s="1"/>
  <c r="EB20" i="1"/>
  <c r="DZ166" i="1"/>
  <c r="EB166" i="1" s="1"/>
  <c r="EB34" i="1"/>
  <c r="DZ163" i="1"/>
  <c r="EB163" i="1" s="1"/>
  <c r="EB32" i="1"/>
  <c r="DZ183" i="1"/>
  <c r="EB183" i="1" s="1"/>
  <c r="EB41" i="1"/>
  <c r="DZ161" i="1"/>
  <c r="EB161" i="1" s="1"/>
  <c r="EB31" i="1"/>
  <c r="DZ205" i="1"/>
  <c r="EB205" i="1" s="1"/>
  <c r="EB13" i="1"/>
  <c r="DZ185" i="1"/>
  <c r="EB185" i="1" s="1"/>
  <c r="EB42" i="1"/>
  <c r="DZ180" i="1"/>
  <c r="EB180" i="1" s="1"/>
  <c r="EB40" i="1"/>
  <c r="DZ158" i="1"/>
  <c r="EB158" i="1" s="1"/>
  <c r="EB29" i="1"/>
  <c r="DZ179" i="1"/>
  <c r="EB179" i="1" s="1"/>
  <c r="EB39" i="1"/>
  <c r="DZ157" i="1"/>
  <c r="EB157" i="1" s="1"/>
  <c r="EB28" i="1"/>
  <c r="DZ206" i="1"/>
  <c r="EB206" i="1" s="1"/>
  <c r="EB21" i="1"/>
  <c r="EB14" i="1"/>
  <c r="DZ209" i="1"/>
  <c r="EB209" i="1" s="1"/>
  <c r="EF4" i="1"/>
  <c r="EC6" i="1" a="1"/>
  <c r="EC6" i="1" s="1"/>
  <c r="EE6" i="1" s="1"/>
  <c r="EC8" i="1" a="1"/>
  <c r="EC8" i="1" s="1"/>
  <c r="EE8" i="1" s="1"/>
  <c r="EC9" i="1" a="1"/>
  <c r="EC9" i="1" s="1"/>
  <c r="EE9" i="1" s="1"/>
  <c r="EC11" i="1" a="1"/>
  <c r="EC11" i="1" s="1"/>
  <c r="EE11" i="1" s="1"/>
  <c r="EC12" i="1" a="1"/>
  <c r="EC12" i="1" s="1"/>
  <c r="EC13" i="1" a="1"/>
  <c r="EC13" i="1" s="1"/>
  <c r="EC10" i="1" a="1"/>
  <c r="EC10" i="1" s="1"/>
  <c r="EE10" i="1" s="1"/>
  <c r="EC15" i="1" a="1"/>
  <c r="EC15" i="1" s="1"/>
  <c r="EE15" i="1" s="1"/>
  <c r="EC14" i="1" a="1"/>
  <c r="EC14" i="1" s="1"/>
  <c r="EC21" i="1" a="1"/>
  <c r="EC21" i="1" s="1"/>
  <c r="EC18" i="1" a="1"/>
  <c r="EC18" i="1" s="1"/>
  <c r="EC19" i="1" a="1"/>
  <c r="EC19" i="1" s="1"/>
  <c r="EC17" i="1" a="1"/>
  <c r="EC17" i="1" s="1"/>
  <c r="EE17" i="1" s="1"/>
  <c r="EC20" i="1" a="1"/>
  <c r="EC20" i="1" s="1"/>
  <c r="EC22" i="1" a="1"/>
  <c r="EC22" i="1" s="1"/>
  <c r="EE22" i="1" s="1"/>
  <c r="EC23" i="1" a="1"/>
  <c r="EC23" i="1" s="1"/>
  <c r="EE23" i="1" s="1"/>
  <c r="EC25" i="1" a="1"/>
  <c r="EC25" i="1" s="1"/>
  <c r="EE25" i="1" s="1"/>
  <c r="EC28" i="1" a="1"/>
  <c r="EC28" i="1" s="1"/>
  <c r="EC29" i="1" a="1"/>
  <c r="EC29" i="1" s="1"/>
  <c r="EC27" i="1" a="1"/>
  <c r="EC27" i="1" s="1"/>
  <c r="EC31" i="1" a="1"/>
  <c r="EC31" i="1" s="1"/>
  <c r="EC32" i="1" a="1"/>
  <c r="EC32" i="1" s="1"/>
  <c r="EC33" i="1" a="1"/>
  <c r="EC33" i="1" s="1"/>
  <c r="EC30" i="1" a="1"/>
  <c r="EC30" i="1" s="1"/>
  <c r="EC37" i="1" a="1"/>
  <c r="EC37" i="1" s="1"/>
  <c r="EC38" i="1" a="1"/>
  <c r="EC38" i="1" s="1"/>
  <c r="EC39" i="1" a="1"/>
  <c r="EC39" i="1" s="1"/>
  <c r="EC40" i="1" a="1"/>
  <c r="EC40" i="1" s="1"/>
  <c r="EC41" i="1" a="1"/>
  <c r="EC41" i="1" s="1"/>
  <c r="EC34" i="1" a="1"/>
  <c r="EC34" i="1" s="1"/>
  <c r="EC35" i="1" a="1"/>
  <c r="EC35" i="1" s="1"/>
  <c r="EC36" i="1" a="1"/>
  <c r="EC36" i="1" s="1"/>
  <c r="EC45" i="1" a="1"/>
  <c r="EC45" i="1" s="1"/>
  <c r="EE45" i="1" s="1"/>
  <c r="EC42" i="1" a="1"/>
  <c r="EC42" i="1" s="1"/>
  <c r="EC43" i="1" a="1"/>
  <c r="EC43" i="1" s="1"/>
  <c r="EC44" i="1" a="1"/>
  <c r="EC44" i="1" s="1"/>
  <c r="EC48" i="1" a="1"/>
  <c r="EC48" i="1" s="1"/>
  <c r="EE48" i="1" s="1"/>
  <c r="EC52" i="1" a="1"/>
  <c r="EC52" i="1" s="1"/>
  <c r="EE52" i="1" s="1"/>
  <c r="EC47" i="1" a="1"/>
  <c r="EC47" i="1" s="1"/>
  <c r="EE47" i="1" s="1"/>
  <c r="EC54" i="1" a="1"/>
  <c r="EC54" i="1" s="1"/>
  <c r="EE54" i="1" s="1"/>
  <c r="EC46" i="1" a="1"/>
  <c r="EC46" i="1" s="1"/>
  <c r="EE46" i="1" s="1"/>
  <c r="EC50" i="1" a="1"/>
  <c r="EC50" i="1" s="1"/>
  <c r="EE50" i="1" s="1"/>
  <c r="EC51" i="1" a="1"/>
  <c r="EC51" i="1" s="1"/>
  <c r="EC49" i="1" a="1"/>
  <c r="EC49" i="1" s="1"/>
  <c r="EE49" i="1" s="1"/>
  <c r="EC58" i="1" a="1"/>
  <c r="EC58" i="1" s="1"/>
  <c r="EE58" i="1" s="1"/>
  <c r="EC60" i="1" a="1"/>
  <c r="EC60" i="1" s="1"/>
  <c r="EE60" i="1" s="1"/>
  <c r="EC61" i="1" a="1"/>
  <c r="EC61" i="1" s="1"/>
  <c r="EE61" i="1" s="1"/>
  <c r="EC62" i="1" a="1"/>
  <c r="EC62" i="1" s="1"/>
  <c r="EE62" i="1" s="1"/>
  <c r="EC66" i="1"/>
  <c r="EC55" i="1" a="1"/>
  <c r="EC55" i="1" s="1"/>
  <c r="EE55" i="1" s="1"/>
  <c r="EC56" i="1" a="1"/>
  <c r="EC56" i="1" s="1"/>
  <c r="EE56" i="1" s="1"/>
  <c r="EC68" i="1" a="1"/>
  <c r="EC68" i="1" s="1"/>
  <c r="EE68" i="1" s="1"/>
  <c r="EC71" i="1" a="1"/>
  <c r="EC71" i="1" s="1"/>
  <c r="EE71" i="1" s="1"/>
  <c r="EC72" i="1" a="1"/>
  <c r="EC72" i="1" s="1"/>
  <c r="EE72" i="1" s="1"/>
  <c r="EC73" i="1" a="1"/>
  <c r="EC73" i="1" s="1"/>
  <c r="EE73" i="1" s="1"/>
  <c r="EC69" i="1" a="1"/>
  <c r="EC69" i="1" s="1"/>
  <c r="EE69" i="1" s="1"/>
  <c r="EC70" i="1" a="1"/>
  <c r="EC70" i="1" s="1"/>
  <c r="EE70" i="1" s="1"/>
  <c r="EC74" i="1" a="1"/>
  <c r="EC74" i="1" s="1"/>
  <c r="EE74" i="1" s="1"/>
  <c r="EC76" i="1" a="1"/>
  <c r="EC76" i="1" s="1"/>
  <c r="EE76" i="1" s="1"/>
  <c r="EC77" i="1" a="1"/>
  <c r="EC77" i="1" s="1"/>
  <c r="EE77" i="1" s="1"/>
  <c r="EC78" i="1" a="1"/>
  <c r="EC78" i="1" s="1"/>
  <c r="EE78" i="1" s="1"/>
  <c r="EC79" i="1" a="1"/>
  <c r="EC79" i="1" s="1"/>
  <c r="EE79" i="1" s="1"/>
  <c r="EC80" i="1" a="1"/>
  <c r="EC80" i="1" s="1"/>
  <c r="EE80" i="1" s="1"/>
  <c r="EC75" i="1" a="1"/>
  <c r="EC75" i="1" s="1"/>
  <c r="EE75" i="1" s="1"/>
  <c r="EC85" i="1" a="1"/>
  <c r="EC85" i="1" s="1"/>
  <c r="EE85" i="1" s="1"/>
  <c r="EC86" i="1" a="1"/>
  <c r="EC86" i="1" s="1"/>
  <c r="EE86" i="1" s="1"/>
  <c r="EC87" i="1" a="1"/>
  <c r="EC87" i="1" s="1"/>
  <c r="EE87" i="1" s="1"/>
  <c r="EC88" i="1" a="1"/>
  <c r="EC88" i="1" s="1"/>
  <c r="EE88" i="1" s="1"/>
  <c r="EC89" i="1" a="1"/>
  <c r="EC89" i="1" s="1"/>
  <c r="EE89" i="1" s="1"/>
  <c r="EC81" i="1" a="1"/>
  <c r="EC81" i="1" s="1"/>
  <c r="EE81" i="1" s="1"/>
  <c r="EC82" i="1" a="1"/>
  <c r="EC82" i="1" s="1"/>
  <c r="EE82" i="1" s="1"/>
  <c r="EC90" i="1" a="1"/>
  <c r="EC90" i="1" s="1"/>
  <c r="EE90" i="1" s="1"/>
  <c r="EC83" i="1" a="1"/>
  <c r="EC83" i="1" s="1"/>
  <c r="EE83" i="1" s="1"/>
  <c r="EC91" i="1" a="1"/>
  <c r="EC91" i="1" s="1"/>
  <c r="EE91" i="1" s="1"/>
  <c r="EC84" i="1" a="1"/>
  <c r="EC84" i="1" s="1"/>
  <c r="EE84" i="1" s="1"/>
  <c r="EC97" i="1" a="1"/>
  <c r="EC97" i="1" s="1"/>
  <c r="EE97" i="1" s="1"/>
  <c r="EC98" i="1" a="1"/>
  <c r="EC98" i="1" s="1"/>
  <c r="EE98" i="1" s="1"/>
  <c r="EC92" i="1" a="1"/>
  <c r="EC92" i="1" s="1"/>
  <c r="EE92" i="1" s="1"/>
  <c r="EC93" i="1" a="1"/>
  <c r="EC93" i="1" s="1"/>
  <c r="EE93" i="1" s="1"/>
  <c r="EC99" i="1" a="1"/>
  <c r="EC99" i="1" s="1"/>
  <c r="EE99" i="1" s="1"/>
  <c r="EC100" i="1" a="1"/>
  <c r="EC100" i="1" s="1"/>
  <c r="EE100" i="1" s="1"/>
  <c r="EC101" i="1" a="1"/>
  <c r="EC101" i="1" s="1"/>
  <c r="EE101" i="1" s="1"/>
  <c r="EC94" i="1" a="1"/>
  <c r="EC94" i="1" s="1"/>
  <c r="EE94" i="1" s="1"/>
  <c r="EC95" i="1" a="1"/>
  <c r="EC95" i="1" s="1"/>
  <c r="EE95" i="1" s="1"/>
  <c r="EC96" i="1" a="1"/>
  <c r="EC96" i="1" s="1"/>
  <c r="EE96" i="1" s="1"/>
  <c r="EC108" i="1" a="1"/>
  <c r="EC108" i="1" s="1"/>
  <c r="EE108" i="1" s="1"/>
  <c r="EC116" i="1" a="1"/>
  <c r="EC116" i="1" s="1"/>
  <c r="EE116" i="1" s="1"/>
  <c r="EC109" i="1" a="1"/>
  <c r="EC109" i="1" s="1"/>
  <c r="EE109" i="1" s="1"/>
  <c r="EC117" i="1" a="1"/>
  <c r="EC117" i="1" s="1"/>
  <c r="EE117" i="1" s="1"/>
  <c r="EC102" i="1" a="1"/>
  <c r="EC102" i="1" s="1"/>
  <c r="EE102" i="1" s="1"/>
  <c r="EC110" i="1" a="1"/>
  <c r="EC110" i="1" s="1"/>
  <c r="EE110" i="1" s="1"/>
  <c r="EC118" i="1" a="1"/>
  <c r="EC118" i="1" s="1"/>
  <c r="EE118" i="1" s="1"/>
  <c r="EC103" i="1" a="1"/>
  <c r="EC103" i="1" s="1"/>
  <c r="EE103" i="1" s="1"/>
  <c r="EC111" i="1" a="1"/>
  <c r="EC111" i="1" s="1"/>
  <c r="EE111" i="1" s="1"/>
  <c r="EC119" i="1" a="1"/>
  <c r="EC119" i="1" s="1"/>
  <c r="EE119" i="1" s="1"/>
  <c r="EC104" i="1" a="1"/>
  <c r="EC104" i="1" s="1"/>
  <c r="EE104" i="1" s="1"/>
  <c r="EC112" i="1" a="1"/>
  <c r="EC112" i="1" s="1"/>
  <c r="EE112" i="1" s="1"/>
  <c r="EC105" i="1" a="1"/>
  <c r="EC105" i="1" s="1"/>
  <c r="EE105" i="1" s="1"/>
  <c r="EC113" i="1" a="1"/>
  <c r="EC113" i="1" s="1"/>
  <c r="EE113" i="1" s="1"/>
  <c r="EC106" i="1" a="1"/>
  <c r="EC106" i="1" s="1"/>
  <c r="EE106" i="1" s="1"/>
  <c r="EC107" i="1" a="1"/>
  <c r="EC107" i="1" s="1"/>
  <c r="EE107" i="1" s="1"/>
  <c r="EC115" i="1" a="1"/>
  <c r="EC115" i="1" s="1"/>
  <c r="EE115" i="1" s="1"/>
  <c r="EC122" i="1" a="1"/>
  <c r="EC122" i="1" s="1"/>
  <c r="EE122" i="1" s="1"/>
  <c r="EC130" i="1" a="1"/>
  <c r="EC130" i="1" s="1"/>
  <c r="EE130" i="1" s="1"/>
  <c r="EC123" i="1" a="1"/>
  <c r="EC123" i="1" s="1"/>
  <c r="EE123" i="1" s="1"/>
  <c r="EC125" i="1" a="1"/>
  <c r="EC125" i="1" s="1"/>
  <c r="EE125" i="1" s="1"/>
  <c r="EC127" i="1" a="1"/>
  <c r="EC127" i="1" s="1"/>
  <c r="EE127" i="1" s="1"/>
  <c r="EC120" i="1" a="1"/>
  <c r="EC120" i="1" s="1"/>
  <c r="EE120" i="1" s="1"/>
  <c r="EC128" i="1" a="1"/>
  <c r="EC128" i="1" s="1"/>
  <c r="EE128" i="1" s="1"/>
  <c r="EC121" i="1" a="1"/>
  <c r="EC121" i="1" s="1"/>
  <c r="EE121" i="1" s="1"/>
  <c r="EC139" i="1" a="1"/>
  <c r="EC139" i="1" s="1"/>
  <c r="EE139" i="1" s="1"/>
  <c r="EC140" i="1" a="1"/>
  <c r="EC140" i="1" s="1"/>
  <c r="EE140" i="1" s="1"/>
  <c r="EC141" i="1" a="1"/>
  <c r="EC141" i="1" s="1"/>
  <c r="EE141" i="1" s="1"/>
  <c r="EC133" i="1" a="1"/>
  <c r="EC133" i="1" s="1"/>
  <c r="EE133" i="1" s="1"/>
  <c r="EC135" i="1" a="1"/>
  <c r="EC135" i="1" s="1"/>
  <c r="EE135" i="1" s="1"/>
  <c r="EC137" i="1" a="1"/>
  <c r="EC137" i="1" s="1"/>
  <c r="EE137" i="1" s="1"/>
  <c r="DZ178" i="1"/>
  <c r="EB178" i="1" s="1"/>
  <c r="EB38" i="1"/>
  <c r="DZ160" i="1"/>
  <c r="EB160" i="1" s="1"/>
  <c r="EB30" i="1"/>
  <c r="DZ210" i="1"/>
  <c r="EB210" i="1" s="1"/>
  <c r="EB19" i="1"/>
  <c r="DZ204" i="1"/>
  <c r="EB204" i="1" s="1"/>
  <c r="EB12" i="1"/>
  <c r="DZ191" i="1"/>
  <c r="EB191" i="1" s="1"/>
  <c r="EB44" i="1"/>
  <c r="DZ176" i="1"/>
  <c r="EB176" i="1" s="1"/>
  <c r="EB37" i="1"/>
  <c r="EB18" i="1"/>
  <c r="DZ208" i="1"/>
  <c r="EB208" i="1" s="1"/>
  <c r="DZ188" i="1"/>
  <c r="EB188" i="1" s="1"/>
  <c r="EB43" i="1"/>
  <c r="DZ165" i="1"/>
  <c r="EB165" i="1" s="1"/>
  <c r="EB33" i="1"/>
  <c r="DZ156" i="1"/>
  <c r="EB156" i="1" s="1"/>
  <c r="EB27" i="1"/>
  <c r="EC188" i="1" l="1"/>
  <c r="EE188" i="1" s="1"/>
  <c r="EE43" i="1"/>
  <c r="EC179" i="1"/>
  <c r="EE179" i="1" s="1"/>
  <c r="EE39" i="1"/>
  <c r="EC158" i="1"/>
  <c r="EE158" i="1" s="1"/>
  <c r="EE29" i="1"/>
  <c r="EC185" i="1"/>
  <c r="EE185" i="1" s="1"/>
  <c r="EE42" i="1"/>
  <c r="EC178" i="1"/>
  <c r="EE178" i="1" s="1"/>
  <c r="EE38" i="1"/>
  <c r="EE28" i="1"/>
  <c r="EC157" i="1"/>
  <c r="EE157" i="1" s="1"/>
  <c r="EC210" i="1"/>
  <c r="EE210" i="1" s="1"/>
  <c r="EE19" i="1"/>
  <c r="EC204" i="1"/>
  <c r="EE204" i="1" s="1"/>
  <c r="EE12" i="1"/>
  <c r="EC176" i="1"/>
  <c r="EE176" i="1" s="1"/>
  <c r="EE37" i="1"/>
  <c r="EE18" i="1"/>
  <c r="EC208" i="1"/>
  <c r="EE208" i="1" s="1"/>
  <c r="EC172" i="1"/>
  <c r="EE172" i="1" s="1"/>
  <c r="EE36" i="1"/>
  <c r="EC160" i="1"/>
  <c r="EE160" i="1" s="1"/>
  <c r="EE30" i="1"/>
  <c r="EC206" i="1"/>
  <c r="EE206" i="1" s="1"/>
  <c r="EE21" i="1"/>
  <c r="EC167" i="1"/>
  <c r="EE167" i="1" s="1"/>
  <c r="EE35" i="1"/>
  <c r="EE33" i="1"/>
  <c r="EC165" i="1"/>
  <c r="EE165" i="1" s="1"/>
  <c r="EC209" i="1"/>
  <c r="EE209" i="1" s="1"/>
  <c r="EE14" i="1"/>
  <c r="EC166" i="1"/>
  <c r="EE166" i="1" s="1"/>
  <c r="EE34" i="1"/>
  <c r="EE32" i="1"/>
  <c r="EC163" i="1"/>
  <c r="EE163" i="1" s="1"/>
  <c r="EC183" i="1"/>
  <c r="EE183" i="1" s="1"/>
  <c r="EE41" i="1"/>
  <c r="EE31" i="1"/>
  <c r="EC161" i="1"/>
  <c r="EE161" i="1" s="1"/>
  <c r="EC190" i="1"/>
  <c r="EE190" i="1" s="1"/>
  <c r="EE51" i="1"/>
  <c r="EC191" i="1"/>
  <c r="EE191" i="1" s="1"/>
  <c r="EE44" i="1"/>
  <c r="EC180" i="1"/>
  <c r="EE180" i="1" s="1"/>
  <c r="EE40" i="1"/>
  <c r="EC156" i="1"/>
  <c r="EE156" i="1" s="1"/>
  <c r="EE27" i="1"/>
  <c r="EC211" i="1"/>
  <c r="EE211" i="1" s="1"/>
  <c r="EE20" i="1"/>
  <c r="EC205" i="1"/>
  <c r="EE205" i="1" s="1"/>
  <c r="EE13" i="1"/>
  <c r="EI4" i="1"/>
  <c r="EF12" i="1" a="1"/>
  <c r="EF12" i="1" s="1"/>
  <c r="EF9" i="1" a="1"/>
  <c r="EF9" i="1" s="1"/>
  <c r="EH9" i="1" s="1"/>
  <c r="EF8" i="1" a="1"/>
  <c r="EF8" i="1" s="1"/>
  <c r="EH8" i="1" s="1"/>
  <c r="EF13" i="1" a="1"/>
  <c r="EF13" i="1" s="1"/>
  <c r="EF10" i="1" a="1"/>
  <c r="EF10" i="1" s="1"/>
  <c r="EH10" i="1" s="1"/>
  <c r="EF14" i="1" a="1"/>
  <c r="EF14" i="1" s="1"/>
  <c r="EF6" i="1" a="1"/>
  <c r="EF6" i="1" s="1"/>
  <c r="EH6" i="1" s="1"/>
  <c r="EF11" i="1" a="1"/>
  <c r="EF11" i="1" s="1"/>
  <c r="EH11" i="1" s="1"/>
  <c r="EF15" i="1" a="1"/>
  <c r="EF15" i="1" s="1"/>
  <c r="EH15" i="1" s="1"/>
  <c r="EF18" i="1" a="1"/>
  <c r="EF18" i="1" s="1"/>
  <c r="EF19" i="1" a="1"/>
  <c r="EF19" i="1" s="1"/>
  <c r="EF17" i="1" a="1"/>
  <c r="EF17" i="1" s="1"/>
  <c r="EH17" i="1" s="1"/>
  <c r="EF21" i="1" a="1"/>
  <c r="EF21" i="1" s="1"/>
  <c r="EF22" i="1" a="1"/>
  <c r="EF22" i="1" s="1"/>
  <c r="EH22" i="1" s="1"/>
  <c r="EF20" i="1" a="1"/>
  <c r="EF20" i="1" s="1"/>
  <c r="EF25" i="1" a="1"/>
  <c r="EF25" i="1" s="1"/>
  <c r="EH25" i="1" s="1"/>
  <c r="EF27" i="1" a="1"/>
  <c r="EF27" i="1" s="1"/>
  <c r="EF23" i="1" a="1"/>
  <c r="EF23" i="1" s="1"/>
  <c r="EH23" i="1" s="1"/>
  <c r="EF28" i="1" a="1"/>
  <c r="EF28" i="1" s="1"/>
  <c r="EF30" i="1" a="1"/>
  <c r="EF30" i="1" s="1"/>
  <c r="EF31" i="1" a="1"/>
  <c r="EF31" i="1" s="1"/>
  <c r="EF32" i="1" a="1"/>
  <c r="EF32" i="1" s="1"/>
  <c r="EF33" i="1" a="1"/>
  <c r="EF33" i="1" s="1"/>
  <c r="EF29" i="1" a="1"/>
  <c r="EF29" i="1" s="1"/>
  <c r="EF34" i="1" a="1"/>
  <c r="EF34" i="1" s="1"/>
  <c r="EF35" i="1" a="1"/>
  <c r="EF35" i="1" s="1"/>
  <c r="EF36" i="1" a="1"/>
  <c r="EF36" i="1" s="1"/>
  <c r="EF42" i="1" a="1"/>
  <c r="EF42" i="1" s="1"/>
  <c r="EF46" i="1" a="1"/>
  <c r="EF46" i="1" s="1"/>
  <c r="EH46" i="1" s="1"/>
  <c r="EF37" i="1" a="1"/>
  <c r="EF37" i="1" s="1"/>
  <c r="EF43" i="1" a="1"/>
  <c r="EF43" i="1" s="1"/>
  <c r="EF47" i="1" a="1"/>
  <c r="EF47" i="1" s="1"/>
  <c r="EH47" i="1" s="1"/>
  <c r="EF40" i="1" a="1"/>
  <c r="EF40" i="1" s="1"/>
  <c r="EF44" i="1" a="1"/>
  <c r="EF44" i="1" s="1"/>
  <c r="EF48" i="1" a="1"/>
  <c r="EF48" i="1" s="1"/>
  <c r="EH48" i="1" s="1"/>
  <c r="EF39" i="1" a="1"/>
  <c r="EF39" i="1" s="1"/>
  <c r="EF41" i="1" a="1"/>
  <c r="EF41" i="1" s="1"/>
  <c r="EF45" i="1" a="1"/>
  <c r="EF45" i="1" s="1"/>
  <c r="EH45" i="1" s="1"/>
  <c r="EF38" i="1" a="1"/>
  <c r="EF38" i="1" s="1"/>
  <c r="EF49" i="1" a="1"/>
  <c r="EF49" i="1" s="1"/>
  <c r="EH49" i="1" s="1"/>
  <c r="EF51" i="1" a="1"/>
  <c r="EF51" i="1" s="1"/>
  <c r="EF55" i="1" a="1"/>
  <c r="EF55" i="1" s="1"/>
  <c r="EH55" i="1" s="1"/>
  <c r="EF50" i="1" a="1"/>
  <c r="EF50" i="1" s="1"/>
  <c r="EH50" i="1" s="1"/>
  <c r="EF52" i="1" a="1"/>
  <c r="EF52" i="1" s="1"/>
  <c r="EH52" i="1" s="1"/>
  <c r="EF56" i="1" a="1"/>
  <c r="EF56" i="1" s="1"/>
  <c r="EH56" i="1" s="1"/>
  <c r="EF54" i="1" a="1"/>
  <c r="EF54" i="1" s="1"/>
  <c r="EH54" i="1" s="1"/>
  <c r="EF58" i="1" a="1"/>
  <c r="EF58" i="1" s="1"/>
  <c r="EH58" i="1" s="1"/>
  <c r="EF60" i="1" a="1"/>
  <c r="EF60" i="1" s="1"/>
  <c r="EH60" i="1" s="1"/>
  <c r="EF61" i="1" a="1"/>
  <c r="EF61" i="1" s="1"/>
  <c r="EH61" i="1" s="1"/>
  <c r="EF62" i="1" a="1"/>
  <c r="EF62" i="1" s="1"/>
  <c r="EH62" i="1" s="1"/>
  <c r="EF66" i="1"/>
  <c r="EF68" i="1" a="1"/>
  <c r="EF68" i="1" s="1"/>
  <c r="EH68" i="1" s="1"/>
  <c r="EF71" i="1" a="1"/>
  <c r="EF71" i="1" s="1"/>
  <c r="EH71" i="1" s="1"/>
  <c r="EF72" i="1" a="1"/>
  <c r="EF72" i="1" s="1"/>
  <c r="EH72" i="1" s="1"/>
  <c r="EF73" i="1" a="1"/>
  <c r="EF73" i="1" s="1"/>
  <c r="EH73" i="1" s="1"/>
  <c r="EF69" i="1" a="1"/>
  <c r="EF69" i="1" s="1"/>
  <c r="EH69" i="1" s="1"/>
  <c r="EF70" i="1" a="1"/>
  <c r="EF70" i="1" s="1"/>
  <c r="EH70" i="1" s="1"/>
  <c r="EF74" i="1" a="1"/>
  <c r="EF74" i="1" s="1"/>
  <c r="EH74" i="1" s="1"/>
  <c r="EF76" i="1" a="1"/>
  <c r="EF76" i="1" s="1"/>
  <c r="EH76" i="1" s="1"/>
  <c r="EF77" i="1" a="1"/>
  <c r="EF77" i="1" s="1"/>
  <c r="EH77" i="1" s="1"/>
  <c r="EF78" i="1" a="1"/>
  <c r="EF78" i="1" s="1"/>
  <c r="EH78" i="1" s="1"/>
  <c r="EF79" i="1" a="1"/>
  <c r="EF79" i="1" s="1"/>
  <c r="EH79" i="1" s="1"/>
  <c r="EF75" i="1" a="1"/>
  <c r="EF75" i="1" s="1"/>
  <c r="EH75" i="1" s="1"/>
  <c r="EF82" i="1" a="1"/>
  <c r="EF82" i="1" s="1"/>
  <c r="EH82" i="1" s="1"/>
  <c r="EF88" i="1" a="1"/>
  <c r="EF88" i="1" s="1"/>
  <c r="EH88" i="1" s="1"/>
  <c r="EF89" i="1" a="1"/>
  <c r="EF89" i="1" s="1"/>
  <c r="EH89" i="1" s="1"/>
  <c r="EF81" i="1" a="1"/>
  <c r="EF81" i="1" s="1"/>
  <c r="EH81" i="1" s="1"/>
  <c r="EF90" i="1" a="1"/>
  <c r="EF90" i="1" s="1"/>
  <c r="EH90" i="1" s="1"/>
  <c r="EF83" i="1" a="1"/>
  <c r="EF83" i="1" s="1"/>
  <c r="EH83" i="1" s="1"/>
  <c r="EF84" i="1" a="1"/>
  <c r="EF84" i="1" s="1"/>
  <c r="EH84" i="1" s="1"/>
  <c r="EF92" i="1" a="1"/>
  <c r="EF92" i="1" s="1"/>
  <c r="EH92" i="1" s="1"/>
  <c r="EF85" i="1" a="1"/>
  <c r="EF85" i="1" s="1"/>
  <c r="EH85" i="1" s="1"/>
  <c r="EF80" i="1" a="1"/>
  <c r="EF80" i="1" s="1"/>
  <c r="EH80" i="1" s="1"/>
  <c r="EF86" i="1" a="1"/>
  <c r="EF86" i="1" s="1"/>
  <c r="EH86" i="1" s="1"/>
  <c r="EF87" i="1" a="1"/>
  <c r="EF87" i="1" s="1"/>
  <c r="EH87" i="1" s="1"/>
  <c r="EF100" i="1" a="1"/>
  <c r="EF100" i="1" s="1"/>
  <c r="EH100" i="1" s="1"/>
  <c r="EF94" i="1" a="1"/>
  <c r="EF94" i="1" s="1"/>
  <c r="EH94" i="1" s="1"/>
  <c r="EF91" i="1" a="1"/>
  <c r="EF91" i="1" s="1"/>
  <c r="EH91" i="1" s="1"/>
  <c r="EF95" i="1" a="1"/>
  <c r="EF95" i="1" s="1"/>
  <c r="EH95" i="1" s="1"/>
  <c r="EF96" i="1" a="1"/>
  <c r="EF96" i="1" s="1"/>
  <c r="EH96" i="1" s="1"/>
  <c r="EF97" i="1" a="1"/>
  <c r="EF97" i="1" s="1"/>
  <c r="EH97" i="1" s="1"/>
  <c r="EF93" i="1" a="1"/>
  <c r="EF93" i="1" s="1"/>
  <c r="EH93" i="1" s="1"/>
  <c r="EF98" i="1" a="1"/>
  <c r="EF98" i="1" s="1"/>
  <c r="EH98" i="1" s="1"/>
  <c r="EF99" i="1" a="1"/>
  <c r="EF99" i="1" s="1"/>
  <c r="EH99" i="1" s="1"/>
  <c r="EF103" i="1" a="1"/>
  <c r="EF103" i="1" s="1"/>
  <c r="EH103" i="1" s="1"/>
  <c r="EF111" i="1" a="1"/>
  <c r="EF111" i="1" s="1"/>
  <c r="EH111" i="1" s="1"/>
  <c r="EF119" i="1" a="1"/>
  <c r="EF119" i="1" s="1"/>
  <c r="EH119" i="1" s="1"/>
  <c r="EF104" i="1" a="1"/>
  <c r="EF104" i="1" s="1"/>
  <c r="EH104" i="1" s="1"/>
  <c r="EF112" i="1" a="1"/>
  <c r="EF112" i="1" s="1"/>
  <c r="EH112" i="1" s="1"/>
  <c r="EF101" i="1" a="1"/>
  <c r="EF101" i="1" s="1"/>
  <c r="EH101" i="1" s="1"/>
  <c r="EF105" i="1" a="1"/>
  <c r="EF105" i="1" s="1"/>
  <c r="EH105" i="1" s="1"/>
  <c r="EF113" i="1" a="1"/>
  <c r="EF113" i="1" s="1"/>
  <c r="EH113" i="1" s="1"/>
  <c r="EF106" i="1" a="1"/>
  <c r="EF106" i="1" s="1"/>
  <c r="EH106" i="1" s="1"/>
  <c r="EF107" i="1" a="1"/>
  <c r="EF107" i="1" s="1"/>
  <c r="EH107" i="1" s="1"/>
  <c r="EF115" i="1" a="1"/>
  <c r="EF115" i="1" s="1"/>
  <c r="EH115" i="1" s="1"/>
  <c r="EF108" i="1" a="1"/>
  <c r="EF108" i="1" s="1"/>
  <c r="EH108" i="1" s="1"/>
  <c r="EF116" i="1" a="1"/>
  <c r="EF116" i="1" s="1"/>
  <c r="EH116" i="1" s="1"/>
  <c r="EF109" i="1" a="1"/>
  <c r="EF109" i="1" s="1"/>
  <c r="EH109" i="1" s="1"/>
  <c r="EF117" i="1" a="1"/>
  <c r="EF117" i="1" s="1"/>
  <c r="EH117" i="1" s="1"/>
  <c r="EF102" i="1" a="1"/>
  <c r="EF102" i="1" s="1"/>
  <c r="EH102" i="1" s="1"/>
  <c r="EF110" i="1" a="1"/>
  <c r="EF110" i="1" s="1"/>
  <c r="EH110" i="1" s="1"/>
  <c r="EF118" i="1" a="1"/>
  <c r="EF118" i="1" s="1"/>
  <c r="EH118" i="1" s="1"/>
  <c r="EF125" i="1" a="1"/>
  <c r="EF125" i="1" s="1"/>
  <c r="EH125" i="1" s="1"/>
  <c r="EF133" i="1" a="1"/>
  <c r="EF133" i="1" s="1"/>
  <c r="EH133" i="1" s="1"/>
  <c r="EF127" i="1" a="1"/>
  <c r="EF127" i="1" s="1"/>
  <c r="EH127" i="1" s="1"/>
  <c r="EF135" i="1" a="1"/>
  <c r="EF135" i="1" s="1"/>
  <c r="EH135" i="1" s="1"/>
  <c r="EF120" i="1" a="1"/>
  <c r="EF120" i="1" s="1"/>
  <c r="EH120" i="1" s="1"/>
  <c r="EF128" i="1" a="1"/>
  <c r="EF128" i="1" s="1"/>
  <c r="EH128" i="1" s="1"/>
  <c r="EF121" i="1" a="1"/>
  <c r="EF121" i="1" s="1"/>
  <c r="EH121" i="1" s="1"/>
  <c r="EF122" i="1" a="1"/>
  <c r="EF122" i="1" s="1"/>
  <c r="EH122" i="1" s="1"/>
  <c r="EF130" i="1" a="1"/>
  <c r="EF130" i="1" s="1"/>
  <c r="EH130" i="1" s="1"/>
  <c r="EF123" i="1" a="1"/>
  <c r="EF123" i="1" s="1"/>
  <c r="EH123" i="1" s="1"/>
  <c r="EF141" i="1" a="1"/>
  <c r="EF141" i="1" s="1"/>
  <c r="EH141" i="1" s="1"/>
  <c r="EF137" i="1" a="1"/>
  <c r="EF137" i="1" s="1"/>
  <c r="EH137" i="1" s="1"/>
  <c r="EF139" i="1" a="1"/>
  <c r="EF139" i="1" s="1"/>
  <c r="EH139" i="1" s="1"/>
  <c r="EF140" i="1" a="1"/>
  <c r="EF140" i="1" s="1"/>
  <c r="EH140" i="1" s="1"/>
  <c r="EF7" i="1" s="1" a="1"/>
  <c r="EF7" i="1" s="1"/>
  <c r="EF178" i="1" l="1"/>
  <c r="EH178" i="1" s="1"/>
  <c r="EH38" i="1"/>
  <c r="EF188" i="1"/>
  <c r="EH188" i="1" s="1"/>
  <c r="EH43" i="1"/>
  <c r="EF165" i="1"/>
  <c r="EH165" i="1" s="1"/>
  <c r="EH33" i="1"/>
  <c r="EF176" i="1"/>
  <c r="EH176" i="1" s="1"/>
  <c r="EH37" i="1"/>
  <c r="EF163" i="1"/>
  <c r="EH163" i="1" s="1"/>
  <c r="EH32" i="1"/>
  <c r="EF183" i="1"/>
  <c r="EH183" i="1" s="1"/>
  <c r="EH41" i="1"/>
  <c r="EF161" i="1"/>
  <c r="EH161" i="1" s="1"/>
  <c r="EH31" i="1"/>
  <c r="EH20" i="1"/>
  <c r="EF211" i="1"/>
  <c r="EH211" i="1" s="1"/>
  <c r="EF204" i="1"/>
  <c r="EH204" i="1" s="1"/>
  <c r="EH12" i="1"/>
  <c r="EF179" i="1"/>
  <c r="EH179" i="1" s="1"/>
  <c r="EH39" i="1"/>
  <c r="EF185" i="1"/>
  <c r="EH185" i="1" s="1"/>
  <c r="EH42" i="1"/>
  <c r="EF160" i="1"/>
  <c r="EH160" i="1" s="1"/>
  <c r="EH30" i="1"/>
  <c r="EI6" i="1" a="1"/>
  <c r="EI6" i="1" s="1"/>
  <c r="EK6" i="1" s="1"/>
  <c r="EI7" i="1" a="1"/>
  <c r="EI7" i="1" s="1"/>
  <c r="EI8" i="1" a="1"/>
  <c r="EI8" i="1" s="1"/>
  <c r="EK8" i="1" s="1"/>
  <c r="EI10" i="1" a="1"/>
  <c r="EI10" i="1" s="1"/>
  <c r="EK10" i="1" s="1"/>
  <c r="EI11" i="1" a="1"/>
  <c r="EI11" i="1" s="1"/>
  <c r="EK11" i="1" s="1"/>
  <c r="EI15" i="1" a="1"/>
  <c r="EI15" i="1" s="1"/>
  <c r="EK15" i="1" s="1"/>
  <c r="EI9" i="1" a="1"/>
  <c r="EI9" i="1" s="1"/>
  <c r="EK9" i="1" s="1"/>
  <c r="EI12" i="1" a="1"/>
  <c r="EI12" i="1" s="1"/>
  <c r="EI13" i="1" a="1"/>
  <c r="EI13" i="1" s="1"/>
  <c r="EI14" i="1" a="1"/>
  <c r="EI14" i="1" s="1"/>
  <c r="EI17" i="1" a="1"/>
  <c r="EI17" i="1" s="1"/>
  <c r="EK17" i="1" s="1"/>
  <c r="EI20" i="1" a="1"/>
  <c r="EI20" i="1" s="1"/>
  <c r="EI21" i="1" a="1"/>
  <c r="EI21" i="1" s="1"/>
  <c r="EI18" i="1" a="1"/>
  <c r="EI18" i="1" s="1"/>
  <c r="EI19" i="1" a="1"/>
  <c r="EI19" i="1" s="1"/>
  <c r="EI22" i="1" a="1"/>
  <c r="EI22" i="1" s="1"/>
  <c r="EK22" i="1" s="1"/>
  <c r="EI23" i="1" a="1"/>
  <c r="EI23" i="1" s="1"/>
  <c r="EK23" i="1" s="1"/>
  <c r="EI25" i="1" a="1"/>
  <c r="EI25" i="1" s="1"/>
  <c r="EK25" i="1" s="1"/>
  <c r="EI27" i="1" a="1"/>
  <c r="EI27" i="1" s="1"/>
  <c r="EI28" i="1" a="1"/>
  <c r="EI28" i="1" s="1"/>
  <c r="EI29" i="1" a="1"/>
  <c r="EI29" i="1" s="1"/>
  <c r="EI30" i="1" a="1"/>
  <c r="EI30" i="1" s="1"/>
  <c r="EI31" i="1" a="1"/>
  <c r="EI31" i="1" s="1"/>
  <c r="EI32" i="1" a="1"/>
  <c r="EI32" i="1" s="1"/>
  <c r="EI33" i="1" a="1"/>
  <c r="EI33" i="1" s="1"/>
  <c r="EI34" i="1" a="1"/>
  <c r="EI34" i="1" s="1"/>
  <c r="EI35" i="1" a="1"/>
  <c r="EI35" i="1" s="1"/>
  <c r="EI36" i="1" a="1"/>
  <c r="EI36" i="1" s="1"/>
  <c r="EI37" i="1" a="1"/>
  <c r="EI37" i="1" s="1"/>
  <c r="EI38" i="1" a="1"/>
  <c r="EI38" i="1" s="1"/>
  <c r="EI39" i="1" a="1"/>
  <c r="EI39" i="1" s="1"/>
  <c r="EI40" i="1" a="1"/>
  <c r="EI40" i="1" s="1"/>
  <c r="EI41" i="1" a="1"/>
  <c r="EI41" i="1" s="1"/>
  <c r="EI44" i="1" a="1"/>
  <c r="EI44" i="1" s="1"/>
  <c r="EI45" i="1" a="1"/>
  <c r="EI45" i="1" s="1"/>
  <c r="EK45" i="1" s="1"/>
  <c r="EI42" i="1" a="1"/>
  <c r="EI42" i="1" s="1"/>
  <c r="EI43" i="1" a="1"/>
  <c r="EI43" i="1" s="1"/>
  <c r="EI47" i="1" a="1"/>
  <c r="EI47" i="1" s="1"/>
  <c r="EK47" i="1" s="1"/>
  <c r="EI48" i="1" a="1"/>
  <c r="EI48" i="1" s="1"/>
  <c r="EK48" i="1" s="1"/>
  <c r="EI49" i="1" a="1"/>
  <c r="EI49" i="1" s="1"/>
  <c r="EK49" i="1" s="1"/>
  <c r="EI51" i="1" a="1"/>
  <c r="EI51" i="1" s="1"/>
  <c r="EI50" i="1" a="1"/>
  <c r="EI50" i="1" s="1"/>
  <c r="EK50" i="1" s="1"/>
  <c r="EI52" i="1" a="1"/>
  <c r="EI52" i="1" s="1"/>
  <c r="EK52" i="1" s="1"/>
  <c r="EI46" i="1" a="1"/>
  <c r="EI46" i="1" s="1"/>
  <c r="EK46" i="1" s="1"/>
  <c r="EI56" i="1" a="1"/>
  <c r="EI56" i="1" s="1"/>
  <c r="EK56" i="1" s="1"/>
  <c r="EI55" i="1" a="1"/>
  <c r="EI55" i="1" s="1"/>
  <c r="EK55" i="1" s="1"/>
  <c r="EI58" i="1" a="1"/>
  <c r="EI58" i="1" s="1"/>
  <c r="EK58" i="1" s="1"/>
  <c r="EI60" i="1" a="1"/>
  <c r="EI60" i="1" s="1"/>
  <c r="EK60" i="1" s="1"/>
  <c r="EI61" i="1" a="1"/>
  <c r="EI61" i="1" s="1"/>
  <c r="EK61" i="1" s="1"/>
  <c r="EI54" i="1" a="1"/>
  <c r="EI54" i="1" s="1"/>
  <c r="EK54" i="1" s="1"/>
  <c r="EI68" i="1" a="1"/>
  <c r="EI68" i="1" s="1"/>
  <c r="EK68" i="1" s="1"/>
  <c r="EI71" i="1" a="1"/>
  <c r="EI71" i="1" s="1"/>
  <c r="EK71" i="1" s="1"/>
  <c r="EI72" i="1" a="1"/>
  <c r="EI72" i="1" s="1"/>
  <c r="EK72" i="1" s="1"/>
  <c r="EI73" i="1" a="1"/>
  <c r="EI73" i="1" s="1"/>
  <c r="EK73" i="1" s="1"/>
  <c r="EI74" i="1" a="1"/>
  <c r="EI74" i="1" s="1"/>
  <c r="EK74" i="1" s="1"/>
  <c r="EI75" i="1" a="1"/>
  <c r="EI75" i="1" s="1"/>
  <c r="EK75" i="1" s="1"/>
  <c r="EI69" i="1" a="1"/>
  <c r="EI69" i="1" s="1"/>
  <c r="EK69" i="1" s="1"/>
  <c r="EI70" i="1" a="1"/>
  <c r="EI70" i="1" s="1"/>
  <c r="EK70" i="1" s="1"/>
  <c r="EI62" i="1" a="1"/>
  <c r="EI62" i="1" s="1"/>
  <c r="EK62" i="1" s="1"/>
  <c r="EI66" i="1"/>
  <c r="EI76" i="1" a="1"/>
  <c r="EI76" i="1" s="1"/>
  <c r="EK76" i="1" s="1"/>
  <c r="EI77" i="1" a="1"/>
  <c r="EI77" i="1" s="1"/>
  <c r="EK77" i="1" s="1"/>
  <c r="EI78" i="1" a="1"/>
  <c r="EI78" i="1" s="1"/>
  <c r="EK78" i="1" s="1"/>
  <c r="EI79" i="1" a="1"/>
  <c r="EI79" i="1" s="1"/>
  <c r="EK79" i="1" s="1"/>
  <c r="EI80" i="1" a="1"/>
  <c r="EI80" i="1" s="1"/>
  <c r="EK80" i="1" s="1"/>
  <c r="EI83" i="1" a="1"/>
  <c r="EI83" i="1" s="1"/>
  <c r="EK83" i="1" s="1"/>
  <c r="EI91" i="1" a="1"/>
  <c r="EI91" i="1" s="1"/>
  <c r="EK91" i="1" s="1"/>
  <c r="EI84" i="1" a="1"/>
  <c r="EI84" i="1" s="1"/>
  <c r="EK84" i="1" s="1"/>
  <c r="EI92" i="1" a="1"/>
  <c r="EI92" i="1" s="1"/>
  <c r="EK92" i="1" s="1"/>
  <c r="EI85" i="1" a="1"/>
  <c r="EI85" i="1" s="1"/>
  <c r="EK85" i="1" s="1"/>
  <c r="EI86" i="1" a="1"/>
  <c r="EI86" i="1" s="1"/>
  <c r="EK86" i="1" s="1"/>
  <c r="EI87" i="1" a="1"/>
  <c r="EI87" i="1" s="1"/>
  <c r="EK87" i="1" s="1"/>
  <c r="EI88" i="1" a="1"/>
  <c r="EI88" i="1" s="1"/>
  <c r="EK88" i="1" s="1"/>
  <c r="EI81" i="1" a="1"/>
  <c r="EI81" i="1" s="1"/>
  <c r="EK81" i="1" s="1"/>
  <c r="EI82" i="1" a="1"/>
  <c r="EI82" i="1" s="1"/>
  <c r="EK82" i="1" s="1"/>
  <c r="EI89" i="1" a="1"/>
  <c r="EI89" i="1" s="1"/>
  <c r="EK89" i="1" s="1"/>
  <c r="EI95" i="1" a="1"/>
  <c r="EI95" i="1" s="1"/>
  <c r="EK95" i="1" s="1"/>
  <c r="EI90" i="1" a="1"/>
  <c r="EI90" i="1" s="1"/>
  <c r="EK90" i="1" s="1"/>
  <c r="EI93" i="1" a="1"/>
  <c r="EI93" i="1" s="1"/>
  <c r="EK93" i="1" s="1"/>
  <c r="EI96" i="1" a="1"/>
  <c r="EI96" i="1" s="1"/>
  <c r="EK96" i="1" s="1"/>
  <c r="EI97" i="1" a="1"/>
  <c r="EI97" i="1" s="1"/>
  <c r="EK97" i="1" s="1"/>
  <c r="EI98" i="1" a="1"/>
  <c r="EI98" i="1" s="1"/>
  <c r="EK98" i="1" s="1"/>
  <c r="EI99" i="1" a="1"/>
  <c r="EI99" i="1" s="1"/>
  <c r="EK99" i="1" s="1"/>
  <c r="EI100" i="1" a="1"/>
  <c r="EI100" i="1" s="1"/>
  <c r="EK100" i="1" s="1"/>
  <c r="EI101" i="1" a="1"/>
  <c r="EI101" i="1" s="1"/>
  <c r="EK101" i="1" s="1"/>
  <c r="EI94" i="1" a="1"/>
  <c r="EI94" i="1" s="1"/>
  <c r="EK94" i="1" s="1"/>
  <c r="EI106" i="1" a="1"/>
  <c r="EI106" i="1" s="1"/>
  <c r="EK106" i="1" s="1"/>
  <c r="EI107" i="1" a="1"/>
  <c r="EI107" i="1" s="1"/>
  <c r="EK107" i="1" s="1"/>
  <c r="EI115" i="1" a="1"/>
  <c r="EI115" i="1" s="1"/>
  <c r="EK115" i="1" s="1"/>
  <c r="EI108" i="1" a="1"/>
  <c r="EI108" i="1" s="1"/>
  <c r="EK108" i="1" s="1"/>
  <c r="EI116" i="1" a="1"/>
  <c r="EI116" i="1" s="1"/>
  <c r="EK116" i="1" s="1"/>
  <c r="EI109" i="1" a="1"/>
  <c r="EI109" i="1" s="1"/>
  <c r="EK109" i="1" s="1"/>
  <c r="EI117" i="1" a="1"/>
  <c r="EI117" i="1" s="1"/>
  <c r="EK117" i="1" s="1"/>
  <c r="EI102" i="1" a="1"/>
  <c r="EI102" i="1" s="1"/>
  <c r="EK102" i="1" s="1"/>
  <c r="EI110" i="1" a="1"/>
  <c r="EI110" i="1" s="1"/>
  <c r="EK110" i="1" s="1"/>
  <c r="EI118" i="1" a="1"/>
  <c r="EI118" i="1" s="1"/>
  <c r="EK118" i="1" s="1"/>
  <c r="EI103" i="1" a="1"/>
  <c r="EI103" i="1" s="1"/>
  <c r="EK103" i="1" s="1"/>
  <c r="EI111" i="1" a="1"/>
  <c r="EI111" i="1" s="1"/>
  <c r="EK111" i="1" s="1"/>
  <c r="EI119" i="1" a="1"/>
  <c r="EI119" i="1" s="1"/>
  <c r="EK119" i="1" s="1"/>
  <c r="EI104" i="1" a="1"/>
  <c r="EI104" i="1" s="1"/>
  <c r="EK104" i="1" s="1"/>
  <c r="EI112" i="1" a="1"/>
  <c r="EI112" i="1" s="1"/>
  <c r="EK112" i="1" s="1"/>
  <c r="EI105" i="1" a="1"/>
  <c r="EI105" i="1" s="1"/>
  <c r="EK105" i="1" s="1"/>
  <c r="EI113" i="1" a="1"/>
  <c r="EI113" i="1" s="1"/>
  <c r="EK113" i="1" s="1"/>
  <c r="EI120" i="1" a="1"/>
  <c r="EI120" i="1" s="1"/>
  <c r="EK120" i="1" s="1"/>
  <c r="EI128" i="1" a="1"/>
  <c r="EI128" i="1" s="1"/>
  <c r="EK128" i="1" s="1"/>
  <c r="EI121" i="1" a="1"/>
  <c r="EI121" i="1" s="1"/>
  <c r="EK121" i="1" s="1"/>
  <c r="EI122" i="1" a="1"/>
  <c r="EI122" i="1" s="1"/>
  <c r="EK122" i="1" s="1"/>
  <c r="EI130" i="1" a="1"/>
  <c r="EI130" i="1" s="1"/>
  <c r="EK130" i="1" s="1"/>
  <c r="EI123" i="1" a="1"/>
  <c r="EI123" i="1" s="1"/>
  <c r="EK123" i="1" s="1"/>
  <c r="EI125" i="1" a="1"/>
  <c r="EI125" i="1" s="1"/>
  <c r="EK125" i="1" s="1"/>
  <c r="EI127" i="1" a="1"/>
  <c r="EI127" i="1" s="1"/>
  <c r="EK127" i="1" s="1"/>
  <c r="EI135" i="1" a="1"/>
  <c r="EI135" i="1" s="1"/>
  <c r="EK135" i="1" s="1"/>
  <c r="EI137" i="1" a="1"/>
  <c r="EI137" i="1" s="1"/>
  <c r="EK137" i="1" s="1"/>
  <c r="EI133" i="1" a="1"/>
  <c r="EI133" i="1" s="1"/>
  <c r="EK133" i="1" s="1"/>
  <c r="EI139" i="1" a="1"/>
  <c r="EI139" i="1" s="1"/>
  <c r="EK139" i="1" s="1"/>
  <c r="EI140" i="1" a="1"/>
  <c r="EI140" i="1" s="1"/>
  <c r="EK140" i="1" s="1"/>
  <c r="EI141" i="1" a="1"/>
  <c r="EI141" i="1" s="1"/>
  <c r="EK141" i="1" s="1"/>
  <c r="EF172" i="1"/>
  <c r="EH172" i="1" s="1"/>
  <c r="EH36" i="1"/>
  <c r="EH28" i="1"/>
  <c r="EF157" i="1"/>
  <c r="EH157" i="1" s="1"/>
  <c r="EF206" i="1"/>
  <c r="EH206" i="1" s="1"/>
  <c r="EH21" i="1"/>
  <c r="EH44" i="1"/>
  <c r="EF191" i="1"/>
  <c r="EH191" i="1" s="1"/>
  <c r="EF167" i="1"/>
  <c r="EH167" i="1" s="1"/>
  <c r="EH35" i="1"/>
  <c r="EF209" i="1"/>
  <c r="EH209" i="1" s="1"/>
  <c r="EH14" i="1"/>
  <c r="EF190" i="1"/>
  <c r="EH190" i="1" s="1"/>
  <c r="EH51" i="1"/>
  <c r="EF180" i="1"/>
  <c r="EH180" i="1" s="1"/>
  <c r="EH40" i="1"/>
  <c r="EF166" i="1"/>
  <c r="EH166" i="1" s="1"/>
  <c r="EH34" i="1"/>
  <c r="EF210" i="1"/>
  <c r="EH210" i="1" s="1"/>
  <c r="EH19" i="1"/>
  <c r="BA7" i="1" a="1"/>
  <c r="BA7" i="1" s="1"/>
  <c r="BY7" i="1" a="1"/>
  <c r="BY7" i="1" s="1"/>
  <c r="CW7" i="1" a="1"/>
  <c r="CW7" i="1" s="1"/>
  <c r="EJ7" i="1" a="1"/>
  <c r="EJ7" i="1" s="1"/>
  <c r="EK7" i="1" s="1"/>
  <c r="BG7" i="1" a="1"/>
  <c r="BG7" i="1" s="1"/>
  <c r="BH7" i="1" s="1"/>
  <c r="CE7" i="1" a="1"/>
  <c r="CE7" i="1" s="1"/>
  <c r="DC7" i="1" a="1"/>
  <c r="DC7" i="1" s="1"/>
  <c r="DR7" i="1" a="1"/>
  <c r="DR7" i="1" s="1"/>
  <c r="AX7" i="1" a="1"/>
  <c r="AX7" i="1" s="1"/>
  <c r="BV7" i="1" a="1"/>
  <c r="BV7" i="1" s="1"/>
  <c r="CT7" i="1" a="1"/>
  <c r="CT7" i="1" s="1"/>
  <c r="EG7" i="1" a="1"/>
  <c r="EG7" i="1" s="1"/>
  <c r="EH7" i="1" s="1"/>
  <c r="BM7" i="1" a="1"/>
  <c r="BM7" i="1" s="1"/>
  <c r="BN7" i="1" s="1"/>
  <c r="CK7" i="1" a="1"/>
  <c r="CK7" i="1" s="1"/>
  <c r="DI7" i="1" a="1"/>
  <c r="DI7" i="1" s="1"/>
  <c r="DX7" i="1" a="1"/>
  <c r="DX7" i="1" s="1"/>
  <c r="BD7" i="1" a="1"/>
  <c r="BD7" i="1" s="1"/>
  <c r="CB7" i="1" a="1"/>
  <c r="CB7" i="1" s="1"/>
  <c r="CZ7" i="1" a="1"/>
  <c r="CZ7" i="1" s="1"/>
  <c r="DO7" i="1" a="1"/>
  <c r="DO7" i="1" s="1"/>
  <c r="BS7" i="1" a="1"/>
  <c r="BS7" i="1" s="1"/>
  <c r="CQ7" i="1" a="1"/>
  <c r="CQ7" i="1" s="1"/>
  <c r="ED7" i="1" a="1"/>
  <c r="ED7" i="1" s="1"/>
  <c r="BJ7" i="1" a="1"/>
  <c r="BJ7" i="1" s="1"/>
  <c r="CH7" i="1" a="1"/>
  <c r="CH7" i="1" s="1"/>
  <c r="DF7" i="1" a="1"/>
  <c r="DF7" i="1" s="1"/>
  <c r="DU7" i="1" a="1"/>
  <c r="DU7" i="1" s="1"/>
  <c r="DV7" i="1" s="1"/>
  <c r="BP7" i="1" a="1"/>
  <c r="BP7" i="1" s="1"/>
  <c r="DL7" i="1" a="1"/>
  <c r="DL7" i="1" s="1"/>
  <c r="DM7" i="1" s="1"/>
  <c r="AW7" i="1" a="1"/>
  <c r="AW7" i="1" s="1"/>
  <c r="CN7" i="1" a="1"/>
  <c r="CN7" i="1" s="1"/>
  <c r="EA7" i="1" a="1"/>
  <c r="EA7" i="1" s="1"/>
  <c r="AZ7" i="1" a="1"/>
  <c r="AZ7" i="1" s="1"/>
  <c r="BC7" i="1" a="1"/>
  <c r="BC7" i="1" s="1"/>
  <c r="BF7" i="1" a="1"/>
  <c r="BF7" i="1" s="1"/>
  <c r="BI7" i="1" a="1"/>
  <c r="BI7" i="1" s="1"/>
  <c r="BL7" i="1" a="1"/>
  <c r="BL7" i="1" s="1"/>
  <c r="BO7" i="1" a="1"/>
  <c r="BO7" i="1" s="1"/>
  <c r="BR7" i="1" a="1"/>
  <c r="BR7" i="1" s="1"/>
  <c r="BU7" i="1" a="1"/>
  <c r="BU7" i="1" s="1"/>
  <c r="BX7" i="1" a="1"/>
  <c r="BX7" i="1" s="1"/>
  <c r="CA7" i="1" a="1"/>
  <c r="CA7" i="1" s="1"/>
  <c r="CD7" i="1" a="1"/>
  <c r="CD7" i="1" s="1"/>
  <c r="CG7" i="1" a="1"/>
  <c r="CG7" i="1" s="1"/>
  <c r="CJ7" i="1" a="1"/>
  <c r="CJ7" i="1" s="1"/>
  <c r="CM7" i="1" a="1"/>
  <c r="CM7" i="1" s="1"/>
  <c r="CP7" i="1" a="1"/>
  <c r="CP7" i="1" s="1"/>
  <c r="CS7" i="1" a="1"/>
  <c r="CS7" i="1" s="1"/>
  <c r="CV7" i="1" a="1"/>
  <c r="CV7" i="1" s="1"/>
  <c r="CY7" i="1" a="1"/>
  <c r="CY7" i="1" s="1"/>
  <c r="DB7" i="1" a="1"/>
  <c r="DB7" i="1" s="1"/>
  <c r="DE7" i="1" a="1"/>
  <c r="DE7" i="1" s="1"/>
  <c r="DH7" i="1" a="1"/>
  <c r="DH7" i="1" s="1"/>
  <c r="DK7" i="1" a="1"/>
  <c r="DK7" i="1" s="1"/>
  <c r="DN7" i="1"/>
  <c r="DQ7" i="1" a="1"/>
  <c r="DQ7" i="1" s="1"/>
  <c r="DT7" i="1" a="1"/>
  <c r="DT7" i="1" s="1"/>
  <c r="DW7" i="1" a="1"/>
  <c r="DW7" i="1" s="1"/>
  <c r="DZ7" i="1" a="1"/>
  <c r="DZ7" i="1" s="1"/>
  <c r="EC7" i="1" a="1"/>
  <c r="EC7" i="1" s="1"/>
  <c r="EF158" i="1"/>
  <c r="EH158" i="1" s="1"/>
  <c r="EH29" i="1"/>
  <c r="EF156" i="1"/>
  <c r="EH156" i="1" s="1"/>
  <c r="EH27" i="1"/>
  <c r="EF208" i="1"/>
  <c r="EH208" i="1" s="1"/>
  <c r="EH18" i="1"/>
  <c r="EH13" i="1"/>
  <c r="EF205" i="1"/>
  <c r="EH205" i="1" s="1"/>
  <c r="EB7" i="1" l="1"/>
  <c r="AY7" i="1"/>
  <c r="BK7" i="1"/>
  <c r="DS7" i="1"/>
  <c r="CX7" i="1"/>
  <c r="BB7" i="1"/>
  <c r="DY7" i="1"/>
  <c r="EI188" i="1"/>
  <c r="EK188" i="1" s="1"/>
  <c r="EK43" i="1"/>
  <c r="EI210" i="1"/>
  <c r="EK210" i="1" s="1"/>
  <c r="EK19" i="1"/>
  <c r="CO7" i="1"/>
  <c r="EE7" i="1"/>
  <c r="DJ7" i="1"/>
  <c r="DD7" i="1"/>
  <c r="EI185" i="1"/>
  <c r="EK185" i="1" s="1"/>
  <c r="EK42" i="1"/>
  <c r="EI172" i="1"/>
  <c r="EK172" i="1" s="1"/>
  <c r="EK36" i="1"/>
  <c r="EI158" i="1"/>
  <c r="EK158" i="1" s="1"/>
  <c r="EK29" i="1"/>
  <c r="EI208" i="1"/>
  <c r="EK208" i="1" s="1"/>
  <c r="EK18" i="1"/>
  <c r="EI176" i="1"/>
  <c r="EK176" i="1" s="1"/>
  <c r="EK37" i="1"/>
  <c r="EI204" i="1"/>
  <c r="EK204" i="1" s="1"/>
  <c r="EK12" i="1"/>
  <c r="CR7" i="1"/>
  <c r="CL7" i="1"/>
  <c r="CF7" i="1"/>
  <c r="EI167" i="1"/>
  <c r="EK167" i="1" s="1"/>
  <c r="EK35" i="1"/>
  <c r="EI157" i="1"/>
  <c r="EK157" i="1" s="1"/>
  <c r="EK28" i="1"/>
  <c r="EI206" i="1"/>
  <c r="EK206" i="1" s="1"/>
  <c r="EK21" i="1"/>
  <c r="EI191" i="1"/>
  <c r="EK191" i="1" s="1"/>
  <c r="EK44" i="1"/>
  <c r="EI166" i="1"/>
  <c r="EK166" i="1" s="1"/>
  <c r="EK34" i="1"/>
  <c r="EI156" i="1"/>
  <c r="EK156" i="1" s="1"/>
  <c r="EK27" i="1"/>
  <c r="EI211" i="1"/>
  <c r="EK211" i="1" s="1"/>
  <c r="EK20" i="1"/>
  <c r="BT7" i="1"/>
  <c r="BQ7" i="1"/>
  <c r="DP7" i="1"/>
  <c r="EI190" i="1"/>
  <c r="EK190" i="1" s="1"/>
  <c r="EK51" i="1"/>
  <c r="EI183" i="1"/>
  <c r="EK183" i="1" s="1"/>
  <c r="EK41" i="1"/>
  <c r="EI165" i="1"/>
  <c r="EK165" i="1" s="1"/>
  <c r="EK33" i="1"/>
  <c r="DA7" i="1"/>
  <c r="EI180" i="1"/>
  <c r="EK180" i="1" s="1"/>
  <c r="EK40" i="1"/>
  <c r="EI163" i="1"/>
  <c r="EK163" i="1" s="1"/>
  <c r="EK32" i="1"/>
  <c r="CU7" i="1"/>
  <c r="DG7" i="1"/>
  <c r="CC7" i="1"/>
  <c r="BW7" i="1"/>
  <c r="BZ7" i="1"/>
  <c r="EK39" i="1"/>
  <c r="EI179" i="1"/>
  <c r="EK179" i="1" s="1"/>
  <c r="EI161" i="1"/>
  <c r="EK161" i="1" s="1"/>
  <c r="EK31" i="1"/>
  <c r="EK14" i="1"/>
  <c r="EI209" i="1"/>
  <c r="EK209" i="1" s="1"/>
  <c r="CI7" i="1"/>
  <c r="BE7" i="1"/>
  <c r="EI178" i="1"/>
  <c r="EK178" i="1" s="1"/>
  <c r="EK38" i="1"/>
  <c r="EI160" i="1"/>
  <c r="EK160" i="1" s="1"/>
  <c r="EK30" i="1"/>
  <c r="EI205" i="1"/>
  <c r="EK205" i="1" s="1"/>
  <c r="EK13" i="1"/>
  <c r="BJ114" i="1" l="1" a="1"/>
  <c r="BJ114" i="1" s="1"/>
  <c r="CH114" i="1" a="1"/>
  <c r="CH114" i="1" s="1"/>
  <c r="DF114" i="1" a="1"/>
  <c r="DF114" i="1" s="1"/>
  <c r="ED114" i="1" a="1"/>
  <c r="ED114" i="1" s="1"/>
  <c r="BA114" i="1" a="1"/>
  <c r="BA114" i="1" s="1"/>
  <c r="BY114" i="1" a="1"/>
  <c r="BY114" i="1" s="1"/>
  <c r="CW114" i="1" a="1"/>
  <c r="CW114" i="1" s="1"/>
  <c r="DU114" i="1" a="1"/>
  <c r="DU114" i="1" s="1"/>
  <c r="AW114" i="1" a="1"/>
  <c r="AW114" i="1" s="1"/>
  <c r="BP114" i="1" a="1"/>
  <c r="BP114" i="1" s="1"/>
  <c r="CN114" i="1" a="1"/>
  <c r="CN114" i="1" s="1"/>
  <c r="DL114" i="1" a="1"/>
  <c r="DL114" i="1" s="1"/>
  <c r="EJ114" i="1" a="1"/>
  <c r="EJ114" i="1" s="1"/>
  <c r="BG114" i="1" a="1"/>
  <c r="BG114" i="1" s="1"/>
  <c r="CE114" i="1" a="1"/>
  <c r="CE114" i="1" s="1"/>
  <c r="DC114" i="1" a="1"/>
  <c r="DC114" i="1" s="1"/>
  <c r="EA114" i="1" a="1"/>
  <c r="EA114" i="1" s="1"/>
  <c r="AX114" i="1" a="1"/>
  <c r="AX114" i="1" s="1"/>
  <c r="AY114" i="1" s="1"/>
  <c r="BV114" i="1" a="1"/>
  <c r="BV114" i="1" s="1"/>
  <c r="CT114" i="1" a="1"/>
  <c r="CT114" i="1" s="1"/>
  <c r="DR114" i="1" a="1"/>
  <c r="DR114" i="1" s="1"/>
  <c r="BM114" i="1" a="1"/>
  <c r="BM114" i="1" s="1"/>
  <c r="CK114" i="1" a="1"/>
  <c r="CK114" i="1" s="1"/>
  <c r="DI114" i="1" a="1"/>
  <c r="DI114" i="1" s="1"/>
  <c r="EG114" i="1" a="1"/>
  <c r="EG114" i="1" s="1"/>
  <c r="BD114" i="1" a="1"/>
  <c r="BD114" i="1" s="1"/>
  <c r="CB114" i="1" a="1"/>
  <c r="CB114" i="1" s="1"/>
  <c r="CZ114" i="1" a="1"/>
  <c r="CZ114" i="1" s="1"/>
  <c r="DX114" i="1" a="1"/>
  <c r="DX114" i="1" s="1"/>
  <c r="BS114" i="1" a="1"/>
  <c r="BS114" i="1" s="1"/>
  <c r="CQ114" i="1" a="1"/>
  <c r="CQ114" i="1" s="1"/>
  <c r="DO114" i="1" a="1"/>
  <c r="DO114" i="1" s="1"/>
  <c r="AZ114" i="1" a="1"/>
  <c r="AZ114" i="1" s="1"/>
  <c r="BC114" i="1" a="1"/>
  <c r="BC114" i="1" s="1"/>
  <c r="BF114" i="1" a="1"/>
  <c r="BF114" i="1" s="1"/>
  <c r="BI114" i="1" a="1"/>
  <c r="BI114" i="1" s="1"/>
  <c r="BL114" i="1" a="1"/>
  <c r="BL114" i="1" s="1"/>
  <c r="BO114" i="1" a="1"/>
  <c r="BO114" i="1" s="1"/>
  <c r="BR114" i="1" a="1"/>
  <c r="BR114" i="1" s="1"/>
  <c r="BU114" i="1" a="1"/>
  <c r="BU114" i="1" s="1"/>
  <c r="BX114" i="1" a="1"/>
  <c r="BX114" i="1" s="1"/>
  <c r="CA114" i="1" a="1"/>
  <c r="CA114" i="1" s="1"/>
  <c r="CD114" i="1" a="1"/>
  <c r="CD114" i="1" s="1"/>
  <c r="CG114" i="1" a="1"/>
  <c r="CG114" i="1" s="1"/>
  <c r="CJ114" i="1" a="1"/>
  <c r="CJ114" i="1" s="1"/>
  <c r="CM114" i="1" a="1"/>
  <c r="CM114" i="1" s="1"/>
  <c r="CP114" i="1" a="1"/>
  <c r="CP114" i="1" s="1"/>
  <c r="CS114" i="1" a="1"/>
  <c r="CS114" i="1" s="1"/>
  <c r="CV114" i="1" a="1"/>
  <c r="CV114" i="1" s="1"/>
  <c r="CY114" i="1" a="1"/>
  <c r="CY114" i="1" s="1"/>
  <c r="DB114" i="1" a="1"/>
  <c r="DB114" i="1" s="1"/>
  <c r="DE114" i="1" a="1"/>
  <c r="DE114" i="1" s="1"/>
  <c r="DH114" i="1" a="1"/>
  <c r="DH114" i="1" s="1"/>
  <c r="DK114" i="1" a="1"/>
  <c r="DK114" i="1" s="1"/>
  <c r="DN114" i="1" a="1"/>
  <c r="DN114" i="1" s="1"/>
  <c r="DQ114" i="1" a="1"/>
  <c r="DQ114" i="1" s="1"/>
  <c r="DT114" i="1" a="1"/>
  <c r="DT114" i="1" s="1"/>
  <c r="DW114" i="1" a="1"/>
  <c r="DW114" i="1" s="1"/>
  <c r="DZ114" i="1" a="1"/>
  <c r="DZ114" i="1" s="1"/>
  <c r="EC114" i="1" a="1"/>
  <c r="EC114" i="1" s="1"/>
  <c r="EF114" i="1" a="1"/>
  <c r="EF114" i="1" s="1"/>
  <c r="EI114" i="1" a="1"/>
  <c r="EI114" i="1" s="1"/>
  <c r="DP114" i="1" l="1"/>
  <c r="DJ114" i="1"/>
  <c r="DD114" i="1"/>
  <c r="DV114" i="1"/>
  <c r="CR114" i="1"/>
  <c r="CL114" i="1"/>
  <c r="CF114" i="1"/>
  <c r="CX114" i="1"/>
  <c r="BT114" i="1"/>
  <c r="BN114" i="1"/>
  <c r="BH114" i="1"/>
  <c r="BZ114" i="1"/>
  <c r="DY114" i="1"/>
  <c r="DS114" i="1"/>
  <c r="EK114" i="1"/>
  <c r="BB114" i="1"/>
  <c r="DA114" i="1"/>
  <c r="CU114" i="1"/>
  <c r="DM114" i="1"/>
  <c r="EE114" i="1"/>
  <c r="CC114" i="1"/>
  <c r="BW114" i="1"/>
  <c r="CO114" i="1"/>
  <c r="DG114" i="1"/>
  <c r="BE114" i="1"/>
  <c r="BQ114" i="1"/>
  <c r="CI114" i="1"/>
  <c r="BM131" i="1" a="1"/>
  <c r="BM131" i="1" s="1"/>
  <c r="CK131" i="1" a="1"/>
  <c r="CK131" i="1" s="1"/>
  <c r="DI131" i="1" a="1"/>
  <c r="DI131" i="1" s="1"/>
  <c r="EG131" i="1" a="1"/>
  <c r="EG131" i="1" s="1"/>
  <c r="BD131" i="1" a="1"/>
  <c r="BD131" i="1" s="1"/>
  <c r="CB131" i="1" a="1"/>
  <c r="CB131" i="1" s="1"/>
  <c r="CZ131" i="1" a="1"/>
  <c r="CZ131" i="1" s="1"/>
  <c r="DX131" i="1" a="1"/>
  <c r="DX131" i="1" s="1"/>
  <c r="BS131" i="1" a="1"/>
  <c r="BS131" i="1" s="1"/>
  <c r="CQ131" i="1" a="1"/>
  <c r="CQ131" i="1" s="1"/>
  <c r="DO131" i="1" a="1"/>
  <c r="DO131" i="1" s="1"/>
  <c r="BJ131" i="1" a="1"/>
  <c r="BJ131" i="1" s="1"/>
  <c r="CH131" i="1" a="1"/>
  <c r="CH131" i="1" s="1"/>
  <c r="DF131" i="1" a="1"/>
  <c r="DF131" i="1" s="1"/>
  <c r="ED131" i="1" a="1"/>
  <c r="ED131" i="1" s="1"/>
  <c r="BA131" i="1" a="1"/>
  <c r="BA131" i="1" s="1"/>
  <c r="BY131" i="1" a="1"/>
  <c r="BY131" i="1" s="1"/>
  <c r="CW131" i="1" a="1"/>
  <c r="CW131" i="1" s="1"/>
  <c r="DU131" i="1" a="1"/>
  <c r="DU131" i="1" s="1"/>
  <c r="AW131" i="1" a="1"/>
  <c r="AW131" i="1" s="1"/>
  <c r="BP131" i="1" a="1"/>
  <c r="BP131" i="1" s="1"/>
  <c r="CN131" i="1" a="1"/>
  <c r="CN131" i="1" s="1"/>
  <c r="DL131" i="1" a="1"/>
  <c r="DL131" i="1" s="1"/>
  <c r="EJ131" i="1" a="1"/>
  <c r="EJ131" i="1" s="1"/>
  <c r="BG131" i="1" a="1"/>
  <c r="BG131" i="1" s="1"/>
  <c r="CE131" i="1" a="1"/>
  <c r="CE131" i="1" s="1"/>
  <c r="DC131" i="1" a="1"/>
  <c r="DC131" i="1" s="1"/>
  <c r="EA131" i="1" a="1"/>
  <c r="EA131" i="1" s="1"/>
  <c r="AX131" i="1" a="1"/>
  <c r="AX131" i="1" s="1"/>
  <c r="BV131" i="1" a="1"/>
  <c r="BV131" i="1" s="1"/>
  <c r="CT131" i="1" a="1"/>
  <c r="CT131" i="1" s="1"/>
  <c r="DR131" i="1" a="1"/>
  <c r="DR131" i="1" s="1"/>
  <c r="AZ131" i="1" a="1"/>
  <c r="AZ131" i="1" s="1"/>
  <c r="BC131" i="1" a="1"/>
  <c r="BC131" i="1" s="1"/>
  <c r="BF131" i="1" a="1"/>
  <c r="BF131" i="1" s="1"/>
  <c r="BI131" i="1" a="1"/>
  <c r="BI131" i="1" s="1"/>
  <c r="BL131" i="1" a="1"/>
  <c r="BL131" i="1" s="1"/>
  <c r="BO131" i="1" a="1"/>
  <c r="BO131" i="1" s="1"/>
  <c r="BR131" i="1" a="1"/>
  <c r="BR131" i="1" s="1"/>
  <c r="BU131" i="1" a="1"/>
  <c r="BU131" i="1" s="1"/>
  <c r="BX131" i="1" a="1"/>
  <c r="BX131" i="1" s="1"/>
  <c r="CA131" i="1" a="1"/>
  <c r="CA131" i="1" s="1"/>
  <c r="CD131" i="1" a="1"/>
  <c r="CD131" i="1" s="1"/>
  <c r="CG131" i="1" a="1"/>
  <c r="CG131" i="1" s="1"/>
  <c r="CJ131" i="1" a="1"/>
  <c r="CJ131" i="1" s="1"/>
  <c r="CM131" i="1" a="1"/>
  <c r="CM131" i="1" s="1"/>
  <c r="CP131" i="1" a="1"/>
  <c r="CP131" i="1" s="1"/>
  <c r="CS131" i="1" a="1"/>
  <c r="CS131" i="1" s="1"/>
  <c r="CV131" i="1" a="1"/>
  <c r="CV131" i="1" s="1"/>
  <c r="CY131" i="1" a="1"/>
  <c r="CY131" i="1" s="1"/>
  <c r="DB131" i="1" a="1"/>
  <c r="DB131" i="1" s="1"/>
  <c r="DE131" i="1" a="1"/>
  <c r="DE131" i="1" s="1"/>
  <c r="DH131" i="1" a="1"/>
  <c r="DH131" i="1" s="1"/>
  <c r="DK131" i="1" a="1"/>
  <c r="DK131" i="1" s="1"/>
  <c r="DN131" i="1" a="1"/>
  <c r="DN131" i="1" s="1"/>
  <c r="DQ131" i="1" a="1"/>
  <c r="DQ131" i="1" s="1"/>
  <c r="DT131" i="1" a="1"/>
  <c r="DT131" i="1" s="1"/>
  <c r="DW131" i="1" a="1"/>
  <c r="DW131" i="1" s="1"/>
  <c r="DZ131" i="1" a="1"/>
  <c r="DZ131" i="1" s="1"/>
  <c r="EC131" i="1" a="1"/>
  <c r="EC131" i="1" s="1"/>
  <c r="EF131" i="1" a="1"/>
  <c r="EF131" i="1" s="1"/>
  <c r="EI131" i="1" a="1"/>
  <c r="EI131" i="1" s="1"/>
  <c r="EH114" i="1"/>
  <c r="EB114" i="1"/>
  <c r="BK114" i="1"/>
  <c r="BQ131" i="1" l="1"/>
  <c r="BE131" i="1"/>
  <c r="AY131" i="1"/>
  <c r="EB131" i="1"/>
  <c r="BK131" i="1"/>
  <c r="EH131" i="1"/>
  <c r="DD131" i="1"/>
  <c r="DV131" i="1"/>
  <c r="DP131" i="1"/>
  <c r="DJ131" i="1"/>
  <c r="CF131" i="1"/>
  <c r="CX131" i="1"/>
  <c r="CR131" i="1"/>
  <c r="CL131" i="1"/>
  <c r="BM16" i="1" a="1"/>
  <c r="BM16" i="1" s="1"/>
  <c r="CK16" i="1" a="1"/>
  <c r="CK16" i="1" s="1"/>
  <c r="DI16" i="1" a="1"/>
  <c r="DI16" i="1" s="1"/>
  <c r="DX16" i="1" a="1"/>
  <c r="DX16" i="1" s="1"/>
  <c r="BP16" i="1" a="1"/>
  <c r="BP16" i="1" s="1"/>
  <c r="CW16" i="1" a="1"/>
  <c r="CW16" i="1" s="1"/>
  <c r="EJ16" i="1" a="1"/>
  <c r="EJ16" i="1" s="1"/>
  <c r="BV16" i="1" a="1"/>
  <c r="BV16" i="1" s="1"/>
  <c r="CB16" i="1" a="1"/>
  <c r="CB16" i="1" s="1"/>
  <c r="DC16" i="1" a="1"/>
  <c r="DC16" i="1" s="1"/>
  <c r="DO16" i="1" a="1"/>
  <c r="DO16" i="1" s="1"/>
  <c r="BA16" i="1" a="1"/>
  <c r="BA16" i="1" s="1"/>
  <c r="CH16" i="1" a="1"/>
  <c r="CH16" i="1" s="1"/>
  <c r="DU16" i="1" a="1"/>
  <c r="DU16" i="1" s="1"/>
  <c r="BG16" i="1" a="1"/>
  <c r="BG16" i="1" s="1"/>
  <c r="CN16" i="1" a="1"/>
  <c r="CN16" i="1" s="1"/>
  <c r="EA16" i="1" a="1"/>
  <c r="EA16" i="1" s="1"/>
  <c r="AW16" i="1" a="1"/>
  <c r="AW16" i="1" s="1"/>
  <c r="AW200" i="1" s="1"/>
  <c r="AW226" i="1" s="1"/>
  <c r="BS16" i="1" a="1"/>
  <c r="BS16" i="1" s="1"/>
  <c r="CT16" i="1" a="1"/>
  <c r="CT16" i="1" s="1"/>
  <c r="CZ16" i="1" a="1"/>
  <c r="CZ16" i="1" s="1"/>
  <c r="EG16" i="1" a="1"/>
  <c r="EG16" i="1" s="1"/>
  <c r="BY16" i="1" a="1"/>
  <c r="BY16" i="1" s="1"/>
  <c r="DF16" i="1" a="1"/>
  <c r="DF16" i="1" s="1"/>
  <c r="AX16" i="1" a="1"/>
  <c r="AX16" i="1" s="1"/>
  <c r="DL16" i="1" a="1"/>
  <c r="DL16" i="1" s="1"/>
  <c r="CQ16" i="1" a="1"/>
  <c r="CQ16" i="1" s="1"/>
  <c r="BD16" i="1" a="1"/>
  <c r="BD16" i="1" s="1"/>
  <c r="DR16" i="1" a="1"/>
  <c r="DR16" i="1" s="1"/>
  <c r="CE16" i="1" a="1"/>
  <c r="CE16" i="1" s="1"/>
  <c r="BJ16" i="1" a="1"/>
  <c r="BJ16" i="1" s="1"/>
  <c r="ED16" i="1" a="1"/>
  <c r="ED16" i="1" s="1"/>
  <c r="AZ16" i="1" a="1"/>
  <c r="AZ16" i="1" s="1"/>
  <c r="AZ200" i="1" s="1"/>
  <c r="BC16" i="1" a="1"/>
  <c r="BC16" i="1" s="1"/>
  <c r="BC200" i="1" s="1"/>
  <c r="BF16" i="1" a="1"/>
  <c r="BF16" i="1" s="1"/>
  <c r="BF200" i="1" s="1"/>
  <c r="BI16" i="1" a="1"/>
  <c r="BI16" i="1" s="1"/>
  <c r="BI200" i="1" s="1"/>
  <c r="BL16" i="1" a="1"/>
  <c r="BL16" i="1" s="1"/>
  <c r="BL200" i="1" s="1"/>
  <c r="BO16" i="1" a="1"/>
  <c r="BO16" i="1" s="1"/>
  <c r="BO200" i="1" s="1"/>
  <c r="BR16" i="1" a="1"/>
  <c r="BR16" i="1" s="1"/>
  <c r="BR200" i="1" s="1"/>
  <c r="BU16" i="1" a="1"/>
  <c r="BU16" i="1" s="1"/>
  <c r="BU200" i="1" s="1"/>
  <c r="BX16" i="1" a="1"/>
  <c r="BX16" i="1" s="1"/>
  <c r="BX200" i="1" s="1"/>
  <c r="CA16" i="1" a="1"/>
  <c r="CA16" i="1" s="1"/>
  <c r="CA200" i="1" s="1"/>
  <c r="CD16" i="1" a="1"/>
  <c r="CD16" i="1" s="1"/>
  <c r="CD200" i="1" s="1"/>
  <c r="CG16" i="1" a="1"/>
  <c r="CG16" i="1" s="1"/>
  <c r="CG200" i="1" s="1"/>
  <c r="CJ16" i="1" a="1"/>
  <c r="CJ16" i="1" s="1"/>
  <c r="CJ200" i="1" s="1"/>
  <c r="CM16" i="1" a="1"/>
  <c r="CM16" i="1" s="1"/>
  <c r="CM200" i="1" s="1"/>
  <c r="CP16" i="1" a="1"/>
  <c r="CP16" i="1" s="1"/>
  <c r="CP200" i="1" s="1"/>
  <c r="CS16" i="1" a="1"/>
  <c r="CS16" i="1" s="1"/>
  <c r="CS200" i="1" s="1"/>
  <c r="CV16" i="1" a="1"/>
  <c r="CV16" i="1" s="1"/>
  <c r="CV200" i="1" s="1"/>
  <c r="CY16" i="1" a="1"/>
  <c r="CY16" i="1" s="1"/>
  <c r="CY200" i="1" s="1"/>
  <c r="DB16" i="1" a="1"/>
  <c r="DB16" i="1" s="1"/>
  <c r="DB200" i="1" s="1"/>
  <c r="DE16" i="1" a="1"/>
  <c r="DE16" i="1" s="1"/>
  <c r="DE200" i="1" s="1"/>
  <c r="DH16" i="1" a="1"/>
  <c r="DH16" i="1" s="1"/>
  <c r="DH200" i="1" s="1"/>
  <c r="DK16" i="1" a="1"/>
  <c r="DK16" i="1" s="1"/>
  <c r="DK200" i="1" s="1"/>
  <c r="DN16" i="1"/>
  <c r="DQ16" i="1" a="1"/>
  <c r="DQ16" i="1" s="1"/>
  <c r="DQ200" i="1" s="1"/>
  <c r="DT16" i="1" a="1"/>
  <c r="DT16" i="1" s="1"/>
  <c r="DT200" i="1" s="1"/>
  <c r="DW16" i="1" a="1"/>
  <c r="DW16" i="1" s="1"/>
  <c r="DW200" i="1" s="1"/>
  <c r="DZ16" i="1" a="1"/>
  <c r="DZ16" i="1" s="1"/>
  <c r="DZ200" i="1" s="1"/>
  <c r="EC16" i="1" a="1"/>
  <c r="EC16" i="1" s="1"/>
  <c r="EC200" i="1" s="1"/>
  <c r="EF16" i="1" a="1"/>
  <c r="EF16" i="1" s="1"/>
  <c r="EF200" i="1" s="1"/>
  <c r="EI16" i="1" a="1"/>
  <c r="EI16" i="1" s="1"/>
  <c r="EI200" i="1" s="1"/>
  <c r="BH131" i="1"/>
  <c r="BZ131" i="1"/>
  <c r="BT131" i="1"/>
  <c r="BN131" i="1"/>
  <c r="CI131" i="1"/>
  <c r="DS131" i="1"/>
  <c r="EK131" i="1"/>
  <c r="BB131" i="1"/>
  <c r="DY131" i="1"/>
  <c r="CU131" i="1"/>
  <c r="DM131" i="1"/>
  <c r="EE131" i="1"/>
  <c r="DA131" i="1"/>
  <c r="BW131" i="1"/>
  <c r="CO131" i="1"/>
  <c r="DG131" i="1"/>
  <c r="CC131" i="1"/>
  <c r="DS16" i="1" l="1"/>
  <c r="DR200" i="1"/>
  <c r="DS200" i="1" s="1"/>
  <c r="DA16" i="1"/>
  <c r="CZ200" i="1"/>
  <c r="DA200" i="1" s="1"/>
  <c r="CI16" i="1"/>
  <c r="CH200" i="1"/>
  <c r="CI200" i="1" s="1"/>
  <c r="BQ16" i="1"/>
  <c r="BP200" i="1"/>
  <c r="BQ200" i="1" s="1"/>
  <c r="BE16" i="1"/>
  <c r="BD200" i="1"/>
  <c r="BE200" i="1" s="1"/>
  <c r="CU16" i="1"/>
  <c r="CT200" i="1"/>
  <c r="CU200" i="1" s="1"/>
  <c r="BB16" i="1"/>
  <c r="BA200" i="1"/>
  <c r="BB200" i="1" s="1"/>
  <c r="DY16" i="1"/>
  <c r="DX200" i="1"/>
  <c r="DY200" i="1" s="1"/>
  <c r="ED200" i="1"/>
  <c r="EE200" i="1" s="1"/>
  <c r="CR16" i="1"/>
  <c r="CQ200" i="1"/>
  <c r="CR200" i="1" s="1"/>
  <c r="BT16" i="1"/>
  <c r="BS200" i="1"/>
  <c r="BT200" i="1" s="1"/>
  <c r="DP16" i="1"/>
  <c r="DJ16" i="1"/>
  <c r="DI200" i="1"/>
  <c r="DJ200" i="1" s="1"/>
  <c r="DM16" i="1"/>
  <c r="DL200" i="1"/>
  <c r="DM200" i="1" s="1"/>
  <c r="DD16" i="1"/>
  <c r="DC200" i="1"/>
  <c r="DD200" i="1" s="1"/>
  <c r="CL16" i="1"/>
  <c r="CK200" i="1"/>
  <c r="CL200" i="1" s="1"/>
  <c r="EC26" i="1" a="1"/>
  <c r="EC26" i="1" s="1"/>
  <c r="EJ26" i="1" a="1"/>
  <c r="EJ26" i="1" s="1"/>
  <c r="DC26" i="1" a="1"/>
  <c r="DC26" i="1" s="1"/>
  <c r="DI26" i="1" a="1"/>
  <c r="DI26" i="1" s="1"/>
  <c r="BS26" i="1" a="1"/>
  <c r="BS26" i="1" s="1"/>
  <c r="BT26" i="1" s="1"/>
  <c r="BR26" i="1" a="1"/>
  <c r="BR26" i="1" s="1"/>
  <c r="CP26" i="1" a="1"/>
  <c r="CP26" i="1" s="1"/>
  <c r="DN26" i="1"/>
  <c r="DR26" i="1" a="1"/>
  <c r="DR26" i="1" s="1"/>
  <c r="DS26" i="1" s="1"/>
  <c r="CS26" i="1" a="1"/>
  <c r="CS26" i="1" s="1"/>
  <c r="BX26" i="1" a="1"/>
  <c r="BX26" i="1" s="1"/>
  <c r="DT26" i="1" a="1"/>
  <c r="DT26" i="1" s="1"/>
  <c r="BV26" i="1" a="1"/>
  <c r="BV26" i="1" s="1"/>
  <c r="CY26" i="1" a="1"/>
  <c r="CY26" i="1" s="1"/>
  <c r="BF26" i="1" a="1"/>
  <c r="BF26" i="1" s="1"/>
  <c r="BA26" i="1" a="1"/>
  <c r="BA26" i="1" s="1"/>
  <c r="CG26" i="1" a="1"/>
  <c r="CG26" i="1" s="1"/>
  <c r="BJ26" i="1" a="1"/>
  <c r="BJ26" i="1" s="1"/>
  <c r="AW26" i="1" a="1"/>
  <c r="AW26" i="1" s="1"/>
  <c r="DX26" i="1" a="1"/>
  <c r="DX26" i="1" s="1"/>
  <c r="DY26" i="1" s="1"/>
  <c r="BU26" i="1" a="1"/>
  <c r="BU26" i="1" s="1"/>
  <c r="DQ26" i="1" a="1"/>
  <c r="DQ26" i="1" s="1"/>
  <c r="DF26" i="1" a="1"/>
  <c r="DF26" i="1" s="1"/>
  <c r="BC26" i="1" a="1"/>
  <c r="BC26" i="1" s="1"/>
  <c r="CZ26" i="1" a="1"/>
  <c r="CZ26" i="1" s="1"/>
  <c r="CM26" i="1" a="1"/>
  <c r="CM26" i="1" s="1"/>
  <c r="CH26" i="1" a="1"/>
  <c r="CH26" i="1" s="1"/>
  <c r="BP26" i="1" a="1"/>
  <c r="BP26" i="1" s="1"/>
  <c r="AX26" i="1" a="1"/>
  <c r="AX26" i="1" s="1"/>
  <c r="AY26" i="1" s="1"/>
  <c r="BD26" i="1" a="1"/>
  <c r="BD26" i="1" s="1"/>
  <c r="AZ26" i="1" a="1"/>
  <c r="AZ26" i="1" s="1"/>
  <c r="CV26" i="1" a="1"/>
  <c r="CV26" i="1" s="1"/>
  <c r="CN26" i="1" a="1"/>
  <c r="CN26" i="1" s="1"/>
  <c r="CO26" i="1" s="1"/>
  <c r="CA26" i="1" a="1"/>
  <c r="CA26" i="1" s="1"/>
  <c r="CD26" i="1" a="1"/>
  <c r="CD26" i="1" s="1"/>
  <c r="EA26" i="1" a="1"/>
  <c r="EA26" i="1" s="1"/>
  <c r="BI26" i="1" a="1"/>
  <c r="BI26" i="1" s="1"/>
  <c r="DK26" i="1" a="1"/>
  <c r="DK26" i="1" s="1"/>
  <c r="CB26" i="1" a="1"/>
  <c r="CB26" i="1" s="1"/>
  <c r="DW26" i="1" a="1"/>
  <c r="DW26" i="1" s="1"/>
  <c r="DB26" i="1" a="1"/>
  <c r="DB26" i="1" s="1"/>
  <c r="EG26" i="1" a="1"/>
  <c r="EG26" i="1" s="1"/>
  <c r="DE26" i="1" a="1"/>
  <c r="DE26" i="1" s="1"/>
  <c r="DU26" i="1" a="1"/>
  <c r="DU26" i="1" s="1"/>
  <c r="DV26" i="1" s="1"/>
  <c r="DL26" i="1" a="1"/>
  <c r="DL26" i="1" s="1"/>
  <c r="DM26" i="1" s="1"/>
  <c r="CT26" i="1" a="1"/>
  <c r="CT26" i="1" s="1"/>
  <c r="CU26" i="1" s="1"/>
  <c r="DZ26" i="1" a="1"/>
  <c r="DZ26" i="1" s="1"/>
  <c r="DO26" i="1" a="1"/>
  <c r="DO26" i="1" s="1"/>
  <c r="DP26" i="1" s="1"/>
  <c r="ED26" i="1" a="1"/>
  <c r="ED26" i="1" s="1"/>
  <c r="EE26" i="1" s="1"/>
  <c r="BY26" i="1" a="1"/>
  <c r="BY26" i="1" s="1"/>
  <c r="BZ26" i="1" s="1"/>
  <c r="BG26" i="1" a="1"/>
  <c r="BG26" i="1" s="1"/>
  <c r="BM26" i="1" a="1"/>
  <c r="BM26" i="1" s="1"/>
  <c r="BN26" i="1" s="1"/>
  <c r="CQ26" i="1" a="1"/>
  <c r="CQ26" i="1" s="1"/>
  <c r="CR26" i="1" s="1"/>
  <c r="BL26" i="1" a="1"/>
  <c r="BL26" i="1" s="1"/>
  <c r="CJ26" i="1" a="1"/>
  <c r="CJ26" i="1" s="1"/>
  <c r="DH26" i="1" a="1"/>
  <c r="DH26" i="1" s="1"/>
  <c r="CW26" i="1" a="1"/>
  <c r="CW26" i="1" s="1"/>
  <c r="CX26" i="1" s="1"/>
  <c r="CE26" i="1" a="1"/>
  <c r="CE26" i="1" s="1"/>
  <c r="CF26" i="1" s="1"/>
  <c r="CK26" i="1" a="1"/>
  <c r="CK26" i="1" s="1"/>
  <c r="BO26" i="1" a="1"/>
  <c r="BO26" i="1" s="1"/>
  <c r="EF26" i="1" a="1"/>
  <c r="EF26" i="1" s="1"/>
  <c r="EI26" i="1" a="1"/>
  <c r="EI26" i="1" s="1"/>
  <c r="AY16" i="1"/>
  <c r="AX200" i="1"/>
  <c r="EB16" i="1"/>
  <c r="EA200" i="1"/>
  <c r="EB200" i="1" s="1"/>
  <c r="CC16" i="1"/>
  <c r="CB200" i="1"/>
  <c r="CC200" i="1" s="1"/>
  <c r="BN16" i="1"/>
  <c r="BM200" i="1"/>
  <c r="BN200" i="1" s="1"/>
  <c r="EE16" i="1"/>
  <c r="DG16" i="1"/>
  <c r="DF200" i="1"/>
  <c r="DG200" i="1" s="1"/>
  <c r="CO16" i="1"/>
  <c r="CN200" i="1"/>
  <c r="CO200" i="1" s="1"/>
  <c r="BW16" i="1"/>
  <c r="BV200" i="1"/>
  <c r="BW200" i="1" s="1"/>
  <c r="BK16" i="1"/>
  <c r="BJ200" i="1"/>
  <c r="BK200" i="1" s="1"/>
  <c r="BZ16" i="1"/>
  <c r="BY200" i="1"/>
  <c r="BZ200" i="1" s="1"/>
  <c r="BH16" i="1"/>
  <c r="BG200" i="1"/>
  <c r="BH200" i="1" s="1"/>
  <c r="EK16" i="1"/>
  <c r="EJ200" i="1"/>
  <c r="EK200" i="1" s="1"/>
  <c r="CF16" i="1"/>
  <c r="CE200" i="1"/>
  <c r="CF200" i="1" s="1"/>
  <c r="EH16" i="1"/>
  <c r="EG200" i="1"/>
  <c r="EH200" i="1" s="1"/>
  <c r="DV16" i="1"/>
  <c r="DU200" i="1"/>
  <c r="DV200" i="1" s="1"/>
  <c r="CX16" i="1"/>
  <c r="CW200" i="1"/>
  <c r="CX200" i="1" s="1"/>
  <c r="CI26" i="1" l="1"/>
  <c r="CC26" i="1"/>
  <c r="DA26" i="1"/>
  <c r="EB26" i="1"/>
  <c r="DJ26" i="1"/>
  <c r="BH26" i="1"/>
  <c r="AY200" i="1"/>
  <c r="AX226" i="1"/>
  <c r="AY226" i="1" s="1"/>
  <c r="BB26" i="1"/>
  <c r="BS24" i="1" a="1"/>
  <c r="BS24" i="1" s="1"/>
  <c r="CQ24" i="1" a="1"/>
  <c r="CQ24" i="1" s="1"/>
  <c r="ED24" i="1" a="1"/>
  <c r="ED24" i="1" s="1"/>
  <c r="BA24" i="1" a="1"/>
  <c r="BA24" i="1" s="1"/>
  <c r="BY24" i="1" a="1"/>
  <c r="BY24" i="1" s="1"/>
  <c r="CW24" i="1" a="1"/>
  <c r="CW24" i="1" s="1"/>
  <c r="EJ24" i="1" a="1"/>
  <c r="EJ24" i="1" s="1"/>
  <c r="BG24" i="1" a="1"/>
  <c r="BG24" i="1" s="1"/>
  <c r="CE24" i="1" a="1"/>
  <c r="CE24" i="1" s="1"/>
  <c r="DC24" i="1" a="1"/>
  <c r="DC24" i="1" s="1"/>
  <c r="DR24" i="1" a="1"/>
  <c r="DR24" i="1" s="1"/>
  <c r="BM24" i="1" a="1"/>
  <c r="BM24" i="1" s="1"/>
  <c r="CK24" i="1" a="1"/>
  <c r="CK24" i="1" s="1"/>
  <c r="DI24" i="1" a="1"/>
  <c r="DI24" i="1" s="1"/>
  <c r="DX24" i="1" a="1"/>
  <c r="DX24" i="1" s="1"/>
  <c r="CH24" i="1" a="1"/>
  <c r="CH24" i="1" s="1"/>
  <c r="DU24" i="1" a="1"/>
  <c r="DU24" i="1" s="1"/>
  <c r="AW24" i="1" a="1"/>
  <c r="AW24" i="1" s="1"/>
  <c r="BP24" i="1" a="1"/>
  <c r="BP24" i="1" s="1"/>
  <c r="DL24" i="1" a="1"/>
  <c r="DL24" i="1" s="1"/>
  <c r="AX24" i="1" a="1"/>
  <c r="AX24" i="1" s="1"/>
  <c r="AY24" i="1" s="1"/>
  <c r="CT24" i="1" a="1"/>
  <c r="CT24" i="1" s="1"/>
  <c r="CB24" i="1" a="1"/>
  <c r="CB24" i="1" s="1"/>
  <c r="DO24" i="1" a="1"/>
  <c r="DO24" i="1" s="1"/>
  <c r="BJ24" i="1" a="1"/>
  <c r="BJ24" i="1" s="1"/>
  <c r="DF24" i="1" a="1"/>
  <c r="DF24" i="1" s="1"/>
  <c r="CN24" i="1" a="1"/>
  <c r="CN24" i="1" s="1"/>
  <c r="EG24" i="1" a="1"/>
  <c r="EG24" i="1" s="1"/>
  <c r="BV24" i="1" a="1"/>
  <c r="BV24" i="1" s="1"/>
  <c r="EA24" i="1" a="1"/>
  <c r="EA24" i="1" s="1"/>
  <c r="CZ24" i="1" a="1"/>
  <c r="CZ24" i="1" s="1"/>
  <c r="BD24" i="1" a="1"/>
  <c r="BD24" i="1" s="1"/>
  <c r="AZ24" i="1" a="1"/>
  <c r="AZ24" i="1" s="1"/>
  <c r="BC24" i="1" a="1"/>
  <c r="BC24" i="1" s="1"/>
  <c r="BF24" i="1" a="1"/>
  <c r="BF24" i="1" s="1"/>
  <c r="BI24" i="1" a="1"/>
  <c r="BI24" i="1" s="1"/>
  <c r="BL24" i="1" a="1"/>
  <c r="BL24" i="1" s="1"/>
  <c r="BO24" i="1" a="1"/>
  <c r="BO24" i="1" s="1"/>
  <c r="BR24" i="1" a="1"/>
  <c r="BR24" i="1" s="1"/>
  <c r="BU24" i="1" a="1"/>
  <c r="BU24" i="1" s="1"/>
  <c r="BX24" i="1" a="1"/>
  <c r="BX24" i="1" s="1"/>
  <c r="CA24" i="1" a="1"/>
  <c r="CA24" i="1" s="1"/>
  <c r="CD24" i="1" a="1"/>
  <c r="CD24" i="1" s="1"/>
  <c r="CG24" i="1" a="1"/>
  <c r="CG24" i="1" s="1"/>
  <c r="CJ24" i="1" a="1"/>
  <c r="CJ24" i="1" s="1"/>
  <c r="CM24" i="1" a="1"/>
  <c r="CM24" i="1" s="1"/>
  <c r="CP24" i="1" a="1"/>
  <c r="CP24" i="1" s="1"/>
  <c r="CS24" i="1" a="1"/>
  <c r="CS24" i="1" s="1"/>
  <c r="CV24" i="1" a="1"/>
  <c r="CV24" i="1" s="1"/>
  <c r="CY24" i="1" a="1"/>
  <c r="CY24" i="1" s="1"/>
  <c r="DB24" i="1" a="1"/>
  <c r="DB24" i="1" s="1"/>
  <c r="DE24" i="1" a="1"/>
  <c r="DE24" i="1" s="1"/>
  <c r="DH24" i="1" a="1"/>
  <c r="DH24" i="1" s="1"/>
  <c r="DK24" i="1" a="1"/>
  <c r="DK24" i="1" s="1"/>
  <c r="DN24" i="1"/>
  <c r="DQ24" i="1" a="1"/>
  <c r="DQ24" i="1" s="1"/>
  <c r="DT24" i="1" a="1"/>
  <c r="DT24" i="1" s="1"/>
  <c r="DW24" i="1" a="1"/>
  <c r="DW24" i="1" s="1"/>
  <c r="DZ24" i="1" a="1"/>
  <c r="DZ24" i="1" s="1"/>
  <c r="EC24" i="1" a="1"/>
  <c r="EC24" i="1" s="1"/>
  <c r="EF24" i="1" a="1"/>
  <c r="EF24" i="1" s="1"/>
  <c r="EI24" i="1" a="1"/>
  <c r="EI24" i="1" s="1"/>
  <c r="DG26" i="1"/>
  <c r="BE26" i="1"/>
  <c r="BW26" i="1"/>
  <c r="CL26" i="1"/>
  <c r="DD26" i="1"/>
  <c r="BQ26" i="1"/>
  <c r="EH26" i="1"/>
  <c r="BK26" i="1"/>
  <c r="EK26" i="1"/>
  <c r="BW24" i="1" l="1"/>
  <c r="CL24" i="1"/>
  <c r="BZ24" i="1"/>
  <c r="EH24" i="1"/>
  <c r="DM24" i="1"/>
  <c r="BN24" i="1"/>
  <c r="BB24" i="1"/>
  <c r="CO24" i="1"/>
  <c r="BQ24" i="1"/>
  <c r="DS24" i="1"/>
  <c r="EE24" i="1"/>
  <c r="DG24" i="1"/>
  <c r="DD24" i="1"/>
  <c r="CR24" i="1"/>
  <c r="AZ59" i="1" a="1"/>
  <c r="AZ59" i="1" s="1"/>
  <c r="CA59" i="1" a="1"/>
  <c r="CA59" i="1" s="1"/>
  <c r="CY59" i="1" a="1"/>
  <c r="CY59" i="1" s="1"/>
  <c r="BF59" i="1" a="1"/>
  <c r="BF59" i="1" s="1"/>
  <c r="CD59" i="1" a="1"/>
  <c r="CD59" i="1" s="1"/>
  <c r="DB59" i="1" a="1"/>
  <c r="DB59" i="1" s="1"/>
  <c r="DZ59" i="1" a="1"/>
  <c r="DZ59" i="1" s="1"/>
  <c r="CG59" i="1" a="1"/>
  <c r="CG59" i="1" s="1"/>
  <c r="CH59" i="1" a="1"/>
  <c r="CH59" i="1" s="1"/>
  <c r="BP59" i="1" a="1"/>
  <c r="BP59" i="1" s="1"/>
  <c r="CJ59" i="1" a="1"/>
  <c r="CJ59" i="1" s="1"/>
  <c r="DH59" i="1" a="1"/>
  <c r="DH59" i="1" s="1"/>
  <c r="EF59" i="1" a="1"/>
  <c r="EF59" i="1" s="1"/>
  <c r="BO59" i="1" a="1"/>
  <c r="BO59" i="1" s="1"/>
  <c r="CM59" i="1" a="1"/>
  <c r="CM59" i="1" s="1"/>
  <c r="DK59" i="1" a="1"/>
  <c r="DK59" i="1" s="1"/>
  <c r="DN59" i="1"/>
  <c r="BA59" i="1" a="1"/>
  <c r="BA59" i="1" s="1"/>
  <c r="EA59" i="1" a="1"/>
  <c r="EA59" i="1" s="1"/>
  <c r="BR59" i="1" a="1"/>
  <c r="BR59" i="1" s="1"/>
  <c r="CP59" i="1" a="1"/>
  <c r="CP59" i="1" s="1"/>
  <c r="EC59" i="1" a="1"/>
  <c r="EC59" i="1" s="1"/>
  <c r="DQ59" i="1" a="1"/>
  <c r="DQ59" i="1" s="1"/>
  <c r="BS59" i="1" a="1"/>
  <c r="BS59" i="1" s="1"/>
  <c r="CT59" i="1" a="1"/>
  <c r="CT59" i="1" s="1"/>
  <c r="DX59" i="1" a="1"/>
  <c r="DX59" i="1" s="1"/>
  <c r="EI59" i="1" a="1"/>
  <c r="EI59" i="1" s="1"/>
  <c r="BM59" i="1" a="1"/>
  <c r="BM59" i="1" s="1"/>
  <c r="DR59" i="1" a="1"/>
  <c r="DR59" i="1" s="1"/>
  <c r="DS59" i="1" s="1"/>
  <c r="DF59" i="1" a="1"/>
  <c r="DF59" i="1" s="1"/>
  <c r="BG59" i="1" a="1"/>
  <c r="BG59" i="1" s="1"/>
  <c r="BH59" i="1" s="1"/>
  <c r="CB59" i="1" a="1"/>
  <c r="CB59" i="1" s="1"/>
  <c r="DI59" i="1" a="1"/>
  <c r="DI59" i="1" s="1"/>
  <c r="DO59" i="1" a="1"/>
  <c r="DO59" i="1" s="1"/>
  <c r="DP59" i="1" s="1"/>
  <c r="BV59" i="1" a="1"/>
  <c r="BV59" i="1" s="1"/>
  <c r="DC59" i="1" a="1"/>
  <c r="DC59" i="1" s="1"/>
  <c r="BJ59" i="1" a="1"/>
  <c r="BJ59" i="1" s="1"/>
  <c r="EG59" i="1" a="1"/>
  <c r="EG59" i="1" s="1"/>
  <c r="EH59" i="1" s="1"/>
  <c r="BD59" i="1" a="1"/>
  <c r="BD59" i="1" s="1"/>
  <c r="CW59" i="1" a="1"/>
  <c r="CW59" i="1" s="1"/>
  <c r="CZ59" i="1" a="1"/>
  <c r="CZ59" i="1" s="1"/>
  <c r="DL59" i="1" a="1"/>
  <c r="DL59" i="1" s="1"/>
  <c r="AX59" i="1" a="1"/>
  <c r="AX59" i="1" s="1"/>
  <c r="CQ59" i="1" a="1"/>
  <c r="CQ59" i="1" s="1"/>
  <c r="CR59" i="1" s="1"/>
  <c r="DU59" i="1" a="1"/>
  <c r="DU59" i="1" s="1"/>
  <c r="AW59" i="1" a="1"/>
  <c r="AW59" i="1" s="1"/>
  <c r="CK59" i="1" a="1"/>
  <c r="CK59" i="1" s="1"/>
  <c r="CL59" i="1" s="1"/>
  <c r="BY59" i="1" a="1"/>
  <c r="BY59" i="1" s="1"/>
  <c r="CE59" i="1" a="1"/>
  <c r="CE59" i="1" s="1"/>
  <c r="CF59" i="1" s="1"/>
  <c r="BK24" i="1"/>
  <c r="DV24" i="1"/>
  <c r="CF24" i="1"/>
  <c r="BT24" i="1"/>
  <c r="BE24" i="1"/>
  <c r="DP24" i="1"/>
  <c r="CI24" i="1"/>
  <c r="BH24" i="1"/>
  <c r="DA24" i="1"/>
  <c r="CC24" i="1"/>
  <c r="DY24" i="1"/>
  <c r="EK24" i="1"/>
  <c r="EB24" i="1"/>
  <c r="CU24" i="1"/>
  <c r="DJ24" i="1"/>
  <c r="CX24" i="1"/>
  <c r="DD59" i="1" l="1"/>
  <c r="CI59" i="1"/>
  <c r="EB59" i="1"/>
  <c r="BC59" i="1" a="1"/>
  <c r="BC59" i="1" s="1"/>
  <c r="BE59" i="1" s="1"/>
  <c r="EJ59" i="1" a="1"/>
  <c r="EJ59" i="1" s="1"/>
  <c r="DM59" i="1"/>
  <c r="ED59" i="1" a="1"/>
  <c r="ED59" i="1" s="1"/>
  <c r="CX59" i="1"/>
  <c r="BT59" i="1"/>
  <c r="BL59" i="1" a="1"/>
  <c r="BL59" i="1" s="1"/>
  <c r="BN59" i="1" s="1"/>
  <c r="DW59" i="1" a="1"/>
  <c r="DW59" i="1" s="1"/>
  <c r="DY59" i="1" s="1"/>
  <c r="CN59" i="1" a="1"/>
  <c r="CN59" i="1" s="1"/>
  <c r="DT59" i="1" a="1"/>
  <c r="DT59" i="1" s="1"/>
  <c r="DV59" i="1" s="1"/>
  <c r="CS59" i="1" a="1"/>
  <c r="CS59" i="1" s="1"/>
  <c r="CU59" i="1" s="1"/>
  <c r="DE59" i="1" a="1"/>
  <c r="DE59" i="1" s="1"/>
  <c r="DG59" i="1" s="1"/>
  <c r="CV59" i="1" a="1"/>
  <c r="CV59" i="1" s="1"/>
  <c r="DJ59" i="1"/>
  <c r="DA59" i="1"/>
  <c r="BU59" i="1" a="1"/>
  <c r="BU59" i="1" s="1"/>
  <c r="BW59" i="1" s="1"/>
  <c r="BI59" i="1" a="1"/>
  <c r="BI59" i="1" s="1"/>
  <c r="BK59" i="1" s="1"/>
  <c r="BX59" i="1" a="1"/>
  <c r="BX59" i="1" s="1"/>
  <c r="BZ59" i="1" s="1"/>
  <c r="AY59" i="1"/>
  <c r="BG53" i="1" a="1"/>
  <c r="BG53" i="1" s="1"/>
  <c r="CE53" i="1" a="1"/>
  <c r="CE53" i="1" s="1"/>
  <c r="DC53" i="1" a="1"/>
  <c r="DC53" i="1" s="1"/>
  <c r="DR53" i="1" a="1"/>
  <c r="DR53" i="1" s="1"/>
  <c r="AX53" i="1" a="1"/>
  <c r="AX53" i="1" s="1"/>
  <c r="BV53" i="1" a="1"/>
  <c r="BV53" i="1" s="1"/>
  <c r="CT53" i="1" a="1"/>
  <c r="CT53" i="1" s="1"/>
  <c r="EG53" i="1" a="1"/>
  <c r="EG53" i="1" s="1"/>
  <c r="BM53" i="1" a="1"/>
  <c r="BM53" i="1" s="1"/>
  <c r="CK53" i="1" a="1"/>
  <c r="CK53" i="1" s="1"/>
  <c r="DI53" i="1" a="1"/>
  <c r="DI53" i="1" s="1"/>
  <c r="DX53" i="1" a="1"/>
  <c r="DX53" i="1" s="1"/>
  <c r="BD53" i="1" a="1"/>
  <c r="BD53" i="1" s="1"/>
  <c r="CB53" i="1" a="1"/>
  <c r="CB53" i="1" s="1"/>
  <c r="CZ53" i="1" a="1"/>
  <c r="CZ53" i="1" s="1"/>
  <c r="DA53" i="1" s="1"/>
  <c r="DO53" i="1" a="1"/>
  <c r="DO53" i="1" s="1"/>
  <c r="BS53" i="1" a="1"/>
  <c r="BS53" i="1" s="1"/>
  <c r="CQ53" i="1" a="1"/>
  <c r="CQ53" i="1" s="1"/>
  <c r="ED53" i="1" a="1"/>
  <c r="ED53" i="1" s="1"/>
  <c r="BJ53" i="1" a="1"/>
  <c r="BJ53" i="1" s="1"/>
  <c r="CH53" i="1" a="1"/>
  <c r="CH53" i="1" s="1"/>
  <c r="DF53" i="1" a="1"/>
  <c r="DF53" i="1" s="1"/>
  <c r="DU53" i="1" a="1"/>
  <c r="DU53" i="1" s="1"/>
  <c r="AW53" i="1" a="1"/>
  <c r="AW53" i="1" s="1"/>
  <c r="BP53" i="1" a="1"/>
  <c r="BP53" i="1" s="1"/>
  <c r="CN53" i="1" a="1"/>
  <c r="CN53" i="1" s="1"/>
  <c r="DL53" i="1" a="1"/>
  <c r="DL53" i="1" s="1"/>
  <c r="EA53" i="1" a="1"/>
  <c r="EA53" i="1" s="1"/>
  <c r="CW53" i="1" a="1"/>
  <c r="CW53" i="1" s="1"/>
  <c r="EJ53" i="1" a="1"/>
  <c r="EJ53" i="1" s="1"/>
  <c r="BY53" i="1" a="1"/>
  <c r="BY53" i="1" s="1"/>
  <c r="BZ53" i="1" s="1"/>
  <c r="BA53" i="1" a="1"/>
  <c r="BA53" i="1" s="1"/>
  <c r="AZ53" i="1" a="1"/>
  <c r="AZ53" i="1" s="1"/>
  <c r="BC53" i="1" a="1"/>
  <c r="BC53" i="1" s="1"/>
  <c r="BF53" i="1" a="1"/>
  <c r="BF53" i="1" s="1"/>
  <c r="BI53" i="1" a="1"/>
  <c r="BI53" i="1" s="1"/>
  <c r="BL53" i="1" a="1"/>
  <c r="BL53" i="1" s="1"/>
  <c r="BO53" i="1" a="1"/>
  <c r="BO53" i="1" s="1"/>
  <c r="BR53" i="1" a="1"/>
  <c r="BR53" i="1" s="1"/>
  <c r="BU53" i="1" a="1"/>
  <c r="BU53" i="1" s="1"/>
  <c r="BX53" i="1" a="1"/>
  <c r="BX53" i="1" s="1"/>
  <c r="CA53" i="1" a="1"/>
  <c r="CA53" i="1" s="1"/>
  <c r="CD53" i="1" a="1"/>
  <c r="CD53" i="1" s="1"/>
  <c r="CG53" i="1" a="1"/>
  <c r="CG53" i="1" s="1"/>
  <c r="CJ53" i="1" a="1"/>
  <c r="CJ53" i="1" s="1"/>
  <c r="CM53" i="1" a="1"/>
  <c r="CM53" i="1" s="1"/>
  <c r="CP53" i="1" a="1"/>
  <c r="CP53" i="1" s="1"/>
  <c r="CS53" i="1" a="1"/>
  <c r="CS53" i="1" s="1"/>
  <c r="CV53" i="1" a="1"/>
  <c r="CV53" i="1" s="1"/>
  <c r="CY53" i="1" a="1"/>
  <c r="CY53" i="1" s="1"/>
  <c r="DB53" i="1" a="1"/>
  <c r="DB53" i="1" s="1"/>
  <c r="DE53" i="1" a="1"/>
  <c r="DE53" i="1" s="1"/>
  <c r="DH53" i="1" a="1"/>
  <c r="DH53" i="1" s="1"/>
  <c r="DK53" i="1" a="1"/>
  <c r="DK53" i="1" s="1"/>
  <c r="DN53" i="1"/>
  <c r="DQ53" i="1" a="1"/>
  <c r="DQ53" i="1" s="1"/>
  <c r="DT53" i="1" a="1"/>
  <c r="DT53" i="1" s="1"/>
  <c r="DW53" i="1" a="1"/>
  <c r="DW53" i="1" s="1"/>
  <c r="DZ53" i="1" a="1"/>
  <c r="DZ53" i="1" s="1"/>
  <c r="EC53" i="1" a="1"/>
  <c r="EC53" i="1" s="1"/>
  <c r="EF53" i="1" a="1"/>
  <c r="EF53" i="1" s="1"/>
  <c r="EI53" i="1" a="1"/>
  <c r="EI53" i="1" s="1"/>
  <c r="EK59" i="1"/>
  <c r="EE59" i="1"/>
  <c r="CC59" i="1"/>
  <c r="BB59" i="1"/>
  <c r="CO59" i="1"/>
  <c r="BQ59" i="1"/>
  <c r="DV53" i="1" l="1"/>
  <c r="CU53" i="1"/>
  <c r="EK53" i="1"/>
  <c r="DG53" i="1"/>
  <c r="CC53" i="1"/>
  <c r="BW53" i="1"/>
  <c r="CX53" i="1"/>
  <c r="CI53" i="1"/>
  <c r="BE53" i="1"/>
  <c r="AY53" i="1"/>
  <c r="EB53" i="1"/>
  <c r="BK53" i="1"/>
  <c r="DY53" i="1"/>
  <c r="DS53" i="1"/>
  <c r="DM53" i="1"/>
  <c r="EE53" i="1"/>
  <c r="DJ53" i="1"/>
  <c r="DD53" i="1"/>
  <c r="CO53" i="1"/>
  <c r="CR53" i="1"/>
  <c r="CL53" i="1"/>
  <c r="CF53" i="1"/>
  <c r="BM57" i="1" a="1"/>
  <c r="BM57" i="1" s="1"/>
  <c r="CK57" i="1" a="1"/>
  <c r="CK57" i="1" s="1"/>
  <c r="DI57" i="1" a="1"/>
  <c r="DI57" i="1" s="1"/>
  <c r="DX57" i="1" a="1"/>
  <c r="DX57" i="1" s="1"/>
  <c r="BD57" i="1" a="1"/>
  <c r="BD57" i="1" s="1"/>
  <c r="CB57" i="1" a="1"/>
  <c r="CB57" i="1" s="1"/>
  <c r="CZ57" i="1" a="1"/>
  <c r="CZ57" i="1" s="1"/>
  <c r="DO57" i="1" a="1"/>
  <c r="DO57" i="1" s="1"/>
  <c r="BS57" i="1" a="1"/>
  <c r="BS57" i="1" s="1"/>
  <c r="CQ57" i="1" a="1"/>
  <c r="CQ57" i="1" s="1"/>
  <c r="ED57" i="1" a="1"/>
  <c r="ED57" i="1" s="1"/>
  <c r="BJ57" i="1" a="1"/>
  <c r="BJ57" i="1" s="1"/>
  <c r="CH57" i="1" a="1"/>
  <c r="CH57" i="1" s="1"/>
  <c r="DF57" i="1" a="1"/>
  <c r="DF57" i="1" s="1"/>
  <c r="DU57" i="1" a="1"/>
  <c r="DU57" i="1" s="1"/>
  <c r="BA57" i="1" a="1"/>
  <c r="BA57" i="1" s="1"/>
  <c r="BY57" i="1" a="1"/>
  <c r="BY57" i="1" s="1"/>
  <c r="CW57" i="1" a="1"/>
  <c r="CW57" i="1" s="1"/>
  <c r="EJ57" i="1" a="1"/>
  <c r="EJ57" i="1" s="1"/>
  <c r="AW57" i="1" a="1"/>
  <c r="AW57" i="1" s="1"/>
  <c r="BP57" i="1" a="1"/>
  <c r="BP57" i="1" s="1"/>
  <c r="CN57" i="1" a="1"/>
  <c r="CN57" i="1" s="1"/>
  <c r="DL57" i="1" a="1"/>
  <c r="DL57" i="1" s="1"/>
  <c r="EA57" i="1" a="1"/>
  <c r="EA57" i="1" s="1"/>
  <c r="BG57" i="1" a="1"/>
  <c r="BG57" i="1" s="1"/>
  <c r="CE57" i="1" a="1"/>
  <c r="CE57" i="1" s="1"/>
  <c r="DC57" i="1" a="1"/>
  <c r="DC57" i="1" s="1"/>
  <c r="DR57" i="1" a="1"/>
  <c r="DR57" i="1" s="1"/>
  <c r="AX57" i="1" a="1"/>
  <c r="AX57" i="1" s="1"/>
  <c r="BV57" i="1" a="1"/>
  <c r="BV57" i="1" s="1"/>
  <c r="CT57" i="1" a="1"/>
  <c r="CT57" i="1" s="1"/>
  <c r="EG57" i="1" a="1"/>
  <c r="EG57" i="1" s="1"/>
  <c r="AZ57" i="1" a="1"/>
  <c r="AZ57" i="1" s="1"/>
  <c r="BC57" i="1" a="1"/>
  <c r="BC57" i="1" s="1"/>
  <c r="BF57" i="1" a="1"/>
  <c r="BF57" i="1" s="1"/>
  <c r="BI57" i="1" a="1"/>
  <c r="BI57" i="1" s="1"/>
  <c r="BL57" i="1" a="1"/>
  <c r="BL57" i="1" s="1"/>
  <c r="BO57" i="1" a="1"/>
  <c r="BO57" i="1" s="1"/>
  <c r="BR57" i="1" a="1"/>
  <c r="BR57" i="1" s="1"/>
  <c r="BU57" i="1" a="1"/>
  <c r="BU57" i="1" s="1"/>
  <c r="BX57" i="1" a="1"/>
  <c r="BX57" i="1" s="1"/>
  <c r="CA57" i="1" a="1"/>
  <c r="CA57" i="1" s="1"/>
  <c r="CD57" i="1" a="1"/>
  <c r="CD57" i="1" s="1"/>
  <c r="CG57" i="1" a="1"/>
  <c r="CG57" i="1" s="1"/>
  <c r="CJ57" i="1" a="1"/>
  <c r="CJ57" i="1" s="1"/>
  <c r="CM57" i="1" a="1"/>
  <c r="CM57" i="1" s="1"/>
  <c r="CP57" i="1" a="1"/>
  <c r="CP57" i="1" s="1"/>
  <c r="CS57" i="1" a="1"/>
  <c r="CS57" i="1" s="1"/>
  <c r="CV57" i="1" a="1"/>
  <c r="CV57" i="1" s="1"/>
  <c r="CY57" i="1" a="1"/>
  <c r="CY57" i="1" s="1"/>
  <c r="DB57" i="1" a="1"/>
  <c r="DB57" i="1" s="1"/>
  <c r="DE57" i="1" a="1"/>
  <c r="DE57" i="1" s="1"/>
  <c r="DH57" i="1" a="1"/>
  <c r="DH57" i="1" s="1"/>
  <c r="DK57" i="1" a="1"/>
  <c r="DK57" i="1" s="1"/>
  <c r="DN57" i="1"/>
  <c r="DQ57" i="1" a="1"/>
  <c r="DQ57" i="1" s="1"/>
  <c r="DT57" i="1" a="1"/>
  <c r="DT57" i="1" s="1"/>
  <c r="DW57" i="1" a="1"/>
  <c r="DW57" i="1" s="1"/>
  <c r="DZ57" i="1" a="1"/>
  <c r="DZ57" i="1" s="1"/>
  <c r="EC57" i="1" a="1"/>
  <c r="EC57" i="1" s="1"/>
  <c r="EF57" i="1" a="1"/>
  <c r="EF57" i="1" s="1"/>
  <c r="EI57" i="1" a="1"/>
  <c r="EI57" i="1" s="1"/>
  <c r="BQ53" i="1"/>
  <c r="BT53" i="1"/>
  <c r="BN53" i="1"/>
  <c r="BH53" i="1"/>
  <c r="BB53" i="1"/>
  <c r="DP53" i="1"/>
  <c r="EH53" i="1"/>
  <c r="AY57" i="1" l="1"/>
  <c r="DS57" i="1"/>
  <c r="BK57" i="1"/>
  <c r="DY57" i="1"/>
  <c r="DD57" i="1"/>
  <c r="EK57" i="1"/>
  <c r="EE57" i="1"/>
  <c r="DJ57" i="1"/>
  <c r="CF57" i="1"/>
  <c r="CX57" i="1"/>
  <c r="CR57" i="1"/>
  <c r="CL57" i="1"/>
  <c r="BH57" i="1"/>
  <c r="BZ57" i="1"/>
  <c r="BT57" i="1"/>
  <c r="BN57" i="1"/>
  <c r="EH57" i="1"/>
  <c r="EB57" i="1"/>
  <c r="BB57" i="1"/>
  <c r="DP57" i="1"/>
  <c r="CU57" i="1"/>
  <c r="DM57" i="1"/>
  <c r="DV57" i="1"/>
  <c r="DA57" i="1"/>
  <c r="BW57" i="1"/>
  <c r="CO57" i="1"/>
  <c r="DG57" i="1"/>
  <c r="CC57" i="1"/>
  <c r="BQ57" i="1"/>
  <c r="CI57" i="1"/>
  <c r="BE57" i="1"/>
  <c r="DK138" i="1" a="1"/>
  <c r="DK138" i="1" s="1"/>
  <c r="DZ138" i="1" a="1"/>
  <c r="DZ138" i="1" s="1"/>
  <c r="DQ138" i="1" a="1"/>
  <c r="DQ138" i="1" s="1"/>
  <c r="DW138" i="1" a="1"/>
  <c r="DW138" i="1" s="1"/>
  <c r="DN138" i="1" a="1"/>
  <c r="DN138" i="1" s="1"/>
  <c r="DT138" i="1" a="1"/>
  <c r="DT138" i="1" s="1"/>
  <c r="EI138" i="1" a="1"/>
  <c r="EI138" i="1" s="1"/>
  <c r="EF138" i="1" a="1"/>
  <c r="EF138" i="1" s="1"/>
  <c r="EC138" i="1" a="1"/>
  <c r="EC138" i="1" s="1"/>
  <c r="DT134" i="1" a="1"/>
  <c r="DT134" i="1" s="1"/>
  <c r="BF134" i="1" a="1"/>
  <c r="BF134" i="1" s="1"/>
  <c r="EJ134" i="1" a="1"/>
  <c r="EJ134" i="1" s="1"/>
  <c r="DR134" i="1" a="1"/>
  <c r="DR134" i="1" s="1"/>
  <c r="CW134" i="1" a="1"/>
  <c r="CW134" i="1" s="1"/>
  <c r="CK134" i="1" a="1"/>
  <c r="CK134" i="1" s="1"/>
  <c r="CL134" i="1" s="1"/>
  <c r="BI134" i="1" a="1"/>
  <c r="BI134" i="1" s="1"/>
  <c r="CG134" i="1" a="1"/>
  <c r="CG134" i="1" s="1"/>
  <c r="DE134" i="1" a="1"/>
  <c r="DE134" i="1" s="1"/>
  <c r="DL134" i="1" a="1"/>
  <c r="DL134" i="1" s="1"/>
  <c r="BG134" i="1" a="1"/>
  <c r="BG134" i="1" s="1"/>
  <c r="BH134" i="1" s="1"/>
  <c r="BJ134" i="1" a="1"/>
  <c r="BJ134" i="1" s="1"/>
  <c r="BK134" i="1" s="1"/>
  <c r="BM134" i="1" a="1"/>
  <c r="BM134" i="1" s="1"/>
  <c r="EG134" i="1" a="1"/>
  <c r="EG134" i="1" s="1"/>
  <c r="BL134" i="1" a="1"/>
  <c r="BL134" i="1" s="1"/>
  <c r="CJ134" i="1" a="1"/>
  <c r="CJ134" i="1" s="1"/>
  <c r="DH134" i="1" a="1"/>
  <c r="DH134" i="1" s="1"/>
  <c r="DI134" i="1" a="1"/>
  <c r="DI134" i="1" s="1"/>
  <c r="BO134" i="1" a="1"/>
  <c r="BO134" i="1" s="1"/>
  <c r="DK134" i="1" a="1"/>
  <c r="DK134" i="1" s="1"/>
  <c r="AZ134" i="1" a="1"/>
  <c r="AZ134" i="1" s="1"/>
  <c r="BC134" i="1" a="1"/>
  <c r="BC134" i="1" s="1"/>
  <c r="DU134" i="1" a="1"/>
  <c r="DU134" i="1" s="1"/>
  <c r="DV134" i="1" s="1"/>
  <c r="CE134" i="1" a="1"/>
  <c r="CE134" i="1" s="1"/>
  <c r="CH134" i="1" a="1"/>
  <c r="CH134" i="1" s="1"/>
  <c r="CI134" i="1" s="1"/>
  <c r="CB134" i="1" a="1"/>
  <c r="CB134" i="1" s="1"/>
  <c r="CM134" i="1" a="1"/>
  <c r="CM134" i="1" s="1"/>
  <c r="BS134" i="1" a="1"/>
  <c r="BS134" i="1" s="1"/>
  <c r="BT134" i="1" s="1"/>
  <c r="CT134" i="1" a="1"/>
  <c r="CT134" i="1" s="1"/>
  <c r="DC134" i="1" a="1"/>
  <c r="DC134" i="1" s="1"/>
  <c r="DF134" i="1" a="1"/>
  <c r="DF134" i="1" s="1"/>
  <c r="DG134" i="1" s="1"/>
  <c r="BD134" i="1" a="1"/>
  <c r="BD134" i="1" s="1"/>
  <c r="DX134" i="1" a="1"/>
  <c r="DX134" i="1" s="1"/>
  <c r="BR134" i="1" a="1"/>
  <c r="BR134" i="1" s="1"/>
  <c r="CP134" i="1" a="1"/>
  <c r="CP134" i="1" s="1"/>
  <c r="DN134" i="1" a="1"/>
  <c r="DN134" i="1" s="1"/>
  <c r="BU134" i="1" a="1"/>
  <c r="BU134" i="1" s="1"/>
  <c r="DQ134" i="1" a="1"/>
  <c r="DQ134" i="1" s="1"/>
  <c r="CV134" i="1" a="1"/>
  <c r="CV134" i="1" s="1"/>
  <c r="AW134" i="1" a="1"/>
  <c r="AW134" i="1" s="1"/>
  <c r="EA134" i="1" a="1"/>
  <c r="EA134" i="1" s="1"/>
  <c r="ED134" i="1" a="1"/>
  <c r="ED134" i="1" s="1"/>
  <c r="CZ134" i="1" a="1"/>
  <c r="CZ134" i="1" s="1"/>
  <c r="CS134" i="1" a="1"/>
  <c r="CS134" i="1" s="1"/>
  <c r="BX134" i="1" a="1"/>
  <c r="BX134" i="1" s="1"/>
  <c r="CA134" i="1" a="1"/>
  <c r="CA134" i="1" s="1"/>
  <c r="DB134" i="1" a="1"/>
  <c r="DB134" i="1" s="1"/>
  <c r="DW134" i="1" a="1"/>
  <c r="DW134" i="1" s="1"/>
  <c r="BP134" i="1" a="1"/>
  <c r="BP134" i="1" s="1"/>
  <c r="BQ134" i="1" s="1"/>
  <c r="AX134" i="1" a="1"/>
  <c r="AX134" i="1" s="1"/>
  <c r="CQ134" i="1" a="1"/>
  <c r="CQ134" i="1" s="1"/>
  <c r="CR134" i="1" s="1"/>
  <c r="CY134" i="1" a="1"/>
  <c r="CY134" i="1" s="1"/>
  <c r="CD134" i="1" a="1"/>
  <c r="CD134" i="1" s="1"/>
  <c r="CN134" i="1" a="1"/>
  <c r="CN134" i="1" s="1"/>
  <c r="CO134" i="1" s="1"/>
  <c r="BV134" i="1" a="1"/>
  <c r="BV134" i="1" s="1"/>
  <c r="BW134" i="1" s="1"/>
  <c r="DO134" i="1" a="1"/>
  <c r="DO134" i="1" s="1"/>
  <c r="DP134" i="1" s="1"/>
  <c r="BY134" i="1" a="1"/>
  <c r="BY134" i="1" s="1"/>
  <c r="BA134" i="1" a="1"/>
  <c r="BA134" i="1" s="1"/>
  <c r="BB134" i="1" s="1"/>
  <c r="DZ134" i="1" a="1"/>
  <c r="DZ134" i="1" s="1"/>
  <c r="EC134" i="1" a="1"/>
  <c r="EC134" i="1" s="1"/>
  <c r="EF134" i="1" a="1"/>
  <c r="EF134" i="1" s="1"/>
  <c r="EI134" i="1" a="1"/>
  <c r="EI134" i="1" s="1"/>
  <c r="DD134" i="1" l="1"/>
  <c r="EH134" i="1"/>
  <c r="BZ134" i="1"/>
  <c r="AY134" i="1"/>
  <c r="DJ134" i="1"/>
  <c r="CU134" i="1"/>
  <c r="BN134" i="1"/>
  <c r="CX134" i="1"/>
  <c r="DS134" i="1"/>
  <c r="DA134" i="1"/>
  <c r="EK134" i="1"/>
  <c r="EE134" i="1"/>
  <c r="CC134" i="1"/>
  <c r="DM134" i="1"/>
  <c r="EB134" i="1"/>
  <c r="DY134" i="1"/>
  <c r="BE134" i="1"/>
  <c r="CF134" i="1"/>
  <c r="DZ124" i="1" a="1"/>
  <c r="DZ124" i="1" s="1"/>
  <c r="DT124" i="1" a="1"/>
  <c r="DT124" i="1" s="1"/>
  <c r="DW124" i="1" a="1"/>
  <c r="DW124" i="1" s="1"/>
  <c r="BY124" i="1" a="1"/>
  <c r="BY124" i="1" s="1"/>
  <c r="BG124" i="1" a="1"/>
  <c r="BG124" i="1" s="1"/>
  <c r="BI124" i="1" a="1"/>
  <c r="BI124" i="1" s="1"/>
  <c r="CG124" i="1" a="1"/>
  <c r="CG124" i="1" s="1"/>
  <c r="CJ124" i="1" a="1"/>
  <c r="CJ124" i="1" s="1"/>
  <c r="DE124" i="1" a="1"/>
  <c r="DE124" i="1" s="1"/>
  <c r="DN124" i="1" a="1"/>
  <c r="DN124" i="1" s="1"/>
  <c r="BM124" i="1" a="1"/>
  <c r="BM124" i="1" s="1"/>
  <c r="BN124" i="1" s="1"/>
  <c r="BS124" i="1" a="1"/>
  <c r="BS124" i="1" s="1"/>
  <c r="CW124" i="1" a="1"/>
  <c r="CW124" i="1" s="1"/>
  <c r="CE124" i="1" a="1"/>
  <c r="CE124" i="1" s="1"/>
  <c r="BL124" i="1" a="1"/>
  <c r="BL124" i="1" s="1"/>
  <c r="DH124" i="1" a="1"/>
  <c r="DH124" i="1" s="1"/>
  <c r="BC124" i="1" a="1"/>
  <c r="BC124" i="1" s="1"/>
  <c r="CK124" i="1" a="1"/>
  <c r="CK124" i="1" s="1"/>
  <c r="CL124" i="1" s="1"/>
  <c r="CQ124" i="1" a="1"/>
  <c r="CQ124" i="1" s="1"/>
  <c r="DU124" i="1" a="1"/>
  <c r="DU124" i="1" s="1"/>
  <c r="DV124" i="1" s="1"/>
  <c r="DC124" i="1" a="1"/>
  <c r="DC124" i="1" s="1"/>
  <c r="BO124" i="1" a="1"/>
  <c r="BO124" i="1" s="1"/>
  <c r="CM124" i="1" a="1"/>
  <c r="CM124" i="1" s="1"/>
  <c r="DK124" i="1" a="1"/>
  <c r="DK124" i="1" s="1"/>
  <c r="CA124" i="1" a="1"/>
  <c r="CA124" i="1" s="1"/>
  <c r="DI124" i="1" a="1"/>
  <c r="DI124" i="1" s="1"/>
  <c r="DJ124" i="1" s="1"/>
  <c r="DO124" i="1" a="1"/>
  <c r="DO124" i="1" s="1"/>
  <c r="DP124" i="1" s="1"/>
  <c r="AW124" i="1" a="1"/>
  <c r="AW124" i="1" s="1"/>
  <c r="EA124" i="1" a="1"/>
  <c r="EA124" i="1" s="1"/>
  <c r="BR124" i="1" a="1"/>
  <c r="BR124" i="1" s="1"/>
  <c r="CP124" i="1" a="1"/>
  <c r="CP124" i="1" s="1"/>
  <c r="ED124" i="1" a="1"/>
  <c r="ED124" i="1" s="1"/>
  <c r="CY124" i="1" a="1"/>
  <c r="CY124" i="1" s="1"/>
  <c r="EG124" i="1" a="1"/>
  <c r="EG124" i="1" s="1"/>
  <c r="BJ124" i="1" a="1"/>
  <c r="BJ124" i="1" s="1"/>
  <c r="BP124" i="1" a="1"/>
  <c r="BP124" i="1" s="1"/>
  <c r="BU124" i="1" a="1"/>
  <c r="BU124" i="1" s="1"/>
  <c r="CS124" i="1" a="1"/>
  <c r="CS124" i="1" s="1"/>
  <c r="CT124" i="1" a="1"/>
  <c r="CT124" i="1" s="1"/>
  <c r="BV124" i="1" a="1"/>
  <c r="BV124" i="1" s="1"/>
  <c r="AX124" i="1" a="1"/>
  <c r="AX124" i="1" s="1"/>
  <c r="AY124" i="1" s="1"/>
  <c r="BD124" i="1" a="1"/>
  <c r="BD124" i="1" s="1"/>
  <c r="BE124" i="1" s="1"/>
  <c r="CH124" i="1" a="1"/>
  <c r="CH124" i="1" s="1"/>
  <c r="CI124" i="1" s="1"/>
  <c r="AZ124" i="1" a="1"/>
  <c r="AZ124" i="1" s="1"/>
  <c r="BX124" i="1" a="1"/>
  <c r="BX124" i="1" s="1"/>
  <c r="CV124" i="1" a="1"/>
  <c r="CV124" i="1" s="1"/>
  <c r="CZ124" i="1" a="1"/>
  <c r="CZ124" i="1" s="1"/>
  <c r="DR124" i="1" a="1"/>
  <c r="DR124" i="1" s="1"/>
  <c r="CB124" i="1" a="1"/>
  <c r="CB124" i="1" s="1"/>
  <c r="CC124" i="1" s="1"/>
  <c r="DF124" i="1" a="1"/>
  <c r="DF124" i="1" s="1"/>
  <c r="DG124" i="1" s="1"/>
  <c r="CN124" i="1" a="1"/>
  <c r="CN124" i="1" s="1"/>
  <c r="CO124" i="1" s="1"/>
  <c r="BF124" i="1" a="1"/>
  <c r="BF124" i="1" s="1"/>
  <c r="CD124" i="1" a="1"/>
  <c r="CD124" i="1" s="1"/>
  <c r="DB124" i="1" a="1"/>
  <c r="DB124" i="1" s="1"/>
  <c r="DQ124" i="1" a="1"/>
  <c r="DQ124" i="1" s="1"/>
  <c r="DL124" i="1" a="1"/>
  <c r="DL124" i="1" s="1"/>
  <c r="DM124" i="1" s="1"/>
  <c r="DX124" i="1" a="1"/>
  <c r="DX124" i="1" s="1"/>
  <c r="DY124" i="1" s="1"/>
  <c r="BA124" i="1" a="1"/>
  <c r="BA124" i="1" s="1"/>
  <c r="BB124" i="1" s="1"/>
  <c r="EJ124" i="1" a="1"/>
  <c r="EJ124" i="1" s="1"/>
  <c r="EK124" i="1" s="1"/>
  <c r="EC124" i="1" a="1"/>
  <c r="EC124" i="1" s="1"/>
  <c r="EF124" i="1" a="1"/>
  <c r="EF124" i="1" s="1"/>
  <c r="EI124" i="1" a="1"/>
  <c r="EI124" i="1" s="1"/>
  <c r="EB124" i="1" l="1"/>
  <c r="BQ124" i="1"/>
  <c r="BK124" i="1"/>
  <c r="DA124" i="1"/>
  <c r="EH124" i="1"/>
  <c r="DS124" i="1"/>
  <c r="BW124" i="1"/>
  <c r="EE124" i="1"/>
  <c r="BM126" i="1" a="1"/>
  <c r="BM126" i="1" s="1"/>
  <c r="CZ126" i="1" a="1"/>
  <c r="CZ126" i="1" s="1"/>
  <c r="ED126" i="1" a="1"/>
  <c r="ED126" i="1" s="1"/>
  <c r="BF126" i="1" a="1"/>
  <c r="BF126" i="1" s="1"/>
  <c r="CD126" i="1" a="1"/>
  <c r="CD126" i="1" s="1"/>
  <c r="DB126" i="1" a="1"/>
  <c r="DB126" i="1" s="1"/>
  <c r="DR126" i="1" a="1"/>
  <c r="DR126" i="1" s="1"/>
  <c r="CA126" i="1" a="1"/>
  <c r="CA126" i="1" s="1"/>
  <c r="CH126" i="1" a="1"/>
  <c r="CH126" i="1" s="1"/>
  <c r="BI126" i="1" a="1"/>
  <c r="BI126" i="1" s="1"/>
  <c r="CG126" i="1" a="1"/>
  <c r="CG126" i="1" s="1"/>
  <c r="DE126" i="1" a="1"/>
  <c r="DE126" i="1" s="1"/>
  <c r="BL126" i="1" a="1"/>
  <c r="BL126" i="1" s="1"/>
  <c r="CJ126" i="1" a="1"/>
  <c r="CJ126" i="1" s="1"/>
  <c r="DX126" i="1" a="1"/>
  <c r="DX126" i="1" s="1"/>
  <c r="CY126" i="1" a="1"/>
  <c r="CY126" i="1" s="1"/>
  <c r="CM126" i="1" a="1"/>
  <c r="CM126" i="1" s="1"/>
  <c r="DK126" i="1" a="1"/>
  <c r="DK126" i="1" s="1"/>
  <c r="DO126" i="1" a="1"/>
  <c r="DO126" i="1" s="1"/>
  <c r="DU126" i="1" a="1"/>
  <c r="DU126" i="1" s="1"/>
  <c r="BR126" i="1" a="1"/>
  <c r="BR126" i="1" s="1"/>
  <c r="CP126" i="1" a="1"/>
  <c r="CP126" i="1" s="1"/>
  <c r="CW126" i="1" a="1"/>
  <c r="CW126" i="1" s="1"/>
  <c r="BA126" i="1" a="1"/>
  <c r="BA126" i="1" s="1"/>
  <c r="CS126" i="1" a="1"/>
  <c r="CS126" i="1" s="1"/>
  <c r="DQ126" i="1" a="1"/>
  <c r="DQ126" i="1" s="1"/>
  <c r="DZ126" i="1" a="1"/>
  <c r="DZ126" i="1" s="1"/>
  <c r="CN126" i="1" a="1"/>
  <c r="CN126" i="1" s="1"/>
  <c r="AX126" i="1" a="1"/>
  <c r="AX126" i="1" s="1"/>
  <c r="BP126" i="1" a="1"/>
  <c r="BP126" i="1" s="1"/>
  <c r="DN126" i="1" a="1"/>
  <c r="DN126" i="1" s="1"/>
  <c r="BO126" i="1" a="1"/>
  <c r="BO126" i="1" s="1"/>
  <c r="DL126" i="1" a="1"/>
  <c r="DL126" i="1" s="1"/>
  <c r="DM126" i="1" s="1"/>
  <c r="BJ126" i="1" a="1"/>
  <c r="BJ126" i="1" s="1"/>
  <c r="BK126" i="1" s="1"/>
  <c r="DI126" i="1" a="1"/>
  <c r="DI126" i="1" s="1"/>
  <c r="CQ126" i="1" a="1"/>
  <c r="CQ126" i="1" s="1"/>
  <c r="CR126" i="1" s="1"/>
  <c r="CB126" i="1" a="1"/>
  <c r="CB126" i="1" s="1"/>
  <c r="CC126" i="1" s="1"/>
  <c r="EG126" i="1" a="1"/>
  <c r="EG126" i="1" s="1"/>
  <c r="BD126" i="1" a="1"/>
  <c r="BD126" i="1" s="1"/>
  <c r="BU126" i="1" a="1"/>
  <c r="BU126" i="1" s="1"/>
  <c r="BY126" i="1" a="1"/>
  <c r="BY126" i="1" s="1"/>
  <c r="EA126" i="1" a="1"/>
  <c r="EA126" i="1" s="1"/>
  <c r="EB126" i="1" s="1"/>
  <c r="CE126" i="1" a="1"/>
  <c r="CE126" i="1" s="1"/>
  <c r="BS126" i="1" a="1"/>
  <c r="BS126" i="1" s="1"/>
  <c r="EJ126" i="1" a="1"/>
  <c r="EJ126" i="1" s="1"/>
  <c r="CT126" i="1" a="1"/>
  <c r="CT126" i="1" s="1"/>
  <c r="CU126" i="1" s="1"/>
  <c r="DC126" i="1" a="1"/>
  <c r="DC126" i="1" s="1"/>
  <c r="DD126" i="1" s="1"/>
  <c r="CK126" i="1" a="1"/>
  <c r="CK126" i="1" s="1"/>
  <c r="CL126" i="1" s="1"/>
  <c r="EC126" i="1" a="1"/>
  <c r="EC126" i="1" s="1"/>
  <c r="BV126" i="1" a="1"/>
  <c r="BV126" i="1" s="1"/>
  <c r="BW126" i="1" s="1"/>
  <c r="BG126" i="1" a="1"/>
  <c r="BG126" i="1" s="1"/>
  <c r="BH126" i="1" s="1"/>
  <c r="EF126" i="1" a="1"/>
  <c r="EF126" i="1" s="1"/>
  <c r="EI126" i="1" a="1"/>
  <c r="EI126" i="1" s="1"/>
  <c r="AW126" i="1" a="1"/>
  <c r="AW126" i="1" s="1"/>
  <c r="AZ126" i="1" a="1"/>
  <c r="AZ126" i="1" s="1"/>
  <c r="BX126" i="1" a="1"/>
  <c r="BX126" i="1" s="1"/>
  <c r="CV126" i="1" a="1"/>
  <c r="CV126" i="1" s="1"/>
  <c r="DT126" i="1" a="1"/>
  <c r="DT126" i="1" s="1"/>
  <c r="DF126" i="1" a="1"/>
  <c r="DF126" i="1" s="1"/>
  <c r="DG126" i="1" s="1"/>
  <c r="BC126" i="1" a="1"/>
  <c r="BC126" i="1" s="1"/>
  <c r="DH126" i="1" a="1"/>
  <c r="DH126" i="1" s="1"/>
  <c r="CU124" i="1"/>
  <c r="CF124" i="1"/>
  <c r="DD124" i="1"/>
  <c r="CX124" i="1"/>
  <c r="BH124" i="1"/>
  <c r="BT124" i="1"/>
  <c r="BZ124" i="1"/>
  <c r="CR124" i="1"/>
  <c r="BQ126" i="1" l="1"/>
  <c r="BT126" i="1"/>
  <c r="CO126" i="1"/>
  <c r="CF126" i="1"/>
  <c r="DJ126" i="1"/>
  <c r="DP126" i="1"/>
  <c r="EE126" i="1"/>
  <c r="DA126" i="1"/>
  <c r="BZ126" i="1"/>
  <c r="CI126" i="1"/>
  <c r="BN126" i="1"/>
  <c r="BB126" i="1"/>
  <c r="DQ132" i="1" a="1"/>
  <c r="DQ132" i="1" s="1"/>
  <c r="DT132" i="1" a="1"/>
  <c r="DT132" i="1" s="1"/>
  <c r="DW132" i="1" a="1"/>
  <c r="DW132" i="1" s="1"/>
  <c r="BM132" i="1" a="1"/>
  <c r="BM132" i="1" s="1"/>
  <c r="CK132" i="1" a="1"/>
  <c r="CK132" i="1" s="1"/>
  <c r="DF132" i="1" a="1"/>
  <c r="DF132" i="1" s="1"/>
  <c r="EJ132" i="1" a="1"/>
  <c r="EJ132" i="1" s="1"/>
  <c r="DZ132" i="1" a="1"/>
  <c r="DZ132" i="1" s="1"/>
  <c r="BV132" i="1" a="1"/>
  <c r="BV132" i="1" s="1"/>
  <c r="CT132" i="1" a="1"/>
  <c r="CT132" i="1" s="1"/>
  <c r="DR132" i="1" a="1"/>
  <c r="DR132" i="1" s="1"/>
  <c r="DS132" i="1" s="1"/>
  <c r="BJ132" i="1" a="1"/>
  <c r="BJ132" i="1" s="1"/>
  <c r="CH132" i="1" a="1"/>
  <c r="CH132" i="1" s="1"/>
  <c r="DL132" i="1" a="1"/>
  <c r="DL132" i="1" s="1"/>
  <c r="DO132" i="1" a="1"/>
  <c r="DO132" i="1" s="1"/>
  <c r="AX132" i="1" a="1"/>
  <c r="AX132" i="1" s="1"/>
  <c r="CB132" i="1" a="1"/>
  <c r="CB132" i="1" s="1"/>
  <c r="CZ132" i="1" a="1"/>
  <c r="CZ132" i="1" s="1"/>
  <c r="DX132" i="1" a="1"/>
  <c r="DX132" i="1" s="1"/>
  <c r="DY132" i="1" s="1"/>
  <c r="BP132" i="1" a="1"/>
  <c r="BP132" i="1" s="1"/>
  <c r="CN132" i="1" a="1"/>
  <c r="CN132" i="1" s="1"/>
  <c r="CQ132" i="1" a="1"/>
  <c r="CQ132" i="1" s="1"/>
  <c r="BR132" i="1" a="1"/>
  <c r="BR132" i="1" s="1"/>
  <c r="BD132" i="1" a="1"/>
  <c r="BD132" i="1" s="1"/>
  <c r="BY132" i="1" a="1"/>
  <c r="BY132" i="1" s="1"/>
  <c r="CW132" i="1" a="1"/>
  <c r="CW132" i="1" s="1"/>
  <c r="AW132" i="1" a="1"/>
  <c r="AW132" i="1" s="1"/>
  <c r="BS132" i="1" a="1"/>
  <c r="BS132" i="1" s="1"/>
  <c r="DU132" i="1" a="1"/>
  <c r="DU132" i="1" s="1"/>
  <c r="DV132" i="1" s="1"/>
  <c r="BO132" i="1" a="1"/>
  <c r="BO132" i="1" s="1"/>
  <c r="CP132" i="1" a="1"/>
  <c r="CP132" i="1" s="1"/>
  <c r="BA132" i="1" a="1"/>
  <c r="BA132" i="1" s="1"/>
  <c r="CE132" i="1" a="1"/>
  <c r="CE132" i="1" s="1"/>
  <c r="DC132" i="1" a="1"/>
  <c r="DC132" i="1" s="1"/>
  <c r="EA132" i="1" a="1"/>
  <c r="EA132" i="1" s="1"/>
  <c r="EB132" i="1" s="1"/>
  <c r="BI132" i="1" a="1"/>
  <c r="BI132" i="1" s="1"/>
  <c r="BL132" i="1" a="1"/>
  <c r="BL132" i="1" s="1"/>
  <c r="CM132" i="1" a="1"/>
  <c r="CM132" i="1" s="1"/>
  <c r="DN132" i="1" a="1"/>
  <c r="DN132" i="1" s="1"/>
  <c r="BG132" i="1" a="1"/>
  <c r="BG132" i="1" s="1"/>
  <c r="AZ132" i="1" a="1"/>
  <c r="AZ132" i="1" s="1"/>
  <c r="BC132" i="1" a="1"/>
  <c r="BC132" i="1" s="1"/>
  <c r="BF132" i="1" a="1"/>
  <c r="BF132" i="1" s="1"/>
  <c r="CG132" i="1" a="1"/>
  <c r="CG132" i="1" s="1"/>
  <c r="CJ132" i="1" a="1"/>
  <c r="CJ132" i="1" s="1"/>
  <c r="DK132" i="1" a="1"/>
  <c r="DK132" i="1" s="1"/>
  <c r="EF132" i="1" a="1"/>
  <c r="EF132" i="1" s="1"/>
  <c r="BU132" i="1" a="1"/>
  <c r="BU132" i="1" s="1"/>
  <c r="BX132" i="1" a="1"/>
  <c r="BX132" i="1" s="1"/>
  <c r="CA132" i="1" a="1"/>
  <c r="CA132" i="1" s="1"/>
  <c r="CD132" i="1" a="1"/>
  <c r="CD132" i="1" s="1"/>
  <c r="DE132" i="1" a="1"/>
  <c r="DE132" i="1" s="1"/>
  <c r="DH132" i="1" a="1"/>
  <c r="DH132" i="1" s="1"/>
  <c r="EG132" i="1" a="1"/>
  <c r="EG132" i="1" s="1"/>
  <c r="EH132" i="1" s="1"/>
  <c r="EI132" i="1" a="1"/>
  <c r="EI132" i="1" s="1"/>
  <c r="CS132" i="1" a="1"/>
  <c r="CS132" i="1" s="1"/>
  <c r="CV132" i="1" a="1"/>
  <c r="CV132" i="1" s="1"/>
  <c r="CY132" i="1" a="1"/>
  <c r="CY132" i="1" s="1"/>
  <c r="DB132" i="1" a="1"/>
  <c r="DB132" i="1" s="1"/>
  <c r="EC132" i="1" a="1"/>
  <c r="EC132" i="1" s="1"/>
  <c r="DI132" i="1" a="1"/>
  <c r="DI132" i="1" s="1"/>
  <c r="DJ132" i="1" s="1"/>
  <c r="ED132" i="1" a="1"/>
  <c r="ED132" i="1" s="1"/>
  <c r="BE126" i="1"/>
  <c r="CX126" i="1"/>
  <c r="DS126" i="1"/>
  <c r="EH126" i="1"/>
  <c r="EK126" i="1"/>
  <c r="AY126" i="1"/>
  <c r="DV126" i="1"/>
  <c r="BT132" i="1" l="1"/>
  <c r="DP132" i="1"/>
  <c r="EK132" i="1"/>
  <c r="EE132" i="1"/>
  <c r="CR132" i="1"/>
  <c r="DM132" i="1"/>
  <c r="DG132" i="1"/>
  <c r="CO132" i="1"/>
  <c r="CI132" i="1"/>
  <c r="CL132" i="1"/>
  <c r="BQ132" i="1"/>
  <c r="BK132" i="1"/>
  <c r="BN132" i="1"/>
  <c r="DD132" i="1"/>
  <c r="CX132" i="1"/>
  <c r="DA132" i="1"/>
  <c r="CU132" i="1"/>
  <c r="CF132" i="1"/>
  <c r="BZ132" i="1"/>
  <c r="CC132" i="1"/>
  <c r="BW132" i="1"/>
  <c r="BH132" i="1"/>
  <c r="BB132" i="1"/>
  <c r="BE132" i="1"/>
  <c r="AY132" i="1"/>
  <c r="BS129" i="1" a="1"/>
  <c r="BS129" i="1" s="1"/>
  <c r="CQ129" i="1" a="1"/>
  <c r="CQ129" i="1" s="1"/>
  <c r="DO129" i="1" a="1"/>
  <c r="DO129" i="1" s="1"/>
  <c r="BJ129" i="1" a="1"/>
  <c r="BJ129" i="1" s="1"/>
  <c r="CH129" i="1" a="1"/>
  <c r="CH129" i="1" s="1"/>
  <c r="DF129" i="1" a="1"/>
  <c r="DF129" i="1" s="1"/>
  <c r="ED129" i="1" a="1"/>
  <c r="ED129" i="1" s="1"/>
  <c r="BA129" i="1" a="1"/>
  <c r="BA129" i="1" s="1"/>
  <c r="BY129" i="1" a="1"/>
  <c r="BY129" i="1" s="1"/>
  <c r="CW129" i="1" a="1"/>
  <c r="CW129" i="1" s="1"/>
  <c r="DU129" i="1" a="1"/>
  <c r="DU129" i="1" s="1"/>
  <c r="AW129" i="1" a="1"/>
  <c r="AW129" i="1" s="1"/>
  <c r="BP129" i="1" a="1"/>
  <c r="BP129" i="1" s="1"/>
  <c r="CN129" i="1" a="1"/>
  <c r="CN129" i="1" s="1"/>
  <c r="DL129" i="1" a="1"/>
  <c r="DL129" i="1" s="1"/>
  <c r="EJ129" i="1" a="1"/>
  <c r="EJ129" i="1" s="1"/>
  <c r="BG129" i="1" a="1"/>
  <c r="BG129" i="1" s="1"/>
  <c r="CE129" i="1" a="1"/>
  <c r="CE129" i="1" s="1"/>
  <c r="DC129" i="1" a="1"/>
  <c r="DC129" i="1" s="1"/>
  <c r="EA129" i="1" a="1"/>
  <c r="EA129" i="1" s="1"/>
  <c r="AX129" i="1" a="1"/>
  <c r="AX129" i="1" s="1"/>
  <c r="AY129" i="1" s="1"/>
  <c r="BV129" i="1" a="1"/>
  <c r="BV129" i="1" s="1"/>
  <c r="CT129" i="1" a="1"/>
  <c r="CT129" i="1" s="1"/>
  <c r="DR129" i="1" a="1"/>
  <c r="DR129" i="1" s="1"/>
  <c r="BM129" i="1" a="1"/>
  <c r="BM129" i="1" s="1"/>
  <c r="CK129" i="1" a="1"/>
  <c r="CK129" i="1" s="1"/>
  <c r="DI129" i="1" a="1"/>
  <c r="DI129" i="1" s="1"/>
  <c r="EG129" i="1" a="1"/>
  <c r="EG129" i="1" s="1"/>
  <c r="BD129" i="1" a="1"/>
  <c r="BD129" i="1" s="1"/>
  <c r="CB129" i="1" a="1"/>
  <c r="CB129" i="1" s="1"/>
  <c r="CZ129" i="1" a="1"/>
  <c r="CZ129" i="1" s="1"/>
  <c r="DX129" i="1" a="1"/>
  <c r="DX129" i="1" s="1"/>
  <c r="AZ129" i="1" a="1"/>
  <c r="AZ129" i="1" s="1"/>
  <c r="BC129" i="1" a="1"/>
  <c r="BC129" i="1" s="1"/>
  <c r="BF129" i="1" a="1"/>
  <c r="BF129" i="1" s="1"/>
  <c r="BI129" i="1" a="1"/>
  <c r="BI129" i="1" s="1"/>
  <c r="BL129" i="1" a="1"/>
  <c r="BL129" i="1" s="1"/>
  <c r="BO129" i="1" a="1"/>
  <c r="BO129" i="1" s="1"/>
  <c r="BR129" i="1" a="1"/>
  <c r="BR129" i="1" s="1"/>
  <c r="BU129" i="1" a="1"/>
  <c r="BU129" i="1" s="1"/>
  <c r="BX129" i="1" a="1"/>
  <c r="BX129" i="1" s="1"/>
  <c r="CA129" i="1" a="1"/>
  <c r="CA129" i="1" s="1"/>
  <c r="CD129" i="1" a="1"/>
  <c r="CD129" i="1" s="1"/>
  <c r="CG129" i="1" a="1"/>
  <c r="CG129" i="1" s="1"/>
  <c r="CJ129" i="1" a="1"/>
  <c r="CJ129" i="1" s="1"/>
  <c r="CM129" i="1" a="1"/>
  <c r="CM129" i="1" s="1"/>
  <c r="CP129" i="1" a="1"/>
  <c r="CP129" i="1" s="1"/>
  <c r="CS129" i="1" a="1"/>
  <c r="CS129" i="1" s="1"/>
  <c r="CV129" i="1" a="1"/>
  <c r="CV129" i="1" s="1"/>
  <c r="CY129" i="1" a="1"/>
  <c r="CY129" i="1" s="1"/>
  <c r="DB129" i="1" a="1"/>
  <c r="DB129" i="1" s="1"/>
  <c r="DE129" i="1" a="1"/>
  <c r="DE129" i="1" s="1"/>
  <c r="DH129" i="1" a="1"/>
  <c r="DH129" i="1" s="1"/>
  <c r="DK129" i="1" a="1"/>
  <c r="DK129" i="1" s="1"/>
  <c r="DN129" i="1" a="1"/>
  <c r="DN129" i="1" s="1"/>
  <c r="DQ129" i="1" a="1"/>
  <c r="DQ129" i="1" s="1"/>
  <c r="DT129" i="1" a="1"/>
  <c r="DT129" i="1" s="1"/>
  <c r="DW129" i="1" a="1"/>
  <c r="DW129" i="1" s="1"/>
  <c r="DZ129" i="1" a="1"/>
  <c r="DZ129" i="1" s="1"/>
  <c r="EC129" i="1" a="1"/>
  <c r="EC129" i="1" s="1"/>
  <c r="EF129" i="1" a="1"/>
  <c r="EF129" i="1" s="1"/>
  <c r="EI129" i="1" a="1"/>
  <c r="EI129" i="1" s="1"/>
  <c r="DY129" i="1" l="1"/>
  <c r="DS129" i="1"/>
  <c r="EK129" i="1"/>
  <c r="BB129" i="1"/>
  <c r="DA129" i="1"/>
  <c r="CU129" i="1"/>
  <c r="DM129" i="1"/>
  <c r="EE129" i="1"/>
  <c r="CC129" i="1"/>
  <c r="BW129" i="1"/>
  <c r="CO129" i="1"/>
  <c r="DG129" i="1"/>
  <c r="BE129" i="1"/>
  <c r="BQ129" i="1"/>
  <c r="CI129" i="1"/>
  <c r="EH129" i="1"/>
  <c r="EB129" i="1"/>
  <c r="BK129" i="1"/>
  <c r="DJ129" i="1"/>
  <c r="DD129" i="1"/>
  <c r="DV129" i="1"/>
  <c r="DP129" i="1"/>
  <c r="CL129" i="1"/>
  <c r="CF129" i="1"/>
  <c r="CX129" i="1"/>
  <c r="CR129" i="1"/>
  <c r="DW126" i="1" a="1"/>
  <c r="DW126" i="1" s="1"/>
  <c r="DY126" i="1" s="1"/>
  <c r="CS138" i="1" a="1"/>
  <c r="CS138" i="1" s="1"/>
  <c r="BL138" i="1" a="1"/>
  <c r="BL138" i="1" s="1"/>
  <c r="DB138" i="1" a="1"/>
  <c r="DB138" i="1" s="1"/>
  <c r="CJ138" i="1" a="1"/>
  <c r="CJ138" i="1" s="1"/>
  <c r="CA138" i="1" a="1"/>
  <c r="CA138" i="1" s="1"/>
  <c r="BR138" i="1" a="1"/>
  <c r="BR138" i="1" s="1"/>
  <c r="BI138" i="1" a="1"/>
  <c r="BI138" i="1" s="1"/>
  <c r="AZ138" i="1" a="1"/>
  <c r="AZ138" i="1" s="1"/>
  <c r="CP138" i="1" a="1"/>
  <c r="CP138" i="1" s="1"/>
  <c r="CG138" i="1" a="1"/>
  <c r="CG138" i="1" s="1"/>
  <c r="BO138" i="1" a="1"/>
  <c r="BO138" i="1" s="1"/>
  <c r="CM138" i="1" a="1"/>
  <c r="CM138" i="1" s="1"/>
  <c r="BF138" i="1" a="1"/>
  <c r="BF138" i="1" s="1"/>
  <c r="CY138" i="1" a="1"/>
  <c r="CY138" i="1" s="1"/>
  <c r="BX138" i="1" a="1"/>
  <c r="BX138" i="1" s="1"/>
  <c r="CV138" i="1" a="1"/>
  <c r="CV138" i="1" s="1"/>
  <c r="BU138" i="1" a="1"/>
  <c r="BU138" i="1" s="1"/>
  <c r="BC138" i="1" a="1"/>
  <c r="BC138" i="1" s="1"/>
  <c r="CD138" i="1" a="1"/>
  <c r="CD138" i="1" s="1"/>
  <c r="BD138" i="1" a="1"/>
  <c r="BD138" i="1" s="1"/>
  <c r="BE138" i="1" s="1"/>
  <c r="DU138" i="1" a="1"/>
  <c r="DU138" i="1" s="1"/>
  <c r="DV138" i="1" s="1"/>
  <c r="EA138" i="1" a="1"/>
  <c r="EA138" i="1" s="1"/>
  <c r="EB138" i="1" s="1"/>
  <c r="CQ138" i="1" a="1"/>
  <c r="CQ138" i="1" s="1"/>
  <c r="CR138" i="1" s="1"/>
  <c r="CZ138" i="1" a="1"/>
  <c r="CZ138" i="1" s="1"/>
  <c r="DA138" i="1" s="1"/>
  <c r="EJ138" i="1" a="1"/>
  <c r="EJ138" i="1" s="1"/>
  <c r="EK138" i="1" s="1"/>
  <c r="CE138" i="1" a="1"/>
  <c r="CE138" i="1" s="1"/>
  <c r="DX138" i="1" a="1"/>
  <c r="DX138" i="1" s="1"/>
  <c r="DY138" i="1" s="1"/>
  <c r="DC138" i="1" a="1"/>
  <c r="DC138" i="1" s="1"/>
  <c r="DD138" i="1" s="1"/>
  <c r="BM138" i="1" a="1"/>
  <c r="BM138" i="1" s="1"/>
  <c r="BN138" i="1" s="1"/>
  <c r="BJ138" i="1" a="1"/>
  <c r="BJ138" i="1" s="1"/>
  <c r="BK138" i="1" s="1"/>
  <c r="BP138" i="1" a="1"/>
  <c r="BP138" i="1" s="1"/>
  <c r="BQ138" i="1" s="1"/>
  <c r="CB138" i="1" a="1"/>
  <c r="CB138" i="1" s="1"/>
  <c r="CC138" i="1" s="1"/>
  <c r="BG138" i="1" a="1"/>
  <c r="BG138" i="1" s="1"/>
  <c r="BH138" i="1" s="1"/>
  <c r="DE138" i="1" a="1"/>
  <c r="DE138" i="1" s="1"/>
  <c r="DH138" i="1" a="1"/>
  <c r="DH138" i="1" s="1"/>
  <c r="DR138" i="1" a="1"/>
  <c r="DR138" i="1" s="1"/>
  <c r="DS138" i="1" s="1"/>
  <c r="BV138" i="1" a="1"/>
  <c r="BV138" i="1" s="1"/>
  <c r="BW138" i="1" s="1"/>
  <c r="BA138" i="1" a="1"/>
  <c r="BA138" i="1" s="1"/>
  <c r="BB138" i="1" s="1"/>
  <c r="CN138" i="1" a="1"/>
  <c r="CN138" i="1" s="1"/>
  <c r="CO138" i="1" s="1"/>
  <c r="AW138" i="1" a="1"/>
  <c r="AW138" i="1" s="1"/>
  <c r="CT138" i="1" a="1"/>
  <c r="CT138" i="1" s="1"/>
  <c r="CU138" i="1" s="1"/>
  <c r="DF138" i="1" a="1"/>
  <c r="DF138" i="1" s="1"/>
  <c r="ED138" i="1" a="1"/>
  <c r="ED138" i="1" s="1"/>
  <c r="EE138" i="1" s="1"/>
  <c r="BS138" i="1" a="1"/>
  <c r="BS138" i="1" s="1"/>
  <c r="BT138" i="1" s="1"/>
  <c r="BY138" i="1" a="1"/>
  <c r="BY138" i="1" s="1"/>
  <c r="BZ138" i="1" s="1"/>
  <c r="DI138" i="1" a="1"/>
  <c r="DI138" i="1" s="1"/>
  <c r="DO138" i="1" a="1"/>
  <c r="DO138" i="1" s="1"/>
  <c r="DP138" i="1" s="1"/>
  <c r="AX138" i="1" a="1"/>
  <c r="AX138" i="1" s="1"/>
  <c r="AY138" i="1" s="1"/>
  <c r="CK138" i="1" a="1"/>
  <c r="CK138" i="1" s="1"/>
  <c r="CL138" i="1" s="1"/>
  <c r="EG138" i="1" a="1"/>
  <c r="EG138" i="1" s="1"/>
  <c r="EH138" i="1" s="1"/>
  <c r="CH138" i="1" a="1"/>
  <c r="CH138" i="1" s="1"/>
  <c r="CI138" i="1" s="1"/>
  <c r="CW138" i="1" a="1"/>
  <c r="CW138" i="1" s="1"/>
  <c r="CX138" i="1" s="1"/>
  <c r="DL138" i="1" a="1"/>
  <c r="DL138" i="1" s="1"/>
  <c r="DM138" i="1" s="1"/>
  <c r="CV136" i="1" a="1"/>
  <c r="CV136" i="1" s="1"/>
  <c r="BO136" i="1" a="1"/>
  <c r="BO136" i="1" s="1"/>
  <c r="CM136" i="1" a="1"/>
  <c r="CM136" i="1" s="1"/>
  <c r="BL136" i="1" a="1"/>
  <c r="BL136" i="1" s="1"/>
  <c r="CJ136" i="1" a="1"/>
  <c r="CJ136" i="1" s="1"/>
  <c r="BI136" i="1" a="1"/>
  <c r="BI136" i="1" s="1"/>
  <c r="BU136" i="1" a="1"/>
  <c r="BU136" i="1" s="1"/>
  <c r="BC136" i="1" a="1"/>
  <c r="BC136" i="1" s="1"/>
  <c r="BF136" i="1" a="1"/>
  <c r="BF136" i="1" s="1"/>
  <c r="CG136" i="1" a="1"/>
  <c r="CG136" i="1" s="1"/>
  <c r="CS136" i="1" a="1"/>
  <c r="CS136" i="1" s="1"/>
  <c r="AZ136" i="1" a="1"/>
  <c r="AZ136" i="1" s="1"/>
  <c r="CA136" i="1" a="1"/>
  <c r="CA136" i="1" s="1"/>
  <c r="CD136" i="1" a="1"/>
  <c r="CD136" i="1" s="1"/>
  <c r="DE136" i="1" a="1"/>
  <c r="DE136" i="1" s="1"/>
  <c r="BR136" i="1" a="1"/>
  <c r="BR136" i="1" s="1"/>
  <c r="BX136" i="1" a="1"/>
  <c r="BX136" i="1" s="1"/>
  <c r="CY136" i="1" a="1"/>
  <c r="CY136" i="1" s="1"/>
  <c r="DB136" i="1" a="1"/>
  <c r="DB136" i="1" s="1"/>
  <c r="CP136" i="1" a="1"/>
  <c r="CP136" i="1" s="1"/>
  <c r="CW136" i="1" a="1"/>
  <c r="CW136" i="1" s="1"/>
  <c r="CX136" i="1" s="1"/>
  <c r="DL136" i="1" a="1"/>
  <c r="DL136" i="1" s="1"/>
  <c r="CZ136" i="1" a="1"/>
  <c r="CZ136" i="1" s="1"/>
  <c r="DA136" i="1" s="1"/>
  <c r="DI136" i="1" a="1"/>
  <c r="DI136" i="1" s="1"/>
  <c r="AX136" i="1" a="1"/>
  <c r="AX136" i="1" s="1"/>
  <c r="DK136" i="1" a="1"/>
  <c r="DK136" i="1" s="1"/>
  <c r="AW136" i="1" a="1"/>
  <c r="AW136" i="1" s="1"/>
  <c r="CN136" i="1" a="1"/>
  <c r="CN136" i="1" s="1"/>
  <c r="CO136" i="1" s="1"/>
  <c r="BJ136" i="1" a="1"/>
  <c r="BJ136" i="1" s="1"/>
  <c r="BK136" i="1" s="1"/>
  <c r="EF136" i="1" a="1"/>
  <c r="EF136" i="1" s="1"/>
  <c r="CE136" i="1" a="1"/>
  <c r="CE136" i="1" s="1"/>
  <c r="CF136" i="1" s="1"/>
  <c r="BP136" i="1" a="1"/>
  <c r="BP136" i="1" s="1"/>
  <c r="BQ136" i="1" s="1"/>
  <c r="EJ136" i="1" a="1"/>
  <c r="EJ136" i="1" s="1"/>
  <c r="ED136" i="1" a="1"/>
  <c r="ED136" i="1" s="1"/>
  <c r="EG136" i="1" a="1"/>
  <c r="EG136" i="1" s="1"/>
  <c r="BG136" i="1" a="1"/>
  <c r="BG136" i="1" s="1"/>
  <c r="BH136" i="1" s="1"/>
  <c r="DQ136" i="1" a="1"/>
  <c r="DQ136" i="1" s="1"/>
  <c r="DR136" i="1" a="1"/>
  <c r="DR136" i="1" s="1"/>
  <c r="DS136" i="1" s="1"/>
  <c r="DX136" i="1" a="1"/>
  <c r="DX136" i="1" s="1"/>
  <c r="CB136" i="1" a="1"/>
  <c r="CB136" i="1" s="1"/>
  <c r="CC136" i="1" s="1"/>
  <c r="EC136" i="1" a="1"/>
  <c r="EC136" i="1" s="1"/>
  <c r="BD136" i="1" a="1"/>
  <c r="BD136" i="1" s="1"/>
  <c r="BE136" i="1" s="1"/>
  <c r="BA136" i="1" a="1"/>
  <c r="BA136" i="1" s="1"/>
  <c r="BB136" i="1" s="1"/>
  <c r="CQ136" i="1" a="1"/>
  <c r="CQ136" i="1" s="1"/>
  <c r="CR136" i="1" s="1"/>
  <c r="DZ136" i="1" a="1"/>
  <c r="DZ136" i="1" s="1"/>
  <c r="DC136" i="1" a="1"/>
  <c r="DC136" i="1" s="1"/>
  <c r="DD136" i="1" s="1"/>
  <c r="DO136" i="1" a="1"/>
  <c r="DO136" i="1" s="1"/>
  <c r="DT136" i="1" a="1"/>
  <c r="DT136" i="1" s="1"/>
  <c r="CK136" i="1" a="1"/>
  <c r="CK136" i="1" s="1"/>
  <c r="CL136" i="1" s="1"/>
  <c r="DU136" i="1" a="1"/>
  <c r="DU136" i="1" s="1"/>
  <c r="BM136" i="1" a="1"/>
  <c r="BM136" i="1" s="1"/>
  <c r="BN136" i="1" s="1"/>
  <c r="EI136" i="1" a="1"/>
  <c r="EI136" i="1" s="1"/>
  <c r="DW136" i="1" a="1"/>
  <c r="DW136" i="1" s="1"/>
  <c r="BY136" i="1" a="1"/>
  <c r="BY136" i="1" s="1"/>
  <c r="BZ136" i="1" s="1"/>
  <c r="EA136" i="1" a="1"/>
  <c r="EA136" i="1" s="1"/>
  <c r="BS136" i="1" a="1"/>
  <c r="BS136" i="1" s="1"/>
  <c r="BT136" i="1" s="1"/>
  <c r="CT136" i="1" a="1"/>
  <c r="CT136" i="1" s="1"/>
  <c r="DH136" i="1" a="1"/>
  <c r="DH136" i="1" s="1"/>
  <c r="BV136" i="1" a="1"/>
  <c r="BV136" i="1" s="1"/>
  <c r="BW136" i="1" s="1"/>
  <c r="CH136" i="1" a="1"/>
  <c r="CH136" i="1" s="1"/>
  <c r="CI136" i="1" s="1"/>
  <c r="DF136" i="1" a="1"/>
  <c r="DF136" i="1" s="1"/>
  <c r="DG136" i="1" s="1"/>
  <c r="DN136" i="1" a="1"/>
  <c r="DN136" i="1" s="1"/>
  <c r="BN129" i="1"/>
  <c r="BH129" i="1"/>
  <c r="BZ129" i="1"/>
  <c r="BT129" i="1"/>
  <c r="CU136" i="1" l="1"/>
  <c r="EB136" i="1"/>
  <c r="DG138" i="1"/>
  <c r="EH136" i="1"/>
  <c r="DV136" i="1"/>
  <c r="EE136" i="1"/>
  <c r="DJ136" i="1"/>
  <c r="DP136" i="1"/>
  <c r="DY136" i="1"/>
  <c r="DM136" i="1"/>
  <c r="CF138" i="1"/>
  <c r="EK136" i="1"/>
  <c r="AY136" i="1"/>
  <c r="DJ13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E293" authorId="0" shapeId="0" xr:uid="{00000000-0006-0000-0000-000001000000}">
      <text>
        <r>
          <rPr>
            <b/>
            <sz val="9"/>
            <rFont val="Tahoma"/>
            <family val="2"/>
          </rPr>
          <t>User:</t>
        </r>
        <r>
          <rPr>
            <sz val="9"/>
            <rFont val="Tahoma"/>
            <family val="2"/>
          </rPr>
          <t xml:space="preserve">
KHUON 6E
</t>
        </r>
      </text>
    </comment>
    <comment ref="E295" authorId="0" shapeId="0" xr:uid="{00000000-0006-0000-0000-000002000000}">
      <text>
        <r>
          <rPr>
            <b/>
            <sz val="9"/>
            <rFont val="Tahoma"/>
            <family val="2"/>
          </rPr>
          <t>User:</t>
        </r>
        <r>
          <rPr>
            <sz val="9"/>
            <rFont val="Tahoma"/>
            <family val="2"/>
          </rPr>
          <t xml:space="preserve">
KHUON 8UY</t>
        </r>
      </text>
    </comment>
    <comment ref="E297" authorId="0" shapeId="0" xr:uid="{00000000-0006-0000-0000-000003000000}">
      <text>
        <r>
          <rPr>
            <b/>
            <sz val="9"/>
            <rFont val="Tahoma"/>
            <family val="2"/>
          </rPr>
          <t>User:</t>
        </r>
        <r>
          <rPr>
            <sz val="9"/>
            <rFont val="Tahoma"/>
            <family val="2"/>
          </rPr>
          <t xml:space="preserve">
KHUON 127</t>
        </r>
      </text>
    </comment>
  </commentList>
</comments>
</file>

<file path=xl/sharedStrings.xml><?xml version="1.0" encoding="utf-8"?>
<sst xmlns="http://schemas.openxmlformats.org/spreadsheetml/2006/main" count="743" uniqueCount="319">
  <si>
    <t>6494-m</t>
  </si>
  <si>
    <t>6486-m</t>
  </si>
  <si>
    <t>c6494</t>
  </si>
  <si>
    <t>c8</t>
  </si>
  <si>
    <t>c6490</t>
  </si>
  <si>
    <t>c2</t>
  </si>
  <si>
    <t>cgyx-auto</t>
  </si>
  <si>
    <t>c5</t>
  </si>
  <si>
    <t>c5770-auto</t>
  </si>
  <si>
    <t>c6</t>
  </si>
  <si>
    <t>c7</t>
  </si>
  <si>
    <t>c8234</t>
  </si>
  <si>
    <t>c1</t>
  </si>
  <si>
    <t>c6773</t>
  </si>
  <si>
    <t>c9149</t>
  </si>
  <si>
    <t>c9</t>
  </si>
  <si>
    <t>6495-m</t>
  </si>
  <si>
    <t>c2556-auto</t>
  </si>
  <si>
    <t>c11</t>
  </si>
  <si>
    <t>15U-T</t>
  </si>
  <si>
    <t>C1432</t>
  </si>
  <si>
    <t>C8UM</t>
  </si>
  <si>
    <t>C7236</t>
  </si>
  <si>
    <t>C9142</t>
  </si>
  <si>
    <t>D02N23</t>
  </si>
  <si>
    <t>8UM</t>
  </si>
  <si>
    <t>KCT</t>
  </si>
  <si>
    <t>Chân ngắn dài</t>
  </si>
  <si>
    <t>OK</t>
  </si>
  <si>
    <t>Ngày/ Tháng</t>
  </si>
  <si>
    <t>ca</t>
  </si>
  <si>
    <t>B14-1</t>
  </si>
  <si>
    <t>B13-1</t>
  </si>
  <si>
    <t>B12-2</t>
  </si>
  <si>
    <t>B12-1</t>
  </si>
  <si>
    <t>B11-2</t>
  </si>
  <si>
    <t>B11-1</t>
  </si>
  <si>
    <t>B10-1</t>
  </si>
  <si>
    <t>B09-2</t>
  </si>
  <si>
    <t>B09-1</t>
  </si>
  <si>
    <t>B08-1</t>
  </si>
  <si>
    <t>B07-1</t>
  </si>
  <si>
    <t>B06-2</t>
  </si>
  <si>
    <t>B06-1</t>
  </si>
  <si>
    <t>B05-1</t>
  </si>
  <si>
    <t>B03-3</t>
  </si>
  <si>
    <t>B03-2</t>
  </si>
  <si>
    <t>B03-1</t>
  </si>
  <si>
    <t>B01-3</t>
  </si>
  <si>
    <t>B01-2</t>
  </si>
  <si>
    <t>B01-1</t>
  </si>
  <si>
    <t>o1</t>
  </si>
  <si>
    <t>18-02</t>
  </si>
  <si>
    <t>18-01</t>
  </si>
  <si>
    <t>17-02</t>
  </si>
  <si>
    <t>17-01</t>
  </si>
  <si>
    <t>16-01</t>
  </si>
  <si>
    <t>15-01</t>
  </si>
  <si>
    <t>14-01</t>
  </si>
  <si>
    <t>13-01</t>
  </si>
  <si>
    <t>12-01</t>
  </si>
  <si>
    <t>11-02</t>
  </si>
  <si>
    <t>11-01</t>
  </si>
  <si>
    <t>10-03</t>
  </si>
  <si>
    <t>10-02</t>
  </si>
  <si>
    <t>10-01</t>
  </si>
  <si>
    <t>09-02</t>
  </si>
  <si>
    <t>09-01</t>
  </si>
  <si>
    <t>08-02</t>
  </si>
  <si>
    <t>08-01</t>
  </si>
  <si>
    <t>07-06</t>
  </si>
  <si>
    <t>07-05</t>
  </si>
  <si>
    <t>06-02</t>
  </si>
  <si>
    <t>06-01</t>
  </si>
  <si>
    <t>05-02</t>
  </si>
  <si>
    <t>05-01</t>
  </si>
  <si>
    <t>04-02</t>
  </si>
  <si>
    <t>04-01</t>
  </si>
  <si>
    <t>03-02</t>
  </si>
  <si>
    <t>03-01</t>
  </si>
  <si>
    <t>02-03</t>
  </si>
  <si>
    <t>02-02</t>
  </si>
  <si>
    <t>02-01</t>
  </si>
  <si>
    <t>01-08</t>
  </si>
  <si>
    <t>01-07</t>
  </si>
  <si>
    <t>01-06</t>
  </si>
  <si>
    <t>01-05</t>
  </si>
  <si>
    <t>01-04</t>
  </si>
  <si>
    <t>01-03</t>
  </si>
  <si>
    <t>01-02</t>
  </si>
  <si>
    <t>01-01</t>
  </si>
  <si>
    <t>Tổng KH-TT
THEO SỐ KHUÔN</t>
  </si>
  <si>
    <t>LCS</t>
  </si>
  <si>
    <t>KT nhỏ</t>
  </si>
  <si>
    <t>KT lớn</t>
  </si>
  <si>
    <t>ppcm</t>
  </si>
  <si>
    <t>CSH</t>
  </si>
  <si>
    <t>bavia</t>
  </si>
  <si>
    <t>Cắt
 không đứt</t>
  </si>
  <si>
    <t>Cao su xoay</t>
  </si>
  <si>
    <t>K xước
cong gãy</t>
  </si>
  <si>
    <t>Vỡ
cao su</t>
  </si>
  <si>
    <t>KQD</t>
  </si>
  <si>
    <t>tổng NG</t>
  </si>
  <si>
    <t>SLSP/h</t>
  </si>
  <si>
    <t>TT</t>
  </si>
  <si>
    <t>KH</t>
  </si>
  <si>
    <t>SP</t>
  </si>
  <si>
    <t>Tổng TG trừ giờ</t>
  </si>
  <si>
    <t>Số lần
CM</t>
  </si>
  <si>
    <t>Thời gian
Làm việc</t>
  </si>
  <si>
    <t>Số khuôn</t>
  </si>
  <si>
    <t>Họ tên</t>
  </si>
  <si>
    <t>STT</t>
  </si>
  <si>
    <t>E.6773</t>
  </si>
  <si>
    <t>E.8235</t>
  </si>
  <si>
    <t>E.8234</t>
  </si>
  <si>
    <t>E.9565</t>
  </si>
  <si>
    <t>E.5861</t>
  </si>
  <si>
    <t>E.5770</t>
  </si>
  <si>
    <t>E.1090</t>
  </si>
  <si>
    <t>E.1080</t>
  </si>
  <si>
    <t>E.3880</t>
  </si>
  <si>
    <t>E.3438</t>
  </si>
  <si>
    <t>E.1660</t>
  </si>
  <si>
    <t>E.1657</t>
  </si>
  <si>
    <t>E8485</t>
  </si>
  <si>
    <t>E.8484</t>
  </si>
  <si>
    <t>N07</t>
  </si>
  <si>
    <t>E4563</t>
  </si>
  <si>
    <t>N06</t>
  </si>
  <si>
    <t>E7630</t>
  </si>
  <si>
    <t>N05</t>
  </si>
  <si>
    <t>E.0598</t>
  </si>
  <si>
    <t>E.9149</t>
  </si>
  <si>
    <t>N21</t>
  </si>
  <si>
    <t>E.7960</t>
  </si>
  <si>
    <t>o10</t>
  </si>
  <si>
    <t>o9</t>
  </si>
  <si>
    <t>D02N3F</t>
  </si>
  <si>
    <t>CD02N3F</t>
  </si>
  <si>
    <t>D02N3C</t>
  </si>
  <si>
    <t>CD02N3C</t>
  </si>
  <si>
    <t>o8</t>
  </si>
  <si>
    <t>CD02N23</t>
  </si>
  <si>
    <t>o7</t>
  </si>
  <si>
    <t>D027U8</t>
  </si>
  <si>
    <t>o6</t>
  </si>
  <si>
    <t>LX9295</t>
  </si>
  <si>
    <t>o5</t>
  </si>
  <si>
    <t>o4</t>
  </si>
  <si>
    <t>o3</t>
  </si>
  <si>
    <t>kct</t>
  </si>
  <si>
    <t>KCN</t>
  </si>
  <si>
    <t>kcn</t>
  </si>
  <si>
    <t>o2</t>
  </si>
  <si>
    <t>D008W6</t>
  </si>
  <si>
    <t>MA3-0575</t>
  </si>
  <si>
    <t>D008UM</t>
  </si>
  <si>
    <t>N019</t>
  </si>
  <si>
    <t>D0016M</t>
  </si>
  <si>
    <t>N018</t>
  </si>
  <si>
    <t>D0016D</t>
  </si>
  <si>
    <t>N017</t>
  </si>
  <si>
    <t>D000PK</t>
  </si>
  <si>
    <t>PK</t>
  </si>
  <si>
    <t>N016</t>
  </si>
  <si>
    <t>D00DK1</t>
  </si>
  <si>
    <t>DK1</t>
  </si>
  <si>
    <t>N015</t>
  </si>
  <si>
    <t>LEH125</t>
  </si>
  <si>
    <t>N014</t>
  </si>
  <si>
    <t>LEH123</t>
  </si>
  <si>
    <t>N012</t>
  </si>
  <si>
    <t>c1432</t>
  </si>
  <si>
    <t>N011</t>
  </si>
  <si>
    <t>D008UY</t>
  </si>
  <si>
    <t>N010</t>
  </si>
  <si>
    <t>D0016H</t>
  </si>
  <si>
    <t>N09</t>
  </si>
  <si>
    <t>D0006E</t>
  </si>
  <si>
    <t>N08</t>
  </si>
  <si>
    <t>D0079C</t>
  </si>
  <si>
    <t>79c</t>
  </si>
  <si>
    <t>SPONGE</t>
  </si>
  <si>
    <t>D002SS</t>
  </si>
  <si>
    <t>LJB396</t>
  </si>
  <si>
    <t>N04</t>
  </si>
  <si>
    <t>LY9276</t>
  </si>
  <si>
    <t>N03</t>
  </si>
  <si>
    <t>D0015U</t>
  </si>
  <si>
    <t>15u-t</t>
  </si>
  <si>
    <t>N02</t>
  </si>
  <si>
    <t>LF5243</t>
  </si>
  <si>
    <t>5243-t</t>
  </si>
  <si>
    <t>N01</t>
  </si>
  <si>
    <t>LEM127</t>
  </si>
  <si>
    <t>N013</t>
  </si>
  <si>
    <t>c13</t>
  </si>
  <si>
    <t>D00049</t>
  </si>
  <si>
    <t>c12</t>
  </si>
  <si>
    <t>LY4258</t>
  </si>
  <si>
    <t>LY2173</t>
  </si>
  <si>
    <t>LY2168</t>
  </si>
  <si>
    <t>LS7236</t>
  </si>
  <si>
    <t>c4</t>
  </si>
  <si>
    <t>D00GFM</t>
  </si>
  <si>
    <t>c3</t>
  </si>
  <si>
    <t>LY9140</t>
  </si>
  <si>
    <t>LY9116</t>
  </si>
  <si>
    <t>LY8014</t>
  </si>
  <si>
    <t>%</t>
  </si>
  <si>
    <t>NG</t>
  </si>
  <si>
    <t>TG</t>
  </si>
  <si>
    <t>Số máy</t>
  </si>
  <si>
    <t xml:space="preserve">Tổng </t>
  </si>
  <si>
    <t>Tổng KH-TT
THEO MÁY</t>
  </si>
  <si>
    <t>CẮT</t>
  </si>
  <si>
    <t>6493-m</t>
  </si>
  <si>
    <t>6492-m</t>
  </si>
  <si>
    <t>6491-L</t>
  </si>
  <si>
    <t>6490-L</t>
  </si>
  <si>
    <t>6489-L</t>
  </si>
  <si>
    <t>6488-L</t>
  </si>
  <si>
    <t>6487-L</t>
  </si>
  <si>
    <t>6485-L</t>
  </si>
  <si>
    <t>8w6</t>
  </si>
  <si>
    <t>16m</t>
  </si>
  <si>
    <t>16d</t>
  </si>
  <si>
    <t>pk</t>
  </si>
  <si>
    <t>dk1</t>
  </si>
  <si>
    <t>8uy</t>
  </si>
  <si>
    <t>16h</t>
  </si>
  <si>
    <t>6e</t>
  </si>
  <si>
    <t>fjm</t>
  </si>
  <si>
    <t>2ss</t>
  </si>
  <si>
    <t>15u</t>
  </si>
  <si>
    <t>d49</t>
  </si>
  <si>
    <t>gfm</t>
  </si>
  <si>
    <t>có mài</t>
  </si>
  <si>
    <t>không mài</t>
  </si>
  <si>
    <t>LỒNG</t>
  </si>
  <si>
    <t>cgyx</t>
  </si>
  <si>
    <t>c6495</t>
  </si>
  <si>
    <t>c6493</t>
  </si>
  <si>
    <t>c6492</t>
  </si>
  <si>
    <t>c6491</t>
  </si>
  <si>
    <t>3301-T</t>
  </si>
  <si>
    <t>C3301</t>
  </si>
  <si>
    <t>C2411</t>
  </si>
  <si>
    <t>C2401</t>
  </si>
  <si>
    <t>9295-T</t>
  </si>
  <si>
    <t>CD027U8</t>
  </si>
  <si>
    <t>C1404</t>
  </si>
  <si>
    <t>CKCN</t>
  </si>
  <si>
    <t>CPK-r</t>
  </si>
  <si>
    <t>CDK1</t>
  </si>
  <si>
    <t>C125</t>
  </si>
  <si>
    <t>C79C</t>
  </si>
  <si>
    <t>5243-T</t>
  </si>
  <si>
    <t>C129</t>
  </si>
  <si>
    <t>C4268</t>
  </si>
  <si>
    <t>C2453</t>
  </si>
  <si>
    <t>C9118</t>
  </si>
  <si>
    <t>C8016</t>
  </si>
  <si>
    <t>c8235</t>
  </si>
  <si>
    <t>c5770</t>
  </si>
  <si>
    <t>c7630</t>
  </si>
  <si>
    <t>c1657</t>
  </si>
  <si>
    <t>c1090</t>
  </si>
  <si>
    <t>c1080</t>
  </si>
  <si>
    <t>c3438</t>
  </si>
  <si>
    <t>c0575</t>
  </si>
  <si>
    <t>c3880</t>
  </si>
  <si>
    <t>c3880-8</t>
  </si>
  <si>
    <t>c8485</t>
  </si>
  <si>
    <t>c3880-2</t>
  </si>
  <si>
    <t>c8484</t>
  </si>
  <si>
    <t>c2822</t>
  </si>
  <si>
    <t>c2821</t>
  </si>
  <si>
    <t>c2556</t>
  </si>
  <si>
    <t>c2556-11</t>
  </si>
  <si>
    <t>c2556-8</t>
  </si>
  <si>
    <t>c2556-9</t>
  </si>
  <si>
    <t>Tổng KH-TT
THEO MÃ SẢN PHẨM</t>
  </si>
  <si>
    <t>% học việc</t>
  </si>
  <si>
    <t xml:space="preserve">  </t>
  </si>
  <si>
    <t>Tổng</t>
  </si>
  <si>
    <t>fure trục</t>
  </si>
  <si>
    <t>sót via</t>
  </si>
  <si>
    <t>rách nvl</t>
  </si>
  <si>
    <t>cắt lẹm</t>
  </si>
  <si>
    <t>Định mức</t>
  </si>
  <si>
    <t>Đi muộn về sớm</t>
  </si>
  <si>
    <t>Học việc, đào tạo</t>
  </si>
  <si>
    <t>5s</t>
  </si>
  <si>
    <t>Giặt cs/cân cs, tuốt-tái pp, GL</t>
  </si>
  <si>
    <t>Dừng máy đi hỗ trợ</t>
  </si>
  <si>
    <t>Giao ca</t>
  </si>
  <si>
    <t>Nghỉ giải lao</t>
  </si>
  <si>
    <t>bảo dưỡng máy</t>
  </si>
  <si>
    <t>Chờ hàng</t>
  </si>
  <si>
    <t>Mất khí</t>
  </si>
  <si>
    <t>Mất điện</t>
  </si>
  <si>
    <t>Chờ chỉnh máy</t>
  </si>
  <si>
    <t>Chỉnh máy</t>
  </si>
  <si>
    <t>Chuyển mã</t>
  </si>
  <si>
    <t>Bật máy, xét máy</t>
  </si>
  <si>
    <t>Thiếu sản lượng</t>
  </si>
  <si>
    <t>%
học việc</t>
  </si>
  <si>
    <t>Tên</t>
  </si>
  <si>
    <t>TỔNG KẾT PHẾ PHẨM THEO NGÀY</t>
  </si>
  <si>
    <t>TỔNG KẾT PHẾ PHẨM THEO THÁNG</t>
  </si>
  <si>
    <t>Số SP/H</t>
  </si>
  <si>
    <t>Tỷ lệ NG</t>
  </si>
  <si>
    <t>Tỷ lệ đạt</t>
  </si>
  <si>
    <t>Trạng thái</t>
  </si>
  <si>
    <t>Ghi chú</t>
  </si>
  <si>
    <t>Mã nhân viên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</si>
</sst>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_-;\-* #,##0_-;_-* &quot;-&quot;??_-;_-@_-"/>
    <numFmt numFmtId="165" formatCode="0.0"/>
  </numFmts>
  <fonts count="20">
    <font>
      <sz val="11"/>
      <color theme="1"/>
      <name val="Calibri"/>
      <family val="2"/>
      <scheme val="minor"/>
    </font>
    <font>
      <sz val="12"/>
      <name val="ＭＳ Ｐゴシック"/>
      <charset val="128"/>
    </font>
    <font>
      <sz val="12"/>
      <name val="Times New Roman"/>
      <family val="1"/>
    </font>
    <font>
      <sz val="10"/>
      <name val="Arial"/>
      <family val="2"/>
    </font>
    <font>
      <sz val="10"/>
      <name val="Times New Roman"/>
      <family val="1"/>
    </font>
    <font>
      <sz val="10"/>
      <name val="Arial"/>
      <family val="2"/>
    </font>
    <font>
      <b/>
      <sz val="12"/>
      <name val="Times New Roman"/>
      <family val="1"/>
    </font>
    <font>
      <b/>
      <sz val="14"/>
      <name val="Times New Roman"/>
      <family val="1"/>
    </font>
    <font>
      <sz val="16"/>
      <name val="Times New Roman"/>
      <family val="1"/>
    </font>
    <font>
      <b/>
      <sz val="18"/>
      <name val="Times New Roman"/>
      <family val="1"/>
    </font>
    <font>
      <sz val="16"/>
      <color indexed="8"/>
      <name val="Times New Roman"/>
      <family val="1"/>
    </font>
    <font>
      <sz val="18"/>
      <name val="Times New Roman"/>
      <family val="1"/>
    </font>
    <font>
      <b/>
      <sz val="16"/>
      <name val="Times New Roman"/>
      <family val="1"/>
    </font>
    <font>
      <b/>
      <sz val="20"/>
      <name val="Times New Roman"/>
      <family val="1"/>
    </font>
    <font>
      <sz val="36"/>
      <name val="Times New Roman"/>
      <family val="1"/>
    </font>
    <font>
      <sz val="12"/>
      <color theme="1"/>
      <name val="Times New Roman"/>
      <family val="1"/>
    </font>
    <font>
      <sz val="28"/>
      <name val="Times New Roman"/>
      <family val="1"/>
    </font>
    <font>
      <sz val="8"/>
      <name val="Times New Roman"/>
      <family val="1"/>
    </font>
    <font>
      <b/>
      <sz val="9"/>
      <name val="Tahoma"/>
      <family val="2"/>
    </font>
    <font>
      <sz val="9"/>
      <name val="Tahoma"/>
      <family val="2"/>
    </font>
  </fonts>
  <fills count="18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66FF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7">
    <xf numFmtId="0" fontId="0" fillId="0" borderId="0"/>
    <xf numFmtId="0" fontId="1" fillId="0" borderId="0">
      <alignment vertical="center"/>
    </xf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0" fontId="5" fillId="0" borderId="0"/>
    <xf numFmtId="0" fontId="3" fillId="0" borderId="0"/>
  </cellStyleXfs>
  <cellXfs count="257">
    <xf numFmtId="0" fontId="0" fillId="0" borderId="0" xfId="0"/>
    <xf numFmtId="0" fontId="2" fillId="0" borderId="0" xfId="1" applyFont="1">
      <alignment vertical="center"/>
    </xf>
    <xf numFmtId="10" fontId="2" fillId="0" borderId="0" xfId="2" applyNumberFormat="1" applyFont="1" applyAlignment="1">
      <alignment vertical="center"/>
    </xf>
    <xf numFmtId="1" fontId="2" fillId="0" borderId="0" xfId="1" applyNumberFormat="1" applyFont="1">
      <alignment vertical="center"/>
    </xf>
    <xf numFmtId="14" fontId="2" fillId="0" borderId="0" xfId="1" applyNumberFormat="1" applyFont="1">
      <alignment vertical="center"/>
    </xf>
    <xf numFmtId="164" fontId="2" fillId="0" borderId="0" xfId="3" applyNumberFormat="1" applyFont="1" applyAlignment="1">
      <alignment vertical="center"/>
    </xf>
    <xf numFmtId="0" fontId="2" fillId="0" borderId="0" xfId="1" applyFont="1" applyAlignment="1">
      <alignment horizontal="center" vertical="center" wrapText="1"/>
    </xf>
    <xf numFmtId="0" fontId="2" fillId="0" borderId="0" xfId="1" applyFont="1" applyAlignment="1">
      <alignment vertical="center" wrapText="1"/>
    </xf>
    <xf numFmtId="0" fontId="2" fillId="0" borderId="0" xfId="1" applyFont="1" applyAlignment="1">
      <alignment horizontal="right" vertical="center"/>
    </xf>
    <xf numFmtId="164" fontId="2" fillId="0" borderId="0" xfId="3" applyNumberFormat="1" applyFont="1" applyAlignment="1" applyProtection="1">
      <alignment vertical="center"/>
      <protection locked="0"/>
    </xf>
    <xf numFmtId="1" fontId="2" fillId="0" borderId="0" xfId="1" applyNumberFormat="1" applyFont="1" applyProtection="1">
      <alignment vertical="center"/>
      <protection locked="0"/>
    </xf>
    <xf numFmtId="0" fontId="2" fillId="2" borderId="1" xfId="1" applyFont="1" applyFill="1" applyBorder="1" applyAlignment="1" applyProtection="1">
      <alignment horizontal="center" vertical="center" wrapText="1"/>
      <protection locked="0"/>
    </xf>
    <xf numFmtId="0" fontId="2" fillId="0" borderId="0" xfId="1" applyFont="1" applyProtection="1">
      <alignment vertical="center"/>
      <protection locked="0"/>
    </xf>
    <xf numFmtId="10" fontId="4" fillId="0" borderId="0" xfId="2" applyNumberFormat="1" applyFont="1" applyAlignment="1" applyProtection="1">
      <alignment vertical="center"/>
      <protection locked="0"/>
    </xf>
    <xf numFmtId="16" fontId="4" fillId="0" borderId="0" xfId="4" applyNumberFormat="1" applyFont="1" applyProtection="1">
      <alignment vertical="center"/>
      <protection locked="0"/>
    </xf>
    <xf numFmtId="9" fontId="4" fillId="0" borderId="0" xfId="4" applyFont="1" applyProtection="1">
      <alignment vertical="center"/>
      <protection locked="0"/>
    </xf>
    <xf numFmtId="164" fontId="2" fillId="3" borderId="3" xfId="3" applyNumberFormat="1" applyFont="1" applyFill="1" applyBorder="1" applyAlignment="1" applyProtection="1">
      <alignment vertical="center"/>
      <protection locked="0"/>
    </xf>
    <xf numFmtId="164" fontId="2" fillId="0" borderId="3" xfId="3" applyNumberFormat="1" applyFont="1" applyBorder="1" applyAlignment="1" applyProtection="1">
      <alignment vertical="center"/>
      <protection locked="0"/>
    </xf>
    <xf numFmtId="0" fontId="2" fillId="4" borderId="3" xfId="1" applyFont="1" applyFill="1" applyBorder="1" applyProtection="1">
      <alignment vertical="center"/>
      <protection locked="0"/>
    </xf>
    <xf numFmtId="0" fontId="2" fillId="5" borderId="1" xfId="1" applyFont="1" applyFill="1" applyBorder="1" applyAlignment="1" applyProtection="1">
      <alignment horizontal="center" vertical="center" wrapText="1"/>
      <protection locked="0"/>
    </xf>
    <xf numFmtId="0" fontId="2" fillId="6" borderId="3" xfId="1" applyFont="1" applyFill="1" applyBorder="1" applyProtection="1">
      <alignment vertical="center"/>
      <protection locked="0"/>
    </xf>
    <xf numFmtId="0" fontId="2" fillId="3" borderId="3" xfId="1" applyFont="1" applyFill="1" applyBorder="1" applyProtection="1">
      <alignment vertical="center"/>
      <protection locked="0"/>
    </xf>
    <xf numFmtId="9" fontId="2" fillId="0" borderId="3" xfId="2" applyFont="1" applyBorder="1" applyAlignment="1" applyProtection="1">
      <alignment vertical="center"/>
      <protection locked="0"/>
    </xf>
    <xf numFmtId="0" fontId="2" fillId="0" borderId="3" xfId="1" applyFont="1" applyBorder="1" applyAlignment="1" applyProtection="1">
      <alignment horizontal="center" vertical="center" wrapText="1"/>
      <protection locked="0"/>
    </xf>
    <xf numFmtId="0" fontId="2" fillId="0" borderId="3" xfId="1" applyFont="1" applyBorder="1" applyAlignment="1" applyProtection="1">
      <alignment vertical="center" wrapText="1"/>
      <protection locked="0"/>
    </xf>
    <xf numFmtId="0" fontId="2" fillId="0" borderId="3" xfId="1" applyFont="1" applyBorder="1" applyProtection="1">
      <alignment vertical="center"/>
      <protection locked="0"/>
    </xf>
    <xf numFmtId="0" fontId="2" fillId="0" borderId="3" xfId="1" applyFont="1" applyBorder="1" applyAlignment="1" applyProtection="1">
      <alignment horizontal="right" vertical="center"/>
      <protection locked="0"/>
    </xf>
    <xf numFmtId="0" fontId="2" fillId="7" borderId="3" xfId="1" applyFont="1" applyFill="1" applyBorder="1" applyAlignment="1" applyProtection="1">
      <alignment horizontal="right" vertical="center"/>
      <protection locked="0"/>
    </xf>
    <xf numFmtId="0" fontId="2" fillId="6" borderId="3" xfId="1" applyFont="1" applyFill="1" applyBorder="1" applyAlignment="1" applyProtection="1">
      <alignment horizontal="right" vertical="center"/>
      <protection locked="0"/>
    </xf>
    <xf numFmtId="1" fontId="2" fillId="7" borderId="3" xfId="1" applyNumberFormat="1" applyFont="1" applyFill="1" applyBorder="1" applyAlignment="1" applyProtection="1">
      <alignment horizontal="center" vertical="center"/>
      <protection locked="0"/>
    </xf>
    <xf numFmtId="0" fontId="2" fillId="7" borderId="3" xfId="1" applyFont="1" applyFill="1" applyBorder="1" applyProtection="1">
      <alignment vertical="center"/>
      <protection locked="0"/>
    </xf>
    <xf numFmtId="0" fontId="2" fillId="0" borderId="0" xfId="1" applyFont="1" applyAlignment="1" applyProtection="1">
      <alignment vertical="center" wrapText="1"/>
      <protection locked="0"/>
    </xf>
    <xf numFmtId="1" fontId="2" fillId="0" borderId="0" xfId="1" applyNumberFormat="1" applyFont="1" applyAlignment="1" applyProtection="1">
      <alignment horizontal="center" vertical="center" wrapText="1"/>
      <protection locked="0"/>
    </xf>
    <xf numFmtId="14" fontId="2" fillId="6" borderId="4" xfId="1" applyNumberFormat="1" applyFont="1" applyFill="1" applyBorder="1" applyAlignment="1" applyProtection="1">
      <alignment horizontal="center" vertical="center" wrapText="1"/>
      <protection locked="0"/>
    </xf>
    <xf numFmtId="0" fontId="2" fillId="0" borderId="1" xfId="1" applyFont="1" applyBorder="1" applyAlignment="1" applyProtection="1">
      <alignment horizontal="center" vertical="center" wrapText="1"/>
      <protection locked="0"/>
    </xf>
    <xf numFmtId="164" fontId="2" fillId="8" borderId="1" xfId="1" applyNumberFormat="1" applyFont="1" applyFill="1" applyBorder="1" applyAlignment="1" applyProtection="1">
      <alignment horizontal="center" vertical="center" wrapText="1"/>
      <protection locked="0"/>
    </xf>
    <xf numFmtId="164" fontId="2" fillId="0" borderId="1" xfId="1" applyNumberFormat="1" applyFont="1" applyBorder="1" applyAlignment="1" applyProtection="1">
      <alignment horizontal="center" vertical="center" wrapText="1"/>
      <protection locked="0"/>
    </xf>
    <xf numFmtId="0" fontId="2" fillId="6" borderId="1" xfId="1" applyFont="1" applyFill="1" applyBorder="1" applyAlignment="1" applyProtection="1">
      <alignment horizontal="center" vertical="center" wrapText="1"/>
      <protection locked="0"/>
    </xf>
    <xf numFmtId="0" fontId="2" fillId="3" borderId="1" xfId="1" applyFont="1" applyFill="1" applyBorder="1" applyAlignment="1" applyProtection="1">
      <alignment horizontal="center" vertical="center" wrapText="1"/>
      <protection locked="0"/>
    </xf>
    <xf numFmtId="0" fontId="2" fillId="0" borderId="1" xfId="1" applyFont="1" applyBorder="1" applyAlignment="1" applyProtection="1">
      <alignment horizontal="center" vertical="center"/>
      <protection locked="0"/>
    </xf>
    <xf numFmtId="0" fontId="2" fillId="9" borderId="1" xfId="1" applyFont="1" applyFill="1" applyBorder="1" applyAlignment="1" applyProtection="1">
      <alignment horizontal="right" vertical="center" wrapText="1"/>
      <protection locked="0"/>
    </xf>
    <xf numFmtId="10" fontId="4" fillId="0" borderId="0" xfId="4" applyNumberFormat="1" applyFont="1" applyProtection="1">
      <alignment vertical="center"/>
      <protection locked="0"/>
    </xf>
    <xf numFmtId="14" fontId="2" fillId="0" borderId="0" xfId="1" applyNumberFormat="1" applyFont="1" applyProtection="1">
      <alignment vertical="center"/>
      <protection locked="0"/>
    </xf>
    <xf numFmtId="0" fontId="2" fillId="0" borderId="0" xfId="1" applyFont="1" applyAlignment="1" applyProtection="1">
      <alignment horizontal="center" vertical="center" wrapText="1"/>
      <protection locked="0"/>
    </xf>
    <xf numFmtId="16" fontId="2" fillId="0" borderId="0" xfId="1" applyNumberFormat="1" applyFont="1" applyAlignment="1" applyProtection="1">
      <alignment horizontal="right" vertical="center"/>
      <protection locked="0"/>
    </xf>
    <xf numFmtId="16" fontId="2" fillId="0" borderId="0" xfId="1" applyNumberFormat="1" applyFont="1" applyProtection="1">
      <alignment vertical="center"/>
      <protection locked="0"/>
    </xf>
    <xf numFmtId="164" fontId="2" fillId="0" borderId="0" xfId="3" applyNumberFormat="1" applyFont="1" applyBorder="1" applyAlignment="1" applyProtection="1">
      <alignment vertical="center"/>
      <protection locked="0"/>
    </xf>
    <xf numFmtId="0" fontId="2" fillId="0" borderId="0" xfId="1" applyFont="1" applyAlignment="1" applyProtection="1">
      <alignment horizontal="right" vertical="center"/>
      <protection locked="0"/>
    </xf>
    <xf numFmtId="0" fontId="6" fillId="10" borderId="0" xfId="1" applyFont="1" applyFill="1" applyAlignment="1" applyProtection="1">
      <alignment vertical="center" wrapText="1"/>
      <protection locked="0"/>
    </xf>
    <xf numFmtId="0" fontId="2" fillId="0" borderId="1" xfId="1" applyFont="1" applyBorder="1" applyProtection="1">
      <alignment vertical="center"/>
      <protection locked="0"/>
    </xf>
    <xf numFmtId="14" fontId="2" fillId="0" borderId="1" xfId="1" applyNumberFormat="1" applyFont="1" applyBorder="1" applyProtection="1">
      <alignment vertical="center"/>
      <protection locked="0"/>
    </xf>
    <xf numFmtId="164" fontId="2" fillId="0" borderId="1" xfId="3" applyNumberFormat="1" applyFont="1" applyBorder="1" applyAlignment="1" applyProtection="1">
      <alignment vertical="center"/>
      <protection locked="0"/>
    </xf>
    <xf numFmtId="0" fontId="2" fillId="0" borderId="1" xfId="1" applyFont="1" applyBorder="1" applyAlignment="1" applyProtection="1">
      <alignment vertical="center" wrapText="1"/>
      <protection locked="0"/>
    </xf>
    <xf numFmtId="0" fontId="2" fillId="0" borderId="1" xfId="1" applyFont="1" applyBorder="1" applyAlignment="1" applyProtection="1">
      <alignment horizontal="right" vertical="center"/>
      <protection locked="0"/>
    </xf>
    <xf numFmtId="10" fontId="2" fillId="0" borderId="0" xfId="2" applyNumberFormat="1" applyFont="1" applyAlignment="1" applyProtection="1">
      <alignment vertical="center"/>
      <protection locked="0"/>
    </xf>
    <xf numFmtId="14" fontId="4" fillId="0" borderId="0" xfId="4" applyNumberFormat="1" applyFont="1" applyProtection="1">
      <alignment vertical="center"/>
      <protection locked="0"/>
    </xf>
    <xf numFmtId="164" fontId="2" fillId="10" borderId="3" xfId="3" applyNumberFormat="1" applyFont="1" applyFill="1" applyBorder="1" applyAlignment="1" applyProtection="1">
      <alignment vertical="center"/>
      <protection locked="0"/>
    </xf>
    <xf numFmtId="1" fontId="2" fillId="6" borderId="3" xfId="1" applyNumberFormat="1" applyFont="1" applyFill="1" applyBorder="1" applyProtection="1">
      <alignment vertical="center"/>
      <protection locked="0"/>
    </xf>
    <xf numFmtId="1" fontId="2" fillId="3" borderId="3" xfId="1" applyNumberFormat="1" applyFont="1" applyFill="1" applyBorder="1" applyProtection="1">
      <alignment vertical="center"/>
      <protection locked="0"/>
    </xf>
    <xf numFmtId="1" fontId="2" fillId="0" borderId="3" xfId="1" applyNumberFormat="1" applyFont="1" applyBorder="1" applyProtection="1">
      <alignment vertical="center"/>
      <protection locked="0"/>
    </xf>
    <xf numFmtId="1" fontId="2" fillId="0" borderId="3" xfId="1" applyNumberFormat="1" applyFont="1" applyBorder="1" applyAlignment="1" applyProtection="1">
      <alignment horizontal="center" vertical="center" wrapText="1"/>
      <protection locked="0"/>
    </xf>
    <xf numFmtId="1" fontId="2" fillId="0" borderId="3" xfId="1" applyNumberFormat="1" applyFont="1" applyBorder="1" applyAlignment="1" applyProtection="1">
      <alignment horizontal="right" vertical="center"/>
      <protection locked="0"/>
    </xf>
    <xf numFmtId="1" fontId="2" fillId="0" borderId="3" xfId="1" quotePrefix="1" applyNumberFormat="1" applyFont="1" applyBorder="1" applyAlignment="1" applyProtection="1">
      <alignment horizontal="center" vertical="center" wrapText="1"/>
      <protection locked="0"/>
    </xf>
    <xf numFmtId="0" fontId="2" fillId="10" borderId="3" xfId="1" applyFont="1" applyFill="1" applyBorder="1" applyAlignment="1" applyProtection="1">
      <alignment vertical="center" wrapText="1"/>
      <protection locked="0"/>
    </xf>
    <xf numFmtId="0" fontId="2" fillId="0" borderId="3" xfId="1" quotePrefix="1" applyFont="1" applyBorder="1" applyAlignment="1" applyProtection="1">
      <alignment horizontal="center" vertical="center" wrapText="1"/>
      <protection locked="0"/>
    </xf>
    <xf numFmtId="1" fontId="2" fillId="10" borderId="3" xfId="1" applyNumberFormat="1" applyFont="1" applyFill="1" applyBorder="1" applyAlignment="1" applyProtection="1">
      <alignment vertical="center" wrapText="1"/>
      <protection locked="0"/>
    </xf>
    <xf numFmtId="0" fontId="2" fillId="11" borderId="0" xfId="1" applyFont="1" applyFill="1" applyAlignment="1" applyProtection="1">
      <alignment horizontal="center" vertical="center"/>
      <protection locked="0"/>
    </xf>
    <xf numFmtId="0" fontId="2" fillId="11" borderId="0" xfId="1" applyFont="1" applyFill="1" applyAlignment="1" applyProtection="1">
      <alignment horizontal="center" vertical="center" wrapText="1"/>
      <protection locked="0"/>
    </xf>
    <xf numFmtId="0" fontId="2" fillId="0" borderId="0" xfId="1" applyFont="1" applyAlignment="1" applyProtection="1">
      <alignment horizontal="center" vertical="center"/>
      <protection locked="0"/>
    </xf>
    <xf numFmtId="164" fontId="2" fillId="3" borderId="1" xfId="3" applyNumberFormat="1" applyFont="1" applyFill="1" applyBorder="1" applyAlignment="1" applyProtection="1">
      <alignment vertical="center"/>
      <protection locked="0"/>
    </xf>
    <xf numFmtId="164" fontId="2" fillId="0" borderId="1" xfId="3" applyNumberFormat="1" applyFont="1" applyBorder="1" applyAlignment="1" applyProtection="1">
      <alignment horizontal="center" vertical="center"/>
      <protection locked="0"/>
    </xf>
    <xf numFmtId="0" fontId="2" fillId="4" borderId="1" xfId="1" applyFont="1" applyFill="1" applyBorder="1" applyProtection="1">
      <alignment vertical="center"/>
      <protection locked="0"/>
    </xf>
    <xf numFmtId="0" fontId="8" fillId="12" borderId="1" xfId="1" applyFont="1" applyFill="1" applyBorder="1" applyAlignment="1" applyProtection="1">
      <alignment horizontal="center" vertical="center"/>
      <protection locked="0"/>
    </xf>
    <xf numFmtId="0" fontId="2" fillId="12" borderId="1" xfId="1" applyFont="1" applyFill="1" applyBorder="1" applyAlignment="1" applyProtection="1">
      <alignment horizontal="center" vertical="center" wrapText="1"/>
      <protection locked="0"/>
    </xf>
    <xf numFmtId="0" fontId="6" fillId="10" borderId="0" xfId="1" applyFont="1" applyFill="1" applyAlignment="1" applyProtection="1">
      <alignment horizontal="center" vertical="center" wrapText="1"/>
      <protection locked="0"/>
    </xf>
    <xf numFmtId="1" fontId="6" fillId="10" borderId="0" xfId="1" applyNumberFormat="1" applyFont="1" applyFill="1" applyAlignment="1" applyProtection="1">
      <alignment vertical="center" wrapText="1"/>
      <protection locked="0"/>
    </xf>
    <xf numFmtId="1" fontId="6" fillId="10" borderId="0" xfId="1" applyNumberFormat="1" applyFont="1" applyFill="1" applyAlignment="1" applyProtection="1">
      <alignment horizontal="center" vertical="center" wrapText="1"/>
      <protection locked="0"/>
    </xf>
    <xf numFmtId="0" fontId="9" fillId="0" borderId="1" xfId="1" applyFont="1" applyBorder="1" applyProtection="1">
      <alignment vertical="center"/>
      <protection locked="0"/>
    </xf>
    <xf numFmtId="10" fontId="2" fillId="10" borderId="7" xfId="2" applyNumberFormat="1" applyFont="1" applyFill="1" applyBorder="1" applyAlignment="1" applyProtection="1">
      <alignment vertical="center"/>
      <protection locked="0"/>
    </xf>
    <xf numFmtId="0" fontId="2" fillId="10" borderId="8" xfId="1" applyFont="1" applyFill="1" applyBorder="1" applyProtection="1">
      <alignment vertical="center"/>
      <protection locked="0"/>
    </xf>
    <xf numFmtId="0" fontId="2" fillId="7" borderId="0" xfId="1" applyFont="1" applyFill="1" applyProtection="1">
      <alignment vertical="center"/>
      <protection locked="0"/>
    </xf>
    <xf numFmtId="165" fontId="2" fillId="6" borderId="3" xfId="1" applyNumberFormat="1" applyFont="1" applyFill="1" applyBorder="1" applyProtection="1">
      <alignment vertical="center"/>
      <protection locked="0"/>
    </xf>
    <xf numFmtId="165" fontId="2" fillId="8" borderId="3" xfId="1" applyNumberFormat="1" applyFont="1" applyFill="1" applyBorder="1" applyProtection="1">
      <alignment vertical="center"/>
      <protection locked="0"/>
    </xf>
    <xf numFmtId="0" fontId="2" fillId="6" borderId="0" xfId="1" applyFont="1" applyFill="1" applyProtection="1">
      <alignment vertical="center"/>
      <protection locked="0"/>
    </xf>
    <xf numFmtId="0" fontId="10" fillId="0" borderId="9" xfId="6" applyFont="1" applyBorder="1" applyAlignment="1">
      <alignment horizontal="left" vertical="center"/>
    </xf>
    <xf numFmtId="0" fontId="10" fillId="0" borderId="7" xfId="6" applyFont="1" applyBorder="1" applyAlignment="1">
      <alignment horizontal="left" vertical="center"/>
    </xf>
    <xf numFmtId="0" fontId="10" fillId="13" borderId="7" xfId="6" applyFont="1" applyFill="1" applyBorder="1" applyAlignment="1">
      <alignment horizontal="left" vertical="center"/>
    </xf>
    <xf numFmtId="0" fontId="2" fillId="14" borderId="3" xfId="1" applyFont="1" applyFill="1" applyBorder="1" applyAlignment="1" applyProtection="1">
      <alignment vertical="center" wrapText="1"/>
      <protection locked="0"/>
    </xf>
    <xf numFmtId="0" fontId="2" fillId="14" borderId="3" xfId="1" applyFont="1" applyFill="1" applyBorder="1" applyAlignment="1" applyProtection="1">
      <alignment horizontal="right" vertical="center" wrapText="1"/>
      <protection locked="0"/>
    </xf>
    <xf numFmtId="0" fontId="2" fillId="15" borderId="3" xfId="1" applyFont="1" applyFill="1" applyBorder="1" applyAlignment="1" applyProtection="1">
      <alignment vertical="center" wrapText="1"/>
      <protection locked="0"/>
    </xf>
    <xf numFmtId="0" fontId="2" fillId="16" borderId="0" xfId="1" applyFont="1" applyFill="1" applyProtection="1">
      <alignment vertical="center"/>
      <protection locked="0"/>
    </xf>
    <xf numFmtId="10" fontId="2" fillId="16" borderId="7" xfId="2" applyNumberFormat="1" applyFont="1" applyFill="1" applyBorder="1" applyAlignment="1" applyProtection="1">
      <alignment vertical="center"/>
      <protection locked="0"/>
    </xf>
    <xf numFmtId="0" fontId="2" fillId="16" borderId="8" xfId="1" applyFont="1" applyFill="1" applyBorder="1" applyProtection="1">
      <alignment vertical="center"/>
      <protection locked="0"/>
    </xf>
    <xf numFmtId="0" fontId="2" fillId="16" borderId="3" xfId="1" applyFont="1" applyFill="1" applyBorder="1" applyProtection="1">
      <alignment vertical="center"/>
      <protection locked="0"/>
    </xf>
    <xf numFmtId="10" fontId="2" fillId="16" borderId="0" xfId="2" applyNumberFormat="1" applyFont="1" applyFill="1" applyAlignment="1" applyProtection="1">
      <alignment vertical="center"/>
      <protection locked="0"/>
    </xf>
    <xf numFmtId="1" fontId="2" fillId="16" borderId="0" xfId="1" applyNumberFormat="1" applyFont="1" applyFill="1" applyProtection="1">
      <alignment vertical="center"/>
      <protection locked="0"/>
    </xf>
    <xf numFmtId="14" fontId="2" fillId="16" borderId="0" xfId="1" applyNumberFormat="1" applyFont="1" applyFill="1" applyProtection="1">
      <alignment vertical="center"/>
      <protection locked="0"/>
    </xf>
    <xf numFmtId="9" fontId="4" fillId="16" borderId="0" xfId="4" applyFont="1" applyFill="1" applyProtection="1">
      <alignment vertical="center"/>
      <protection locked="0"/>
    </xf>
    <xf numFmtId="164" fontId="2" fillId="16" borderId="3" xfId="3" applyNumberFormat="1" applyFont="1" applyFill="1" applyBorder="1" applyAlignment="1" applyProtection="1">
      <alignment vertical="center"/>
      <protection locked="0"/>
    </xf>
    <xf numFmtId="0" fontId="2" fillId="16" borderId="1" xfId="1" applyFont="1" applyFill="1" applyBorder="1" applyAlignment="1" applyProtection="1">
      <alignment horizontal="center" vertical="center" wrapText="1"/>
      <protection locked="0"/>
    </xf>
    <xf numFmtId="165" fontId="2" fillId="16" borderId="3" xfId="1" applyNumberFormat="1" applyFont="1" applyFill="1" applyBorder="1" applyProtection="1">
      <alignment vertical="center"/>
      <protection locked="0"/>
    </xf>
    <xf numFmtId="1" fontId="2" fillId="16" borderId="3" xfId="1" applyNumberFormat="1" applyFont="1" applyFill="1" applyBorder="1" applyProtection="1">
      <alignment vertical="center"/>
      <protection locked="0"/>
    </xf>
    <xf numFmtId="1" fontId="2" fillId="16" borderId="3" xfId="1" applyNumberFormat="1" applyFont="1" applyFill="1" applyBorder="1" applyAlignment="1" applyProtection="1">
      <alignment horizontal="center" vertical="center" wrapText="1"/>
      <protection locked="0"/>
    </xf>
    <xf numFmtId="0" fontId="2" fillId="16" borderId="3" xfId="1" applyFont="1" applyFill="1" applyBorder="1" applyAlignment="1" applyProtection="1">
      <alignment vertical="center" wrapText="1"/>
      <protection locked="0"/>
    </xf>
    <xf numFmtId="0" fontId="10" fillId="16" borderId="7" xfId="6" applyFont="1" applyFill="1" applyBorder="1" applyAlignment="1">
      <alignment horizontal="left" vertical="center"/>
    </xf>
    <xf numFmtId="0" fontId="2" fillId="16" borderId="3" xfId="1" applyFont="1" applyFill="1" applyBorder="1" applyAlignment="1" applyProtection="1">
      <alignment horizontal="right" vertical="center"/>
      <protection locked="0"/>
    </xf>
    <xf numFmtId="0" fontId="2" fillId="11" borderId="3" xfId="1" applyFont="1" applyFill="1" applyBorder="1" applyAlignment="1" applyProtection="1">
      <alignment vertical="center" wrapText="1"/>
      <protection locked="0"/>
    </xf>
    <xf numFmtId="0" fontId="10" fillId="13" borderId="10" xfId="6" applyFont="1" applyFill="1" applyBorder="1" applyAlignment="1">
      <alignment horizontal="left" vertical="center"/>
    </xf>
    <xf numFmtId="0" fontId="10" fillId="0" borderId="10" xfId="6" applyFont="1" applyBorder="1" applyAlignment="1">
      <alignment horizontal="left" vertical="center"/>
    </xf>
    <xf numFmtId="10" fontId="2" fillId="7" borderId="7" xfId="2" applyNumberFormat="1" applyFont="1" applyFill="1" applyBorder="1" applyAlignment="1" applyProtection="1">
      <alignment vertical="center"/>
      <protection locked="0"/>
    </xf>
    <xf numFmtId="0" fontId="2" fillId="7" borderId="8" xfId="1" applyFont="1" applyFill="1" applyBorder="1" applyProtection="1">
      <alignment vertical="center"/>
      <protection locked="0"/>
    </xf>
    <xf numFmtId="10" fontId="2" fillId="7" borderId="0" xfId="2" applyNumberFormat="1" applyFont="1" applyFill="1" applyAlignment="1" applyProtection="1">
      <alignment vertical="center"/>
      <protection locked="0"/>
    </xf>
    <xf numFmtId="1" fontId="2" fillId="7" borderId="0" xfId="1" applyNumberFormat="1" applyFont="1" applyFill="1" applyProtection="1">
      <alignment vertical="center"/>
      <protection locked="0"/>
    </xf>
    <xf numFmtId="14" fontId="2" fillId="7" borderId="0" xfId="1" applyNumberFormat="1" applyFont="1" applyFill="1" applyProtection="1">
      <alignment vertical="center"/>
      <protection locked="0"/>
    </xf>
    <xf numFmtId="9" fontId="4" fillId="7" borderId="0" xfId="4" applyFont="1" applyFill="1" applyProtection="1">
      <alignment vertical="center"/>
      <protection locked="0"/>
    </xf>
    <xf numFmtId="1" fontId="2" fillId="7" borderId="3" xfId="1" applyNumberFormat="1" applyFont="1" applyFill="1" applyBorder="1" applyProtection="1">
      <alignment vertical="center"/>
      <protection locked="0"/>
    </xf>
    <xf numFmtId="0" fontId="2" fillId="7" borderId="3" xfId="1" applyFont="1" applyFill="1" applyBorder="1" applyAlignment="1" applyProtection="1">
      <alignment horizontal="center" vertical="center" wrapText="1"/>
      <protection locked="0"/>
    </xf>
    <xf numFmtId="0" fontId="2" fillId="7" borderId="3" xfId="1" applyFont="1" applyFill="1" applyBorder="1" applyAlignment="1" applyProtection="1">
      <alignment vertical="center" wrapText="1"/>
      <protection locked="0"/>
    </xf>
    <xf numFmtId="0" fontId="2" fillId="7" borderId="3" xfId="1" applyFont="1" applyFill="1" applyBorder="1" applyAlignment="1" applyProtection="1">
      <alignment horizontal="left" vertical="center"/>
      <protection locked="0"/>
    </xf>
    <xf numFmtId="1" fontId="2" fillId="7" borderId="3" xfId="1" applyNumberFormat="1" applyFont="1" applyFill="1" applyBorder="1" applyAlignment="1" applyProtection="1">
      <alignment horizontal="center" vertical="center" wrapText="1"/>
      <protection locked="0"/>
    </xf>
    <xf numFmtId="0" fontId="2" fillId="0" borderId="3" xfId="1" applyFont="1" applyBorder="1" applyAlignment="1" applyProtection="1">
      <alignment horizontal="right" vertical="center" wrapText="1"/>
      <protection locked="0"/>
    </xf>
    <xf numFmtId="0" fontId="2" fillId="0" borderId="3" xfId="1" applyFont="1" applyBorder="1" applyAlignment="1" applyProtection="1">
      <alignment horizontal="left" vertical="center"/>
      <protection locked="0"/>
    </xf>
    <xf numFmtId="0" fontId="2" fillId="9" borderId="3" xfId="1" applyFont="1" applyFill="1" applyBorder="1" applyAlignment="1" applyProtection="1">
      <alignment horizontal="left" vertical="center" wrapText="1"/>
      <protection locked="0"/>
    </xf>
    <xf numFmtId="1" fontId="2" fillId="9" borderId="3" xfId="1" applyNumberFormat="1" applyFont="1" applyFill="1" applyBorder="1" applyAlignment="1" applyProtection="1">
      <alignment horizontal="right" vertical="center" wrapText="1"/>
      <protection locked="0"/>
    </xf>
    <xf numFmtId="0" fontId="2" fillId="9" borderId="3" xfId="1" applyFont="1" applyFill="1" applyBorder="1" applyAlignment="1" applyProtection="1">
      <alignment horizontal="right" vertical="center" wrapText="1"/>
      <protection locked="0"/>
    </xf>
    <xf numFmtId="0" fontId="4" fillId="0" borderId="0" xfId="4" applyNumberFormat="1" applyFont="1" applyProtection="1">
      <alignment vertical="center"/>
      <protection locked="0"/>
    </xf>
    <xf numFmtId="10" fontId="2" fillId="6" borderId="0" xfId="2" applyNumberFormat="1" applyFont="1" applyFill="1" applyAlignment="1" applyProtection="1">
      <alignment vertical="center"/>
      <protection locked="0"/>
    </xf>
    <xf numFmtId="1" fontId="2" fillId="11" borderId="0" xfId="1" applyNumberFormat="1" applyFont="1" applyFill="1" applyProtection="1">
      <alignment vertical="center"/>
      <protection locked="0"/>
    </xf>
    <xf numFmtId="9" fontId="4" fillId="11" borderId="0" xfId="4" applyFont="1" applyFill="1" applyProtection="1">
      <alignment vertical="center"/>
      <protection locked="0"/>
    </xf>
    <xf numFmtId="164" fontId="2" fillId="6" borderId="3" xfId="3" applyNumberFormat="1" applyFont="1" applyFill="1" applyBorder="1" applyAlignment="1" applyProtection="1">
      <alignment vertical="center"/>
      <protection locked="0"/>
    </xf>
    <xf numFmtId="0" fontId="2" fillId="14" borderId="3" xfId="1" applyFont="1" applyFill="1" applyBorder="1" applyAlignment="1" applyProtection="1">
      <alignment horizontal="left" vertical="center" wrapText="1"/>
      <protection locked="0"/>
    </xf>
    <xf numFmtId="0" fontId="2" fillId="10" borderId="11" xfId="1" applyFont="1" applyFill="1" applyBorder="1" applyProtection="1">
      <alignment vertical="center"/>
      <protection locked="0"/>
    </xf>
    <xf numFmtId="0" fontId="2" fillId="0" borderId="7" xfId="1" applyFont="1" applyBorder="1" applyProtection="1">
      <alignment vertical="center"/>
      <protection locked="0"/>
    </xf>
    <xf numFmtId="0" fontId="2" fillId="0" borderId="8" xfId="1" applyFont="1" applyBorder="1" applyProtection="1">
      <alignment vertical="center"/>
      <protection locked="0"/>
    </xf>
    <xf numFmtId="16" fontId="2" fillId="10" borderId="12" xfId="1" applyNumberFormat="1" applyFont="1" applyFill="1" applyBorder="1" applyAlignment="1" applyProtection="1">
      <alignment horizontal="center" vertical="center" wrapText="1"/>
      <protection locked="0"/>
    </xf>
    <xf numFmtId="16" fontId="2" fillId="10" borderId="0" xfId="1" applyNumberFormat="1" applyFont="1" applyFill="1" applyAlignment="1" applyProtection="1">
      <alignment horizontal="center" vertical="center" wrapText="1"/>
      <protection locked="0"/>
    </xf>
    <xf numFmtId="0" fontId="11" fillId="12" borderId="1" xfId="1" applyFont="1" applyFill="1" applyBorder="1" applyAlignment="1" applyProtection="1">
      <alignment horizontal="center" vertical="center" wrapText="1"/>
      <protection locked="0"/>
    </xf>
    <xf numFmtId="0" fontId="12" fillId="0" borderId="1" xfId="1" applyFont="1" applyBorder="1" applyAlignment="1" applyProtection="1">
      <alignment horizontal="center" vertical="center" wrapText="1"/>
      <protection locked="0"/>
    </xf>
    <xf numFmtId="0" fontId="2" fillId="0" borderId="19" xfId="1" applyFont="1" applyBorder="1" applyProtection="1">
      <alignment vertical="center"/>
      <protection locked="0"/>
    </xf>
    <xf numFmtId="0" fontId="2" fillId="0" borderId="20" xfId="1" applyFont="1" applyBorder="1" applyProtection="1">
      <alignment vertical="center"/>
      <protection locked="0"/>
    </xf>
    <xf numFmtId="0" fontId="2" fillId="0" borderId="21" xfId="1" applyFont="1" applyBorder="1" applyProtection="1">
      <alignment vertical="center"/>
      <protection locked="0"/>
    </xf>
    <xf numFmtId="10" fontId="2" fillId="7" borderId="22" xfId="2" applyNumberFormat="1" applyFont="1" applyFill="1" applyBorder="1" applyAlignment="1" applyProtection="1">
      <alignment vertical="center"/>
      <protection locked="0"/>
    </xf>
    <xf numFmtId="0" fontId="2" fillId="7" borderId="23" xfId="1" applyFont="1" applyFill="1" applyBorder="1" applyProtection="1">
      <alignment vertical="center"/>
      <protection locked="0"/>
    </xf>
    <xf numFmtId="0" fontId="2" fillId="4" borderId="0" xfId="1" applyFont="1" applyFill="1" applyAlignment="1" applyProtection="1">
      <alignment horizontal="right" vertical="center"/>
      <protection locked="0"/>
    </xf>
    <xf numFmtId="0" fontId="2" fillId="7" borderId="1" xfId="1" applyFont="1" applyFill="1" applyBorder="1" applyProtection="1">
      <alignment vertical="center"/>
      <protection locked="0"/>
    </xf>
    <xf numFmtId="0" fontId="2" fillId="7" borderId="1" xfId="1" applyFont="1" applyFill="1" applyBorder="1" applyAlignment="1" applyProtection="1">
      <alignment horizontal="center" vertical="center" wrapText="1"/>
      <protection locked="0"/>
    </xf>
    <xf numFmtId="0" fontId="2" fillId="7" borderId="1" xfId="1" applyFont="1" applyFill="1" applyBorder="1" applyAlignment="1" applyProtection="1">
      <alignment vertical="center" wrapText="1"/>
      <protection locked="0"/>
    </xf>
    <xf numFmtId="0" fontId="2" fillId="7" borderId="1" xfId="1" applyFont="1" applyFill="1" applyBorder="1" applyAlignment="1" applyProtection="1">
      <alignment horizontal="right" vertical="center"/>
      <protection locked="0"/>
    </xf>
    <xf numFmtId="10" fontId="2" fillId="7" borderId="24" xfId="2" applyNumberFormat="1" applyFont="1" applyFill="1" applyBorder="1" applyAlignment="1" applyProtection="1">
      <alignment vertical="center"/>
      <protection locked="0"/>
    </xf>
    <xf numFmtId="0" fontId="2" fillId="7" borderId="25" xfId="1" applyFont="1" applyFill="1" applyBorder="1" applyProtection="1">
      <alignment vertical="center"/>
      <protection locked="0"/>
    </xf>
    <xf numFmtId="10" fontId="2" fillId="7" borderId="25" xfId="2" applyNumberFormat="1" applyFont="1" applyFill="1" applyBorder="1" applyAlignment="1" applyProtection="1">
      <alignment vertical="center"/>
      <protection locked="0"/>
    </xf>
    <xf numFmtId="0" fontId="2" fillId="7" borderId="26" xfId="1" applyFont="1" applyFill="1" applyBorder="1" applyProtection="1">
      <alignment vertical="center"/>
      <protection locked="0"/>
    </xf>
    <xf numFmtId="1" fontId="2" fillId="10" borderId="0" xfId="1" applyNumberFormat="1" applyFont="1" applyFill="1" applyProtection="1">
      <alignment vertical="center"/>
      <protection locked="0"/>
    </xf>
    <xf numFmtId="0" fontId="2" fillId="4" borderId="3" xfId="1" applyFont="1" applyFill="1" applyBorder="1" applyAlignment="1" applyProtection="1">
      <alignment horizontal="right" vertical="center"/>
      <protection locked="0"/>
    </xf>
    <xf numFmtId="0" fontId="2" fillId="4" borderId="3" xfId="1" applyFont="1" applyFill="1" applyBorder="1" applyAlignment="1" applyProtection="1">
      <alignment horizontal="left" vertical="center"/>
      <protection locked="0"/>
    </xf>
    <xf numFmtId="0" fontId="2" fillId="17" borderId="0" xfId="1" applyFont="1" applyFill="1" applyProtection="1">
      <alignment vertical="center"/>
      <protection locked="0"/>
    </xf>
    <xf numFmtId="10" fontId="2" fillId="17" borderId="7" xfId="2" applyNumberFormat="1" applyFont="1" applyFill="1" applyBorder="1" applyAlignment="1" applyProtection="1">
      <alignment vertical="center"/>
      <protection locked="0"/>
    </xf>
    <xf numFmtId="0" fontId="2" fillId="17" borderId="8" xfId="1" applyFont="1" applyFill="1" applyBorder="1" applyProtection="1">
      <alignment vertical="center"/>
      <protection locked="0"/>
    </xf>
    <xf numFmtId="0" fontId="2" fillId="17" borderId="3" xfId="1" applyFont="1" applyFill="1" applyBorder="1" applyProtection="1">
      <alignment vertical="center"/>
      <protection locked="0"/>
    </xf>
    <xf numFmtId="10" fontId="2" fillId="17" borderId="0" xfId="2" applyNumberFormat="1" applyFont="1" applyFill="1" applyAlignment="1" applyProtection="1">
      <alignment vertical="center"/>
      <protection locked="0"/>
    </xf>
    <xf numFmtId="1" fontId="2" fillId="17" borderId="0" xfId="1" applyNumberFormat="1" applyFont="1" applyFill="1" applyProtection="1">
      <alignment vertical="center"/>
      <protection locked="0"/>
    </xf>
    <xf numFmtId="14" fontId="2" fillId="17" borderId="0" xfId="1" applyNumberFormat="1" applyFont="1" applyFill="1" applyProtection="1">
      <alignment vertical="center"/>
      <protection locked="0"/>
    </xf>
    <xf numFmtId="9" fontId="4" fillId="17" borderId="0" xfId="4" applyFont="1" applyFill="1" applyProtection="1">
      <alignment vertical="center"/>
      <protection locked="0"/>
    </xf>
    <xf numFmtId="164" fontId="2" fillId="17" borderId="3" xfId="3" applyNumberFormat="1" applyFont="1" applyFill="1" applyBorder="1" applyAlignment="1" applyProtection="1">
      <alignment vertical="center"/>
      <protection locked="0"/>
    </xf>
    <xf numFmtId="0" fontId="2" fillId="17" borderId="3" xfId="1" applyFont="1" applyFill="1" applyBorder="1" applyAlignment="1" applyProtection="1">
      <alignment horizontal="right" vertical="center"/>
      <protection locked="0"/>
    </xf>
    <xf numFmtId="0" fontId="2" fillId="17" borderId="1" xfId="1" applyFont="1" applyFill="1" applyBorder="1" applyAlignment="1" applyProtection="1">
      <alignment horizontal="center" vertical="center" wrapText="1"/>
      <protection locked="0"/>
    </xf>
    <xf numFmtId="165" fontId="2" fillId="17" borderId="3" xfId="1" applyNumberFormat="1" applyFont="1" applyFill="1" applyBorder="1" applyProtection="1">
      <alignment vertical="center"/>
      <protection locked="0"/>
    </xf>
    <xf numFmtId="1" fontId="2" fillId="17" borderId="3" xfId="1" applyNumberFormat="1" applyFont="1" applyFill="1" applyBorder="1" applyProtection="1">
      <alignment vertical="center"/>
      <protection locked="0"/>
    </xf>
    <xf numFmtId="1" fontId="2" fillId="17" borderId="3" xfId="1" applyNumberFormat="1" applyFont="1" applyFill="1" applyBorder="1" applyAlignment="1" applyProtection="1">
      <alignment horizontal="center" vertical="center" wrapText="1"/>
      <protection locked="0"/>
    </xf>
    <xf numFmtId="0" fontId="2" fillId="17" borderId="3" xfId="1" applyFont="1" applyFill="1" applyBorder="1" applyAlignment="1" applyProtection="1">
      <alignment vertical="center" wrapText="1"/>
      <protection locked="0"/>
    </xf>
    <xf numFmtId="0" fontId="2" fillId="17" borderId="3" xfId="1" applyFont="1" applyFill="1" applyBorder="1" applyAlignment="1" applyProtection="1">
      <alignment horizontal="left" vertical="center"/>
      <protection locked="0"/>
    </xf>
    <xf numFmtId="0" fontId="15" fillId="17" borderId="3" xfId="1" applyFont="1" applyFill="1" applyBorder="1" applyAlignment="1" applyProtection="1">
      <alignment horizontal="right" vertical="center"/>
      <protection locked="0"/>
    </xf>
    <xf numFmtId="0" fontId="2" fillId="0" borderId="23" xfId="1" applyFont="1" applyBorder="1" applyProtection="1">
      <alignment vertical="center"/>
      <protection locked="0"/>
    </xf>
    <xf numFmtId="0" fontId="2" fillId="10" borderId="7" xfId="1" applyFont="1" applyFill="1" applyBorder="1" applyProtection="1">
      <alignment vertical="center"/>
      <protection locked="0"/>
    </xf>
    <xf numFmtId="0" fontId="2" fillId="0" borderId="2" xfId="1" applyFont="1" applyBorder="1" applyProtection="1">
      <alignment vertical="center"/>
      <protection locked="0"/>
    </xf>
    <xf numFmtId="0" fontId="16" fillId="10" borderId="22" xfId="1" applyFont="1" applyFill="1" applyBorder="1" applyAlignment="1" applyProtection="1">
      <alignment horizontal="center" vertical="center"/>
      <protection locked="0"/>
    </xf>
    <xf numFmtId="0" fontId="16" fillId="10" borderId="0" xfId="1" applyFont="1" applyFill="1" applyAlignment="1" applyProtection="1">
      <alignment horizontal="center" vertical="center"/>
      <protection locked="0"/>
    </xf>
    <xf numFmtId="164" fontId="2" fillId="3" borderId="0" xfId="3" applyNumberFormat="1" applyFont="1" applyFill="1" applyBorder="1" applyAlignment="1" applyProtection="1">
      <alignment vertical="center"/>
      <protection locked="0"/>
    </xf>
    <xf numFmtId="0" fontId="2" fillId="10" borderId="0" xfId="1" applyFont="1" applyFill="1" applyAlignment="1" applyProtection="1">
      <alignment horizontal="right" vertical="center"/>
      <protection locked="0"/>
    </xf>
    <xf numFmtId="0" fontId="2" fillId="5" borderId="0" xfId="1" applyFont="1" applyFill="1" applyAlignment="1" applyProtection="1">
      <alignment horizontal="center" vertical="center" wrapText="1"/>
      <protection locked="0"/>
    </xf>
    <xf numFmtId="0" fontId="2" fillId="2" borderId="0" xfId="1" applyFont="1" applyFill="1" applyAlignment="1" applyProtection="1">
      <alignment horizontal="center" vertical="center" wrapText="1"/>
      <protection locked="0"/>
    </xf>
    <xf numFmtId="165" fontId="2" fillId="6" borderId="0" xfId="1" applyNumberFormat="1" applyFont="1" applyFill="1" applyProtection="1">
      <alignment vertical="center"/>
      <protection locked="0"/>
    </xf>
    <xf numFmtId="165" fontId="2" fillId="3" borderId="0" xfId="1" applyNumberFormat="1" applyFont="1" applyFill="1" applyProtection="1">
      <alignment vertical="center"/>
      <protection locked="0"/>
    </xf>
    <xf numFmtId="0" fontId="2" fillId="10" borderId="3" xfId="1" applyFont="1" applyFill="1" applyBorder="1" applyAlignment="1" applyProtection="1">
      <alignment horizontal="right" vertical="center"/>
      <protection locked="0"/>
    </xf>
    <xf numFmtId="164" fontId="2" fillId="10" borderId="3" xfId="1" applyNumberFormat="1" applyFont="1" applyFill="1" applyBorder="1" applyAlignment="1" applyProtection="1">
      <alignment horizontal="center" vertical="center" wrapText="1"/>
      <protection locked="0"/>
    </xf>
    <xf numFmtId="164" fontId="2" fillId="10" borderId="3" xfId="1" applyNumberFormat="1" applyFont="1" applyFill="1" applyBorder="1" applyAlignment="1" applyProtection="1">
      <alignment vertical="center" wrapText="1"/>
      <protection locked="0"/>
    </xf>
    <xf numFmtId="0" fontId="2" fillId="0" borderId="27" xfId="1" applyFont="1" applyBorder="1" applyProtection="1">
      <alignment vertical="center"/>
      <protection locked="0"/>
    </xf>
    <xf numFmtId="10" fontId="2" fillId="6" borderId="7" xfId="2" applyNumberFormat="1" applyFont="1" applyFill="1" applyBorder="1" applyAlignment="1" applyProtection="1">
      <alignment vertical="center"/>
      <protection locked="0"/>
    </xf>
    <xf numFmtId="0" fontId="2" fillId="6" borderId="8" xfId="1" applyFont="1" applyFill="1" applyBorder="1" applyProtection="1">
      <alignment vertical="center"/>
      <protection locked="0"/>
    </xf>
    <xf numFmtId="1" fontId="2" fillId="6" borderId="0" xfId="1" applyNumberFormat="1" applyFont="1" applyFill="1" applyProtection="1">
      <alignment vertical="center"/>
      <protection locked="0"/>
    </xf>
    <xf numFmtId="14" fontId="2" fillId="6" borderId="0" xfId="1" applyNumberFormat="1" applyFont="1" applyFill="1" applyProtection="1">
      <alignment vertical="center"/>
      <protection locked="0"/>
    </xf>
    <xf numFmtId="9" fontId="4" fillId="6" borderId="0" xfId="4" applyFont="1" applyFill="1" applyProtection="1">
      <alignment vertical="center"/>
      <protection locked="0"/>
    </xf>
    <xf numFmtId="164" fontId="2" fillId="6" borderId="3" xfId="1" applyNumberFormat="1" applyFont="1" applyFill="1" applyBorder="1" applyAlignment="1" applyProtection="1">
      <alignment horizontal="center" vertical="center" wrapText="1"/>
      <protection locked="0"/>
    </xf>
    <xf numFmtId="164" fontId="2" fillId="6" borderId="3" xfId="1" applyNumberFormat="1" applyFont="1" applyFill="1" applyBorder="1" applyAlignment="1" applyProtection="1">
      <alignment vertical="center" wrapText="1"/>
      <protection locked="0"/>
    </xf>
    <xf numFmtId="164" fontId="2" fillId="7" borderId="3" xfId="3" applyNumberFormat="1" applyFont="1" applyFill="1" applyBorder="1" applyAlignment="1" applyProtection="1">
      <alignment vertical="center"/>
      <protection locked="0"/>
    </xf>
    <xf numFmtId="164" fontId="2" fillId="7" borderId="3" xfId="1" applyNumberFormat="1" applyFont="1" applyFill="1" applyBorder="1" applyAlignment="1" applyProtection="1">
      <alignment horizontal="center" vertical="center" wrapText="1"/>
      <protection locked="0"/>
    </xf>
    <xf numFmtId="164" fontId="2" fillId="7" borderId="3" xfId="1" applyNumberFormat="1" applyFont="1" applyFill="1" applyBorder="1" applyAlignment="1" applyProtection="1">
      <alignment vertical="center" wrapText="1"/>
      <protection locked="0"/>
    </xf>
    <xf numFmtId="164" fontId="2" fillId="10" borderId="3" xfId="3" applyNumberFormat="1" applyFont="1" applyFill="1" applyBorder="1" applyAlignment="1" applyProtection="1">
      <alignment horizontal="center" vertical="center" wrapText="1"/>
      <protection locked="0"/>
    </xf>
    <xf numFmtId="0" fontId="6" fillId="10" borderId="3" xfId="1" applyFont="1" applyFill="1" applyBorder="1" applyAlignment="1" applyProtection="1">
      <alignment horizontal="left" vertical="center"/>
      <protection locked="0"/>
    </xf>
    <xf numFmtId="164" fontId="6" fillId="10" borderId="3" xfId="3" applyNumberFormat="1" applyFont="1" applyFill="1" applyBorder="1" applyAlignment="1" applyProtection="1">
      <alignment vertical="center"/>
      <protection locked="0"/>
    </xf>
    <xf numFmtId="164" fontId="6" fillId="10" borderId="3" xfId="3" applyNumberFormat="1" applyFont="1" applyFill="1" applyBorder="1" applyAlignment="1" applyProtection="1">
      <alignment horizontal="center" vertical="center" wrapText="1"/>
      <protection locked="0"/>
    </xf>
    <xf numFmtId="1" fontId="6" fillId="10" borderId="3" xfId="1" applyNumberFormat="1" applyFont="1" applyFill="1" applyBorder="1" applyAlignment="1" applyProtection="1">
      <alignment vertical="center" wrapText="1"/>
      <protection locked="0"/>
    </xf>
    <xf numFmtId="0" fontId="6" fillId="10" borderId="3" xfId="1" applyFont="1" applyFill="1" applyBorder="1" applyProtection="1">
      <alignment vertical="center"/>
      <protection locked="0"/>
    </xf>
    <xf numFmtId="1" fontId="2" fillId="11" borderId="3" xfId="1" applyNumberFormat="1" applyFont="1" applyFill="1" applyBorder="1" applyProtection="1">
      <alignment vertical="center"/>
      <protection locked="0"/>
    </xf>
    <xf numFmtId="0" fontId="7" fillId="10" borderId="3" xfId="1" applyFont="1" applyFill="1" applyBorder="1" applyAlignment="1" applyProtection="1">
      <alignment horizontal="center" vertical="center"/>
      <protection locked="0"/>
    </xf>
    <xf numFmtId="1" fontId="6" fillId="10" borderId="3" xfId="1" applyNumberFormat="1" applyFont="1" applyFill="1" applyBorder="1" applyProtection="1">
      <alignment vertical="center"/>
      <protection locked="0"/>
    </xf>
    <xf numFmtId="164" fontId="2" fillId="0" borderId="3" xfId="3" applyNumberFormat="1" applyFont="1" applyBorder="1" applyAlignment="1" applyProtection="1">
      <alignment horizontal="center" vertical="center" wrapText="1"/>
      <protection locked="0"/>
    </xf>
    <xf numFmtId="0" fontId="6" fillId="10" borderId="3" xfId="1" applyFont="1" applyFill="1" applyBorder="1" applyAlignment="1" applyProtection="1">
      <alignment vertical="center" wrapText="1"/>
      <protection locked="0"/>
    </xf>
    <xf numFmtId="0" fontId="7" fillId="0" borderId="28" xfId="1" applyFont="1" applyBorder="1" applyAlignment="1" applyProtection="1">
      <alignment horizontal="center" vertical="center" wrapText="1"/>
      <protection locked="0"/>
    </xf>
    <xf numFmtId="0" fontId="7" fillId="0" borderId="29" xfId="1" applyFont="1" applyBorder="1" applyAlignment="1" applyProtection="1">
      <alignment horizontal="center" vertical="center" wrapText="1"/>
      <protection locked="0"/>
    </xf>
    <xf numFmtId="0" fontId="7" fillId="0" borderId="30" xfId="1" applyFont="1" applyBorder="1" applyAlignment="1" applyProtection="1">
      <alignment horizontal="center" vertical="center" wrapText="1"/>
      <protection locked="0"/>
    </xf>
    <xf numFmtId="0" fontId="2" fillId="0" borderId="12" xfId="1" applyFont="1" applyBorder="1" applyProtection="1">
      <alignment vertical="center"/>
      <protection locked="0"/>
    </xf>
    <xf numFmtId="164" fontId="2" fillId="3" borderId="1" xfId="3" applyNumberFormat="1" applyFont="1" applyFill="1" applyBorder="1" applyAlignment="1" applyProtection="1">
      <alignment horizontal="center" vertical="center"/>
      <protection locked="0"/>
    </xf>
    <xf numFmtId="0" fontId="2" fillId="4" borderId="1" xfId="1" applyFont="1" applyFill="1" applyBorder="1" applyAlignment="1" applyProtection="1">
      <alignment horizontal="center" vertical="center"/>
      <protection locked="0"/>
    </xf>
    <xf numFmtId="2" fontId="2" fillId="0" borderId="0" xfId="1" applyNumberFormat="1" applyFont="1" applyProtection="1">
      <alignment vertical="center"/>
      <protection locked="0"/>
    </xf>
    <xf numFmtId="164" fontId="17" fillId="0" borderId="27" xfId="3" applyNumberFormat="1" applyFont="1" applyBorder="1" applyAlignment="1" applyProtection="1">
      <alignment vertical="center"/>
      <protection locked="0"/>
    </xf>
    <xf numFmtId="164" fontId="2" fillId="0" borderId="27" xfId="3" applyNumberFormat="1" applyFont="1" applyBorder="1" applyAlignment="1" applyProtection="1">
      <alignment vertical="center"/>
      <protection locked="0"/>
    </xf>
    <xf numFmtId="0" fontId="2" fillId="0" borderId="27" xfId="1" applyFont="1" applyBorder="1" applyAlignment="1" applyProtection="1">
      <alignment horizontal="center" vertical="center" wrapText="1"/>
      <protection locked="0"/>
    </xf>
    <xf numFmtId="0" fontId="2" fillId="0" borderId="27" xfId="1" applyFont="1" applyBorder="1" applyAlignment="1" applyProtection="1">
      <alignment vertical="center" wrapText="1"/>
      <protection locked="0"/>
    </xf>
    <xf numFmtId="16" fontId="2" fillId="0" borderId="27" xfId="1" applyNumberFormat="1" applyFont="1" applyBorder="1" applyAlignment="1" applyProtection="1">
      <alignment horizontal="right" vertical="center"/>
      <protection locked="0"/>
    </xf>
    <xf numFmtId="16" fontId="2" fillId="0" borderId="27" xfId="1" applyNumberFormat="1" applyFont="1" applyBorder="1" applyProtection="1">
      <alignment vertical="center"/>
      <protection locked="0"/>
    </xf>
    <xf numFmtId="164" fontId="17" fillId="0" borderId="0" xfId="3" applyNumberFormat="1" applyFont="1" applyAlignment="1">
      <alignment vertical="center"/>
    </xf>
    <xf numFmtId="16" fontId="2" fillId="4" borderId="15" xfId="1" applyNumberFormat="1" applyFont="1" applyFill="1" applyBorder="1" applyAlignment="1" applyProtection="1">
      <alignment horizontal="center" vertical="center"/>
      <protection locked="0"/>
    </xf>
    <xf numFmtId="16" fontId="2" fillId="4" borderId="14" xfId="1" applyNumberFormat="1" applyFont="1" applyFill="1" applyBorder="1" applyAlignment="1" applyProtection="1">
      <alignment horizontal="center" vertical="center"/>
      <protection locked="0"/>
    </xf>
    <xf numFmtId="16" fontId="2" fillId="4" borderId="13" xfId="1" applyNumberFormat="1" applyFont="1" applyFill="1" applyBorder="1" applyAlignment="1" applyProtection="1">
      <alignment horizontal="center" vertical="center"/>
      <protection locked="0"/>
    </xf>
    <xf numFmtId="1" fontId="6" fillId="10" borderId="0" xfId="1" applyNumberFormat="1" applyFont="1" applyFill="1" applyAlignment="1" applyProtection="1">
      <alignment horizontal="center" vertical="center" wrapText="1"/>
      <protection locked="0"/>
    </xf>
    <xf numFmtId="0" fontId="6" fillId="10" borderId="0" xfId="1" applyFont="1" applyFill="1" applyAlignment="1" applyProtection="1">
      <alignment horizontal="center" vertical="center" wrapText="1"/>
      <protection locked="0"/>
    </xf>
    <xf numFmtId="0" fontId="14" fillId="10" borderId="26" xfId="1" applyFont="1" applyFill="1" applyBorder="1" applyAlignment="1" applyProtection="1">
      <alignment horizontal="center" vertical="center"/>
      <protection locked="0"/>
    </xf>
    <xf numFmtId="0" fontId="14" fillId="10" borderId="25" xfId="1" applyFont="1" applyFill="1" applyBorder="1" applyAlignment="1" applyProtection="1">
      <alignment horizontal="center" vertical="center"/>
      <protection locked="0"/>
    </xf>
    <xf numFmtId="0" fontId="14" fillId="10" borderId="24" xfId="1" applyFont="1" applyFill="1" applyBorder="1" applyAlignment="1" applyProtection="1">
      <alignment horizontal="center" vertical="center"/>
      <protection locked="0"/>
    </xf>
    <xf numFmtId="0" fontId="14" fillId="10" borderId="23" xfId="1" applyFont="1" applyFill="1" applyBorder="1" applyAlignment="1" applyProtection="1">
      <alignment horizontal="center" vertical="center"/>
      <protection locked="0"/>
    </xf>
    <xf numFmtId="0" fontId="14" fillId="10" borderId="0" xfId="1" applyFont="1" applyFill="1" applyAlignment="1" applyProtection="1">
      <alignment horizontal="center" vertical="center"/>
      <protection locked="0"/>
    </xf>
    <xf numFmtId="0" fontId="14" fillId="10" borderId="22" xfId="1" applyFont="1" applyFill="1" applyBorder="1" applyAlignment="1" applyProtection="1">
      <alignment horizontal="center" vertical="center"/>
      <protection locked="0"/>
    </xf>
    <xf numFmtId="0" fontId="14" fillId="10" borderId="21" xfId="1" applyFont="1" applyFill="1" applyBorder="1" applyAlignment="1" applyProtection="1">
      <alignment horizontal="center" vertical="center"/>
      <protection locked="0"/>
    </xf>
    <xf numFmtId="0" fontId="14" fillId="10" borderId="20" xfId="1" applyFont="1" applyFill="1" applyBorder="1" applyAlignment="1" applyProtection="1">
      <alignment horizontal="center" vertical="center"/>
      <protection locked="0"/>
    </xf>
    <xf numFmtId="0" fontId="14" fillId="10" borderId="19" xfId="1" applyFont="1" applyFill="1" applyBorder="1" applyAlignment="1" applyProtection="1">
      <alignment horizontal="center" vertical="center"/>
      <protection locked="0"/>
    </xf>
    <xf numFmtId="0" fontId="13" fillId="0" borderId="0" xfId="1" applyFont="1" applyAlignment="1" applyProtection="1">
      <alignment horizontal="center" vertical="center"/>
      <protection locked="0"/>
    </xf>
    <xf numFmtId="16" fontId="2" fillId="4" borderId="18" xfId="1" applyNumberFormat="1" applyFont="1" applyFill="1" applyBorder="1" applyAlignment="1" applyProtection="1">
      <alignment horizontal="center" vertical="center"/>
      <protection locked="0"/>
    </xf>
    <xf numFmtId="16" fontId="2" fillId="4" borderId="17" xfId="1" applyNumberFormat="1" applyFont="1" applyFill="1" applyBorder="1" applyAlignment="1" applyProtection="1">
      <alignment horizontal="center" vertical="center"/>
      <protection locked="0"/>
    </xf>
    <xf numFmtId="16" fontId="2" fillId="4" borderId="16" xfId="1" applyNumberFormat="1" applyFont="1" applyFill="1" applyBorder="1" applyAlignment="1" applyProtection="1">
      <alignment horizontal="center" vertical="center"/>
      <protection locked="0"/>
    </xf>
    <xf numFmtId="0" fontId="7" fillId="0" borderId="6" xfId="1" applyFont="1" applyBorder="1" applyAlignment="1" applyProtection="1">
      <alignment horizontal="center" vertical="center" wrapText="1"/>
      <protection locked="0"/>
    </xf>
    <xf numFmtId="0" fontId="7" fillId="0" borderId="5" xfId="1" applyFont="1" applyBorder="1" applyAlignment="1" applyProtection="1">
      <alignment horizontal="center" vertical="center"/>
      <protection locked="0"/>
    </xf>
    <xf numFmtId="0" fontId="7" fillId="0" borderId="1" xfId="1" applyFont="1" applyBorder="1" applyAlignment="1" applyProtection="1">
      <alignment horizontal="center" vertical="center"/>
      <protection locked="0"/>
    </xf>
    <xf numFmtId="0" fontId="7" fillId="0" borderId="31" xfId="1" applyFont="1" applyBorder="1" applyAlignment="1" applyProtection="1">
      <alignment horizontal="center" vertical="center" wrapText="1"/>
      <protection locked="0"/>
    </xf>
    <xf numFmtId="0" fontId="7" fillId="0" borderId="25" xfId="1" applyFont="1" applyBorder="1" applyAlignment="1" applyProtection="1">
      <alignment horizontal="center" vertical="center" wrapText="1"/>
      <protection locked="0"/>
    </xf>
    <xf numFmtId="0" fontId="7" fillId="0" borderId="30" xfId="1" applyFont="1" applyBorder="1" applyAlignment="1" applyProtection="1">
      <alignment horizontal="center" vertical="center" wrapText="1"/>
      <protection locked="0"/>
    </xf>
    <xf numFmtId="0" fontId="7" fillId="0" borderId="2" xfId="1" applyFont="1" applyBorder="1" applyAlignment="1" applyProtection="1">
      <alignment horizontal="center" vertical="center" wrapText="1"/>
      <protection locked="0"/>
    </xf>
    <xf numFmtId="0" fontId="7" fillId="0" borderId="0" xfId="1" applyFont="1" applyAlignment="1" applyProtection="1">
      <alignment horizontal="center" vertical="center" wrapText="1"/>
      <protection locked="0"/>
    </xf>
    <xf numFmtId="0" fontId="7" fillId="0" borderId="29" xfId="1" applyFont="1" applyBorder="1" applyAlignment="1" applyProtection="1">
      <alignment horizontal="center" vertical="center" wrapText="1"/>
      <protection locked="0"/>
    </xf>
    <xf numFmtId="0" fontId="7" fillId="0" borderId="4" xfId="1" applyFont="1" applyBorder="1" applyAlignment="1" applyProtection="1">
      <alignment horizontal="center" vertical="center" wrapText="1"/>
      <protection locked="0"/>
    </xf>
    <xf numFmtId="0" fontId="7" fillId="0" borderId="27" xfId="1" applyFont="1" applyBorder="1" applyAlignment="1" applyProtection="1">
      <alignment horizontal="center" vertical="center" wrapText="1"/>
      <protection locked="0"/>
    </xf>
    <xf numFmtId="0" fontId="7" fillId="0" borderId="28" xfId="1" applyFont="1" applyBorder="1" applyAlignment="1" applyProtection="1">
      <alignment horizontal="center" vertical="center" wrapText="1"/>
      <protection locked="0"/>
    </xf>
    <xf numFmtId="0" fontId="16" fillId="10" borderId="0" xfId="1" applyFont="1" applyFill="1" applyAlignment="1" applyProtection="1">
      <alignment horizontal="center" vertical="center"/>
      <protection locked="0"/>
    </xf>
    <xf numFmtId="0" fontId="16" fillId="10" borderId="22" xfId="1" applyFont="1" applyFill="1" applyBorder="1" applyAlignment="1" applyProtection="1">
      <alignment horizontal="center" vertical="center"/>
      <protection locked="0"/>
    </xf>
    <xf numFmtId="0" fontId="13" fillId="0" borderId="15" xfId="1" applyFont="1" applyBorder="1" applyAlignment="1" applyProtection="1">
      <alignment horizontal="center" vertical="center"/>
      <protection locked="0"/>
    </xf>
    <xf numFmtId="0" fontId="13" fillId="0" borderId="14" xfId="1" applyFont="1" applyBorder="1" applyAlignment="1" applyProtection="1">
      <alignment horizontal="center" vertical="center"/>
      <protection locked="0"/>
    </xf>
    <xf numFmtId="0" fontId="13" fillId="0" borderId="13" xfId="1" applyFont="1" applyBorder="1" applyAlignment="1" applyProtection="1">
      <alignment horizontal="center" vertical="center"/>
      <protection locked="0"/>
    </xf>
  </cellXfs>
  <cellStyles count="7">
    <cellStyle name="Comma 4" xfId="3" xr:uid="{00000000-0005-0000-0000-000000000000}"/>
    <cellStyle name="Normal" xfId="0" builtinId="0"/>
    <cellStyle name="Normal 2 2" xfId="6" xr:uid="{00000000-0005-0000-0000-000002000000}"/>
    <cellStyle name="Normal 3 2" xfId="1" xr:uid="{00000000-0005-0000-0000-000003000000}"/>
    <cellStyle name="Normal 4" xfId="5" xr:uid="{00000000-0005-0000-0000-000004000000}"/>
    <cellStyle name="Percent 2" xfId="4" xr:uid="{00000000-0005-0000-0000-000005000000}"/>
    <cellStyle name="Percent 4" xfId="2" xr:uid="{00000000-0005-0000-0000-000006000000}"/>
  </cellStyles>
  <dxfs count="36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9" tint="0.39988402966399123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FF33CC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theme="9"/>
        </patternFill>
      </fill>
    </dxf>
    <dxf>
      <fill>
        <patternFill patternType="solid">
          <bgColor rgb="FFFF33CC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TCNAS\Public\3.%20S&#7842;N%20XU&#7844;T-&#35069;&#36896;\3.%20SX2%20%20&#35069;&#36896;2\4.%20B&#225;o%20c&#225;o%20th&#225;ng,%20B&#225;o%20c&#225;o%20KPI,%20B&#225;o%20c&#225;o%20chi%20ph&#237;+%20m&#7909;c%20ti&#234;u%20tr&#7885;ng%20&#273;i&#7875;m\1.%20B&#225;o%20c&#225;o%20s&#7843;n%20xu&#7845;t\2026\7.%20Th&#225;ng%2004-2026\A+B%20GIA%20C&#212;NG%20TH&#193;NG%2004%20-202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G-KH-TT"/>
      <sheetName val="TỔNG ĐIỂM"/>
      <sheetName val="KẾ HOẠCH"/>
      <sheetName val="Cắt lồng"/>
      <sheetName val="Cắt MSP"/>
      <sheetName val="TTKIỂM"/>
      <sheetName val="PP cắt mã"/>
      <sheetName val="Cắt máy + PP máy"/>
      <sheetName val="Lồng máy + PP máy"/>
      <sheetName val="Lồng MSP"/>
      <sheetName val="Năng suất CĐ"/>
      <sheetName val="PP mã lồng"/>
      <sheetName val="Sheet1"/>
      <sheetName val="Người"/>
      <sheetName val="Sheet2"/>
      <sheetName val="Sheet3"/>
    </sheetNames>
    <sheetDataSet>
      <sheetData sheetId="0"/>
      <sheetData sheetId="1"/>
      <sheetData sheetId="2">
        <row r="5">
          <cell r="B5" t="str">
            <v>c2556-2</v>
          </cell>
          <cell r="C5" t="str">
            <v>c2556-11</v>
          </cell>
          <cell r="D5" t="str">
            <v>c2556-8</v>
          </cell>
          <cell r="E5" t="str">
            <v>c2556-9</v>
          </cell>
          <cell r="F5" t="str">
            <v>C2556-auto</v>
          </cell>
          <cell r="G5" t="str">
            <v>c2821</v>
          </cell>
          <cell r="H5" t="str">
            <v>c2822</v>
          </cell>
          <cell r="I5" t="str">
            <v>c8484</v>
          </cell>
          <cell r="J5" t="str">
            <v>c8485</v>
          </cell>
          <cell r="K5" t="str">
            <v>c3880-2</v>
          </cell>
          <cell r="L5" t="str">
            <v>c0977</v>
          </cell>
          <cell r="M5" t="str">
            <v>c3880-8</v>
          </cell>
          <cell r="N5" t="str">
            <v>c3880-9</v>
          </cell>
          <cell r="O5" t="str">
            <v>c9149</v>
          </cell>
          <cell r="P5" t="str">
            <v>c0575</v>
          </cell>
          <cell r="Q5" t="str">
            <v>c3438</v>
          </cell>
          <cell r="R5" t="str">
            <v>c1080</v>
          </cell>
          <cell r="S5" t="str">
            <v>c1090</v>
          </cell>
          <cell r="T5" t="str">
            <v>c1657</v>
          </cell>
          <cell r="U5" t="str">
            <v>c5770-9</v>
          </cell>
          <cell r="V5" t="str">
            <v>c7630</v>
          </cell>
          <cell r="W5" t="str">
            <v>c5770</v>
          </cell>
          <cell r="X5" t="str">
            <v>c8052</v>
          </cell>
          <cell r="Y5" t="str">
            <v>C5770-1</v>
          </cell>
          <cell r="Z5" t="str">
            <v>c8234</v>
          </cell>
          <cell r="AA5" t="str">
            <v>c8235</v>
          </cell>
          <cell r="AB5" t="str">
            <v>c6773</v>
          </cell>
          <cell r="AC5" t="str">
            <v>5243-l</v>
          </cell>
          <cell r="AD5" t="str">
            <v>cpk-r</v>
          </cell>
          <cell r="AE5" t="str">
            <v>c125</v>
          </cell>
          <cell r="AF5" t="str">
            <v>c7236</v>
          </cell>
          <cell r="AG5" t="str">
            <v>c2453</v>
          </cell>
          <cell r="AH5" t="str">
            <v>c79c</v>
          </cell>
          <cell r="AI5" t="str">
            <v>c79c-3</v>
          </cell>
          <cell r="AJ5" t="str">
            <v>cdk1</v>
          </cell>
          <cell r="AK5" t="str">
            <v>c4268</v>
          </cell>
          <cell r="AL5" t="str">
            <v>c8016</v>
          </cell>
          <cell r="AM5" t="str">
            <v>c129</v>
          </cell>
          <cell r="AN5" t="str">
            <v>c9118</v>
          </cell>
          <cell r="AO5" t="str">
            <v>c9142</v>
          </cell>
          <cell r="AP5" t="str">
            <v>c7236-2</v>
          </cell>
          <cell r="AQ5" t="str">
            <v>c1432</v>
          </cell>
          <cell r="AR5" t="str">
            <v>c4268-3</v>
          </cell>
          <cell r="AS5" t="str">
            <v>C129-13</v>
          </cell>
          <cell r="AT5" t="str">
            <v>c8um</v>
          </cell>
          <cell r="AU5" t="str">
            <v>c9118-13</v>
          </cell>
          <cell r="AV5" t="str">
            <v>c8um-3</v>
          </cell>
          <cell r="AW5" t="str">
            <v>ckcn</v>
          </cell>
          <cell r="AX5" t="str">
            <v>cd027u8</v>
          </cell>
          <cell r="AY5" t="str">
            <v>C8016-12</v>
          </cell>
          <cell r="AZ5" t="str">
            <v>c8um-t</v>
          </cell>
          <cell r="BA5" t="str">
            <v>c8uy</v>
          </cell>
          <cell r="BB5" t="str">
            <v>c2401</v>
          </cell>
          <cell r="BC5" t="str">
            <v>c2411</v>
          </cell>
          <cell r="BD5" t="str">
            <v>c3301</v>
          </cell>
          <cell r="BE5" t="str">
            <v>CD02N23</v>
          </cell>
          <cell r="BF5" t="str">
            <v>CD02N3C</v>
          </cell>
          <cell r="BG5" t="str">
            <v>CD02N3F</v>
          </cell>
          <cell r="BL5" t="str">
            <v>c9520</v>
          </cell>
          <cell r="BM5" t="str">
            <v>c8052-auto</v>
          </cell>
          <cell r="BN5" t="str">
            <v>c6491</v>
          </cell>
          <cell r="BO5" t="str">
            <v>Cgyx-auto</v>
          </cell>
          <cell r="BP5" t="str">
            <v>C7630-11</v>
          </cell>
          <cell r="BQ5" t="str">
            <v>c3880-auto</v>
          </cell>
          <cell r="BR5" t="str">
            <v>C5770-auto</v>
          </cell>
          <cell r="BS5" t="str">
            <v>c3880-11</v>
          </cell>
          <cell r="BT5" t="str">
            <v>Cj84</v>
          </cell>
          <cell r="BU5" t="str">
            <v>C6494-t</v>
          </cell>
          <cell r="BV5" t="str">
            <v>C502</v>
          </cell>
          <cell r="BW5" t="str">
            <v>c9149-1</v>
          </cell>
          <cell r="BX5" t="str">
            <v>C6485</v>
          </cell>
          <cell r="BY5" t="str">
            <v>c6486</v>
          </cell>
          <cell r="BZ5" t="str">
            <v>c6487</v>
          </cell>
          <cell r="CA5" t="str">
            <v>c6488</v>
          </cell>
          <cell r="CB5" t="str">
            <v>c6489</v>
          </cell>
          <cell r="CC5" t="str">
            <v>c6490</v>
          </cell>
          <cell r="CD5" t="str">
            <v>c6492</v>
          </cell>
          <cell r="CE5" t="str">
            <v>c6493</v>
          </cell>
          <cell r="CF5" t="str">
            <v>c6494</v>
          </cell>
          <cell r="CG5" t="str">
            <v>c6495</v>
          </cell>
          <cell r="CH5" t="str">
            <v>CGYX-9</v>
          </cell>
          <cell r="CI5" t="str">
            <v>CGYX</v>
          </cell>
          <cell r="CJ5" t="str">
            <v>cgyx-1</v>
          </cell>
          <cell r="CK5" t="str">
            <v>C8052-1</v>
          </cell>
        </row>
        <row r="6">
          <cell r="B6">
            <v>7200</v>
          </cell>
          <cell r="C6">
            <v>6600</v>
          </cell>
          <cell r="D6">
            <v>5600</v>
          </cell>
          <cell r="E6">
            <v>5000</v>
          </cell>
          <cell r="F6">
            <v>5000</v>
          </cell>
          <cell r="G6">
            <v>2400</v>
          </cell>
          <cell r="H6">
            <v>2400</v>
          </cell>
          <cell r="I6">
            <v>2400</v>
          </cell>
          <cell r="J6">
            <v>2400</v>
          </cell>
          <cell r="K6">
            <v>7200</v>
          </cell>
          <cell r="L6">
            <v>1460</v>
          </cell>
          <cell r="M6">
            <v>5600</v>
          </cell>
          <cell r="N6">
            <v>5000</v>
          </cell>
          <cell r="O6">
            <v>6000</v>
          </cell>
          <cell r="P6">
            <v>1460</v>
          </cell>
          <cell r="Q6">
            <v>2600</v>
          </cell>
          <cell r="R6">
            <v>1800</v>
          </cell>
          <cell r="S6">
            <v>2000</v>
          </cell>
          <cell r="T6">
            <v>2600</v>
          </cell>
          <cell r="U6">
            <v>6400</v>
          </cell>
          <cell r="V6">
            <v>5000</v>
          </cell>
          <cell r="W6">
            <v>8000</v>
          </cell>
          <cell r="X6">
            <v>5800</v>
          </cell>
          <cell r="Y6">
            <v>4800</v>
          </cell>
          <cell r="Z6">
            <v>2400</v>
          </cell>
          <cell r="AA6">
            <v>2400</v>
          </cell>
          <cell r="AB6">
            <v>4000</v>
          </cell>
          <cell r="AC6">
            <v>182</v>
          </cell>
          <cell r="AD6">
            <v>2415</v>
          </cell>
          <cell r="AE6">
            <v>2106</v>
          </cell>
          <cell r="AF6">
            <v>900</v>
          </cell>
          <cell r="AG6">
            <v>2130</v>
          </cell>
          <cell r="AH6">
            <v>2415</v>
          </cell>
          <cell r="AI6">
            <v>3066</v>
          </cell>
          <cell r="AJ6">
            <v>2415</v>
          </cell>
          <cell r="AK6">
            <v>2415</v>
          </cell>
          <cell r="AL6">
            <v>4088</v>
          </cell>
          <cell r="AM6">
            <v>3105</v>
          </cell>
          <cell r="AN6">
            <v>2800</v>
          </cell>
          <cell r="AO6">
            <v>4088</v>
          </cell>
          <cell r="AP6">
            <v>500</v>
          </cell>
          <cell r="AQ6">
            <v>800</v>
          </cell>
          <cell r="AR6">
            <v>2715</v>
          </cell>
          <cell r="AS6">
            <v>2415</v>
          </cell>
          <cell r="AT6">
            <v>2415</v>
          </cell>
          <cell r="AU6">
            <v>2415</v>
          </cell>
          <cell r="AV6">
            <v>2415</v>
          </cell>
          <cell r="AW6">
            <v>2250</v>
          </cell>
          <cell r="AX6">
            <v>1440</v>
          </cell>
          <cell r="AY6">
            <v>3220</v>
          </cell>
          <cell r="AZ6">
            <v>1610</v>
          </cell>
          <cell r="BA6">
            <v>850</v>
          </cell>
          <cell r="BB6">
            <v>1440</v>
          </cell>
          <cell r="BC6">
            <v>850</v>
          </cell>
          <cell r="BD6">
            <v>850</v>
          </cell>
          <cell r="BE6">
            <v>900</v>
          </cell>
          <cell r="BF6">
            <v>2415</v>
          </cell>
          <cell r="BG6">
            <v>2415</v>
          </cell>
          <cell r="BL6">
            <v>7200</v>
          </cell>
          <cell r="BM6">
            <v>4500</v>
          </cell>
          <cell r="BN6">
            <v>1525</v>
          </cell>
          <cell r="BO6">
            <v>6000</v>
          </cell>
          <cell r="BP6">
            <v>6600</v>
          </cell>
          <cell r="BQ6">
            <v>4500</v>
          </cell>
          <cell r="BR6">
            <v>6660</v>
          </cell>
          <cell r="BS6">
            <v>6600</v>
          </cell>
          <cell r="BT6">
            <v>2400</v>
          </cell>
          <cell r="BU6">
            <v>812</v>
          </cell>
          <cell r="BV6">
            <v>1560</v>
          </cell>
          <cell r="BW6">
            <v>4480</v>
          </cell>
          <cell r="BX6">
            <v>1525</v>
          </cell>
          <cell r="BY6">
            <v>1625</v>
          </cell>
          <cell r="BZ6">
            <v>1525</v>
          </cell>
          <cell r="CA6">
            <v>1525</v>
          </cell>
          <cell r="CB6">
            <v>1525</v>
          </cell>
          <cell r="CC6">
            <v>1525</v>
          </cell>
          <cell r="CD6">
            <v>1625</v>
          </cell>
          <cell r="CE6">
            <v>1625</v>
          </cell>
          <cell r="CF6">
            <v>1625</v>
          </cell>
          <cell r="CG6">
            <v>1625</v>
          </cell>
          <cell r="CH6">
            <v>6080</v>
          </cell>
          <cell r="CI6">
            <v>7500</v>
          </cell>
          <cell r="CJ6">
            <v>4480</v>
          </cell>
          <cell r="CK6">
            <v>3600</v>
          </cell>
        </row>
        <row r="7">
          <cell r="B7">
            <v>9740</v>
          </cell>
          <cell r="C7">
            <v>2801</v>
          </cell>
          <cell r="D7">
            <v>6262</v>
          </cell>
          <cell r="E7">
            <v>598</v>
          </cell>
          <cell r="F7">
            <v>7133</v>
          </cell>
          <cell r="G7">
            <v>8484</v>
          </cell>
          <cell r="H7">
            <v>8485</v>
          </cell>
          <cell r="I7">
            <v>4563</v>
          </cell>
          <cell r="J7">
            <v>3880</v>
          </cell>
          <cell r="K7">
            <v>7960</v>
          </cell>
          <cell r="L7">
            <v>9149</v>
          </cell>
          <cell r="M7">
            <v>575</v>
          </cell>
          <cell r="N7">
            <v>3438</v>
          </cell>
          <cell r="O7">
            <v>1080</v>
          </cell>
          <cell r="P7">
            <v>1090</v>
          </cell>
          <cell r="Q7">
            <v>1657</v>
          </cell>
          <cell r="R7">
            <v>1660</v>
          </cell>
          <cell r="S7">
            <v>7630</v>
          </cell>
          <cell r="T7" t="str">
            <v>5770-T</v>
          </cell>
          <cell r="U7">
            <v>5861</v>
          </cell>
          <cell r="V7">
            <v>9565</v>
          </cell>
          <cell r="W7">
            <v>8234</v>
          </cell>
          <cell r="X7">
            <v>8235</v>
          </cell>
          <cell r="Y7">
            <v>6773</v>
          </cell>
          <cell r="Z7">
            <v>8052</v>
          </cell>
          <cell r="AC7" t="str">
            <v>4408-T</v>
          </cell>
          <cell r="AD7" t="str">
            <v>4408-L</v>
          </cell>
          <cell r="AE7">
            <v>5243</v>
          </cell>
          <cell r="AF7">
            <v>123</v>
          </cell>
          <cell r="AG7">
            <v>125</v>
          </cell>
          <cell r="AH7">
            <v>7236</v>
          </cell>
          <cell r="AI7">
            <v>2168</v>
          </cell>
          <cell r="AJ7">
            <v>2173</v>
          </cell>
          <cell r="AK7" t="str">
            <v>D02N3C</v>
          </cell>
          <cell r="AL7" t="str">
            <v>D02N3F</v>
          </cell>
          <cell r="AM7">
            <v>4258</v>
          </cell>
          <cell r="AN7">
            <v>8014</v>
          </cell>
          <cell r="AO7">
            <v>127</v>
          </cell>
          <cell r="AP7">
            <v>9116</v>
          </cell>
          <cell r="AQ7">
            <v>9140</v>
          </cell>
          <cell r="AR7">
            <v>9276</v>
          </cell>
          <cell r="AS7" t="str">
            <v>d0049</v>
          </cell>
          <cell r="AT7" t="str">
            <v>8w6</v>
          </cell>
          <cell r="AU7" t="str">
            <v>gfm</v>
          </cell>
          <cell r="AV7" t="str">
            <v>d49</v>
          </cell>
          <cell r="AW7" t="str">
            <v>15u-l</v>
          </cell>
          <cell r="AX7">
            <v>8011</v>
          </cell>
          <cell r="AY7" t="str">
            <v>1432-kt</v>
          </cell>
          <cell r="AZ7" t="str">
            <v>15u-t</v>
          </cell>
          <cell r="BA7" t="str">
            <v>d02n23</v>
          </cell>
          <cell r="BB7">
            <v>6001</v>
          </cell>
          <cell r="BC7" t="str">
            <v>2ss</v>
          </cell>
          <cell r="BD7" t="str">
            <v>9140-3</v>
          </cell>
          <cell r="BE7" t="str">
            <v>6e</v>
          </cell>
          <cell r="BF7" t="str">
            <v>16h</v>
          </cell>
          <cell r="BG7" t="str">
            <v>8uy</v>
          </cell>
          <cell r="BH7" t="str">
            <v>pk</v>
          </cell>
          <cell r="BI7" t="str">
            <v>16d</v>
          </cell>
          <cell r="BJ7" t="str">
            <v>16m</v>
          </cell>
          <cell r="BK7" t="str">
            <v>6e-c1</v>
          </cell>
          <cell r="BL7" t="str">
            <v>6e-c2</v>
          </cell>
          <cell r="BM7" t="str">
            <v>6e/2</v>
          </cell>
          <cell r="BN7" t="str">
            <v>127-t</v>
          </cell>
          <cell r="BO7" t="str">
            <v>8um</v>
          </cell>
          <cell r="BP7" t="str">
            <v>16m-1</v>
          </cell>
          <cell r="BQ7" t="str">
            <v>8w6-1</v>
          </cell>
          <cell r="BR7">
            <v>2495</v>
          </cell>
          <cell r="BS7" t="str">
            <v>9140-1</v>
          </cell>
          <cell r="BT7" t="str">
            <v>gfm-3</v>
          </cell>
          <cell r="BU7" t="str">
            <v>kct</v>
          </cell>
          <cell r="BV7" t="str">
            <v>kcn</v>
          </cell>
          <cell r="BW7">
            <v>4408</v>
          </cell>
          <cell r="BX7" t="str">
            <v>15U</v>
          </cell>
          <cell r="BY7" t="str">
            <v>9295-T</v>
          </cell>
          <cell r="BZ7" t="str">
            <v>9295-L</v>
          </cell>
          <cell r="CA7">
            <v>9295</v>
          </cell>
          <cell r="CB7" t="str">
            <v>D027U8</v>
          </cell>
          <cell r="CC7" t="str">
            <v>LDD027U8</v>
          </cell>
          <cell r="CD7" t="str">
            <v>3301-L</v>
          </cell>
          <cell r="CE7" t="str">
            <v>3301-T</v>
          </cell>
          <cell r="CF7">
            <v>3311</v>
          </cell>
        </row>
        <row r="8">
          <cell r="B8">
            <v>420</v>
          </cell>
          <cell r="C8">
            <v>605</v>
          </cell>
          <cell r="D8">
            <v>420</v>
          </cell>
          <cell r="E8">
            <v>420</v>
          </cell>
          <cell r="F8">
            <v>605</v>
          </cell>
          <cell r="G8">
            <v>540</v>
          </cell>
          <cell r="H8">
            <v>570</v>
          </cell>
          <cell r="I8">
            <v>605</v>
          </cell>
          <cell r="J8">
            <v>400</v>
          </cell>
          <cell r="K8">
            <v>300</v>
          </cell>
          <cell r="L8">
            <v>360</v>
          </cell>
          <cell r="M8">
            <v>300</v>
          </cell>
          <cell r="N8">
            <v>420</v>
          </cell>
          <cell r="O8">
            <v>660</v>
          </cell>
          <cell r="P8">
            <v>660</v>
          </cell>
          <cell r="Q8">
            <v>90</v>
          </cell>
          <cell r="R8">
            <v>90</v>
          </cell>
          <cell r="S8">
            <v>180</v>
          </cell>
          <cell r="T8">
            <v>420</v>
          </cell>
          <cell r="U8">
            <v>605</v>
          </cell>
          <cell r="V8">
            <v>200</v>
          </cell>
          <cell r="W8">
            <v>660</v>
          </cell>
          <cell r="X8">
            <v>660</v>
          </cell>
          <cell r="Y8">
            <v>120</v>
          </cell>
          <cell r="Z8">
            <v>36</v>
          </cell>
          <cell r="AC8">
            <v>162</v>
          </cell>
          <cell r="AD8">
            <v>162</v>
          </cell>
          <cell r="AE8">
            <v>615</v>
          </cell>
          <cell r="AF8">
            <v>320</v>
          </cell>
          <cell r="AG8">
            <v>280</v>
          </cell>
          <cell r="AH8">
            <v>690</v>
          </cell>
          <cell r="AI8">
            <v>600</v>
          </cell>
          <cell r="AJ8">
            <v>600</v>
          </cell>
          <cell r="AK8">
            <v>335</v>
          </cell>
          <cell r="AL8">
            <v>335</v>
          </cell>
          <cell r="AM8">
            <v>335</v>
          </cell>
          <cell r="AN8">
            <v>550</v>
          </cell>
          <cell r="AO8">
            <v>500</v>
          </cell>
          <cell r="AP8">
            <v>300</v>
          </cell>
          <cell r="AQ8">
            <v>500</v>
          </cell>
          <cell r="AR8">
            <v>500</v>
          </cell>
          <cell r="AS8">
            <v>430</v>
          </cell>
          <cell r="AT8">
            <v>335</v>
          </cell>
          <cell r="AU8">
            <v>510</v>
          </cell>
          <cell r="AV8">
            <v>355</v>
          </cell>
          <cell r="AW8">
            <v>180</v>
          </cell>
          <cell r="AX8">
            <v>200</v>
          </cell>
          <cell r="AY8">
            <v>600</v>
          </cell>
          <cell r="AZ8">
            <v>180</v>
          </cell>
          <cell r="BA8">
            <v>120</v>
          </cell>
          <cell r="BB8">
            <v>160</v>
          </cell>
          <cell r="BC8">
            <v>400</v>
          </cell>
          <cell r="BD8">
            <v>350</v>
          </cell>
          <cell r="BE8">
            <v>160</v>
          </cell>
          <cell r="BF8">
            <v>250</v>
          </cell>
          <cell r="BG8">
            <v>250</v>
          </cell>
          <cell r="BH8">
            <v>335</v>
          </cell>
          <cell r="BI8">
            <v>335</v>
          </cell>
          <cell r="BJ8">
            <v>335</v>
          </cell>
          <cell r="BK8">
            <v>210</v>
          </cell>
          <cell r="BL8">
            <v>210</v>
          </cell>
          <cell r="BM8">
            <v>160</v>
          </cell>
          <cell r="BN8">
            <v>160</v>
          </cell>
          <cell r="BO8">
            <v>350</v>
          </cell>
          <cell r="BP8">
            <v>350</v>
          </cell>
          <cell r="BQ8">
            <v>335</v>
          </cell>
          <cell r="BR8">
            <v>350</v>
          </cell>
          <cell r="BS8">
            <v>180</v>
          </cell>
          <cell r="BT8">
            <v>400</v>
          </cell>
          <cell r="BU8">
            <v>335</v>
          </cell>
          <cell r="BV8">
            <v>550</v>
          </cell>
          <cell r="BW8">
            <v>500</v>
          </cell>
          <cell r="BX8">
            <v>600</v>
          </cell>
          <cell r="BY8">
            <v>180</v>
          </cell>
          <cell r="BZ8">
            <v>180</v>
          </cell>
          <cell r="CA8">
            <v>550</v>
          </cell>
          <cell r="CB8">
            <v>120</v>
          </cell>
          <cell r="CC8">
            <v>1350</v>
          </cell>
          <cell r="CD8">
            <v>180</v>
          </cell>
          <cell r="CE8">
            <v>180</v>
          </cell>
          <cell r="CF8">
            <v>600</v>
          </cell>
        </row>
        <row r="15">
          <cell r="C15">
            <v>9477</v>
          </cell>
          <cell r="E15">
            <v>5770</v>
          </cell>
          <cell r="F15">
            <v>6270</v>
          </cell>
          <cell r="G15">
            <v>5091</v>
          </cell>
          <cell r="H15">
            <v>9968</v>
          </cell>
          <cell r="I15">
            <v>5092</v>
          </cell>
          <cell r="J15" t="str">
            <v>đo 5092</v>
          </cell>
          <cell r="K15" t="str">
            <v>ch gyx</v>
          </cell>
          <cell r="L15">
            <v>1404</v>
          </cell>
          <cell r="M15" t="str">
            <v>c1404</v>
          </cell>
          <cell r="N15" t="str">
            <v>6495-l</v>
          </cell>
          <cell r="O15" t="str">
            <v>6494-l</v>
          </cell>
          <cell r="P15" t="str">
            <v>6485-L</v>
          </cell>
          <cell r="Q15" t="str">
            <v>6487-l</v>
          </cell>
          <cell r="R15" t="str">
            <v>6488-L</v>
          </cell>
          <cell r="S15" t="str">
            <v>6490-L</v>
          </cell>
          <cell r="T15" t="str">
            <v>check pic up</v>
          </cell>
          <cell r="U15" t="str">
            <v>check 6488</v>
          </cell>
          <cell r="V15" t="str">
            <v>6486-m</v>
          </cell>
          <cell r="W15" t="str">
            <v>6494-m</v>
          </cell>
          <cell r="X15" t="str">
            <v>6495-m</v>
          </cell>
          <cell r="Y15" t="str">
            <v>6493-l</v>
          </cell>
          <cell r="Z15" t="str">
            <v>6492-l</v>
          </cell>
          <cell r="AA15" t="str">
            <v>6492-m</v>
          </cell>
          <cell r="AB15" t="str">
            <v>6489-l</v>
          </cell>
          <cell r="AC15">
            <v>6240</v>
          </cell>
          <cell r="AD15" t="str">
            <v>0977-m</v>
          </cell>
          <cell r="AE15" t="str">
            <v>check 6490</v>
          </cell>
          <cell r="AF15" t="str">
            <v>check 6489</v>
          </cell>
          <cell r="AM15">
            <v>6491</v>
          </cell>
          <cell r="AN15" t="str">
            <v>6493-m</v>
          </cell>
          <cell r="AO15" t="str">
            <v>sàng cs 5770</v>
          </cell>
          <cell r="AR15" t="str">
            <v>CH5770</v>
          </cell>
          <cell r="AT15" t="str">
            <v>C9149-AUTO</v>
          </cell>
          <cell r="AV15" t="str">
            <v>6491-L</v>
          </cell>
          <cell r="AW15" t="str">
            <v>thổi pic up</v>
          </cell>
          <cell r="BJ15">
            <v>2421</v>
          </cell>
          <cell r="BK15">
            <v>2431</v>
          </cell>
        </row>
        <row r="16">
          <cell r="C16">
            <v>605</v>
          </cell>
          <cell r="E16">
            <v>605</v>
          </cell>
          <cell r="F16">
            <v>605</v>
          </cell>
          <cell r="G16">
            <v>600</v>
          </cell>
          <cell r="H16">
            <v>605</v>
          </cell>
          <cell r="I16">
            <v>36</v>
          </cell>
          <cell r="J16">
            <v>216</v>
          </cell>
          <cell r="K16">
            <v>20000</v>
          </cell>
          <cell r="L16">
            <v>350</v>
          </cell>
          <cell r="M16">
            <v>600</v>
          </cell>
          <cell r="N16">
            <v>1000</v>
          </cell>
          <cell r="O16">
            <v>1000</v>
          </cell>
          <cell r="P16">
            <v>470</v>
          </cell>
          <cell r="Q16">
            <v>470</v>
          </cell>
          <cell r="R16">
            <v>470</v>
          </cell>
          <cell r="S16">
            <v>470</v>
          </cell>
          <cell r="T16">
            <v>1500</v>
          </cell>
          <cell r="U16">
            <v>1100</v>
          </cell>
          <cell r="V16">
            <v>1400</v>
          </cell>
          <cell r="W16">
            <v>1450</v>
          </cell>
          <cell r="X16">
            <v>1450</v>
          </cell>
          <cell r="Y16">
            <v>1000</v>
          </cell>
          <cell r="Z16">
            <v>1000</v>
          </cell>
          <cell r="AA16">
            <v>1450</v>
          </cell>
          <cell r="AB16">
            <v>450</v>
          </cell>
          <cell r="AC16">
            <v>420</v>
          </cell>
          <cell r="AD16">
            <v>200</v>
          </cell>
          <cell r="AE16">
            <v>1100</v>
          </cell>
          <cell r="AF16">
            <v>1100</v>
          </cell>
          <cell r="AM16">
            <v>600</v>
          </cell>
          <cell r="AN16">
            <v>1450</v>
          </cell>
          <cell r="AO16">
            <v>30000</v>
          </cell>
          <cell r="AR16">
            <v>15000</v>
          </cell>
          <cell r="AT16">
            <v>6000</v>
          </cell>
          <cell r="AV16">
            <v>750</v>
          </cell>
          <cell r="AW16">
            <v>5500</v>
          </cell>
          <cell r="BJ16">
            <v>160</v>
          </cell>
          <cell r="BK16">
            <v>250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Y327"/>
  <sheetViews>
    <sheetView tabSelected="1" zoomScaleNormal="100" zoomScaleSheetLayoutView="80" workbookViewId="0">
      <pane xSplit="2" ySplit="3" topLeftCell="C326" activePane="bottomRight" state="frozen"/>
      <selection activeCell="H18" sqref="H18"/>
      <selection pane="topRight" activeCell="H18" sqref="H18"/>
      <selection pane="bottomLeft" activeCell="H18" sqref="H18"/>
      <selection pane="bottomRight" activeCell="K332" sqref="K332"/>
    </sheetView>
  </sheetViews>
  <sheetFormatPr defaultRowHeight="15.5"/>
  <cols>
    <col min="1" max="1" width="12.08984375" style="1" customWidth="1"/>
    <col min="2" max="2" width="14.36328125" style="8" customWidth="1"/>
    <col min="3" max="3" width="27" style="1" customWidth="1"/>
    <col min="4" max="4" width="12.6328125" style="7" customWidth="1"/>
    <col min="5" max="5" width="10.36328125" style="6" customWidth="1"/>
    <col min="6" max="6" width="9.36328125" style="1" customWidth="1"/>
    <col min="7" max="10" width="9.6328125" style="1" customWidth="1"/>
    <col min="11" max="11" width="9" style="1" customWidth="1"/>
    <col min="12" max="12" width="16.81640625" style="1" hidden="1" customWidth="1"/>
    <col min="13" max="13" width="8.81640625" style="1" customWidth="1"/>
    <col min="14" max="14" width="9.6328125" style="1" customWidth="1"/>
    <col min="15" max="15" width="14" style="1" hidden="1" customWidth="1"/>
    <col min="16" max="16" width="7" style="1" hidden="1" customWidth="1"/>
    <col min="17" max="17" width="15.90625" style="1" hidden="1" customWidth="1"/>
    <col min="18" max="18" width="13" style="1" hidden="1" customWidth="1"/>
    <col min="19" max="19" width="19.1796875" style="1" hidden="1" customWidth="1"/>
    <col min="20" max="20" width="9.6328125" style="1" customWidth="1"/>
    <col min="21" max="21" width="9.54296875" style="1" customWidth="1"/>
    <col min="22" max="22" width="9.6328125" style="1" customWidth="1"/>
    <col min="23" max="23" width="11.81640625" style="1" customWidth="1"/>
    <col min="24" max="25" width="9.6328125" style="1" customWidth="1"/>
    <col min="26" max="26" width="9.6328125" style="1" hidden="1" customWidth="1"/>
    <col min="27" max="27" width="14.08984375" style="1" customWidth="1"/>
    <col min="28" max="28" width="14.08984375" style="5" customWidth="1"/>
    <col min="29" max="29" width="13.453125" style="5" customWidth="1"/>
    <col min="30" max="30" width="11.81640625" style="1" customWidth="1"/>
    <col min="31" max="31" width="12.54296875" style="4" customWidth="1"/>
    <col min="32" max="32" width="9.6328125" style="3" customWidth="1"/>
    <col min="33" max="33" width="11.1796875" style="3" customWidth="1"/>
    <col min="34" max="34" width="9" style="3" customWidth="1"/>
    <col min="35" max="35" width="9" style="2" customWidth="1"/>
    <col min="36" max="37" width="7.81640625" style="1" customWidth="1"/>
    <col min="38" max="39" width="10.08984375" style="1" customWidth="1"/>
    <col min="40" max="40" width="12.6328125" style="1" customWidth="1"/>
    <col min="41" max="41" width="10.08984375" style="1" customWidth="1"/>
    <col min="42" max="45" width="11.90625" style="1" customWidth="1"/>
    <col min="46" max="46" width="10.08984375" style="1" customWidth="1"/>
    <col min="47" max="47" width="17.36328125" style="1" customWidth="1"/>
    <col min="48" max="48" width="16.1796875" style="1" customWidth="1"/>
    <col min="49" max="49" width="11.81640625" style="1" customWidth="1"/>
    <col min="50" max="141" width="9.90625" style="1" customWidth="1"/>
    <col min="142" max="256" width="8.90625" style="1"/>
    <col min="257" max="257" width="12.08984375" style="1" customWidth="1"/>
    <col min="258" max="258" width="14.36328125" style="1" customWidth="1"/>
    <col min="259" max="259" width="27" style="1" customWidth="1"/>
    <col min="260" max="260" width="12.6328125" style="1" customWidth="1"/>
    <col min="261" max="261" width="10.36328125" style="1" customWidth="1"/>
    <col min="262" max="262" width="9.36328125" style="1" customWidth="1"/>
    <col min="263" max="263" width="9.6328125" style="1" customWidth="1"/>
    <col min="264" max="264" width="0" style="1" hidden="1" customWidth="1"/>
    <col min="265" max="266" width="9.6328125" style="1" customWidth="1"/>
    <col min="267" max="267" width="9" style="1" customWidth="1"/>
    <col min="268" max="268" width="0" style="1" hidden="1" customWidth="1"/>
    <col min="269" max="269" width="8.81640625" style="1" customWidth="1"/>
    <col min="270" max="270" width="9.6328125" style="1" customWidth="1"/>
    <col min="271" max="275" width="0" style="1" hidden="1" customWidth="1"/>
    <col min="276" max="276" width="9.6328125" style="1" customWidth="1"/>
    <col min="277" max="277" width="9.54296875" style="1" customWidth="1"/>
    <col min="278" max="278" width="9.6328125" style="1" customWidth="1"/>
    <col min="279" max="279" width="11.81640625" style="1" customWidth="1"/>
    <col min="280" max="281" width="9.6328125" style="1" customWidth="1"/>
    <col min="282" max="282" width="0" style="1" hidden="1" customWidth="1"/>
    <col min="283" max="284" width="14.08984375" style="1" customWidth="1"/>
    <col min="285" max="285" width="13.453125" style="1" customWidth="1"/>
    <col min="286" max="286" width="11.81640625" style="1" customWidth="1"/>
    <col min="287" max="287" width="12.54296875" style="1" customWidth="1"/>
    <col min="288" max="288" width="9.6328125" style="1" customWidth="1"/>
    <col min="289" max="289" width="11.1796875" style="1" customWidth="1"/>
    <col min="290" max="291" width="9" style="1" customWidth="1"/>
    <col min="292" max="293" width="7.81640625" style="1" customWidth="1"/>
    <col min="294" max="295" width="8.90625" style="1"/>
    <col min="296" max="296" width="12.6328125" style="1" customWidth="1"/>
    <col min="297" max="297" width="8.90625" style="1"/>
    <col min="298" max="301" width="11.90625" style="1" customWidth="1"/>
    <col min="302" max="302" width="8.90625" style="1"/>
    <col min="303" max="303" width="17.36328125" style="1" customWidth="1"/>
    <col min="304" max="304" width="16.1796875" style="1" customWidth="1"/>
    <col min="305" max="305" width="11.81640625" style="1" customWidth="1"/>
    <col min="306" max="397" width="9.90625" style="1" customWidth="1"/>
    <col min="398" max="512" width="8.90625" style="1"/>
    <col min="513" max="513" width="12.08984375" style="1" customWidth="1"/>
    <col min="514" max="514" width="14.36328125" style="1" customWidth="1"/>
    <col min="515" max="515" width="27" style="1" customWidth="1"/>
    <col min="516" max="516" width="12.6328125" style="1" customWidth="1"/>
    <col min="517" max="517" width="10.36328125" style="1" customWidth="1"/>
    <col min="518" max="518" width="9.36328125" style="1" customWidth="1"/>
    <col min="519" max="519" width="9.6328125" style="1" customWidth="1"/>
    <col min="520" max="520" width="0" style="1" hidden="1" customWidth="1"/>
    <col min="521" max="522" width="9.6328125" style="1" customWidth="1"/>
    <col min="523" max="523" width="9" style="1" customWidth="1"/>
    <col min="524" max="524" width="0" style="1" hidden="1" customWidth="1"/>
    <col min="525" max="525" width="8.81640625" style="1" customWidth="1"/>
    <col min="526" max="526" width="9.6328125" style="1" customWidth="1"/>
    <col min="527" max="531" width="0" style="1" hidden="1" customWidth="1"/>
    <col min="532" max="532" width="9.6328125" style="1" customWidth="1"/>
    <col min="533" max="533" width="9.54296875" style="1" customWidth="1"/>
    <col min="534" max="534" width="9.6328125" style="1" customWidth="1"/>
    <col min="535" max="535" width="11.81640625" style="1" customWidth="1"/>
    <col min="536" max="537" width="9.6328125" style="1" customWidth="1"/>
    <col min="538" max="538" width="0" style="1" hidden="1" customWidth="1"/>
    <col min="539" max="540" width="14.08984375" style="1" customWidth="1"/>
    <col min="541" max="541" width="13.453125" style="1" customWidth="1"/>
    <col min="542" max="542" width="11.81640625" style="1" customWidth="1"/>
    <col min="543" max="543" width="12.54296875" style="1" customWidth="1"/>
    <col min="544" max="544" width="9.6328125" style="1" customWidth="1"/>
    <col min="545" max="545" width="11.1796875" style="1" customWidth="1"/>
    <col min="546" max="547" width="9" style="1" customWidth="1"/>
    <col min="548" max="549" width="7.81640625" style="1" customWidth="1"/>
    <col min="550" max="551" width="8.90625" style="1"/>
    <col min="552" max="552" width="12.6328125" style="1" customWidth="1"/>
    <col min="553" max="553" width="8.90625" style="1"/>
    <col min="554" max="557" width="11.90625" style="1" customWidth="1"/>
    <col min="558" max="558" width="8.90625" style="1"/>
    <col min="559" max="559" width="17.36328125" style="1" customWidth="1"/>
    <col min="560" max="560" width="16.1796875" style="1" customWidth="1"/>
    <col min="561" max="561" width="11.81640625" style="1" customWidth="1"/>
    <col min="562" max="653" width="9.90625" style="1" customWidth="1"/>
    <col min="654" max="768" width="8.90625" style="1"/>
    <col min="769" max="769" width="12.08984375" style="1" customWidth="1"/>
    <col min="770" max="770" width="14.36328125" style="1" customWidth="1"/>
    <col min="771" max="771" width="27" style="1" customWidth="1"/>
    <col min="772" max="772" width="12.6328125" style="1" customWidth="1"/>
    <col min="773" max="773" width="10.36328125" style="1" customWidth="1"/>
    <col min="774" max="774" width="9.36328125" style="1" customWidth="1"/>
    <col min="775" max="775" width="9.6328125" style="1" customWidth="1"/>
    <col min="776" max="776" width="0" style="1" hidden="1" customWidth="1"/>
    <col min="777" max="778" width="9.6328125" style="1" customWidth="1"/>
    <col min="779" max="779" width="9" style="1" customWidth="1"/>
    <col min="780" max="780" width="0" style="1" hidden="1" customWidth="1"/>
    <col min="781" max="781" width="8.81640625" style="1" customWidth="1"/>
    <col min="782" max="782" width="9.6328125" style="1" customWidth="1"/>
    <col min="783" max="787" width="0" style="1" hidden="1" customWidth="1"/>
    <col min="788" max="788" width="9.6328125" style="1" customWidth="1"/>
    <col min="789" max="789" width="9.54296875" style="1" customWidth="1"/>
    <col min="790" max="790" width="9.6328125" style="1" customWidth="1"/>
    <col min="791" max="791" width="11.81640625" style="1" customWidth="1"/>
    <col min="792" max="793" width="9.6328125" style="1" customWidth="1"/>
    <col min="794" max="794" width="0" style="1" hidden="1" customWidth="1"/>
    <col min="795" max="796" width="14.08984375" style="1" customWidth="1"/>
    <col min="797" max="797" width="13.453125" style="1" customWidth="1"/>
    <col min="798" max="798" width="11.81640625" style="1" customWidth="1"/>
    <col min="799" max="799" width="12.54296875" style="1" customWidth="1"/>
    <col min="800" max="800" width="9.6328125" style="1" customWidth="1"/>
    <col min="801" max="801" width="11.1796875" style="1" customWidth="1"/>
    <col min="802" max="803" width="9" style="1" customWidth="1"/>
    <col min="804" max="805" width="7.81640625" style="1" customWidth="1"/>
    <col min="806" max="807" width="8.90625" style="1"/>
    <col min="808" max="808" width="12.6328125" style="1" customWidth="1"/>
    <col min="809" max="809" width="8.90625" style="1"/>
    <col min="810" max="813" width="11.90625" style="1" customWidth="1"/>
    <col min="814" max="814" width="8.90625" style="1"/>
    <col min="815" max="815" width="17.36328125" style="1" customWidth="1"/>
    <col min="816" max="816" width="16.1796875" style="1" customWidth="1"/>
    <col min="817" max="817" width="11.81640625" style="1" customWidth="1"/>
    <col min="818" max="909" width="9.90625" style="1" customWidth="1"/>
    <col min="910" max="1024" width="8.90625" style="1"/>
    <col min="1025" max="1025" width="12.08984375" style="1" customWidth="1"/>
    <col min="1026" max="1026" width="14.36328125" style="1" customWidth="1"/>
    <col min="1027" max="1027" width="27" style="1" customWidth="1"/>
    <col min="1028" max="1028" width="12.6328125" style="1" customWidth="1"/>
    <col min="1029" max="1029" width="10.36328125" style="1" customWidth="1"/>
    <col min="1030" max="1030" width="9.36328125" style="1" customWidth="1"/>
    <col min="1031" max="1031" width="9.6328125" style="1" customWidth="1"/>
    <col min="1032" max="1032" width="0" style="1" hidden="1" customWidth="1"/>
    <col min="1033" max="1034" width="9.6328125" style="1" customWidth="1"/>
    <col min="1035" max="1035" width="9" style="1" customWidth="1"/>
    <col min="1036" max="1036" width="0" style="1" hidden="1" customWidth="1"/>
    <col min="1037" max="1037" width="8.81640625" style="1" customWidth="1"/>
    <col min="1038" max="1038" width="9.6328125" style="1" customWidth="1"/>
    <col min="1039" max="1043" width="0" style="1" hidden="1" customWidth="1"/>
    <col min="1044" max="1044" width="9.6328125" style="1" customWidth="1"/>
    <col min="1045" max="1045" width="9.54296875" style="1" customWidth="1"/>
    <col min="1046" max="1046" width="9.6328125" style="1" customWidth="1"/>
    <col min="1047" max="1047" width="11.81640625" style="1" customWidth="1"/>
    <col min="1048" max="1049" width="9.6328125" style="1" customWidth="1"/>
    <col min="1050" max="1050" width="0" style="1" hidden="1" customWidth="1"/>
    <col min="1051" max="1052" width="14.08984375" style="1" customWidth="1"/>
    <col min="1053" max="1053" width="13.453125" style="1" customWidth="1"/>
    <col min="1054" max="1054" width="11.81640625" style="1" customWidth="1"/>
    <col min="1055" max="1055" width="12.54296875" style="1" customWidth="1"/>
    <col min="1056" max="1056" width="9.6328125" style="1" customWidth="1"/>
    <col min="1057" max="1057" width="11.1796875" style="1" customWidth="1"/>
    <col min="1058" max="1059" width="9" style="1" customWidth="1"/>
    <col min="1060" max="1061" width="7.81640625" style="1" customWidth="1"/>
    <col min="1062" max="1063" width="8.90625" style="1"/>
    <col min="1064" max="1064" width="12.6328125" style="1" customWidth="1"/>
    <col min="1065" max="1065" width="8.90625" style="1"/>
    <col min="1066" max="1069" width="11.90625" style="1" customWidth="1"/>
    <col min="1070" max="1070" width="8.90625" style="1"/>
    <col min="1071" max="1071" width="17.36328125" style="1" customWidth="1"/>
    <col min="1072" max="1072" width="16.1796875" style="1" customWidth="1"/>
    <col min="1073" max="1073" width="11.81640625" style="1" customWidth="1"/>
    <col min="1074" max="1165" width="9.90625" style="1" customWidth="1"/>
    <col min="1166" max="1280" width="8.90625" style="1"/>
    <col min="1281" max="1281" width="12.08984375" style="1" customWidth="1"/>
    <col min="1282" max="1282" width="14.36328125" style="1" customWidth="1"/>
    <col min="1283" max="1283" width="27" style="1" customWidth="1"/>
    <col min="1284" max="1284" width="12.6328125" style="1" customWidth="1"/>
    <col min="1285" max="1285" width="10.36328125" style="1" customWidth="1"/>
    <col min="1286" max="1286" width="9.36328125" style="1" customWidth="1"/>
    <col min="1287" max="1287" width="9.6328125" style="1" customWidth="1"/>
    <col min="1288" max="1288" width="0" style="1" hidden="1" customWidth="1"/>
    <col min="1289" max="1290" width="9.6328125" style="1" customWidth="1"/>
    <col min="1291" max="1291" width="9" style="1" customWidth="1"/>
    <col min="1292" max="1292" width="0" style="1" hidden="1" customWidth="1"/>
    <col min="1293" max="1293" width="8.81640625" style="1" customWidth="1"/>
    <col min="1294" max="1294" width="9.6328125" style="1" customWidth="1"/>
    <col min="1295" max="1299" width="0" style="1" hidden="1" customWidth="1"/>
    <col min="1300" max="1300" width="9.6328125" style="1" customWidth="1"/>
    <col min="1301" max="1301" width="9.54296875" style="1" customWidth="1"/>
    <col min="1302" max="1302" width="9.6328125" style="1" customWidth="1"/>
    <col min="1303" max="1303" width="11.81640625" style="1" customWidth="1"/>
    <col min="1304" max="1305" width="9.6328125" style="1" customWidth="1"/>
    <col min="1306" max="1306" width="0" style="1" hidden="1" customWidth="1"/>
    <col min="1307" max="1308" width="14.08984375" style="1" customWidth="1"/>
    <col min="1309" max="1309" width="13.453125" style="1" customWidth="1"/>
    <col min="1310" max="1310" width="11.81640625" style="1" customWidth="1"/>
    <col min="1311" max="1311" width="12.54296875" style="1" customWidth="1"/>
    <col min="1312" max="1312" width="9.6328125" style="1" customWidth="1"/>
    <col min="1313" max="1313" width="11.1796875" style="1" customWidth="1"/>
    <col min="1314" max="1315" width="9" style="1" customWidth="1"/>
    <col min="1316" max="1317" width="7.81640625" style="1" customWidth="1"/>
    <col min="1318" max="1319" width="8.90625" style="1"/>
    <col min="1320" max="1320" width="12.6328125" style="1" customWidth="1"/>
    <col min="1321" max="1321" width="8.90625" style="1"/>
    <col min="1322" max="1325" width="11.90625" style="1" customWidth="1"/>
    <col min="1326" max="1326" width="8.90625" style="1"/>
    <col min="1327" max="1327" width="17.36328125" style="1" customWidth="1"/>
    <col min="1328" max="1328" width="16.1796875" style="1" customWidth="1"/>
    <col min="1329" max="1329" width="11.81640625" style="1" customWidth="1"/>
    <col min="1330" max="1421" width="9.90625" style="1" customWidth="1"/>
    <col min="1422" max="1536" width="8.90625" style="1"/>
    <col min="1537" max="1537" width="12.08984375" style="1" customWidth="1"/>
    <col min="1538" max="1538" width="14.36328125" style="1" customWidth="1"/>
    <col min="1539" max="1539" width="27" style="1" customWidth="1"/>
    <col min="1540" max="1540" width="12.6328125" style="1" customWidth="1"/>
    <col min="1541" max="1541" width="10.36328125" style="1" customWidth="1"/>
    <col min="1542" max="1542" width="9.36328125" style="1" customWidth="1"/>
    <col min="1543" max="1543" width="9.6328125" style="1" customWidth="1"/>
    <col min="1544" max="1544" width="0" style="1" hidden="1" customWidth="1"/>
    <col min="1545" max="1546" width="9.6328125" style="1" customWidth="1"/>
    <col min="1547" max="1547" width="9" style="1" customWidth="1"/>
    <col min="1548" max="1548" width="0" style="1" hidden="1" customWidth="1"/>
    <col min="1549" max="1549" width="8.81640625" style="1" customWidth="1"/>
    <col min="1550" max="1550" width="9.6328125" style="1" customWidth="1"/>
    <col min="1551" max="1555" width="0" style="1" hidden="1" customWidth="1"/>
    <col min="1556" max="1556" width="9.6328125" style="1" customWidth="1"/>
    <col min="1557" max="1557" width="9.54296875" style="1" customWidth="1"/>
    <col min="1558" max="1558" width="9.6328125" style="1" customWidth="1"/>
    <col min="1559" max="1559" width="11.81640625" style="1" customWidth="1"/>
    <col min="1560" max="1561" width="9.6328125" style="1" customWidth="1"/>
    <col min="1562" max="1562" width="0" style="1" hidden="1" customWidth="1"/>
    <col min="1563" max="1564" width="14.08984375" style="1" customWidth="1"/>
    <col min="1565" max="1565" width="13.453125" style="1" customWidth="1"/>
    <col min="1566" max="1566" width="11.81640625" style="1" customWidth="1"/>
    <col min="1567" max="1567" width="12.54296875" style="1" customWidth="1"/>
    <col min="1568" max="1568" width="9.6328125" style="1" customWidth="1"/>
    <col min="1569" max="1569" width="11.1796875" style="1" customWidth="1"/>
    <col min="1570" max="1571" width="9" style="1" customWidth="1"/>
    <col min="1572" max="1573" width="7.81640625" style="1" customWidth="1"/>
    <col min="1574" max="1575" width="8.90625" style="1"/>
    <col min="1576" max="1576" width="12.6328125" style="1" customWidth="1"/>
    <col min="1577" max="1577" width="8.90625" style="1"/>
    <col min="1578" max="1581" width="11.90625" style="1" customWidth="1"/>
    <col min="1582" max="1582" width="8.90625" style="1"/>
    <col min="1583" max="1583" width="17.36328125" style="1" customWidth="1"/>
    <col min="1584" max="1584" width="16.1796875" style="1" customWidth="1"/>
    <col min="1585" max="1585" width="11.81640625" style="1" customWidth="1"/>
    <col min="1586" max="1677" width="9.90625" style="1" customWidth="1"/>
    <col min="1678" max="1792" width="8.90625" style="1"/>
    <col min="1793" max="1793" width="12.08984375" style="1" customWidth="1"/>
    <col min="1794" max="1794" width="14.36328125" style="1" customWidth="1"/>
    <col min="1795" max="1795" width="27" style="1" customWidth="1"/>
    <col min="1796" max="1796" width="12.6328125" style="1" customWidth="1"/>
    <col min="1797" max="1797" width="10.36328125" style="1" customWidth="1"/>
    <col min="1798" max="1798" width="9.36328125" style="1" customWidth="1"/>
    <col min="1799" max="1799" width="9.6328125" style="1" customWidth="1"/>
    <col min="1800" max="1800" width="0" style="1" hidden="1" customWidth="1"/>
    <col min="1801" max="1802" width="9.6328125" style="1" customWidth="1"/>
    <col min="1803" max="1803" width="9" style="1" customWidth="1"/>
    <col min="1804" max="1804" width="0" style="1" hidden="1" customWidth="1"/>
    <col min="1805" max="1805" width="8.81640625" style="1" customWidth="1"/>
    <col min="1806" max="1806" width="9.6328125" style="1" customWidth="1"/>
    <col min="1807" max="1811" width="0" style="1" hidden="1" customWidth="1"/>
    <col min="1812" max="1812" width="9.6328125" style="1" customWidth="1"/>
    <col min="1813" max="1813" width="9.54296875" style="1" customWidth="1"/>
    <col min="1814" max="1814" width="9.6328125" style="1" customWidth="1"/>
    <col min="1815" max="1815" width="11.81640625" style="1" customWidth="1"/>
    <col min="1816" max="1817" width="9.6328125" style="1" customWidth="1"/>
    <col min="1818" max="1818" width="0" style="1" hidden="1" customWidth="1"/>
    <col min="1819" max="1820" width="14.08984375" style="1" customWidth="1"/>
    <col min="1821" max="1821" width="13.453125" style="1" customWidth="1"/>
    <col min="1822" max="1822" width="11.81640625" style="1" customWidth="1"/>
    <col min="1823" max="1823" width="12.54296875" style="1" customWidth="1"/>
    <col min="1824" max="1824" width="9.6328125" style="1" customWidth="1"/>
    <col min="1825" max="1825" width="11.1796875" style="1" customWidth="1"/>
    <col min="1826" max="1827" width="9" style="1" customWidth="1"/>
    <col min="1828" max="1829" width="7.81640625" style="1" customWidth="1"/>
    <col min="1830" max="1831" width="8.90625" style="1"/>
    <col min="1832" max="1832" width="12.6328125" style="1" customWidth="1"/>
    <col min="1833" max="1833" width="8.90625" style="1"/>
    <col min="1834" max="1837" width="11.90625" style="1" customWidth="1"/>
    <col min="1838" max="1838" width="8.90625" style="1"/>
    <col min="1839" max="1839" width="17.36328125" style="1" customWidth="1"/>
    <col min="1840" max="1840" width="16.1796875" style="1" customWidth="1"/>
    <col min="1841" max="1841" width="11.81640625" style="1" customWidth="1"/>
    <col min="1842" max="1933" width="9.90625" style="1" customWidth="1"/>
    <col min="1934" max="2048" width="8.90625" style="1"/>
    <col min="2049" max="2049" width="12.08984375" style="1" customWidth="1"/>
    <col min="2050" max="2050" width="14.36328125" style="1" customWidth="1"/>
    <col min="2051" max="2051" width="27" style="1" customWidth="1"/>
    <col min="2052" max="2052" width="12.6328125" style="1" customWidth="1"/>
    <col min="2053" max="2053" width="10.36328125" style="1" customWidth="1"/>
    <col min="2054" max="2054" width="9.36328125" style="1" customWidth="1"/>
    <col min="2055" max="2055" width="9.6328125" style="1" customWidth="1"/>
    <col min="2056" max="2056" width="0" style="1" hidden="1" customWidth="1"/>
    <col min="2057" max="2058" width="9.6328125" style="1" customWidth="1"/>
    <col min="2059" max="2059" width="9" style="1" customWidth="1"/>
    <col min="2060" max="2060" width="0" style="1" hidden="1" customWidth="1"/>
    <col min="2061" max="2061" width="8.81640625" style="1" customWidth="1"/>
    <col min="2062" max="2062" width="9.6328125" style="1" customWidth="1"/>
    <col min="2063" max="2067" width="0" style="1" hidden="1" customWidth="1"/>
    <col min="2068" max="2068" width="9.6328125" style="1" customWidth="1"/>
    <col min="2069" max="2069" width="9.54296875" style="1" customWidth="1"/>
    <col min="2070" max="2070" width="9.6328125" style="1" customWidth="1"/>
    <col min="2071" max="2071" width="11.81640625" style="1" customWidth="1"/>
    <col min="2072" max="2073" width="9.6328125" style="1" customWidth="1"/>
    <col min="2074" max="2074" width="0" style="1" hidden="1" customWidth="1"/>
    <col min="2075" max="2076" width="14.08984375" style="1" customWidth="1"/>
    <col min="2077" max="2077" width="13.453125" style="1" customWidth="1"/>
    <col min="2078" max="2078" width="11.81640625" style="1" customWidth="1"/>
    <col min="2079" max="2079" width="12.54296875" style="1" customWidth="1"/>
    <col min="2080" max="2080" width="9.6328125" style="1" customWidth="1"/>
    <col min="2081" max="2081" width="11.1796875" style="1" customWidth="1"/>
    <col min="2082" max="2083" width="9" style="1" customWidth="1"/>
    <col min="2084" max="2085" width="7.81640625" style="1" customWidth="1"/>
    <col min="2086" max="2087" width="8.90625" style="1"/>
    <col min="2088" max="2088" width="12.6328125" style="1" customWidth="1"/>
    <col min="2089" max="2089" width="8.90625" style="1"/>
    <col min="2090" max="2093" width="11.90625" style="1" customWidth="1"/>
    <col min="2094" max="2094" width="8.90625" style="1"/>
    <col min="2095" max="2095" width="17.36328125" style="1" customWidth="1"/>
    <col min="2096" max="2096" width="16.1796875" style="1" customWidth="1"/>
    <col min="2097" max="2097" width="11.81640625" style="1" customWidth="1"/>
    <col min="2098" max="2189" width="9.90625" style="1" customWidth="1"/>
    <col min="2190" max="2304" width="8.90625" style="1"/>
    <col min="2305" max="2305" width="12.08984375" style="1" customWidth="1"/>
    <col min="2306" max="2306" width="14.36328125" style="1" customWidth="1"/>
    <col min="2307" max="2307" width="27" style="1" customWidth="1"/>
    <col min="2308" max="2308" width="12.6328125" style="1" customWidth="1"/>
    <col min="2309" max="2309" width="10.36328125" style="1" customWidth="1"/>
    <col min="2310" max="2310" width="9.36328125" style="1" customWidth="1"/>
    <col min="2311" max="2311" width="9.6328125" style="1" customWidth="1"/>
    <col min="2312" max="2312" width="0" style="1" hidden="1" customWidth="1"/>
    <col min="2313" max="2314" width="9.6328125" style="1" customWidth="1"/>
    <col min="2315" max="2315" width="9" style="1" customWidth="1"/>
    <col min="2316" max="2316" width="0" style="1" hidden="1" customWidth="1"/>
    <col min="2317" max="2317" width="8.81640625" style="1" customWidth="1"/>
    <col min="2318" max="2318" width="9.6328125" style="1" customWidth="1"/>
    <col min="2319" max="2323" width="0" style="1" hidden="1" customWidth="1"/>
    <col min="2324" max="2324" width="9.6328125" style="1" customWidth="1"/>
    <col min="2325" max="2325" width="9.54296875" style="1" customWidth="1"/>
    <col min="2326" max="2326" width="9.6328125" style="1" customWidth="1"/>
    <col min="2327" max="2327" width="11.81640625" style="1" customWidth="1"/>
    <col min="2328" max="2329" width="9.6328125" style="1" customWidth="1"/>
    <col min="2330" max="2330" width="0" style="1" hidden="1" customWidth="1"/>
    <col min="2331" max="2332" width="14.08984375" style="1" customWidth="1"/>
    <col min="2333" max="2333" width="13.453125" style="1" customWidth="1"/>
    <col min="2334" max="2334" width="11.81640625" style="1" customWidth="1"/>
    <col min="2335" max="2335" width="12.54296875" style="1" customWidth="1"/>
    <col min="2336" max="2336" width="9.6328125" style="1" customWidth="1"/>
    <col min="2337" max="2337" width="11.1796875" style="1" customWidth="1"/>
    <col min="2338" max="2339" width="9" style="1" customWidth="1"/>
    <col min="2340" max="2341" width="7.81640625" style="1" customWidth="1"/>
    <col min="2342" max="2343" width="8.90625" style="1"/>
    <col min="2344" max="2344" width="12.6328125" style="1" customWidth="1"/>
    <col min="2345" max="2345" width="8.90625" style="1"/>
    <col min="2346" max="2349" width="11.90625" style="1" customWidth="1"/>
    <col min="2350" max="2350" width="8.90625" style="1"/>
    <col min="2351" max="2351" width="17.36328125" style="1" customWidth="1"/>
    <col min="2352" max="2352" width="16.1796875" style="1" customWidth="1"/>
    <col min="2353" max="2353" width="11.81640625" style="1" customWidth="1"/>
    <col min="2354" max="2445" width="9.90625" style="1" customWidth="1"/>
    <col min="2446" max="2560" width="8.90625" style="1"/>
    <col min="2561" max="2561" width="12.08984375" style="1" customWidth="1"/>
    <col min="2562" max="2562" width="14.36328125" style="1" customWidth="1"/>
    <col min="2563" max="2563" width="27" style="1" customWidth="1"/>
    <col min="2564" max="2564" width="12.6328125" style="1" customWidth="1"/>
    <col min="2565" max="2565" width="10.36328125" style="1" customWidth="1"/>
    <col min="2566" max="2566" width="9.36328125" style="1" customWidth="1"/>
    <col min="2567" max="2567" width="9.6328125" style="1" customWidth="1"/>
    <col min="2568" max="2568" width="0" style="1" hidden="1" customWidth="1"/>
    <col min="2569" max="2570" width="9.6328125" style="1" customWidth="1"/>
    <col min="2571" max="2571" width="9" style="1" customWidth="1"/>
    <col min="2572" max="2572" width="0" style="1" hidden="1" customWidth="1"/>
    <col min="2573" max="2573" width="8.81640625" style="1" customWidth="1"/>
    <col min="2574" max="2574" width="9.6328125" style="1" customWidth="1"/>
    <col min="2575" max="2579" width="0" style="1" hidden="1" customWidth="1"/>
    <col min="2580" max="2580" width="9.6328125" style="1" customWidth="1"/>
    <col min="2581" max="2581" width="9.54296875" style="1" customWidth="1"/>
    <col min="2582" max="2582" width="9.6328125" style="1" customWidth="1"/>
    <col min="2583" max="2583" width="11.81640625" style="1" customWidth="1"/>
    <col min="2584" max="2585" width="9.6328125" style="1" customWidth="1"/>
    <col min="2586" max="2586" width="0" style="1" hidden="1" customWidth="1"/>
    <col min="2587" max="2588" width="14.08984375" style="1" customWidth="1"/>
    <col min="2589" max="2589" width="13.453125" style="1" customWidth="1"/>
    <col min="2590" max="2590" width="11.81640625" style="1" customWidth="1"/>
    <col min="2591" max="2591" width="12.54296875" style="1" customWidth="1"/>
    <col min="2592" max="2592" width="9.6328125" style="1" customWidth="1"/>
    <col min="2593" max="2593" width="11.1796875" style="1" customWidth="1"/>
    <col min="2594" max="2595" width="9" style="1" customWidth="1"/>
    <col min="2596" max="2597" width="7.81640625" style="1" customWidth="1"/>
    <col min="2598" max="2599" width="8.90625" style="1"/>
    <col min="2600" max="2600" width="12.6328125" style="1" customWidth="1"/>
    <col min="2601" max="2601" width="8.90625" style="1"/>
    <col min="2602" max="2605" width="11.90625" style="1" customWidth="1"/>
    <col min="2606" max="2606" width="8.90625" style="1"/>
    <col min="2607" max="2607" width="17.36328125" style="1" customWidth="1"/>
    <col min="2608" max="2608" width="16.1796875" style="1" customWidth="1"/>
    <col min="2609" max="2609" width="11.81640625" style="1" customWidth="1"/>
    <col min="2610" max="2701" width="9.90625" style="1" customWidth="1"/>
    <col min="2702" max="2816" width="8.90625" style="1"/>
    <col min="2817" max="2817" width="12.08984375" style="1" customWidth="1"/>
    <col min="2818" max="2818" width="14.36328125" style="1" customWidth="1"/>
    <col min="2819" max="2819" width="27" style="1" customWidth="1"/>
    <col min="2820" max="2820" width="12.6328125" style="1" customWidth="1"/>
    <col min="2821" max="2821" width="10.36328125" style="1" customWidth="1"/>
    <col min="2822" max="2822" width="9.36328125" style="1" customWidth="1"/>
    <col min="2823" max="2823" width="9.6328125" style="1" customWidth="1"/>
    <col min="2824" max="2824" width="0" style="1" hidden="1" customWidth="1"/>
    <col min="2825" max="2826" width="9.6328125" style="1" customWidth="1"/>
    <col min="2827" max="2827" width="9" style="1" customWidth="1"/>
    <col min="2828" max="2828" width="0" style="1" hidden="1" customWidth="1"/>
    <col min="2829" max="2829" width="8.81640625" style="1" customWidth="1"/>
    <col min="2830" max="2830" width="9.6328125" style="1" customWidth="1"/>
    <col min="2831" max="2835" width="0" style="1" hidden="1" customWidth="1"/>
    <col min="2836" max="2836" width="9.6328125" style="1" customWidth="1"/>
    <col min="2837" max="2837" width="9.54296875" style="1" customWidth="1"/>
    <col min="2838" max="2838" width="9.6328125" style="1" customWidth="1"/>
    <col min="2839" max="2839" width="11.81640625" style="1" customWidth="1"/>
    <col min="2840" max="2841" width="9.6328125" style="1" customWidth="1"/>
    <col min="2842" max="2842" width="0" style="1" hidden="1" customWidth="1"/>
    <col min="2843" max="2844" width="14.08984375" style="1" customWidth="1"/>
    <col min="2845" max="2845" width="13.453125" style="1" customWidth="1"/>
    <col min="2846" max="2846" width="11.81640625" style="1" customWidth="1"/>
    <col min="2847" max="2847" width="12.54296875" style="1" customWidth="1"/>
    <col min="2848" max="2848" width="9.6328125" style="1" customWidth="1"/>
    <col min="2849" max="2849" width="11.1796875" style="1" customWidth="1"/>
    <col min="2850" max="2851" width="9" style="1" customWidth="1"/>
    <col min="2852" max="2853" width="7.81640625" style="1" customWidth="1"/>
    <col min="2854" max="2855" width="8.90625" style="1"/>
    <col min="2856" max="2856" width="12.6328125" style="1" customWidth="1"/>
    <col min="2857" max="2857" width="8.90625" style="1"/>
    <col min="2858" max="2861" width="11.90625" style="1" customWidth="1"/>
    <col min="2862" max="2862" width="8.90625" style="1"/>
    <col min="2863" max="2863" width="17.36328125" style="1" customWidth="1"/>
    <col min="2864" max="2864" width="16.1796875" style="1" customWidth="1"/>
    <col min="2865" max="2865" width="11.81640625" style="1" customWidth="1"/>
    <col min="2866" max="2957" width="9.90625" style="1" customWidth="1"/>
    <col min="2958" max="3072" width="8.90625" style="1"/>
    <col min="3073" max="3073" width="12.08984375" style="1" customWidth="1"/>
    <col min="3074" max="3074" width="14.36328125" style="1" customWidth="1"/>
    <col min="3075" max="3075" width="27" style="1" customWidth="1"/>
    <col min="3076" max="3076" width="12.6328125" style="1" customWidth="1"/>
    <col min="3077" max="3077" width="10.36328125" style="1" customWidth="1"/>
    <col min="3078" max="3078" width="9.36328125" style="1" customWidth="1"/>
    <col min="3079" max="3079" width="9.6328125" style="1" customWidth="1"/>
    <col min="3080" max="3080" width="0" style="1" hidden="1" customWidth="1"/>
    <col min="3081" max="3082" width="9.6328125" style="1" customWidth="1"/>
    <col min="3083" max="3083" width="9" style="1" customWidth="1"/>
    <col min="3084" max="3084" width="0" style="1" hidden="1" customWidth="1"/>
    <col min="3085" max="3085" width="8.81640625" style="1" customWidth="1"/>
    <col min="3086" max="3086" width="9.6328125" style="1" customWidth="1"/>
    <col min="3087" max="3091" width="0" style="1" hidden="1" customWidth="1"/>
    <col min="3092" max="3092" width="9.6328125" style="1" customWidth="1"/>
    <col min="3093" max="3093" width="9.54296875" style="1" customWidth="1"/>
    <col min="3094" max="3094" width="9.6328125" style="1" customWidth="1"/>
    <col min="3095" max="3095" width="11.81640625" style="1" customWidth="1"/>
    <col min="3096" max="3097" width="9.6328125" style="1" customWidth="1"/>
    <col min="3098" max="3098" width="0" style="1" hidden="1" customWidth="1"/>
    <col min="3099" max="3100" width="14.08984375" style="1" customWidth="1"/>
    <col min="3101" max="3101" width="13.453125" style="1" customWidth="1"/>
    <col min="3102" max="3102" width="11.81640625" style="1" customWidth="1"/>
    <col min="3103" max="3103" width="12.54296875" style="1" customWidth="1"/>
    <col min="3104" max="3104" width="9.6328125" style="1" customWidth="1"/>
    <col min="3105" max="3105" width="11.1796875" style="1" customWidth="1"/>
    <col min="3106" max="3107" width="9" style="1" customWidth="1"/>
    <col min="3108" max="3109" width="7.81640625" style="1" customWidth="1"/>
    <col min="3110" max="3111" width="8.90625" style="1"/>
    <col min="3112" max="3112" width="12.6328125" style="1" customWidth="1"/>
    <col min="3113" max="3113" width="8.90625" style="1"/>
    <col min="3114" max="3117" width="11.90625" style="1" customWidth="1"/>
    <col min="3118" max="3118" width="8.90625" style="1"/>
    <col min="3119" max="3119" width="17.36328125" style="1" customWidth="1"/>
    <col min="3120" max="3120" width="16.1796875" style="1" customWidth="1"/>
    <col min="3121" max="3121" width="11.81640625" style="1" customWidth="1"/>
    <col min="3122" max="3213" width="9.90625" style="1" customWidth="1"/>
    <col min="3214" max="3328" width="8.90625" style="1"/>
    <col min="3329" max="3329" width="12.08984375" style="1" customWidth="1"/>
    <col min="3330" max="3330" width="14.36328125" style="1" customWidth="1"/>
    <col min="3331" max="3331" width="27" style="1" customWidth="1"/>
    <col min="3332" max="3332" width="12.6328125" style="1" customWidth="1"/>
    <col min="3333" max="3333" width="10.36328125" style="1" customWidth="1"/>
    <col min="3334" max="3334" width="9.36328125" style="1" customWidth="1"/>
    <col min="3335" max="3335" width="9.6328125" style="1" customWidth="1"/>
    <col min="3336" max="3336" width="0" style="1" hidden="1" customWidth="1"/>
    <col min="3337" max="3338" width="9.6328125" style="1" customWidth="1"/>
    <col min="3339" max="3339" width="9" style="1" customWidth="1"/>
    <col min="3340" max="3340" width="0" style="1" hidden="1" customWidth="1"/>
    <col min="3341" max="3341" width="8.81640625" style="1" customWidth="1"/>
    <col min="3342" max="3342" width="9.6328125" style="1" customWidth="1"/>
    <col min="3343" max="3347" width="0" style="1" hidden="1" customWidth="1"/>
    <col min="3348" max="3348" width="9.6328125" style="1" customWidth="1"/>
    <col min="3349" max="3349" width="9.54296875" style="1" customWidth="1"/>
    <col min="3350" max="3350" width="9.6328125" style="1" customWidth="1"/>
    <col min="3351" max="3351" width="11.81640625" style="1" customWidth="1"/>
    <col min="3352" max="3353" width="9.6328125" style="1" customWidth="1"/>
    <col min="3354" max="3354" width="0" style="1" hidden="1" customWidth="1"/>
    <col min="3355" max="3356" width="14.08984375" style="1" customWidth="1"/>
    <col min="3357" max="3357" width="13.453125" style="1" customWidth="1"/>
    <col min="3358" max="3358" width="11.81640625" style="1" customWidth="1"/>
    <col min="3359" max="3359" width="12.54296875" style="1" customWidth="1"/>
    <col min="3360" max="3360" width="9.6328125" style="1" customWidth="1"/>
    <col min="3361" max="3361" width="11.1796875" style="1" customWidth="1"/>
    <col min="3362" max="3363" width="9" style="1" customWidth="1"/>
    <col min="3364" max="3365" width="7.81640625" style="1" customWidth="1"/>
    <col min="3366" max="3367" width="8.90625" style="1"/>
    <col min="3368" max="3368" width="12.6328125" style="1" customWidth="1"/>
    <col min="3369" max="3369" width="8.90625" style="1"/>
    <col min="3370" max="3373" width="11.90625" style="1" customWidth="1"/>
    <col min="3374" max="3374" width="8.90625" style="1"/>
    <col min="3375" max="3375" width="17.36328125" style="1" customWidth="1"/>
    <col min="3376" max="3376" width="16.1796875" style="1" customWidth="1"/>
    <col min="3377" max="3377" width="11.81640625" style="1" customWidth="1"/>
    <col min="3378" max="3469" width="9.90625" style="1" customWidth="1"/>
    <col min="3470" max="3584" width="8.90625" style="1"/>
    <col min="3585" max="3585" width="12.08984375" style="1" customWidth="1"/>
    <col min="3586" max="3586" width="14.36328125" style="1" customWidth="1"/>
    <col min="3587" max="3587" width="27" style="1" customWidth="1"/>
    <col min="3588" max="3588" width="12.6328125" style="1" customWidth="1"/>
    <col min="3589" max="3589" width="10.36328125" style="1" customWidth="1"/>
    <col min="3590" max="3590" width="9.36328125" style="1" customWidth="1"/>
    <col min="3591" max="3591" width="9.6328125" style="1" customWidth="1"/>
    <col min="3592" max="3592" width="0" style="1" hidden="1" customWidth="1"/>
    <col min="3593" max="3594" width="9.6328125" style="1" customWidth="1"/>
    <col min="3595" max="3595" width="9" style="1" customWidth="1"/>
    <col min="3596" max="3596" width="0" style="1" hidden="1" customWidth="1"/>
    <col min="3597" max="3597" width="8.81640625" style="1" customWidth="1"/>
    <col min="3598" max="3598" width="9.6328125" style="1" customWidth="1"/>
    <col min="3599" max="3603" width="0" style="1" hidden="1" customWidth="1"/>
    <col min="3604" max="3604" width="9.6328125" style="1" customWidth="1"/>
    <col min="3605" max="3605" width="9.54296875" style="1" customWidth="1"/>
    <col min="3606" max="3606" width="9.6328125" style="1" customWidth="1"/>
    <col min="3607" max="3607" width="11.81640625" style="1" customWidth="1"/>
    <col min="3608" max="3609" width="9.6328125" style="1" customWidth="1"/>
    <col min="3610" max="3610" width="0" style="1" hidden="1" customWidth="1"/>
    <col min="3611" max="3612" width="14.08984375" style="1" customWidth="1"/>
    <col min="3613" max="3613" width="13.453125" style="1" customWidth="1"/>
    <col min="3614" max="3614" width="11.81640625" style="1" customWidth="1"/>
    <col min="3615" max="3615" width="12.54296875" style="1" customWidth="1"/>
    <col min="3616" max="3616" width="9.6328125" style="1" customWidth="1"/>
    <col min="3617" max="3617" width="11.1796875" style="1" customWidth="1"/>
    <col min="3618" max="3619" width="9" style="1" customWidth="1"/>
    <col min="3620" max="3621" width="7.81640625" style="1" customWidth="1"/>
    <col min="3622" max="3623" width="8.90625" style="1"/>
    <col min="3624" max="3624" width="12.6328125" style="1" customWidth="1"/>
    <col min="3625" max="3625" width="8.90625" style="1"/>
    <col min="3626" max="3629" width="11.90625" style="1" customWidth="1"/>
    <col min="3630" max="3630" width="8.90625" style="1"/>
    <col min="3631" max="3631" width="17.36328125" style="1" customWidth="1"/>
    <col min="3632" max="3632" width="16.1796875" style="1" customWidth="1"/>
    <col min="3633" max="3633" width="11.81640625" style="1" customWidth="1"/>
    <col min="3634" max="3725" width="9.90625" style="1" customWidth="1"/>
    <col min="3726" max="3840" width="8.90625" style="1"/>
    <col min="3841" max="3841" width="12.08984375" style="1" customWidth="1"/>
    <col min="3842" max="3842" width="14.36328125" style="1" customWidth="1"/>
    <col min="3843" max="3843" width="27" style="1" customWidth="1"/>
    <col min="3844" max="3844" width="12.6328125" style="1" customWidth="1"/>
    <col min="3845" max="3845" width="10.36328125" style="1" customWidth="1"/>
    <col min="3846" max="3846" width="9.36328125" style="1" customWidth="1"/>
    <col min="3847" max="3847" width="9.6328125" style="1" customWidth="1"/>
    <col min="3848" max="3848" width="0" style="1" hidden="1" customWidth="1"/>
    <col min="3849" max="3850" width="9.6328125" style="1" customWidth="1"/>
    <col min="3851" max="3851" width="9" style="1" customWidth="1"/>
    <col min="3852" max="3852" width="0" style="1" hidden="1" customWidth="1"/>
    <col min="3853" max="3853" width="8.81640625" style="1" customWidth="1"/>
    <col min="3854" max="3854" width="9.6328125" style="1" customWidth="1"/>
    <col min="3855" max="3859" width="0" style="1" hidden="1" customWidth="1"/>
    <col min="3860" max="3860" width="9.6328125" style="1" customWidth="1"/>
    <col min="3861" max="3861" width="9.54296875" style="1" customWidth="1"/>
    <col min="3862" max="3862" width="9.6328125" style="1" customWidth="1"/>
    <col min="3863" max="3863" width="11.81640625" style="1" customWidth="1"/>
    <col min="3864" max="3865" width="9.6328125" style="1" customWidth="1"/>
    <col min="3866" max="3866" width="0" style="1" hidden="1" customWidth="1"/>
    <col min="3867" max="3868" width="14.08984375" style="1" customWidth="1"/>
    <col min="3869" max="3869" width="13.453125" style="1" customWidth="1"/>
    <col min="3870" max="3870" width="11.81640625" style="1" customWidth="1"/>
    <col min="3871" max="3871" width="12.54296875" style="1" customWidth="1"/>
    <col min="3872" max="3872" width="9.6328125" style="1" customWidth="1"/>
    <col min="3873" max="3873" width="11.1796875" style="1" customWidth="1"/>
    <col min="3874" max="3875" width="9" style="1" customWidth="1"/>
    <col min="3876" max="3877" width="7.81640625" style="1" customWidth="1"/>
    <col min="3878" max="3879" width="8.90625" style="1"/>
    <col min="3880" max="3880" width="12.6328125" style="1" customWidth="1"/>
    <col min="3881" max="3881" width="8.90625" style="1"/>
    <col min="3882" max="3885" width="11.90625" style="1" customWidth="1"/>
    <col min="3886" max="3886" width="8.90625" style="1"/>
    <col min="3887" max="3887" width="17.36328125" style="1" customWidth="1"/>
    <col min="3888" max="3888" width="16.1796875" style="1" customWidth="1"/>
    <col min="3889" max="3889" width="11.81640625" style="1" customWidth="1"/>
    <col min="3890" max="3981" width="9.90625" style="1" customWidth="1"/>
    <col min="3982" max="4096" width="8.90625" style="1"/>
    <col min="4097" max="4097" width="12.08984375" style="1" customWidth="1"/>
    <col min="4098" max="4098" width="14.36328125" style="1" customWidth="1"/>
    <col min="4099" max="4099" width="27" style="1" customWidth="1"/>
    <col min="4100" max="4100" width="12.6328125" style="1" customWidth="1"/>
    <col min="4101" max="4101" width="10.36328125" style="1" customWidth="1"/>
    <col min="4102" max="4102" width="9.36328125" style="1" customWidth="1"/>
    <col min="4103" max="4103" width="9.6328125" style="1" customWidth="1"/>
    <col min="4104" max="4104" width="0" style="1" hidden="1" customWidth="1"/>
    <col min="4105" max="4106" width="9.6328125" style="1" customWidth="1"/>
    <col min="4107" max="4107" width="9" style="1" customWidth="1"/>
    <col min="4108" max="4108" width="0" style="1" hidden="1" customWidth="1"/>
    <col min="4109" max="4109" width="8.81640625" style="1" customWidth="1"/>
    <col min="4110" max="4110" width="9.6328125" style="1" customWidth="1"/>
    <col min="4111" max="4115" width="0" style="1" hidden="1" customWidth="1"/>
    <col min="4116" max="4116" width="9.6328125" style="1" customWidth="1"/>
    <col min="4117" max="4117" width="9.54296875" style="1" customWidth="1"/>
    <col min="4118" max="4118" width="9.6328125" style="1" customWidth="1"/>
    <col min="4119" max="4119" width="11.81640625" style="1" customWidth="1"/>
    <col min="4120" max="4121" width="9.6328125" style="1" customWidth="1"/>
    <col min="4122" max="4122" width="0" style="1" hidden="1" customWidth="1"/>
    <col min="4123" max="4124" width="14.08984375" style="1" customWidth="1"/>
    <col min="4125" max="4125" width="13.453125" style="1" customWidth="1"/>
    <col min="4126" max="4126" width="11.81640625" style="1" customWidth="1"/>
    <col min="4127" max="4127" width="12.54296875" style="1" customWidth="1"/>
    <col min="4128" max="4128" width="9.6328125" style="1" customWidth="1"/>
    <col min="4129" max="4129" width="11.1796875" style="1" customWidth="1"/>
    <col min="4130" max="4131" width="9" style="1" customWidth="1"/>
    <col min="4132" max="4133" width="7.81640625" style="1" customWidth="1"/>
    <col min="4134" max="4135" width="8.90625" style="1"/>
    <col min="4136" max="4136" width="12.6328125" style="1" customWidth="1"/>
    <col min="4137" max="4137" width="8.90625" style="1"/>
    <col min="4138" max="4141" width="11.90625" style="1" customWidth="1"/>
    <col min="4142" max="4142" width="8.90625" style="1"/>
    <col min="4143" max="4143" width="17.36328125" style="1" customWidth="1"/>
    <col min="4144" max="4144" width="16.1796875" style="1" customWidth="1"/>
    <col min="4145" max="4145" width="11.81640625" style="1" customWidth="1"/>
    <col min="4146" max="4237" width="9.90625" style="1" customWidth="1"/>
    <col min="4238" max="4352" width="8.90625" style="1"/>
    <col min="4353" max="4353" width="12.08984375" style="1" customWidth="1"/>
    <col min="4354" max="4354" width="14.36328125" style="1" customWidth="1"/>
    <col min="4355" max="4355" width="27" style="1" customWidth="1"/>
    <col min="4356" max="4356" width="12.6328125" style="1" customWidth="1"/>
    <col min="4357" max="4357" width="10.36328125" style="1" customWidth="1"/>
    <col min="4358" max="4358" width="9.36328125" style="1" customWidth="1"/>
    <col min="4359" max="4359" width="9.6328125" style="1" customWidth="1"/>
    <col min="4360" max="4360" width="0" style="1" hidden="1" customWidth="1"/>
    <col min="4361" max="4362" width="9.6328125" style="1" customWidth="1"/>
    <col min="4363" max="4363" width="9" style="1" customWidth="1"/>
    <col min="4364" max="4364" width="0" style="1" hidden="1" customWidth="1"/>
    <col min="4365" max="4365" width="8.81640625" style="1" customWidth="1"/>
    <col min="4366" max="4366" width="9.6328125" style="1" customWidth="1"/>
    <col min="4367" max="4371" width="0" style="1" hidden="1" customWidth="1"/>
    <col min="4372" max="4372" width="9.6328125" style="1" customWidth="1"/>
    <col min="4373" max="4373" width="9.54296875" style="1" customWidth="1"/>
    <col min="4374" max="4374" width="9.6328125" style="1" customWidth="1"/>
    <col min="4375" max="4375" width="11.81640625" style="1" customWidth="1"/>
    <col min="4376" max="4377" width="9.6328125" style="1" customWidth="1"/>
    <col min="4378" max="4378" width="0" style="1" hidden="1" customWidth="1"/>
    <col min="4379" max="4380" width="14.08984375" style="1" customWidth="1"/>
    <col min="4381" max="4381" width="13.453125" style="1" customWidth="1"/>
    <col min="4382" max="4382" width="11.81640625" style="1" customWidth="1"/>
    <col min="4383" max="4383" width="12.54296875" style="1" customWidth="1"/>
    <col min="4384" max="4384" width="9.6328125" style="1" customWidth="1"/>
    <col min="4385" max="4385" width="11.1796875" style="1" customWidth="1"/>
    <col min="4386" max="4387" width="9" style="1" customWidth="1"/>
    <col min="4388" max="4389" width="7.81640625" style="1" customWidth="1"/>
    <col min="4390" max="4391" width="8.90625" style="1"/>
    <col min="4392" max="4392" width="12.6328125" style="1" customWidth="1"/>
    <col min="4393" max="4393" width="8.90625" style="1"/>
    <col min="4394" max="4397" width="11.90625" style="1" customWidth="1"/>
    <col min="4398" max="4398" width="8.90625" style="1"/>
    <col min="4399" max="4399" width="17.36328125" style="1" customWidth="1"/>
    <col min="4400" max="4400" width="16.1796875" style="1" customWidth="1"/>
    <col min="4401" max="4401" width="11.81640625" style="1" customWidth="1"/>
    <col min="4402" max="4493" width="9.90625" style="1" customWidth="1"/>
    <col min="4494" max="4608" width="8.90625" style="1"/>
    <col min="4609" max="4609" width="12.08984375" style="1" customWidth="1"/>
    <col min="4610" max="4610" width="14.36328125" style="1" customWidth="1"/>
    <col min="4611" max="4611" width="27" style="1" customWidth="1"/>
    <col min="4612" max="4612" width="12.6328125" style="1" customWidth="1"/>
    <col min="4613" max="4613" width="10.36328125" style="1" customWidth="1"/>
    <col min="4614" max="4614" width="9.36328125" style="1" customWidth="1"/>
    <col min="4615" max="4615" width="9.6328125" style="1" customWidth="1"/>
    <col min="4616" max="4616" width="0" style="1" hidden="1" customWidth="1"/>
    <col min="4617" max="4618" width="9.6328125" style="1" customWidth="1"/>
    <col min="4619" max="4619" width="9" style="1" customWidth="1"/>
    <col min="4620" max="4620" width="0" style="1" hidden="1" customWidth="1"/>
    <col min="4621" max="4621" width="8.81640625" style="1" customWidth="1"/>
    <col min="4622" max="4622" width="9.6328125" style="1" customWidth="1"/>
    <col min="4623" max="4627" width="0" style="1" hidden="1" customWidth="1"/>
    <col min="4628" max="4628" width="9.6328125" style="1" customWidth="1"/>
    <col min="4629" max="4629" width="9.54296875" style="1" customWidth="1"/>
    <col min="4630" max="4630" width="9.6328125" style="1" customWidth="1"/>
    <col min="4631" max="4631" width="11.81640625" style="1" customWidth="1"/>
    <col min="4632" max="4633" width="9.6328125" style="1" customWidth="1"/>
    <col min="4634" max="4634" width="0" style="1" hidden="1" customWidth="1"/>
    <col min="4635" max="4636" width="14.08984375" style="1" customWidth="1"/>
    <col min="4637" max="4637" width="13.453125" style="1" customWidth="1"/>
    <col min="4638" max="4638" width="11.81640625" style="1" customWidth="1"/>
    <col min="4639" max="4639" width="12.54296875" style="1" customWidth="1"/>
    <col min="4640" max="4640" width="9.6328125" style="1" customWidth="1"/>
    <col min="4641" max="4641" width="11.1796875" style="1" customWidth="1"/>
    <col min="4642" max="4643" width="9" style="1" customWidth="1"/>
    <col min="4644" max="4645" width="7.81640625" style="1" customWidth="1"/>
    <col min="4646" max="4647" width="8.90625" style="1"/>
    <col min="4648" max="4648" width="12.6328125" style="1" customWidth="1"/>
    <col min="4649" max="4649" width="8.90625" style="1"/>
    <col min="4650" max="4653" width="11.90625" style="1" customWidth="1"/>
    <col min="4654" max="4654" width="8.90625" style="1"/>
    <col min="4655" max="4655" width="17.36328125" style="1" customWidth="1"/>
    <col min="4656" max="4656" width="16.1796875" style="1" customWidth="1"/>
    <col min="4657" max="4657" width="11.81640625" style="1" customWidth="1"/>
    <col min="4658" max="4749" width="9.90625" style="1" customWidth="1"/>
    <col min="4750" max="4864" width="8.90625" style="1"/>
    <col min="4865" max="4865" width="12.08984375" style="1" customWidth="1"/>
    <col min="4866" max="4866" width="14.36328125" style="1" customWidth="1"/>
    <col min="4867" max="4867" width="27" style="1" customWidth="1"/>
    <col min="4868" max="4868" width="12.6328125" style="1" customWidth="1"/>
    <col min="4869" max="4869" width="10.36328125" style="1" customWidth="1"/>
    <col min="4870" max="4870" width="9.36328125" style="1" customWidth="1"/>
    <col min="4871" max="4871" width="9.6328125" style="1" customWidth="1"/>
    <col min="4872" max="4872" width="0" style="1" hidden="1" customWidth="1"/>
    <col min="4873" max="4874" width="9.6328125" style="1" customWidth="1"/>
    <col min="4875" max="4875" width="9" style="1" customWidth="1"/>
    <col min="4876" max="4876" width="0" style="1" hidden="1" customWidth="1"/>
    <col min="4877" max="4877" width="8.81640625" style="1" customWidth="1"/>
    <col min="4878" max="4878" width="9.6328125" style="1" customWidth="1"/>
    <col min="4879" max="4883" width="0" style="1" hidden="1" customWidth="1"/>
    <col min="4884" max="4884" width="9.6328125" style="1" customWidth="1"/>
    <col min="4885" max="4885" width="9.54296875" style="1" customWidth="1"/>
    <col min="4886" max="4886" width="9.6328125" style="1" customWidth="1"/>
    <col min="4887" max="4887" width="11.81640625" style="1" customWidth="1"/>
    <col min="4888" max="4889" width="9.6328125" style="1" customWidth="1"/>
    <col min="4890" max="4890" width="0" style="1" hidden="1" customWidth="1"/>
    <col min="4891" max="4892" width="14.08984375" style="1" customWidth="1"/>
    <col min="4893" max="4893" width="13.453125" style="1" customWidth="1"/>
    <col min="4894" max="4894" width="11.81640625" style="1" customWidth="1"/>
    <col min="4895" max="4895" width="12.54296875" style="1" customWidth="1"/>
    <col min="4896" max="4896" width="9.6328125" style="1" customWidth="1"/>
    <col min="4897" max="4897" width="11.1796875" style="1" customWidth="1"/>
    <col min="4898" max="4899" width="9" style="1" customWidth="1"/>
    <col min="4900" max="4901" width="7.81640625" style="1" customWidth="1"/>
    <col min="4902" max="4903" width="8.90625" style="1"/>
    <col min="4904" max="4904" width="12.6328125" style="1" customWidth="1"/>
    <col min="4905" max="4905" width="8.90625" style="1"/>
    <col min="4906" max="4909" width="11.90625" style="1" customWidth="1"/>
    <col min="4910" max="4910" width="8.90625" style="1"/>
    <col min="4911" max="4911" width="17.36328125" style="1" customWidth="1"/>
    <col min="4912" max="4912" width="16.1796875" style="1" customWidth="1"/>
    <col min="4913" max="4913" width="11.81640625" style="1" customWidth="1"/>
    <col min="4914" max="5005" width="9.90625" style="1" customWidth="1"/>
    <col min="5006" max="5120" width="8.90625" style="1"/>
    <col min="5121" max="5121" width="12.08984375" style="1" customWidth="1"/>
    <col min="5122" max="5122" width="14.36328125" style="1" customWidth="1"/>
    <col min="5123" max="5123" width="27" style="1" customWidth="1"/>
    <col min="5124" max="5124" width="12.6328125" style="1" customWidth="1"/>
    <col min="5125" max="5125" width="10.36328125" style="1" customWidth="1"/>
    <col min="5126" max="5126" width="9.36328125" style="1" customWidth="1"/>
    <col min="5127" max="5127" width="9.6328125" style="1" customWidth="1"/>
    <col min="5128" max="5128" width="0" style="1" hidden="1" customWidth="1"/>
    <col min="5129" max="5130" width="9.6328125" style="1" customWidth="1"/>
    <col min="5131" max="5131" width="9" style="1" customWidth="1"/>
    <col min="5132" max="5132" width="0" style="1" hidden="1" customWidth="1"/>
    <col min="5133" max="5133" width="8.81640625" style="1" customWidth="1"/>
    <col min="5134" max="5134" width="9.6328125" style="1" customWidth="1"/>
    <col min="5135" max="5139" width="0" style="1" hidden="1" customWidth="1"/>
    <col min="5140" max="5140" width="9.6328125" style="1" customWidth="1"/>
    <col min="5141" max="5141" width="9.54296875" style="1" customWidth="1"/>
    <col min="5142" max="5142" width="9.6328125" style="1" customWidth="1"/>
    <col min="5143" max="5143" width="11.81640625" style="1" customWidth="1"/>
    <col min="5144" max="5145" width="9.6328125" style="1" customWidth="1"/>
    <col min="5146" max="5146" width="0" style="1" hidden="1" customWidth="1"/>
    <col min="5147" max="5148" width="14.08984375" style="1" customWidth="1"/>
    <col min="5149" max="5149" width="13.453125" style="1" customWidth="1"/>
    <col min="5150" max="5150" width="11.81640625" style="1" customWidth="1"/>
    <col min="5151" max="5151" width="12.54296875" style="1" customWidth="1"/>
    <col min="5152" max="5152" width="9.6328125" style="1" customWidth="1"/>
    <col min="5153" max="5153" width="11.1796875" style="1" customWidth="1"/>
    <col min="5154" max="5155" width="9" style="1" customWidth="1"/>
    <col min="5156" max="5157" width="7.81640625" style="1" customWidth="1"/>
    <col min="5158" max="5159" width="8.90625" style="1"/>
    <col min="5160" max="5160" width="12.6328125" style="1" customWidth="1"/>
    <col min="5161" max="5161" width="8.90625" style="1"/>
    <col min="5162" max="5165" width="11.90625" style="1" customWidth="1"/>
    <col min="5166" max="5166" width="8.90625" style="1"/>
    <col min="5167" max="5167" width="17.36328125" style="1" customWidth="1"/>
    <col min="5168" max="5168" width="16.1796875" style="1" customWidth="1"/>
    <col min="5169" max="5169" width="11.81640625" style="1" customWidth="1"/>
    <col min="5170" max="5261" width="9.90625" style="1" customWidth="1"/>
    <col min="5262" max="5376" width="8.90625" style="1"/>
    <col min="5377" max="5377" width="12.08984375" style="1" customWidth="1"/>
    <col min="5378" max="5378" width="14.36328125" style="1" customWidth="1"/>
    <col min="5379" max="5379" width="27" style="1" customWidth="1"/>
    <col min="5380" max="5380" width="12.6328125" style="1" customWidth="1"/>
    <col min="5381" max="5381" width="10.36328125" style="1" customWidth="1"/>
    <col min="5382" max="5382" width="9.36328125" style="1" customWidth="1"/>
    <col min="5383" max="5383" width="9.6328125" style="1" customWidth="1"/>
    <col min="5384" max="5384" width="0" style="1" hidden="1" customWidth="1"/>
    <col min="5385" max="5386" width="9.6328125" style="1" customWidth="1"/>
    <col min="5387" max="5387" width="9" style="1" customWidth="1"/>
    <col min="5388" max="5388" width="0" style="1" hidden="1" customWidth="1"/>
    <col min="5389" max="5389" width="8.81640625" style="1" customWidth="1"/>
    <col min="5390" max="5390" width="9.6328125" style="1" customWidth="1"/>
    <col min="5391" max="5395" width="0" style="1" hidden="1" customWidth="1"/>
    <col min="5396" max="5396" width="9.6328125" style="1" customWidth="1"/>
    <col min="5397" max="5397" width="9.54296875" style="1" customWidth="1"/>
    <col min="5398" max="5398" width="9.6328125" style="1" customWidth="1"/>
    <col min="5399" max="5399" width="11.81640625" style="1" customWidth="1"/>
    <col min="5400" max="5401" width="9.6328125" style="1" customWidth="1"/>
    <col min="5402" max="5402" width="0" style="1" hidden="1" customWidth="1"/>
    <col min="5403" max="5404" width="14.08984375" style="1" customWidth="1"/>
    <col min="5405" max="5405" width="13.453125" style="1" customWidth="1"/>
    <col min="5406" max="5406" width="11.81640625" style="1" customWidth="1"/>
    <col min="5407" max="5407" width="12.54296875" style="1" customWidth="1"/>
    <col min="5408" max="5408" width="9.6328125" style="1" customWidth="1"/>
    <col min="5409" max="5409" width="11.1796875" style="1" customWidth="1"/>
    <col min="5410" max="5411" width="9" style="1" customWidth="1"/>
    <col min="5412" max="5413" width="7.81640625" style="1" customWidth="1"/>
    <col min="5414" max="5415" width="8.90625" style="1"/>
    <col min="5416" max="5416" width="12.6328125" style="1" customWidth="1"/>
    <col min="5417" max="5417" width="8.90625" style="1"/>
    <col min="5418" max="5421" width="11.90625" style="1" customWidth="1"/>
    <col min="5422" max="5422" width="8.90625" style="1"/>
    <col min="5423" max="5423" width="17.36328125" style="1" customWidth="1"/>
    <col min="5424" max="5424" width="16.1796875" style="1" customWidth="1"/>
    <col min="5425" max="5425" width="11.81640625" style="1" customWidth="1"/>
    <col min="5426" max="5517" width="9.90625" style="1" customWidth="1"/>
    <col min="5518" max="5632" width="8.90625" style="1"/>
    <col min="5633" max="5633" width="12.08984375" style="1" customWidth="1"/>
    <col min="5634" max="5634" width="14.36328125" style="1" customWidth="1"/>
    <col min="5635" max="5635" width="27" style="1" customWidth="1"/>
    <col min="5636" max="5636" width="12.6328125" style="1" customWidth="1"/>
    <col min="5637" max="5637" width="10.36328125" style="1" customWidth="1"/>
    <col min="5638" max="5638" width="9.36328125" style="1" customWidth="1"/>
    <col min="5639" max="5639" width="9.6328125" style="1" customWidth="1"/>
    <col min="5640" max="5640" width="0" style="1" hidden="1" customWidth="1"/>
    <col min="5641" max="5642" width="9.6328125" style="1" customWidth="1"/>
    <col min="5643" max="5643" width="9" style="1" customWidth="1"/>
    <col min="5644" max="5644" width="0" style="1" hidden="1" customWidth="1"/>
    <col min="5645" max="5645" width="8.81640625" style="1" customWidth="1"/>
    <col min="5646" max="5646" width="9.6328125" style="1" customWidth="1"/>
    <col min="5647" max="5651" width="0" style="1" hidden="1" customWidth="1"/>
    <col min="5652" max="5652" width="9.6328125" style="1" customWidth="1"/>
    <col min="5653" max="5653" width="9.54296875" style="1" customWidth="1"/>
    <col min="5654" max="5654" width="9.6328125" style="1" customWidth="1"/>
    <col min="5655" max="5655" width="11.81640625" style="1" customWidth="1"/>
    <col min="5656" max="5657" width="9.6328125" style="1" customWidth="1"/>
    <col min="5658" max="5658" width="0" style="1" hidden="1" customWidth="1"/>
    <col min="5659" max="5660" width="14.08984375" style="1" customWidth="1"/>
    <col min="5661" max="5661" width="13.453125" style="1" customWidth="1"/>
    <col min="5662" max="5662" width="11.81640625" style="1" customWidth="1"/>
    <col min="5663" max="5663" width="12.54296875" style="1" customWidth="1"/>
    <col min="5664" max="5664" width="9.6328125" style="1" customWidth="1"/>
    <col min="5665" max="5665" width="11.1796875" style="1" customWidth="1"/>
    <col min="5666" max="5667" width="9" style="1" customWidth="1"/>
    <col min="5668" max="5669" width="7.81640625" style="1" customWidth="1"/>
    <col min="5670" max="5671" width="8.90625" style="1"/>
    <col min="5672" max="5672" width="12.6328125" style="1" customWidth="1"/>
    <col min="5673" max="5673" width="8.90625" style="1"/>
    <col min="5674" max="5677" width="11.90625" style="1" customWidth="1"/>
    <col min="5678" max="5678" width="8.90625" style="1"/>
    <col min="5679" max="5679" width="17.36328125" style="1" customWidth="1"/>
    <col min="5680" max="5680" width="16.1796875" style="1" customWidth="1"/>
    <col min="5681" max="5681" width="11.81640625" style="1" customWidth="1"/>
    <col min="5682" max="5773" width="9.90625" style="1" customWidth="1"/>
    <col min="5774" max="5888" width="8.90625" style="1"/>
    <col min="5889" max="5889" width="12.08984375" style="1" customWidth="1"/>
    <col min="5890" max="5890" width="14.36328125" style="1" customWidth="1"/>
    <col min="5891" max="5891" width="27" style="1" customWidth="1"/>
    <col min="5892" max="5892" width="12.6328125" style="1" customWidth="1"/>
    <col min="5893" max="5893" width="10.36328125" style="1" customWidth="1"/>
    <col min="5894" max="5894" width="9.36328125" style="1" customWidth="1"/>
    <col min="5895" max="5895" width="9.6328125" style="1" customWidth="1"/>
    <col min="5896" max="5896" width="0" style="1" hidden="1" customWidth="1"/>
    <col min="5897" max="5898" width="9.6328125" style="1" customWidth="1"/>
    <col min="5899" max="5899" width="9" style="1" customWidth="1"/>
    <col min="5900" max="5900" width="0" style="1" hidden="1" customWidth="1"/>
    <col min="5901" max="5901" width="8.81640625" style="1" customWidth="1"/>
    <col min="5902" max="5902" width="9.6328125" style="1" customWidth="1"/>
    <col min="5903" max="5907" width="0" style="1" hidden="1" customWidth="1"/>
    <col min="5908" max="5908" width="9.6328125" style="1" customWidth="1"/>
    <col min="5909" max="5909" width="9.54296875" style="1" customWidth="1"/>
    <col min="5910" max="5910" width="9.6328125" style="1" customWidth="1"/>
    <col min="5911" max="5911" width="11.81640625" style="1" customWidth="1"/>
    <col min="5912" max="5913" width="9.6328125" style="1" customWidth="1"/>
    <col min="5914" max="5914" width="0" style="1" hidden="1" customWidth="1"/>
    <col min="5915" max="5916" width="14.08984375" style="1" customWidth="1"/>
    <col min="5917" max="5917" width="13.453125" style="1" customWidth="1"/>
    <col min="5918" max="5918" width="11.81640625" style="1" customWidth="1"/>
    <col min="5919" max="5919" width="12.54296875" style="1" customWidth="1"/>
    <col min="5920" max="5920" width="9.6328125" style="1" customWidth="1"/>
    <col min="5921" max="5921" width="11.1796875" style="1" customWidth="1"/>
    <col min="5922" max="5923" width="9" style="1" customWidth="1"/>
    <col min="5924" max="5925" width="7.81640625" style="1" customWidth="1"/>
    <col min="5926" max="5927" width="8.90625" style="1"/>
    <col min="5928" max="5928" width="12.6328125" style="1" customWidth="1"/>
    <col min="5929" max="5929" width="8.90625" style="1"/>
    <col min="5930" max="5933" width="11.90625" style="1" customWidth="1"/>
    <col min="5934" max="5934" width="8.90625" style="1"/>
    <col min="5935" max="5935" width="17.36328125" style="1" customWidth="1"/>
    <col min="5936" max="5936" width="16.1796875" style="1" customWidth="1"/>
    <col min="5937" max="5937" width="11.81640625" style="1" customWidth="1"/>
    <col min="5938" max="6029" width="9.90625" style="1" customWidth="1"/>
    <col min="6030" max="6144" width="8.90625" style="1"/>
    <col min="6145" max="6145" width="12.08984375" style="1" customWidth="1"/>
    <col min="6146" max="6146" width="14.36328125" style="1" customWidth="1"/>
    <col min="6147" max="6147" width="27" style="1" customWidth="1"/>
    <col min="6148" max="6148" width="12.6328125" style="1" customWidth="1"/>
    <col min="6149" max="6149" width="10.36328125" style="1" customWidth="1"/>
    <col min="6150" max="6150" width="9.36328125" style="1" customWidth="1"/>
    <col min="6151" max="6151" width="9.6328125" style="1" customWidth="1"/>
    <col min="6152" max="6152" width="0" style="1" hidden="1" customWidth="1"/>
    <col min="6153" max="6154" width="9.6328125" style="1" customWidth="1"/>
    <col min="6155" max="6155" width="9" style="1" customWidth="1"/>
    <col min="6156" max="6156" width="0" style="1" hidden="1" customWidth="1"/>
    <col min="6157" max="6157" width="8.81640625" style="1" customWidth="1"/>
    <col min="6158" max="6158" width="9.6328125" style="1" customWidth="1"/>
    <col min="6159" max="6163" width="0" style="1" hidden="1" customWidth="1"/>
    <col min="6164" max="6164" width="9.6328125" style="1" customWidth="1"/>
    <col min="6165" max="6165" width="9.54296875" style="1" customWidth="1"/>
    <col min="6166" max="6166" width="9.6328125" style="1" customWidth="1"/>
    <col min="6167" max="6167" width="11.81640625" style="1" customWidth="1"/>
    <col min="6168" max="6169" width="9.6328125" style="1" customWidth="1"/>
    <col min="6170" max="6170" width="0" style="1" hidden="1" customWidth="1"/>
    <col min="6171" max="6172" width="14.08984375" style="1" customWidth="1"/>
    <col min="6173" max="6173" width="13.453125" style="1" customWidth="1"/>
    <col min="6174" max="6174" width="11.81640625" style="1" customWidth="1"/>
    <col min="6175" max="6175" width="12.54296875" style="1" customWidth="1"/>
    <col min="6176" max="6176" width="9.6328125" style="1" customWidth="1"/>
    <col min="6177" max="6177" width="11.1796875" style="1" customWidth="1"/>
    <col min="6178" max="6179" width="9" style="1" customWidth="1"/>
    <col min="6180" max="6181" width="7.81640625" style="1" customWidth="1"/>
    <col min="6182" max="6183" width="8.90625" style="1"/>
    <col min="6184" max="6184" width="12.6328125" style="1" customWidth="1"/>
    <col min="6185" max="6185" width="8.90625" style="1"/>
    <col min="6186" max="6189" width="11.90625" style="1" customWidth="1"/>
    <col min="6190" max="6190" width="8.90625" style="1"/>
    <col min="6191" max="6191" width="17.36328125" style="1" customWidth="1"/>
    <col min="6192" max="6192" width="16.1796875" style="1" customWidth="1"/>
    <col min="6193" max="6193" width="11.81640625" style="1" customWidth="1"/>
    <col min="6194" max="6285" width="9.90625" style="1" customWidth="1"/>
    <col min="6286" max="6400" width="8.90625" style="1"/>
    <col min="6401" max="6401" width="12.08984375" style="1" customWidth="1"/>
    <col min="6402" max="6402" width="14.36328125" style="1" customWidth="1"/>
    <col min="6403" max="6403" width="27" style="1" customWidth="1"/>
    <col min="6404" max="6404" width="12.6328125" style="1" customWidth="1"/>
    <col min="6405" max="6405" width="10.36328125" style="1" customWidth="1"/>
    <col min="6406" max="6406" width="9.36328125" style="1" customWidth="1"/>
    <col min="6407" max="6407" width="9.6328125" style="1" customWidth="1"/>
    <col min="6408" max="6408" width="0" style="1" hidden="1" customWidth="1"/>
    <col min="6409" max="6410" width="9.6328125" style="1" customWidth="1"/>
    <col min="6411" max="6411" width="9" style="1" customWidth="1"/>
    <col min="6412" max="6412" width="0" style="1" hidden="1" customWidth="1"/>
    <col min="6413" max="6413" width="8.81640625" style="1" customWidth="1"/>
    <col min="6414" max="6414" width="9.6328125" style="1" customWidth="1"/>
    <col min="6415" max="6419" width="0" style="1" hidden="1" customWidth="1"/>
    <col min="6420" max="6420" width="9.6328125" style="1" customWidth="1"/>
    <col min="6421" max="6421" width="9.54296875" style="1" customWidth="1"/>
    <col min="6422" max="6422" width="9.6328125" style="1" customWidth="1"/>
    <col min="6423" max="6423" width="11.81640625" style="1" customWidth="1"/>
    <col min="6424" max="6425" width="9.6328125" style="1" customWidth="1"/>
    <col min="6426" max="6426" width="0" style="1" hidden="1" customWidth="1"/>
    <col min="6427" max="6428" width="14.08984375" style="1" customWidth="1"/>
    <col min="6429" max="6429" width="13.453125" style="1" customWidth="1"/>
    <col min="6430" max="6430" width="11.81640625" style="1" customWidth="1"/>
    <col min="6431" max="6431" width="12.54296875" style="1" customWidth="1"/>
    <col min="6432" max="6432" width="9.6328125" style="1" customWidth="1"/>
    <col min="6433" max="6433" width="11.1796875" style="1" customWidth="1"/>
    <col min="6434" max="6435" width="9" style="1" customWidth="1"/>
    <col min="6436" max="6437" width="7.81640625" style="1" customWidth="1"/>
    <col min="6438" max="6439" width="8.90625" style="1"/>
    <col min="6440" max="6440" width="12.6328125" style="1" customWidth="1"/>
    <col min="6441" max="6441" width="8.90625" style="1"/>
    <col min="6442" max="6445" width="11.90625" style="1" customWidth="1"/>
    <col min="6446" max="6446" width="8.90625" style="1"/>
    <col min="6447" max="6447" width="17.36328125" style="1" customWidth="1"/>
    <col min="6448" max="6448" width="16.1796875" style="1" customWidth="1"/>
    <col min="6449" max="6449" width="11.81640625" style="1" customWidth="1"/>
    <col min="6450" max="6541" width="9.90625" style="1" customWidth="1"/>
    <col min="6542" max="6656" width="8.90625" style="1"/>
    <col min="6657" max="6657" width="12.08984375" style="1" customWidth="1"/>
    <col min="6658" max="6658" width="14.36328125" style="1" customWidth="1"/>
    <col min="6659" max="6659" width="27" style="1" customWidth="1"/>
    <col min="6660" max="6660" width="12.6328125" style="1" customWidth="1"/>
    <col min="6661" max="6661" width="10.36328125" style="1" customWidth="1"/>
    <col min="6662" max="6662" width="9.36328125" style="1" customWidth="1"/>
    <col min="6663" max="6663" width="9.6328125" style="1" customWidth="1"/>
    <col min="6664" max="6664" width="0" style="1" hidden="1" customWidth="1"/>
    <col min="6665" max="6666" width="9.6328125" style="1" customWidth="1"/>
    <col min="6667" max="6667" width="9" style="1" customWidth="1"/>
    <col min="6668" max="6668" width="0" style="1" hidden="1" customWidth="1"/>
    <col min="6669" max="6669" width="8.81640625" style="1" customWidth="1"/>
    <col min="6670" max="6670" width="9.6328125" style="1" customWidth="1"/>
    <col min="6671" max="6675" width="0" style="1" hidden="1" customWidth="1"/>
    <col min="6676" max="6676" width="9.6328125" style="1" customWidth="1"/>
    <col min="6677" max="6677" width="9.54296875" style="1" customWidth="1"/>
    <col min="6678" max="6678" width="9.6328125" style="1" customWidth="1"/>
    <col min="6679" max="6679" width="11.81640625" style="1" customWidth="1"/>
    <col min="6680" max="6681" width="9.6328125" style="1" customWidth="1"/>
    <col min="6682" max="6682" width="0" style="1" hidden="1" customWidth="1"/>
    <col min="6683" max="6684" width="14.08984375" style="1" customWidth="1"/>
    <col min="6685" max="6685" width="13.453125" style="1" customWidth="1"/>
    <col min="6686" max="6686" width="11.81640625" style="1" customWidth="1"/>
    <col min="6687" max="6687" width="12.54296875" style="1" customWidth="1"/>
    <col min="6688" max="6688" width="9.6328125" style="1" customWidth="1"/>
    <col min="6689" max="6689" width="11.1796875" style="1" customWidth="1"/>
    <col min="6690" max="6691" width="9" style="1" customWidth="1"/>
    <col min="6692" max="6693" width="7.81640625" style="1" customWidth="1"/>
    <col min="6694" max="6695" width="8.90625" style="1"/>
    <col min="6696" max="6696" width="12.6328125" style="1" customWidth="1"/>
    <col min="6697" max="6697" width="8.90625" style="1"/>
    <col min="6698" max="6701" width="11.90625" style="1" customWidth="1"/>
    <col min="6702" max="6702" width="8.90625" style="1"/>
    <col min="6703" max="6703" width="17.36328125" style="1" customWidth="1"/>
    <col min="6704" max="6704" width="16.1796875" style="1" customWidth="1"/>
    <col min="6705" max="6705" width="11.81640625" style="1" customWidth="1"/>
    <col min="6706" max="6797" width="9.90625" style="1" customWidth="1"/>
    <col min="6798" max="6912" width="8.90625" style="1"/>
    <col min="6913" max="6913" width="12.08984375" style="1" customWidth="1"/>
    <col min="6914" max="6914" width="14.36328125" style="1" customWidth="1"/>
    <col min="6915" max="6915" width="27" style="1" customWidth="1"/>
    <col min="6916" max="6916" width="12.6328125" style="1" customWidth="1"/>
    <col min="6917" max="6917" width="10.36328125" style="1" customWidth="1"/>
    <col min="6918" max="6918" width="9.36328125" style="1" customWidth="1"/>
    <col min="6919" max="6919" width="9.6328125" style="1" customWidth="1"/>
    <col min="6920" max="6920" width="0" style="1" hidden="1" customWidth="1"/>
    <col min="6921" max="6922" width="9.6328125" style="1" customWidth="1"/>
    <col min="6923" max="6923" width="9" style="1" customWidth="1"/>
    <col min="6924" max="6924" width="0" style="1" hidden="1" customWidth="1"/>
    <col min="6925" max="6925" width="8.81640625" style="1" customWidth="1"/>
    <col min="6926" max="6926" width="9.6328125" style="1" customWidth="1"/>
    <col min="6927" max="6931" width="0" style="1" hidden="1" customWidth="1"/>
    <col min="6932" max="6932" width="9.6328125" style="1" customWidth="1"/>
    <col min="6933" max="6933" width="9.54296875" style="1" customWidth="1"/>
    <col min="6934" max="6934" width="9.6328125" style="1" customWidth="1"/>
    <col min="6935" max="6935" width="11.81640625" style="1" customWidth="1"/>
    <col min="6936" max="6937" width="9.6328125" style="1" customWidth="1"/>
    <col min="6938" max="6938" width="0" style="1" hidden="1" customWidth="1"/>
    <col min="6939" max="6940" width="14.08984375" style="1" customWidth="1"/>
    <col min="6941" max="6941" width="13.453125" style="1" customWidth="1"/>
    <col min="6942" max="6942" width="11.81640625" style="1" customWidth="1"/>
    <col min="6943" max="6943" width="12.54296875" style="1" customWidth="1"/>
    <col min="6944" max="6944" width="9.6328125" style="1" customWidth="1"/>
    <col min="6945" max="6945" width="11.1796875" style="1" customWidth="1"/>
    <col min="6946" max="6947" width="9" style="1" customWidth="1"/>
    <col min="6948" max="6949" width="7.81640625" style="1" customWidth="1"/>
    <col min="6950" max="6951" width="8.90625" style="1"/>
    <col min="6952" max="6952" width="12.6328125" style="1" customWidth="1"/>
    <col min="6953" max="6953" width="8.90625" style="1"/>
    <col min="6954" max="6957" width="11.90625" style="1" customWidth="1"/>
    <col min="6958" max="6958" width="8.90625" style="1"/>
    <col min="6959" max="6959" width="17.36328125" style="1" customWidth="1"/>
    <col min="6960" max="6960" width="16.1796875" style="1" customWidth="1"/>
    <col min="6961" max="6961" width="11.81640625" style="1" customWidth="1"/>
    <col min="6962" max="7053" width="9.90625" style="1" customWidth="1"/>
    <col min="7054" max="7168" width="8.90625" style="1"/>
    <col min="7169" max="7169" width="12.08984375" style="1" customWidth="1"/>
    <col min="7170" max="7170" width="14.36328125" style="1" customWidth="1"/>
    <col min="7171" max="7171" width="27" style="1" customWidth="1"/>
    <col min="7172" max="7172" width="12.6328125" style="1" customWidth="1"/>
    <col min="7173" max="7173" width="10.36328125" style="1" customWidth="1"/>
    <col min="7174" max="7174" width="9.36328125" style="1" customWidth="1"/>
    <col min="7175" max="7175" width="9.6328125" style="1" customWidth="1"/>
    <col min="7176" max="7176" width="0" style="1" hidden="1" customWidth="1"/>
    <col min="7177" max="7178" width="9.6328125" style="1" customWidth="1"/>
    <col min="7179" max="7179" width="9" style="1" customWidth="1"/>
    <col min="7180" max="7180" width="0" style="1" hidden="1" customWidth="1"/>
    <col min="7181" max="7181" width="8.81640625" style="1" customWidth="1"/>
    <col min="7182" max="7182" width="9.6328125" style="1" customWidth="1"/>
    <col min="7183" max="7187" width="0" style="1" hidden="1" customWidth="1"/>
    <col min="7188" max="7188" width="9.6328125" style="1" customWidth="1"/>
    <col min="7189" max="7189" width="9.54296875" style="1" customWidth="1"/>
    <col min="7190" max="7190" width="9.6328125" style="1" customWidth="1"/>
    <col min="7191" max="7191" width="11.81640625" style="1" customWidth="1"/>
    <col min="7192" max="7193" width="9.6328125" style="1" customWidth="1"/>
    <col min="7194" max="7194" width="0" style="1" hidden="1" customWidth="1"/>
    <col min="7195" max="7196" width="14.08984375" style="1" customWidth="1"/>
    <col min="7197" max="7197" width="13.453125" style="1" customWidth="1"/>
    <col min="7198" max="7198" width="11.81640625" style="1" customWidth="1"/>
    <col min="7199" max="7199" width="12.54296875" style="1" customWidth="1"/>
    <col min="7200" max="7200" width="9.6328125" style="1" customWidth="1"/>
    <col min="7201" max="7201" width="11.1796875" style="1" customWidth="1"/>
    <col min="7202" max="7203" width="9" style="1" customWidth="1"/>
    <col min="7204" max="7205" width="7.81640625" style="1" customWidth="1"/>
    <col min="7206" max="7207" width="8.90625" style="1"/>
    <col min="7208" max="7208" width="12.6328125" style="1" customWidth="1"/>
    <col min="7209" max="7209" width="8.90625" style="1"/>
    <col min="7210" max="7213" width="11.90625" style="1" customWidth="1"/>
    <col min="7214" max="7214" width="8.90625" style="1"/>
    <col min="7215" max="7215" width="17.36328125" style="1" customWidth="1"/>
    <col min="7216" max="7216" width="16.1796875" style="1" customWidth="1"/>
    <col min="7217" max="7217" width="11.81640625" style="1" customWidth="1"/>
    <col min="7218" max="7309" width="9.90625" style="1" customWidth="1"/>
    <col min="7310" max="7424" width="8.90625" style="1"/>
    <col min="7425" max="7425" width="12.08984375" style="1" customWidth="1"/>
    <col min="7426" max="7426" width="14.36328125" style="1" customWidth="1"/>
    <col min="7427" max="7427" width="27" style="1" customWidth="1"/>
    <col min="7428" max="7428" width="12.6328125" style="1" customWidth="1"/>
    <col min="7429" max="7429" width="10.36328125" style="1" customWidth="1"/>
    <col min="7430" max="7430" width="9.36328125" style="1" customWidth="1"/>
    <col min="7431" max="7431" width="9.6328125" style="1" customWidth="1"/>
    <col min="7432" max="7432" width="0" style="1" hidden="1" customWidth="1"/>
    <col min="7433" max="7434" width="9.6328125" style="1" customWidth="1"/>
    <col min="7435" max="7435" width="9" style="1" customWidth="1"/>
    <col min="7436" max="7436" width="0" style="1" hidden="1" customWidth="1"/>
    <col min="7437" max="7437" width="8.81640625" style="1" customWidth="1"/>
    <col min="7438" max="7438" width="9.6328125" style="1" customWidth="1"/>
    <col min="7439" max="7443" width="0" style="1" hidden="1" customWidth="1"/>
    <col min="7444" max="7444" width="9.6328125" style="1" customWidth="1"/>
    <col min="7445" max="7445" width="9.54296875" style="1" customWidth="1"/>
    <col min="7446" max="7446" width="9.6328125" style="1" customWidth="1"/>
    <col min="7447" max="7447" width="11.81640625" style="1" customWidth="1"/>
    <col min="7448" max="7449" width="9.6328125" style="1" customWidth="1"/>
    <col min="7450" max="7450" width="0" style="1" hidden="1" customWidth="1"/>
    <col min="7451" max="7452" width="14.08984375" style="1" customWidth="1"/>
    <col min="7453" max="7453" width="13.453125" style="1" customWidth="1"/>
    <col min="7454" max="7454" width="11.81640625" style="1" customWidth="1"/>
    <col min="7455" max="7455" width="12.54296875" style="1" customWidth="1"/>
    <col min="7456" max="7456" width="9.6328125" style="1" customWidth="1"/>
    <col min="7457" max="7457" width="11.1796875" style="1" customWidth="1"/>
    <col min="7458" max="7459" width="9" style="1" customWidth="1"/>
    <col min="7460" max="7461" width="7.81640625" style="1" customWidth="1"/>
    <col min="7462" max="7463" width="8.90625" style="1"/>
    <col min="7464" max="7464" width="12.6328125" style="1" customWidth="1"/>
    <col min="7465" max="7465" width="8.90625" style="1"/>
    <col min="7466" max="7469" width="11.90625" style="1" customWidth="1"/>
    <col min="7470" max="7470" width="8.90625" style="1"/>
    <col min="7471" max="7471" width="17.36328125" style="1" customWidth="1"/>
    <col min="7472" max="7472" width="16.1796875" style="1" customWidth="1"/>
    <col min="7473" max="7473" width="11.81640625" style="1" customWidth="1"/>
    <col min="7474" max="7565" width="9.90625" style="1" customWidth="1"/>
    <col min="7566" max="7680" width="8.90625" style="1"/>
    <col min="7681" max="7681" width="12.08984375" style="1" customWidth="1"/>
    <col min="7682" max="7682" width="14.36328125" style="1" customWidth="1"/>
    <col min="7683" max="7683" width="27" style="1" customWidth="1"/>
    <col min="7684" max="7684" width="12.6328125" style="1" customWidth="1"/>
    <col min="7685" max="7685" width="10.36328125" style="1" customWidth="1"/>
    <col min="7686" max="7686" width="9.36328125" style="1" customWidth="1"/>
    <col min="7687" max="7687" width="9.6328125" style="1" customWidth="1"/>
    <col min="7688" max="7688" width="0" style="1" hidden="1" customWidth="1"/>
    <col min="7689" max="7690" width="9.6328125" style="1" customWidth="1"/>
    <col min="7691" max="7691" width="9" style="1" customWidth="1"/>
    <col min="7692" max="7692" width="0" style="1" hidden="1" customWidth="1"/>
    <col min="7693" max="7693" width="8.81640625" style="1" customWidth="1"/>
    <col min="7694" max="7694" width="9.6328125" style="1" customWidth="1"/>
    <col min="7695" max="7699" width="0" style="1" hidden="1" customWidth="1"/>
    <col min="7700" max="7700" width="9.6328125" style="1" customWidth="1"/>
    <col min="7701" max="7701" width="9.54296875" style="1" customWidth="1"/>
    <col min="7702" max="7702" width="9.6328125" style="1" customWidth="1"/>
    <col min="7703" max="7703" width="11.81640625" style="1" customWidth="1"/>
    <col min="7704" max="7705" width="9.6328125" style="1" customWidth="1"/>
    <col min="7706" max="7706" width="0" style="1" hidden="1" customWidth="1"/>
    <col min="7707" max="7708" width="14.08984375" style="1" customWidth="1"/>
    <col min="7709" max="7709" width="13.453125" style="1" customWidth="1"/>
    <col min="7710" max="7710" width="11.81640625" style="1" customWidth="1"/>
    <col min="7711" max="7711" width="12.54296875" style="1" customWidth="1"/>
    <col min="7712" max="7712" width="9.6328125" style="1" customWidth="1"/>
    <col min="7713" max="7713" width="11.1796875" style="1" customWidth="1"/>
    <col min="7714" max="7715" width="9" style="1" customWidth="1"/>
    <col min="7716" max="7717" width="7.81640625" style="1" customWidth="1"/>
    <col min="7718" max="7719" width="8.90625" style="1"/>
    <col min="7720" max="7720" width="12.6328125" style="1" customWidth="1"/>
    <col min="7721" max="7721" width="8.90625" style="1"/>
    <col min="7722" max="7725" width="11.90625" style="1" customWidth="1"/>
    <col min="7726" max="7726" width="8.90625" style="1"/>
    <col min="7727" max="7727" width="17.36328125" style="1" customWidth="1"/>
    <col min="7728" max="7728" width="16.1796875" style="1" customWidth="1"/>
    <col min="7729" max="7729" width="11.81640625" style="1" customWidth="1"/>
    <col min="7730" max="7821" width="9.90625" style="1" customWidth="1"/>
    <col min="7822" max="7936" width="8.90625" style="1"/>
    <col min="7937" max="7937" width="12.08984375" style="1" customWidth="1"/>
    <col min="7938" max="7938" width="14.36328125" style="1" customWidth="1"/>
    <col min="7939" max="7939" width="27" style="1" customWidth="1"/>
    <col min="7940" max="7940" width="12.6328125" style="1" customWidth="1"/>
    <col min="7941" max="7941" width="10.36328125" style="1" customWidth="1"/>
    <col min="7942" max="7942" width="9.36328125" style="1" customWidth="1"/>
    <col min="7943" max="7943" width="9.6328125" style="1" customWidth="1"/>
    <col min="7944" max="7944" width="0" style="1" hidden="1" customWidth="1"/>
    <col min="7945" max="7946" width="9.6328125" style="1" customWidth="1"/>
    <col min="7947" max="7947" width="9" style="1" customWidth="1"/>
    <col min="7948" max="7948" width="0" style="1" hidden="1" customWidth="1"/>
    <col min="7949" max="7949" width="8.81640625" style="1" customWidth="1"/>
    <col min="7950" max="7950" width="9.6328125" style="1" customWidth="1"/>
    <col min="7951" max="7955" width="0" style="1" hidden="1" customWidth="1"/>
    <col min="7956" max="7956" width="9.6328125" style="1" customWidth="1"/>
    <col min="7957" max="7957" width="9.54296875" style="1" customWidth="1"/>
    <col min="7958" max="7958" width="9.6328125" style="1" customWidth="1"/>
    <col min="7959" max="7959" width="11.81640625" style="1" customWidth="1"/>
    <col min="7960" max="7961" width="9.6328125" style="1" customWidth="1"/>
    <col min="7962" max="7962" width="0" style="1" hidden="1" customWidth="1"/>
    <col min="7963" max="7964" width="14.08984375" style="1" customWidth="1"/>
    <col min="7965" max="7965" width="13.453125" style="1" customWidth="1"/>
    <col min="7966" max="7966" width="11.81640625" style="1" customWidth="1"/>
    <col min="7967" max="7967" width="12.54296875" style="1" customWidth="1"/>
    <col min="7968" max="7968" width="9.6328125" style="1" customWidth="1"/>
    <col min="7969" max="7969" width="11.1796875" style="1" customWidth="1"/>
    <col min="7970" max="7971" width="9" style="1" customWidth="1"/>
    <col min="7972" max="7973" width="7.81640625" style="1" customWidth="1"/>
    <col min="7974" max="7975" width="8.90625" style="1"/>
    <col min="7976" max="7976" width="12.6328125" style="1" customWidth="1"/>
    <col min="7977" max="7977" width="8.90625" style="1"/>
    <col min="7978" max="7981" width="11.90625" style="1" customWidth="1"/>
    <col min="7982" max="7982" width="8.90625" style="1"/>
    <col min="7983" max="7983" width="17.36328125" style="1" customWidth="1"/>
    <col min="7984" max="7984" width="16.1796875" style="1" customWidth="1"/>
    <col min="7985" max="7985" width="11.81640625" style="1" customWidth="1"/>
    <col min="7986" max="8077" width="9.90625" style="1" customWidth="1"/>
    <col min="8078" max="8192" width="8.90625" style="1"/>
    <col min="8193" max="8193" width="12.08984375" style="1" customWidth="1"/>
    <col min="8194" max="8194" width="14.36328125" style="1" customWidth="1"/>
    <col min="8195" max="8195" width="27" style="1" customWidth="1"/>
    <col min="8196" max="8196" width="12.6328125" style="1" customWidth="1"/>
    <col min="8197" max="8197" width="10.36328125" style="1" customWidth="1"/>
    <col min="8198" max="8198" width="9.36328125" style="1" customWidth="1"/>
    <col min="8199" max="8199" width="9.6328125" style="1" customWidth="1"/>
    <col min="8200" max="8200" width="0" style="1" hidden="1" customWidth="1"/>
    <col min="8201" max="8202" width="9.6328125" style="1" customWidth="1"/>
    <col min="8203" max="8203" width="9" style="1" customWidth="1"/>
    <col min="8204" max="8204" width="0" style="1" hidden="1" customWidth="1"/>
    <col min="8205" max="8205" width="8.81640625" style="1" customWidth="1"/>
    <col min="8206" max="8206" width="9.6328125" style="1" customWidth="1"/>
    <col min="8207" max="8211" width="0" style="1" hidden="1" customWidth="1"/>
    <col min="8212" max="8212" width="9.6328125" style="1" customWidth="1"/>
    <col min="8213" max="8213" width="9.54296875" style="1" customWidth="1"/>
    <col min="8214" max="8214" width="9.6328125" style="1" customWidth="1"/>
    <col min="8215" max="8215" width="11.81640625" style="1" customWidth="1"/>
    <col min="8216" max="8217" width="9.6328125" style="1" customWidth="1"/>
    <col min="8218" max="8218" width="0" style="1" hidden="1" customWidth="1"/>
    <col min="8219" max="8220" width="14.08984375" style="1" customWidth="1"/>
    <col min="8221" max="8221" width="13.453125" style="1" customWidth="1"/>
    <col min="8222" max="8222" width="11.81640625" style="1" customWidth="1"/>
    <col min="8223" max="8223" width="12.54296875" style="1" customWidth="1"/>
    <col min="8224" max="8224" width="9.6328125" style="1" customWidth="1"/>
    <col min="8225" max="8225" width="11.1796875" style="1" customWidth="1"/>
    <col min="8226" max="8227" width="9" style="1" customWidth="1"/>
    <col min="8228" max="8229" width="7.81640625" style="1" customWidth="1"/>
    <col min="8230" max="8231" width="8.90625" style="1"/>
    <col min="8232" max="8232" width="12.6328125" style="1" customWidth="1"/>
    <col min="8233" max="8233" width="8.90625" style="1"/>
    <col min="8234" max="8237" width="11.90625" style="1" customWidth="1"/>
    <col min="8238" max="8238" width="8.90625" style="1"/>
    <col min="8239" max="8239" width="17.36328125" style="1" customWidth="1"/>
    <col min="8240" max="8240" width="16.1796875" style="1" customWidth="1"/>
    <col min="8241" max="8241" width="11.81640625" style="1" customWidth="1"/>
    <col min="8242" max="8333" width="9.90625" style="1" customWidth="1"/>
    <col min="8334" max="8448" width="8.90625" style="1"/>
    <col min="8449" max="8449" width="12.08984375" style="1" customWidth="1"/>
    <col min="8450" max="8450" width="14.36328125" style="1" customWidth="1"/>
    <col min="8451" max="8451" width="27" style="1" customWidth="1"/>
    <col min="8452" max="8452" width="12.6328125" style="1" customWidth="1"/>
    <col min="8453" max="8453" width="10.36328125" style="1" customWidth="1"/>
    <col min="8454" max="8454" width="9.36328125" style="1" customWidth="1"/>
    <col min="8455" max="8455" width="9.6328125" style="1" customWidth="1"/>
    <col min="8456" max="8456" width="0" style="1" hidden="1" customWidth="1"/>
    <col min="8457" max="8458" width="9.6328125" style="1" customWidth="1"/>
    <col min="8459" max="8459" width="9" style="1" customWidth="1"/>
    <col min="8460" max="8460" width="0" style="1" hidden="1" customWidth="1"/>
    <col min="8461" max="8461" width="8.81640625" style="1" customWidth="1"/>
    <col min="8462" max="8462" width="9.6328125" style="1" customWidth="1"/>
    <col min="8463" max="8467" width="0" style="1" hidden="1" customWidth="1"/>
    <col min="8468" max="8468" width="9.6328125" style="1" customWidth="1"/>
    <col min="8469" max="8469" width="9.54296875" style="1" customWidth="1"/>
    <col min="8470" max="8470" width="9.6328125" style="1" customWidth="1"/>
    <col min="8471" max="8471" width="11.81640625" style="1" customWidth="1"/>
    <col min="8472" max="8473" width="9.6328125" style="1" customWidth="1"/>
    <col min="8474" max="8474" width="0" style="1" hidden="1" customWidth="1"/>
    <col min="8475" max="8476" width="14.08984375" style="1" customWidth="1"/>
    <col min="8477" max="8477" width="13.453125" style="1" customWidth="1"/>
    <col min="8478" max="8478" width="11.81640625" style="1" customWidth="1"/>
    <col min="8479" max="8479" width="12.54296875" style="1" customWidth="1"/>
    <col min="8480" max="8480" width="9.6328125" style="1" customWidth="1"/>
    <col min="8481" max="8481" width="11.1796875" style="1" customWidth="1"/>
    <col min="8482" max="8483" width="9" style="1" customWidth="1"/>
    <col min="8484" max="8485" width="7.81640625" style="1" customWidth="1"/>
    <col min="8486" max="8487" width="8.90625" style="1"/>
    <col min="8488" max="8488" width="12.6328125" style="1" customWidth="1"/>
    <col min="8489" max="8489" width="8.90625" style="1"/>
    <col min="8490" max="8493" width="11.90625" style="1" customWidth="1"/>
    <col min="8494" max="8494" width="8.90625" style="1"/>
    <col min="8495" max="8495" width="17.36328125" style="1" customWidth="1"/>
    <col min="8496" max="8496" width="16.1796875" style="1" customWidth="1"/>
    <col min="8497" max="8497" width="11.81640625" style="1" customWidth="1"/>
    <col min="8498" max="8589" width="9.90625" style="1" customWidth="1"/>
    <col min="8590" max="8704" width="8.90625" style="1"/>
    <col min="8705" max="8705" width="12.08984375" style="1" customWidth="1"/>
    <col min="8706" max="8706" width="14.36328125" style="1" customWidth="1"/>
    <col min="8707" max="8707" width="27" style="1" customWidth="1"/>
    <col min="8708" max="8708" width="12.6328125" style="1" customWidth="1"/>
    <col min="8709" max="8709" width="10.36328125" style="1" customWidth="1"/>
    <col min="8710" max="8710" width="9.36328125" style="1" customWidth="1"/>
    <col min="8711" max="8711" width="9.6328125" style="1" customWidth="1"/>
    <col min="8712" max="8712" width="0" style="1" hidden="1" customWidth="1"/>
    <col min="8713" max="8714" width="9.6328125" style="1" customWidth="1"/>
    <col min="8715" max="8715" width="9" style="1" customWidth="1"/>
    <col min="8716" max="8716" width="0" style="1" hidden="1" customWidth="1"/>
    <col min="8717" max="8717" width="8.81640625" style="1" customWidth="1"/>
    <col min="8718" max="8718" width="9.6328125" style="1" customWidth="1"/>
    <col min="8719" max="8723" width="0" style="1" hidden="1" customWidth="1"/>
    <col min="8724" max="8724" width="9.6328125" style="1" customWidth="1"/>
    <col min="8725" max="8725" width="9.54296875" style="1" customWidth="1"/>
    <col min="8726" max="8726" width="9.6328125" style="1" customWidth="1"/>
    <col min="8727" max="8727" width="11.81640625" style="1" customWidth="1"/>
    <col min="8728" max="8729" width="9.6328125" style="1" customWidth="1"/>
    <col min="8730" max="8730" width="0" style="1" hidden="1" customWidth="1"/>
    <col min="8731" max="8732" width="14.08984375" style="1" customWidth="1"/>
    <col min="8733" max="8733" width="13.453125" style="1" customWidth="1"/>
    <col min="8734" max="8734" width="11.81640625" style="1" customWidth="1"/>
    <col min="8735" max="8735" width="12.54296875" style="1" customWidth="1"/>
    <col min="8736" max="8736" width="9.6328125" style="1" customWidth="1"/>
    <col min="8737" max="8737" width="11.1796875" style="1" customWidth="1"/>
    <col min="8738" max="8739" width="9" style="1" customWidth="1"/>
    <col min="8740" max="8741" width="7.81640625" style="1" customWidth="1"/>
    <col min="8742" max="8743" width="8.90625" style="1"/>
    <col min="8744" max="8744" width="12.6328125" style="1" customWidth="1"/>
    <col min="8745" max="8745" width="8.90625" style="1"/>
    <col min="8746" max="8749" width="11.90625" style="1" customWidth="1"/>
    <col min="8750" max="8750" width="8.90625" style="1"/>
    <col min="8751" max="8751" width="17.36328125" style="1" customWidth="1"/>
    <col min="8752" max="8752" width="16.1796875" style="1" customWidth="1"/>
    <col min="8753" max="8753" width="11.81640625" style="1" customWidth="1"/>
    <col min="8754" max="8845" width="9.90625" style="1" customWidth="1"/>
    <col min="8846" max="8960" width="8.90625" style="1"/>
    <col min="8961" max="8961" width="12.08984375" style="1" customWidth="1"/>
    <col min="8962" max="8962" width="14.36328125" style="1" customWidth="1"/>
    <col min="8963" max="8963" width="27" style="1" customWidth="1"/>
    <col min="8964" max="8964" width="12.6328125" style="1" customWidth="1"/>
    <col min="8965" max="8965" width="10.36328125" style="1" customWidth="1"/>
    <col min="8966" max="8966" width="9.36328125" style="1" customWidth="1"/>
    <col min="8967" max="8967" width="9.6328125" style="1" customWidth="1"/>
    <col min="8968" max="8968" width="0" style="1" hidden="1" customWidth="1"/>
    <col min="8969" max="8970" width="9.6328125" style="1" customWidth="1"/>
    <col min="8971" max="8971" width="9" style="1" customWidth="1"/>
    <col min="8972" max="8972" width="0" style="1" hidden="1" customWidth="1"/>
    <col min="8973" max="8973" width="8.81640625" style="1" customWidth="1"/>
    <col min="8974" max="8974" width="9.6328125" style="1" customWidth="1"/>
    <col min="8975" max="8979" width="0" style="1" hidden="1" customWidth="1"/>
    <col min="8980" max="8980" width="9.6328125" style="1" customWidth="1"/>
    <col min="8981" max="8981" width="9.54296875" style="1" customWidth="1"/>
    <col min="8982" max="8982" width="9.6328125" style="1" customWidth="1"/>
    <col min="8983" max="8983" width="11.81640625" style="1" customWidth="1"/>
    <col min="8984" max="8985" width="9.6328125" style="1" customWidth="1"/>
    <col min="8986" max="8986" width="0" style="1" hidden="1" customWidth="1"/>
    <col min="8987" max="8988" width="14.08984375" style="1" customWidth="1"/>
    <col min="8989" max="8989" width="13.453125" style="1" customWidth="1"/>
    <col min="8990" max="8990" width="11.81640625" style="1" customWidth="1"/>
    <col min="8991" max="8991" width="12.54296875" style="1" customWidth="1"/>
    <col min="8992" max="8992" width="9.6328125" style="1" customWidth="1"/>
    <col min="8993" max="8993" width="11.1796875" style="1" customWidth="1"/>
    <col min="8994" max="8995" width="9" style="1" customWidth="1"/>
    <col min="8996" max="8997" width="7.81640625" style="1" customWidth="1"/>
    <col min="8998" max="8999" width="8.90625" style="1"/>
    <col min="9000" max="9000" width="12.6328125" style="1" customWidth="1"/>
    <col min="9001" max="9001" width="8.90625" style="1"/>
    <col min="9002" max="9005" width="11.90625" style="1" customWidth="1"/>
    <col min="9006" max="9006" width="8.90625" style="1"/>
    <col min="9007" max="9007" width="17.36328125" style="1" customWidth="1"/>
    <col min="9008" max="9008" width="16.1796875" style="1" customWidth="1"/>
    <col min="9009" max="9009" width="11.81640625" style="1" customWidth="1"/>
    <col min="9010" max="9101" width="9.90625" style="1" customWidth="1"/>
    <col min="9102" max="9216" width="8.90625" style="1"/>
    <col min="9217" max="9217" width="12.08984375" style="1" customWidth="1"/>
    <col min="9218" max="9218" width="14.36328125" style="1" customWidth="1"/>
    <col min="9219" max="9219" width="27" style="1" customWidth="1"/>
    <col min="9220" max="9220" width="12.6328125" style="1" customWidth="1"/>
    <col min="9221" max="9221" width="10.36328125" style="1" customWidth="1"/>
    <col min="9222" max="9222" width="9.36328125" style="1" customWidth="1"/>
    <col min="9223" max="9223" width="9.6328125" style="1" customWidth="1"/>
    <col min="9224" max="9224" width="0" style="1" hidden="1" customWidth="1"/>
    <col min="9225" max="9226" width="9.6328125" style="1" customWidth="1"/>
    <col min="9227" max="9227" width="9" style="1" customWidth="1"/>
    <col min="9228" max="9228" width="0" style="1" hidden="1" customWidth="1"/>
    <col min="9229" max="9229" width="8.81640625" style="1" customWidth="1"/>
    <col min="9230" max="9230" width="9.6328125" style="1" customWidth="1"/>
    <col min="9231" max="9235" width="0" style="1" hidden="1" customWidth="1"/>
    <col min="9236" max="9236" width="9.6328125" style="1" customWidth="1"/>
    <col min="9237" max="9237" width="9.54296875" style="1" customWidth="1"/>
    <col min="9238" max="9238" width="9.6328125" style="1" customWidth="1"/>
    <col min="9239" max="9239" width="11.81640625" style="1" customWidth="1"/>
    <col min="9240" max="9241" width="9.6328125" style="1" customWidth="1"/>
    <col min="9242" max="9242" width="0" style="1" hidden="1" customWidth="1"/>
    <col min="9243" max="9244" width="14.08984375" style="1" customWidth="1"/>
    <col min="9245" max="9245" width="13.453125" style="1" customWidth="1"/>
    <col min="9246" max="9246" width="11.81640625" style="1" customWidth="1"/>
    <col min="9247" max="9247" width="12.54296875" style="1" customWidth="1"/>
    <col min="9248" max="9248" width="9.6328125" style="1" customWidth="1"/>
    <col min="9249" max="9249" width="11.1796875" style="1" customWidth="1"/>
    <col min="9250" max="9251" width="9" style="1" customWidth="1"/>
    <col min="9252" max="9253" width="7.81640625" style="1" customWidth="1"/>
    <col min="9254" max="9255" width="8.90625" style="1"/>
    <col min="9256" max="9256" width="12.6328125" style="1" customWidth="1"/>
    <col min="9257" max="9257" width="8.90625" style="1"/>
    <col min="9258" max="9261" width="11.90625" style="1" customWidth="1"/>
    <col min="9262" max="9262" width="8.90625" style="1"/>
    <col min="9263" max="9263" width="17.36328125" style="1" customWidth="1"/>
    <col min="9264" max="9264" width="16.1796875" style="1" customWidth="1"/>
    <col min="9265" max="9265" width="11.81640625" style="1" customWidth="1"/>
    <col min="9266" max="9357" width="9.90625" style="1" customWidth="1"/>
    <col min="9358" max="9472" width="8.90625" style="1"/>
    <col min="9473" max="9473" width="12.08984375" style="1" customWidth="1"/>
    <col min="9474" max="9474" width="14.36328125" style="1" customWidth="1"/>
    <col min="9475" max="9475" width="27" style="1" customWidth="1"/>
    <col min="9476" max="9476" width="12.6328125" style="1" customWidth="1"/>
    <col min="9477" max="9477" width="10.36328125" style="1" customWidth="1"/>
    <col min="9478" max="9478" width="9.36328125" style="1" customWidth="1"/>
    <col min="9479" max="9479" width="9.6328125" style="1" customWidth="1"/>
    <col min="9480" max="9480" width="0" style="1" hidden="1" customWidth="1"/>
    <col min="9481" max="9482" width="9.6328125" style="1" customWidth="1"/>
    <col min="9483" max="9483" width="9" style="1" customWidth="1"/>
    <col min="9484" max="9484" width="0" style="1" hidden="1" customWidth="1"/>
    <col min="9485" max="9485" width="8.81640625" style="1" customWidth="1"/>
    <col min="9486" max="9486" width="9.6328125" style="1" customWidth="1"/>
    <col min="9487" max="9491" width="0" style="1" hidden="1" customWidth="1"/>
    <col min="9492" max="9492" width="9.6328125" style="1" customWidth="1"/>
    <col min="9493" max="9493" width="9.54296875" style="1" customWidth="1"/>
    <col min="9494" max="9494" width="9.6328125" style="1" customWidth="1"/>
    <col min="9495" max="9495" width="11.81640625" style="1" customWidth="1"/>
    <col min="9496" max="9497" width="9.6328125" style="1" customWidth="1"/>
    <col min="9498" max="9498" width="0" style="1" hidden="1" customWidth="1"/>
    <col min="9499" max="9500" width="14.08984375" style="1" customWidth="1"/>
    <col min="9501" max="9501" width="13.453125" style="1" customWidth="1"/>
    <col min="9502" max="9502" width="11.81640625" style="1" customWidth="1"/>
    <col min="9503" max="9503" width="12.54296875" style="1" customWidth="1"/>
    <col min="9504" max="9504" width="9.6328125" style="1" customWidth="1"/>
    <col min="9505" max="9505" width="11.1796875" style="1" customWidth="1"/>
    <col min="9506" max="9507" width="9" style="1" customWidth="1"/>
    <col min="9508" max="9509" width="7.81640625" style="1" customWidth="1"/>
    <col min="9510" max="9511" width="8.90625" style="1"/>
    <col min="9512" max="9512" width="12.6328125" style="1" customWidth="1"/>
    <col min="9513" max="9513" width="8.90625" style="1"/>
    <col min="9514" max="9517" width="11.90625" style="1" customWidth="1"/>
    <col min="9518" max="9518" width="8.90625" style="1"/>
    <col min="9519" max="9519" width="17.36328125" style="1" customWidth="1"/>
    <col min="9520" max="9520" width="16.1796875" style="1" customWidth="1"/>
    <col min="9521" max="9521" width="11.81640625" style="1" customWidth="1"/>
    <col min="9522" max="9613" width="9.90625" style="1" customWidth="1"/>
    <col min="9614" max="9728" width="8.90625" style="1"/>
    <col min="9729" max="9729" width="12.08984375" style="1" customWidth="1"/>
    <col min="9730" max="9730" width="14.36328125" style="1" customWidth="1"/>
    <col min="9731" max="9731" width="27" style="1" customWidth="1"/>
    <col min="9732" max="9732" width="12.6328125" style="1" customWidth="1"/>
    <col min="9733" max="9733" width="10.36328125" style="1" customWidth="1"/>
    <col min="9734" max="9734" width="9.36328125" style="1" customWidth="1"/>
    <col min="9735" max="9735" width="9.6328125" style="1" customWidth="1"/>
    <col min="9736" max="9736" width="0" style="1" hidden="1" customWidth="1"/>
    <col min="9737" max="9738" width="9.6328125" style="1" customWidth="1"/>
    <col min="9739" max="9739" width="9" style="1" customWidth="1"/>
    <col min="9740" max="9740" width="0" style="1" hidden="1" customWidth="1"/>
    <col min="9741" max="9741" width="8.81640625" style="1" customWidth="1"/>
    <col min="9742" max="9742" width="9.6328125" style="1" customWidth="1"/>
    <col min="9743" max="9747" width="0" style="1" hidden="1" customWidth="1"/>
    <col min="9748" max="9748" width="9.6328125" style="1" customWidth="1"/>
    <col min="9749" max="9749" width="9.54296875" style="1" customWidth="1"/>
    <col min="9750" max="9750" width="9.6328125" style="1" customWidth="1"/>
    <col min="9751" max="9751" width="11.81640625" style="1" customWidth="1"/>
    <col min="9752" max="9753" width="9.6328125" style="1" customWidth="1"/>
    <col min="9754" max="9754" width="0" style="1" hidden="1" customWidth="1"/>
    <col min="9755" max="9756" width="14.08984375" style="1" customWidth="1"/>
    <col min="9757" max="9757" width="13.453125" style="1" customWidth="1"/>
    <col min="9758" max="9758" width="11.81640625" style="1" customWidth="1"/>
    <col min="9759" max="9759" width="12.54296875" style="1" customWidth="1"/>
    <col min="9760" max="9760" width="9.6328125" style="1" customWidth="1"/>
    <col min="9761" max="9761" width="11.1796875" style="1" customWidth="1"/>
    <col min="9762" max="9763" width="9" style="1" customWidth="1"/>
    <col min="9764" max="9765" width="7.81640625" style="1" customWidth="1"/>
    <col min="9766" max="9767" width="8.90625" style="1"/>
    <col min="9768" max="9768" width="12.6328125" style="1" customWidth="1"/>
    <col min="9769" max="9769" width="8.90625" style="1"/>
    <col min="9770" max="9773" width="11.90625" style="1" customWidth="1"/>
    <col min="9774" max="9774" width="8.90625" style="1"/>
    <col min="9775" max="9775" width="17.36328125" style="1" customWidth="1"/>
    <col min="9776" max="9776" width="16.1796875" style="1" customWidth="1"/>
    <col min="9777" max="9777" width="11.81640625" style="1" customWidth="1"/>
    <col min="9778" max="9869" width="9.90625" style="1" customWidth="1"/>
    <col min="9870" max="9984" width="8.90625" style="1"/>
    <col min="9985" max="9985" width="12.08984375" style="1" customWidth="1"/>
    <col min="9986" max="9986" width="14.36328125" style="1" customWidth="1"/>
    <col min="9987" max="9987" width="27" style="1" customWidth="1"/>
    <col min="9988" max="9988" width="12.6328125" style="1" customWidth="1"/>
    <col min="9989" max="9989" width="10.36328125" style="1" customWidth="1"/>
    <col min="9990" max="9990" width="9.36328125" style="1" customWidth="1"/>
    <col min="9991" max="9991" width="9.6328125" style="1" customWidth="1"/>
    <col min="9992" max="9992" width="0" style="1" hidden="1" customWidth="1"/>
    <col min="9993" max="9994" width="9.6328125" style="1" customWidth="1"/>
    <col min="9995" max="9995" width="9" style="1" customWidth="1"/>
    <col min="9996" max="9996" width="0" style="1" hidden="1" customWidth="1"/>
    <col min="9997" max="9997" width="8.81640625" style="1" customWidth="1"/>
    <col min="9998" max="9998" width="9.6328125" style="1" customWidth="1"/>
    <col min="9999" max="10003" width="0" style="1" hidden="1" customWidth="1"/>
    <col min="10004" max="10004" width="9.6328125" style="1" customWidth="1"/>
    <col min="10005" max="10005" width="9.54296875" style="1" customWidth="1"/>
    <col min="10006" max="10006" width="9.6328125" style="1" customWidth="1"/>
    <col min="10007" max="10007" width="11.81640625" style="1" customWidth="1"/>
    <col min="10008" max="10009" width="9.6328125" style="1" customWidth="1"/>
    <col min="10010" max="10010" width="0" style="1" hidden="1" customWidth="1"/>
    <col min="10011" max="10012" width="14.08984375" style="1" customWidth="1"/>
    <col min="10013" max="10013" width="13.453125" style="1" customWidth="1"/>
    <col min="10014" max="10014" width="11.81640625" style="1" customWidth="1"/>
    <col min="10015" max="10015" width="12.54296875" style="1" customWidth="1"/>
    <col min="10016" max="10016" width="9.6328125" style="1" customWidth="1"/>
    <col min="10017" max="10017" width="11.1796875" style="1" customWidth="1"/>
    <col min="10018" max="10019" width="9" style="1" customWidth="1"/>
    <col min="10020" max="10021" width="7.81640625" style="1" customWidth="1"/>
    <col min="10022" max="10023" width="8.90625" style="1"/>
    <col min="10024" max="10024" width="12.6328125" style="1" customWidth="1"/>
    <col min="10025" max="10025" width="8.90625" style="1"/>
    <col min="10026" max="10029" width="11.90625" style="1" customWidth="1"/>
    <col min="10030" max="10030" width="8.90625" style="1"/>
    <col min="10031" max="10031" width="17.36328125" style="1" customWidth="1"/>
    <col min="10032" max="10032" width="16.1796875" style="1" customWidth="1"/>
    <col min="10033" max="10033" width="11.81640625" style="1" customWidth="1"/>
    <col min="10034" max="10125" width="9.90625" style="1" customWidth="1"/>
    <col min="10126" max="10240" width="8.90625" style="1"/>
    <col min="10241" max="10241" width="12.08984375" style="1" customWidth="1"/>
    <col min="10242" max="10242" width="14.36328125" style="1" customWidth="1"/>
    <col min="10243" max="10243" width="27" style="1" customWidth="1"/>
    <col min="10244" max="10244" width="12.6328125" style="1" customWidth="1"/>
    <col min="10245" max="10245" width="10.36328125" style="1" customWidth="1"/>
    <col min="10246" max="10246" width="9.36328125" style="1" customWidth="1"/>
    <col min="10247" max="10247" width="9.6328125" style="1" customWidth="1"/>
    <col min="10248" max="10248" width="0" style="1" hidden="1" customWidth="1"/>
    <col min="10249" max="10250" width="9.6328125" style="1" customWidth="1"/>
    <col min="10251" max="10251" width="9" style="1" customWidth="1"/>
    <col min="10252" max="10252" width="0" style="1" hidden="1" customWidth="1"/>
    <col min="10253" max="10253" width="8.81640625" style="1" customWidth="1"/>
    <col min="10254" max="10254" width="9.6328125" style="1" customWidth="1"/>
    <col min="10255" max="10259" width="0" style="1" hidden="1" customWidth="1"/>
    <col min="10260" max="10260" width="9.6328125" style="1" customWidth="1"/>
    <col min="10261" max="10261" width="9.54296875" style="1" customWidth="1"/>
    <col min="10262" max="10262" width="9.6328125" style="1" customWidth="1"/>
    <col min="10263" max="10263" width="11.81640625" style="1" customWidth="1"/>
    <col min="10264" max="10265" width="9.6328125" style="1" customWidth="1"/>
    <col min="10266" max="10266" width="0" style="1" hidden="1" customWidth="1"/>
    <col min="10267" max="10268" width="14.08984375" style="1" customWidth="1"/>
    <col min="10269" max="10269" width="13.453125" style="1" customWidth="1"/>
    <col min="10270" max="10270" width="11.81640625" style="1" customWidth="1"/>
    <col min="10271" max="10271" width="12.54296875" style="1" customWidth="1"/>
    <col min="10272" max="10272" width="9.6328125" style="1" customWidth="1"/>
    <col min="10273" max="10273" width="11.1796875" style="1" customWidth="1"/>
    <col min="10274" max="10275" width="9" style="1" customWidth="1"/>
    <col min="10276" max="10277" width="7.81640625" style="1" customWidth="1"/>
    <col min="10278" max="10279" width="8.90625" style="1"/>
    <col min="10280" max="10280" width="12.6328125" style="1" customWidth="1"/>
    <col min="10281" max="10281" width="8.90625" style="1"/>
    <col min="10282" max="10285" width="11.90625" style="1" customWidth="1"/>
    <col min="10286" max="10286" width="8.90625" style="1"/>
    <col min="10287" max="10287" width="17.36328125" style="1" customWidth="1"/>
    <col min="10288" max="10288" width="16.1796875" style="1" customWidth="1"/>
    <col min="10289" max="10289" width="11.81640625" style="1" customWidth="1"/>
    <col min="10290" max="10381" width="9.90625" style="1" customWidth="1"/>
    <col min="10382" max="10496" width="8.90625" style="1"/>
    <col min="10497" max="10497" width="12.08984375" style="1" customWidth="1"/>
    <col min="10498" max="10498" width="14.36328125" style="1" customWidth="1"/>
    <col min="10499" max="10499" width="27" style="1" customWidth="1"/>
    <col min="10500" max="10500" width="12.6328125" style="1" customWidth="1"/>
    <col min="10501" max="10501" width="10.36328125" style="1" customWidth="1"/>
    <col min="10502" max="10502" width="9.36328125" style="1" customWidth="1"/>
    <col min="10503" max="10503" width="9.6328125" style="1" customWidth="1"/>
    <col min="10504" max="10504" width="0" style="1" hidden="1" customWidth="1"/>
    <col min="10505" max="10506" width="9.6328125" style="1" customWidth="1"/>
    <col min="10507" max="10507" width="9" style="1" customWidth="1"/>
    <col min="10508" max="10508" width="0" style="1" hidden="1" customWidth="1"/>
    <col min="10509" max="10509" width="8.81640625" style="1" customWidth="1"/>
    <col min="10510" max="10510" width="9.6328125" style="1" customWidth="1"/>
    <col min="10511" max="10515" width="0" style="1" hidden="1" customWidth="1"/>
    <col min="10516" max="10516" width="9.6328125" style="1" customWidth="1"/>
    <col min="10517" max="10517" width="9.54296875" style="1" customWidth="1"/>
    <col min="10518" max="10518" width="9.6328125" style="1" customWidth="1"/>
    <col min="10519" max="10519" width="11.81640625" style="1" customWidth="1"/>
    <col min="10520" max="10521" width="9.6328125" style="1" customWidth="1"/>
    <col min="10522" max="10522" width="0" style="1" hidden="1" customWidth="1"/>
    <col min="10523" max="10524" width="14.08984375" style="1" customWidth="1"/>
    <col min="10525" max="10525" width="13.453125" style="1" customWidth="1"/>
    <col min="10526" max="10526" width="11.81640625" style="1" customWidth="1"/>
    <col min="10527" max="10527" width="12.54296875" style="1" customWidth="1"/>
    <col min="10528" max="10528" width="9.6328125" style="1" customWidth="1"/>
    <col min="10529" max="10529" width="11.1796875" style="1" customWidth="1"/>
    <col min="10530" max="10531" width="9" style="1" customWidth="1"/>
    <col min="10532" max="10533" width="7.81640625" style="1" customWidth="1"/>
    <col min="10534" max="10535" width="8.90625" style="1"/>
    <col min="10536" max="10536" width="12.6328125" style="1" customWidth="1"/>
    <col min="10537" max="10537" width="8.90625" style="1"/>
    <col min="10538" max="10541" width="11.90625" style="1" customWidth="1"/>
    <col min="10542" max="10542" width="8.90625" style="1"/>
    <col min="10543" max="10543" width="17.36328125" style="1" customWidth="1"/>
    <col min="10544" max="10544" width="16.1796875" style="1" customWidth="1"/>
    <col min="10545" max="10545" width="11.81640625" style="1" customWidth="1"/>
    <col min="10546" max="10637" width="9.90625" style="1" customWidth="1"/>
    <col min="10638" max="10752" width="8.90625" style="1"/>
    <col min="10753" max="10753" width="12.08984375" style="1" customWidth="1"/>
    <col min="10754" max="10754" width="14.36328125" style="1" customWidth="1"/>
    <col min="10755" max="10755" width="27" style="1" customWidth="1"/>
    <col min="10756" max="10756" width="12.6328125" style="1" customWidth="1"/>
    <col min="10757" max="10757" width="10.36328125" style="1" customWidth="1"/>
    <col min="10758" max="10758" width="9.36328125" style="1" customWidth="1"/>
    <col min="10759" max="10759" width="9.6328125" style="1" customWidth="1"/>
    <col min="10760" max="10760" width="0" style="1" hidden="1" customWidth="1"/>
    <col min="10761" max="10762" width="9.6328125" style="1" customWidth="1"/>
    <col min="10763" max="10763" width="9" style="1" customWidth="1"/>
    <col min="10764" max="10764" width="0" style="1" hidden="1" customWidth="1"/>
    <col min="10765" max="10765" width="8.81640625" style="1" customWidth="1"/>
    <col min="10766" max="10766" width="9.6328125" style="1" customWidth="1"/>
    <col min="10767" max="10771" width="0" style="1" hidden="1" customWidth="1"/>
    <col min="10772" max="10772" width="9.6328125" style="1" customWidth="1"/>
    <col min="10773" max="10773" width="9.54296875" style="1" customWidth="1"/>
    <col min="10774" max="10774" width="9.6328125" style="1" customWidth="1"/>
    <col min="10775" max="10775" width="11.81640625" style="1" customWidth="1"/>
    <col min="10776" max="10777" width="9.6328125" style="1" customWidth="1"/>
    <col min="10778" max="10778" width="0" style="1" hidden="1" customWidth="1"/>
    <col min="10779" max="10780" width="14.08984375" style="1" customWidth="1"/>
    <col min="10781" max="10781" width="13.453125" style="1" customWidth="1"/>
    <col min="10782" max="10782" width="11.81640625" style="1" customWidth="1"/>
    <col min="10783" max="10783" width="12.54296875" style="1" customWidth="1"/>
    <col min="10784" max="10784" width="9.6328125" style="1" customWidth="1"/>
    <col min="10785" max="10785" width="11.1796875" style="1" customWidth="1"/>
    <col min="10786" max="10787" width="9" style="1" customWidth="1"/>
    <col min="10788" max="10789" width="7.81640625" style="1" customWidth="1"/>
    <col min="10790" max="10791" width="8.90625" style="1"/>
    <col min="10792" max="10792" width="12.6328125" style="1" customWidth="1"/>
    <col min="10793" max="10793" width="8.90625" style="1"/>
    <col min="10794" max="10797" width="11.90625" style="1" customWidth="1"/>
    <col min="10798" max="10798" width="8.90625" style="1"/>
    <col min="10799" max="10799" width="17.36328125" style="1" customWidth="1"/>
    <col min="10800" max="10800" width="16.1796875" style="1" customWidth="1"/>
    <col min="10801" max="10801" width="11.81640625" style="1" customWidth="1"/>
    <col min="10802" max="10893" width="9.90625" style="1" customWidth="1"/>
    <col min="10894" max="11008" width="8.90625" style="1"/>
    <col min="11009" max="11009" width="12.08984375" style="1" customWidth="1"/>
    <col min="11010" max="11010" width="14.36328125" style="1" customWidth="1"/>
    <col min="11011" max="11011" width="27" style="1" customWidth="1"/>
    <col min="11012" max="11012" width="12.6328125" style="1" customWidth="1"/>
    <col min="11013" max="11013" width="10.36328125" style="1" customWidth="1"/>
    <col min="11014" max="11014" width="9.36328125" style="1" customWidth="1"/>
    <col min="11015" max="11015" width="9.6328125" style="1" customWidth="1"/>
    <col min="11016" max="11016" width="0" style="1" hidden="1" customWidth="1"/>
    <col min="11017" max="11018" width="9.6328125" style="1" customWidth="1"/>
    <col min="11019" max="11019" width="9" style="1" customWidth="1"/>
    <col min="11020" max="11020" width="0" style="1" hidden="1" customWidth="1"/>
    <col min="11021" max="11021" width="8.81640625" style="1" customWidth="1"/>
    <col min="11022" max="11022" width="9.6328125" style="1" customWidth="1"/>
    <col min="11023" max="11027" width="0" style="1" hidden="1" customWidth="1"/>
    <col min="11028" max="11028" width="9.6328125" style="1" customWidth="1"/>
    <col min="11029" max="11029" width="9.54296875" style="1" customWidth="1"/>
    <col min="11030" max="11030" width="9.6328125" style="1" customWidth="1"/>
    <col min="11031" max="11031" width="11.81640625" style="1" customWidth="1"/>
    <col min="11032" max="11033" width="9.6328125" style="1" customWidth="1"/>
    <col min="11034" max="11034" width="0" style="1" hidden="1" customWidth="1"/>
    <col min="11035" max="11036" width="14.08984375" style="1" customWidth="1"/>
    <col min="11037" max="11037" width="13.453125" style="1" customWidth="1"/>
    <col min="11038" max="11038" width="11.81640625" style="1" customWidth="1"/>
    <col min="11039" max="11039" width="12.54296875" style="1" customWidth="1"/>
    <col min="11040" max="11040" width="9.6328125" style="1" customWidth="1"/>
    <col min="11041" max="11041" width="11.1796875" style="1" customWidth="1"/>
    <col min="11042" max="11043" width="9" style="1" customWidth="1"/>
    <col min="11044" max="11045" width="7.81640625" style="1" customWidth="1"/>
    <col min="11046" max="11047" width="8.90625" style="1"/>
    <col min="11048" max="11048" width="12.6328125" style="1" customWidth="1"/>
    <col min="11049" max="11049" width="8.90625" style="1"/>
    <col min="11050" max="11053" width="11.90625" style="1" customWidth="1"/>
    <col min="11054" max="11054" width="8.90625" style="1"/>
    <col min="11055" max="11055" width="17.36328125" style="1" customWidth="1"/>
    <col min="11056" max="11056" width="16.1796875" style="1" customWidth="1"/>
    <col min="11057" max="11057" width="11.81640625" style="1" customWidth="1"/>
    <col min="11058" max="11149" width="9.90625" style="1" customWidth="1"/>
    <col min="11150" max="11264" width="8.90625" style="1"/>
    <col min="11265" max="11265" width="12.08984375" style="1" customWidth="1"/>
    <col min="11266" max="11266" width="14.36328125" style="1" customWidth="1"/>
    <col min="11267" max="11267" width="27" style="1" customWidth="1"/>
    <col min="11268" max="11268" width="12.6328125" style="1" customWidth="1"/>
    <col min="11269" max="11269" width="10.36328125" style="1" customWidth="1"/>
    <col min="11270" max="11270" width="9.36328125" style="1" customWidth="1"/>
    <col min="11271" max="11271" width="9.6328125" style="1" customWidth="1"/>
    <col min="11272" max="11272" width="0" style="1" hidden="1" customWidth="1"/>
    <col min="11273" max="11274" width="9.6328125" style="1" customWidth="1"/>
    <col min="11275" max="11275" width="9" style="1" customWidth="1"/>
    <col min="11276" max="11276" width="0" style="1" hidden="1" customWidth="1"/>
    <col min="11277" max="11277" width="8.81640625" style="1" customWidth="1"/>
    <col min="11278" max="11278" width="9.6328125" style="1" customWidth="1"/>
    <col min="11279" max="11283" width="0" style="1" hidden="1" customWidth="1"/>
    <col min="11284" max="11284" width="9.6328125" style="1" customWidth="1"/>
    <col min="11285" max="11285" width="9.54296875" style="1" customWidth="1"/>
    <col min="11286" max="11286" width="9.6328125" style="1" customWidth="1"/>
    <col min="11287" max="11287" width="11.81640625" style="1" customWidth="1"/>
    <col min="11288" max="11289" width="9.6328125" style="1" customWidth="1"/>
    <col min="11290" max="11290" width="0" style="1" hidden="1" customWidth="1"/>
    <col min="11291" max="11292" width="14.08984375" style="1" customWidth="1"/>
    <col min="11293" max="11293" width="13.453125" style="1" customWidth="1"/>
    <col min="11294" max="11294" width="11.81640625" style="1" customWidth="1"/>
    <col min="11295" max="11295" width="12.54296875" style="1" customWidth="1"/>
    <col min="11296" max="11296" width="9.6328125" style="1" customWidth="1"/>
    <col min="11297" max="11297" width="11.1796875" style="1" customWidth="1"/>
    <col min="11298" max="11299" width="9" style="1" customWidth="1"/>
    <col min="11300" max="11301" width="7.81640625" style="1" customWidth="1"/>
    <col min="11302" max="11303" width="8.90625" style="1"/>
    <col min="11304" max="11304" width="12.6328125" style="1" customWidth="1"/>
    <col min="11305" max="11305" width="8.90625" style="1"/>
    <col min="11306" max="11309" width="11.90625" style="1" customWidth="1"/>
    <col min="11310" max="11310" width="8.90625" style="1"/>
    <col min="11311" max="11311" width="17.36328125" style="1" customWidth="1"/>
    <col min="11312" max="11312" width="16.1796875" style="1" customWidth="1"/>
    <col min="11313" max="11313" width="11.81640625" style="1" customWidth="1"/>
    <col min="11314" max="11405" width="9.90625" style="1" customWidth="1"/>
    <col min="11406" max="11520" width="8.90625" style="1"/>
    <col min="11521" max="11521" width="12.08984375" style="1" customWidth="1"/>
    <col min="11522" max="11522" width="14.36328125" style="1" customWidth="1"/>
    <col min="11523" max="11523" width="27" style="1" customWidth="1"/>
    <col min="11524" max="11524" width="12.6328125" style="1" customWidth="1"/>
    <col min="11525" max="11525" width="10.36328125" style="1" customWidth="1"/>
    <col min="11526" max="11526" width="9.36328125" style="1" customWidth="1"/>
    <col min="11527" max="11527" width="9.6328125" style="1" customWidth="1"/>
    <col min="11528" max="11528" width="0" style="1" hidden="1" customWidth="1"/>
    <col min="11529" max="11530" width="9.6328125" style="1" customWidth="1"/>
    <col min="11531" max="11531" width="9" style="1" customWidth="1"/>
    <col min="11532" max="11532" width="0" style="1" hidden="1" customWidth="1"/>
    <col min="11533" max="11533" width="8.81640625" style="1" customWidth="1"/>
    <col min="11534" max="11534" width="9.6328125" style="1" customWidth="1"/>
    <col min="11535" max="11539" width="0" style="1" hidden="1" customWidth="1"/>
    <col min="11540" max="11540" width="9.6328125" style="1" customWidth="1"/>
    <col min="11541" max="11541" width="9.54296875" style="1" customWidth="1"/>
    <col min="11542" max="11542" width="9.6328125" style="1" customWidth="1"/>
    <col min="11543" max="11543" width="11.81640625" style="1" customWidth="1"/>
    <col min="11544" max="11545" width="9.6328125" style="1" customWidth="1"/>
    <col min="11546" max="11546" width="0" style="1" hidden="1" customWidth="1"/>
    <col min="11547" max="11548" width="14.08984375" style="1" customWidth="1"/>
    <col min="11549" max="11549" width="13.453125" style="1" customWidth="1"/>
    <col min="11550" max="11550" width="11.81640625" style="1" customWidth="1"/>
    <col min="11551" max="11551" width="12.54296875" style="1" customWidth="1"/>
    <col min="11552" max="11552" width="9.6328125" style="1" customWidth="1"/>
    <col min="11553" max="11553" width="11.1796875" style="1" customWidth="1"/>
    <col min="11554" max="11555" width="9" style="1" customWidth="1"/>
    <col min="11556" max="11557" width="7.81640625" style="1" customWidth="1"/>
    <col min="11558" max="11559" width="8.90625" style="1"/>
    <col min="11560" max="11560" width="12.6328125" style="1" customWidth="1"/>
    <col min="11561" max="11561" width="8.90625" style="1"/>
    <col min="11562" max="11565" width="11.90625" style="1" customWidth="1"/>
    <col min="11566" max="11566" width="8.90625" style="1"/>
    <col min="11567" max="11567" width="17.36328125" style="1" customWidth="1"/>
    <col min="11568" max="11568" width="16.1796875" style="1" customWidth="1"/>
    <col min="11569" max="11569" width="11.81640625" style="1" customWidth="1"/>
    <col min="11570" max="11661" width="9.90625" style="1" customWidth="1"/>
    <col min="11662" max="11776" width="8.90625" style="1"/>
    <col min="11777" max="11777" width="12.08984375" style="1" customWidth="1"/>
    <col min="11778" max="11778" width="14.36328125" style="1" customWidth="1"/>
    <col min="11779" max="11779" width="27" style="1" customWidth="1"/>
    <col min="11780" max="11780" width="12.6328125" style="1" customWidth="1"/>
    <col min="11781" max="11781" width="10.36328125" style="1" customWidth="1"/>
    <col min="11782" max="11782" width="9.36328125" style="1" customWidth="1"/>
    <col min="11783" max="11783" width="9.6328125" style="1" customWidth="1"/>
    <col min="11784" max="11784" width="0" style="1" hidden="1" customWidth="1"/>
    <col min="11785" max="11786" width="9.6328125" style="1" customWidth="1"/>
    <col min="11787" max="11787" width="9" style="1" customWidth="1"/>
    <col min="11788" max="11788" width="0" style="1" hidden="1" customWidth="1"/>
    <col min="11789" max="11789" width="8.81640625" style="1" customWidth="1"/>
    <col min="11790" max="11790" width="9.6328125" style="1" customWidth="1"/>
    <col min="11791" max="11795" width="0" style="1" hidden="1" customWidth="1"/>
    <col min="11796" max="11796" width="9.6328125" style="1" customWidth="1"/>
    <col min="11797" max="11797" width="9.54296875" style="1" customWidth="1"/>
    <col min="11798" max="11798" width="9.6328125" style="1" customWidth="1"/>
    <col min="11799" max="11799" width="11.81640625" style="1" customWidth="1"/>
    <col min="11800" max="11801" width="9.6328125" style="1" customWidth="1"/>
    <col min="11802" max="11802" width="0" style="1" hidden="1" customWidth="1"/>
    <col min="11803" max="11804" width="14.08984375" style="1" customWidth="1"/>
    <col min="11805" max="11805" width="13.453125" style="1" customWidth="1"/>
    <col min="11806" max="11806" width="11.81640625" style="1" customWidth="1"/>
    <col min="11807" max="11807" width="12.54296875" style="1" customWidth="1"/>
    <col min="11808" max="11808" width="9.6328125" style="1" customWidth="1"/>
    <col min="11809" max="11809" width="11.1796875" style="1" customWidth="1"/>
    <col min="11810" max="11811" width="9" style="1" customWidth="1"/>
    <col min="11812" max="11813" width="7.81640625" style="1" customWidth="1"/>
    <col min="11814" max="11815" width="8.90625" style="1"/>
    <col min="11816" max="11816" width="12.6328125" style="1" customWidth="1"/>
    <col min="11817" max="11817" width="8.90625" style="1"/>
    <col min="11818" max="11821" width="11.90625" style="1" customWidth="1"/>
    <col min="11822" max="11822" width="8.90625" style="1"/>
    <col min="11823" max="11823" width="17.36328125" style="1" customWidth="1"/>
    <col min="11824" max="11824" width="16.1796875" style="1" customWidth="1"/>
    <col min="11825" max="11825" width="11.81640625" style="1" customWidth="1"/>
    <col min="11826" max="11917" width="9.90625" style="1" customWidth="1"/>
    <col min="11918" max="12032" width="8.90625" style="1"/>
    <col min="12033" max="12033" width="12.08984375" style="1" customWidth="1"/>
    <col min="12034" max="12034" width="14.36328125" style="1" customWidth="1"/>
    <col min="12035" max="12035" width="27" style="1" customWidth="1"/>
    <col min="12036" max="12036" width="12.6328125" style="1" customWidth="1"/>
    <col min="12037" max="12037" width="10.36328125" style="1" customWidth="1"/>
    <col min="12038" max="12038" width="9.36328125" style="1" customWidth="1"/>
    <col min="12039" max="12039" width="9.6328125" style="1" customWidth="1"/>
    <col min="12040" max="12040" width="0" style="1" hidden="1" customWidth="1"/>
    <col min="12041" max="12042" width="9.6328125" style="1" customWidth="1"/>
    <col min="12043" max="12043" width="9" style="1" customWidth="1"/>
    <col min="12044" max="12044" width="0" style="1" hidden="1" customWidth="1"/>
    <col min="12045" max="12045" width="8.81640625" style="1" customWidth="1"/>
    <col min="12046" max="12046" width="9.6328125" style="1" customWidth="1"/>
    <col min="12047" max="12051" width="0" style="1" hidden="1" customWidth="1"/>
    <col min="12052" max="12052" width="9.6328125" style="1" customWidth="1"/>
    <col min="12053" max="12053" width="9.54296875" style="1" customWidth="1"/>
    <col min="12054" max="12054" width="9.6328125" style="1" customWidth="1"/>
    <col min="12055" max="12055" width="11.81640625" style="1" customWidth="1"/>
    <col min="12056" max="12057" width="9.6328125" style="1" customWidth="1"/>
    <col min="12058" max="12058" width="0" style="1" hidden="1" customWidth="1"/>
    <col min="12059" max="12060" width="14.08984375" style="1" customWidth="1"/>
    <col min="12061" max="12061" width="13.453125" style="1" customWidth="1"/>
    <col min="12062" max="12062" width="11.81640625" style="1" customWidth="1"/>
    <col min="12063" max="12063" width="12.54296875" style="1" customWidth="1"/>
    <col min="12064" max="12064" width="9.6328125" style="1" customWidth="1"/>
    <col min="12065" max="12065" width="11.1796875" style="1" customWidth="1"/>
    <col min="12066" max="12067" width="9" style="1" customWidth="1"/>
    <col min="12068" max="12069" width="7.81640625" style="1" customWidth="1"/>
    <col min="12070" max="12071" width="8.90625" style="1"/>
    <col min="12072" max="12072" width="12.6328125" style="1" customWidth="1"/>
    <col min="12073" max="12073" width="8.90625" style="1"/>
    <col min="12074" max="12077" width="11.90625" style="1" customWidth="1"/>
    <col min="12078" max="12078" width="8.90625" style="1"/>
    <col min="12079" max="12079" width="17.36328125" style="1" customWidth="1"/>
    <col min="12080" max="12080" width="16.1796875" style="1" customWidth="1"/>
    <col min="12081" max="12081" width="11.81640625" style="1" customWidth="1"/>
    <col min="12082" max="12173" width="9.90625" style="1" customWidth="1"/>
    <col min="12174" max="12288" width="8.90625" style="1"/>
    <col min="12289" max="12289" width="12.08984375" style="1" customWidth="1"/>
    <col min="12290" max="12290" width="14.36328125" style="1" customWidth="1"/>
    <col min="12291" max="12291" width="27" style="1" customWidth="1"/>
    <col min="12292" max="12292" width="12.6328125" style="1" customWidth="1"/>
    <col min="12293" max="12293" width="10.36328125" style="1" customWidth="1"/>
    <col min="12294" max="12294" width="9.36328125" style="1" customWidth="1"/>
    <col min="12295" max="12295" width="9.6328125" style="1" customWidth="1"/>
    <col min="12296" max="12296" width="0" style="1" hidden="1" customWidth="1"/>
    <col min="12297" max="12298" width="9.6328125" style="1" customWidth="1"/>
    <col min="12299" max="12299" width="9" style="1" customWidth="1"/>
    <col min="12300" max="12300" width="0" style="1" hidden="1" customWidth="1"/>
    <col min="12301" max="12301" width="8.81640625" style="1" customWidth="1"/>
    <col min="12302" max="12302" width="9.6328125" style="1" customWidth="1"/>
    <col min="12303" max="12307" width="0" style="1" hidden="1" customWidth="1"/>
    <col min="12308" max="12308" width="9.6328125" style="1" customWidth="1"/>
    <col min="12309" max="12309" width="9.54296875" style="1" customWidth="1"/>
    <col min="12310" max="12310" width="9.6328125" style="1" customWidth="1"/>
    <col min="12311" max="12311" width="11.81640625" style="1" customWidth="1"/>
    <col min="12312" max="12313" width="9.6328125" style="1" customWidth="1"/>
    <col min="12314" max="12314" width="0" style="1" hidden="1" customWidth="1"/>
    <col min="12315" max="12316" width="14.08984375" style="1" customWidth="1"/>
    <col min="12317" max="12317" width="13.453125" style="1" customWidth="1"/>
    <col min="12318" max="12318" width="11.81640625" style="1" customWidth="1"/>
    <col min="12319" max="12319" width="12.54296875" style="1" customWidth="1"/>
    <col min="12320" max="12320" width="9.6328125" style="1" customWidth="1"/>
    <col min="12321" max="12321" width="11.1796875" style="1" customWidth="1"/>
    <col min="12322" max="12323" width="9" style="1" customWidth="1"/>
    <col min="12324" max="12325" width="7.81640625" style="1" customWidth="1"/>
    <col min="12326" max="12327" width="8.90625" style="1"/>
    <col min="12328" max="12328" width="12.6328125" style="1" customWidth="1"/>
    <col min="12329" max="12329" width="8.90625" style="1"/>
    <col min="12330" max="12333" width="11.90625" style="1" customWidth="1"/>
    <col min="12334" max="12334" width="8.90625" style="1"/>
    <col min="12335" max="12335" width="17.36328125" style="1" customWidth="1"/>
    <col min="12336" max="12336" width="16.1796875" style="1" customWidth="1"/>
    <col min="12337" max="12337" width="11.81640625" style="1" customWidth="1"/>
    <col min="12338" max="12429" width="9.90625" style="1" customWidth="1"/>
    <col min="12430" max="12544" width="8.90625" style="1"/>
    <col min="12545" max="12545" width="12.08984375" style="1" customWidth="1"/>
    <col min="12546" max="12546" width="14.36328125" style="1" customWidth="1"/>
    <col min="12547" max="12547" width="27" style="1" customWidth="1"/>
    <col min="12548" max="12548" width="12.6328125" style="1" customWidth="1"/>
    <col min="12549" max="12549" width="10.36328125" style="1" customWidth="1"/>
    <col min="12550" max="12550" width="9.36328125" style="1" customWidth="1"/>
    <col min="12551" max="12551" width="9.6328125" style="1" customWidth="1"/>
    <col min="12552" max="12552" width="0" style="1" hidden="1" customWidth="1"/>
    <col min="12553" max="12554" width="9.6328125" style="1" customWidth="1"/>
    <col min="12555" max="12555" width="9" style="1" customWidth="1"/>
    <col min="12556" max="12556" width="0" style="1" hidden="1" customWidth="1"/>
    <col min="12557" max="12557" width="8.81640625" style="1" customWidth="1"/>
    <col min="12558" max="12558" width="9.6328125" style="1" customWidth="1"/>
    <col min="12559" max="12563" width="0" style="1" hidden="1" customWidth="1"/>
    <col min="12564" max="12564" width="9.6328125" style="1" customWidth="1"/>
    <col min="12565" max="12565" width="9.54296875" style="1" customWidth="1"/>
    <col min="12566" max="12566" width="9.6328125" style="1" customWidth="1"/>
    <col min="12567" max="12567" width="11.81640625" style="1" customWidth="1"/>
    <col min="12568" max="12569" width="9.6328125" style="1" customWidth="1"/>
    <col min="12570" max="12570" width="0" style="1" hidden="1" customWidth="1"/>
    <col min="12571" max="12572" width="14.08984375" style="1" customWidth="1"/>
    <col min="12573" max="12573" width="13.453125" style="1" customWidth="1"/>
    <col min="12574" max="12574" width="11.81640625" style="1" customWidth="1"/>
    <col min="12575" max="12575" width="12.54296875" style="1" customWidth="1"/>
    <col min="12576" max="12576" width="9.6328125" style="1" customWidth="1"/>
    <col min="12577" max="12577" width="11.1796875" style="1" customWidth="1"/>
    <col min="12578" max="12579" width="9" style="1" customWidth="1"/>
    <col min="12580" max="12581" width="7.81640625" style="1" customWidth="1"/>
    <col min="12582" max="12583" width="8.90625" style="1"/>
    <col min="12584" max="12584" width="12.6328125" style="1" customWidth="1"/>
    <col min="12585" max="12585" width="8.90625" style="1"/>
    <col min="12586" max="12589" width="11.90625" style="1" customWidth="1"/>
    <col min="12590" max="12590" width="8.90625" style="1"/>
    <col min="12591" max="12591" width="17.36328125" style="1" customWidth="1"/>
    <col min="12592" max="12592" width="16.1796875" style="1" customWidth="1"/>
    <col min="12593" max="12593" width="11.81640625" style="1" customWidth="1"/>
    <col min="12594" max="12685" width="9.90625" style="1" customWidth="1"/>
    <col min="12686" max="12800" width="8.90625" style="1"/>
    <col min="12801" max="12801" width="12.08984375" style="1" customWidth="1"/>
    <col min="12802" max="12802" width="14.36328125" style="1" customWidth="1"/>
    <col min="12803" max="12803" width="27" style="1" customWidth="1"/>
    <col min="12804" max="12804" width="12.6328125" style="1" customWidth="1"/>
    <col min="12805" max="12805" width="10.36328125" style="1" customWidth="1"/>
    <col min="12806" max="12806" width="9.36328125" style="1" customWidth="1"/>
    <col min="12807" max="12807" width="9.6328125" style="1" customWidth="1"/>
    <col min="12808" max="12808" width="0" style="1" hidden="1" customWidth="1"/>
    <col min="12809" max="12810" width="9.6328125" style="1" customWidth="1"/>
    <col min="12811" max="12811" width="9" style="1" customWidth="1"/>
    <col min="12812" max="12812" width="0" style="1" hidden="1" customWidth="1"/>
    <col min="12813" max="12813" width="8.81640625" style="1" customWidth="1"/>
    <col min="12814" max="12814" width="9.6328125" style="1" customWidth="1"/>
    <col min="12815" max="12819" width="0" style="1" hidden="1" customWidth="1"/>
    <col min="12820" max="12820" width="9.6328125" style="1" customWidth="1"/>
    <col min="12821" max="12821" width="9.54296875" style="1" customWidth="1"/>
    <col min="12822" max="12822" width="9.6328125" style="1" customWidth="1"/>
    <col min="12823" max="12823" width="11.81640625" style="1" customWidth="1"/>
    <col min="12824" max="12825" width="9.6328125" style="1" customWidth="1"/>
    <col min="12826" max="12826" width="0" style="1" hidden="1" customWidth="1"/>
    <col min="12827" max="12828" width="14.08984375" style="1" customWidth="1"/>
    <col min="12829" max="12829" width="13.453125" style="1" customWidth="1"/>
    <col min="12830" max="12830" width="11.81640625" style="1" customWidth="1"/>
    <col min="12831" max="12831" width="12.54296875" style="1" customWidth="1"/>
    <col min="12832" max="12832" width="9.6328125" style="1" customWidth="1"/>
    <col min="12833" max="12833" width="11.1796875" style="1" customWidth="1"/>
    <col min="12834" max="12835" width="9" style="1" customWidth="1"/>
    <col min="12836" max="12837" width="7.81640625" style="1" customWidth="1"/>
    <col min="12838" max="12839" width="8.90625" style="1"/>
    <col min="12840" max="12840" width="12.6328125" style="1" customWidth="1"/>
    <col min="12841" max="12841" width="8.90625" style="1"/>
    <col min="12842" max="12845" width="11.90625" style="1" customWidth="1"/>
    <col min="12846" max="12846" width="8.90625" style="1"/>
    <col min="12847" max="12847" width="17.36328125" style="1" customWidth="1"/>
    <col min="12848" max="12848" width="16.1796875" style="1" customWidth="1"/>
    <col min="12849" max="12849" width="11.81640625" style="1" customWidth="1"/>
    <col min="12850" max="12941" width="9.90625" style="1" customWidth="1"/>
    <col min="12942" max="13056" width="8.90625" style="1"/>
    <col min="13057" max="13057" width="12.08984375" style="1" customWidth="1"/>
    <col min="13058" max="13058" width="14.36328125" style="1" customWidth="1"/>
    <col min="13059" max="13059" width="27" style="1" customWidth="1"/>
    <col min="13060" max="13060" width="12.6328125" style="1" customWidth="1"/>
    <col min="13061" max="13061" width="10.36328125" style="1" customWidth="1"/>
    <col min="13062" max="13062" width="9.36328125" style="1" customWidth="1"/>
    <col min="13063" max="13063" width="9.6328125" style="1" customWidth="1"/>
    <col min="13064" max="13064" width="0" style="1" hidden="1" customWidth="1"/>
    <col min="13065" max="13066" width="9.6328125" style="1" customWidth="1"/>
    <col min="13067" max="13067" width="9" style="1" customWidth="1"/>
    <col min="13068" max="13068" width="0" style="1" hidden="1" customWidth="1"/>
    <col min="13069" max="13069" width="8.81640625" style="1" customWidth="1"/>
    <col min="13070" max="13070" width="9.6328125" style="1" customWidth="1"/>
    <col min="13071" max="13075" width="0" style="1" hidden="1" customWidth="1"/>
    <col min="13076" max="13076" width="9.6328125" style="1" customWidth="1"/>
    <col min="13077" max="13077" width="9.54296875" style="1" customWidth="1"/>
    <col min="13078" max="13078" width="9.6328125" style="1" customWidth="1"/>
    <col min="13079" max="13079" width="11.81640625" style="1" customWidth="1"/>
    <col min="13080" max="13081" width="9.6328125" style="1" customWidth="1"/>
    <col min="13082" max="13082" width="0" style="1" hidden="1" customWidth="1"/>
    <col min="13083" max="13084" width="14.08984375" style="1" customWidth="1"/>
    <col min="13085" max="13085" width="13.453125" style="1" customWidth="1"/>
    <col min="13086" max="13086" width="11.81640625" style="1" customWidth="1"/>
    <col min="13087" max="13087" width="12.54296875" style="1" customWidth="1"/>
    <col min="13088" max="13088" width="9.6328125" style="1" customWidth="1"/>
    <col min="13089" max="13089" width="11.1796875" style="1" customWidth="1"/>
    <col min="13090" max="13091" width="9" style="1" customWidth="1"/>
    <col min="13092" max="13093" width="7.81640625" style="1" customWidth="1"/>
    <col min="13094" max="13095" width="8.90625" style="1"/>
    <col min="13096" max="13096" width="12.6328125" style="1" customWidth="1"/>
    <col min="13097" max="13097" width="8.90625" style="1"/>
    <col min="13098" max="13101" width="11.90625" style="1" customWidth="1"/>
    <col min="13102" max="13102" width="8.90625" style="1"/>
    <col min="13103" max="13103" width="17.36328125" style="1" customWidth="1"/>
    <col min="13104" max="13104" width="16.1796875" style="1" customWidth="1"/>
    <col min="13105" max="13105" width="11.81640625" style="1" customWidth="1"/>
    <col min="13106" max="13197" width="9.90625" style="1" customWidth="1"/>
    <col min="13198" max="13312" width="8.90625" style="1"/>
    <col min="13313" max="13313" width="12.08984375" style="1" customWidth="1"/>
    <col min="13314" max="13314" width="14.36328125" style="1" customWidth="1"/>
    <col min="13315" max="13315" width="27" style="1" customWidth="1"/>
    <col min="13316" max="13316" width="12.6328125" style="1" customWidth="1"/>
    <col min="13317" max="13317" width="10.36328125" style="1" customWidth="1"/>
    <col min="13318" max="13318" width="9.36328125" style="1" customWidth="1"/>
    <col min="13319" max="13319" width="9.6328125" style="1" customWidth="1"/>
    <col min="13320" max="13320" width="0" style="1" hidden="1" customWidth="1"/>
    <col min="13321" max="13322" width="9.6328125" style="1" customWidth="1"/>
    <col min="13323" max="13323" width="9" style="1" customWidth="1"/>
    <col min="13324" max="13324" width="0" style="1" hidden="1" customWidth="1"/>
    <col min="13325" max="13325" width="8.81640625" style="1" customWidth="1"/>
    <col min="13326" max="13326" width="9.6328125" style="1" customWidth="1"/>
    <col min="13327" max="13331" width="0" style="1" hidden="1" customWidth="1"/>
    <col min="13332" max="13332" width="9.6328125" style="1" customWidth="1"/>
    <col min="13333" max="13333" width="9.54296875" style="1" customWidth="1"/>
    <col min="13334" max="13334" width="9.6328125" style="1" customWidth="1"/>
    <col min="13335" max="13335" width="11.81640625" style="1" customWidth="1"/>
    <col min="13336" max="13337" width="9.6328125" style="1" customWidth="1"/>
    <col min="13338" max="13338" width="0" style="1" hidden="1" customWidth="1"/>
    <col min="13339" max="13340" width="14.08984375" style="1" customWidth="1"/>
    <col min="13341" max="13341" width="13.453125" style="1" customWidth="1"/>
    <col min="13342" max="13342" width="11.81640625" style="1" customWidth="1"/>
    <col min="13343" max="13343" width="12.54296875" style="1" customWidth="1"/>
    <col min="13344" max="13344" width="9.6328125" style="1" customWidth="1"/>
    <col min="13345" max="13345" width="11.1796875" style="1" customWidth="1"/>
    <col min="13346" max="13347" width="9" style="1" customWidth="1"/>
    <col min="13348" max="13349" width="7.81640625" style="1" customWidth="1"/>
    <col min="13350" max="13351" width="8.90625" style="1"/>
    <col min="13352" max="13352" width="12.6328125" style="1" customWidth="1"/>
    <col min="13353" max="13353" width="8.90625" style="1"/>
    <col min="13354" max="13357" width="11.90625" style="1" customWidth="1"/>
    <col min="13358" max="13358" width="8.90625" style="1"/>
    <col min="13359" max="13359" width="17.36328125" style="1" customWidth="1"/>
    <col min="13360" max="13360" width="16.1796875" style="1" customWidth="1"/>
    <col min="13361" max="13361" width="11.81640625" style="1" customWidth="1"/>
    <col min="13362" max="13453" width="9.90625" style="1" customWidth="1"/>
    <col min="13454" max="13568" width="8.90625" style="1"/>
    <col min="13569" max="13569" width="12.08984375" style="1" customWidth="1"/>
    <col min="13570" max="13570" width="14.36328125" style="1" customWidth="1"/>
    <col min="13571" max="13571" width="27" style="1" customWidth="1"/>
    <col min="13572" max="13572" width="12.6328125" style="1" customWidth="1"/>
    <col min="13573" max="13573" width="10.36328125" style="1" customWidth="1"/>
    <col min="13574" max="13574" width="9.36328125" style="1" customWidth="1"/>
    <col min="13575" max="13575" width="9.6328125" style="1" customWidth="1"/>
    <col min="13576" max="13576" width="0" style="1" hidden="1" customWidth="1"/>
    <col min="13577" max="13578" width="9.6328125" style="1" customWidth="1"/>
    <col min="13579" max="13579" width="9" style="1" customWidth="1"/>
    <col min="13580" max="13580" width="0" style="1" hidden="1" customWidth="1"/>
    <col min="13581" max="13581" width="8.81640625" style="1" customWidth="1"/>
    <col min="13582" max="13582" width="9.6328125" style="1" customWidth="1"/>
    <col min="13583" max="13587" width="0" style="1" hidden="1" customWidth="1"/>
    <col min="13588" max="13588" width="9.6328125" style="1" customWidth="1"/>
    <col min="13589" max="13589" width="9.54296875" style="1" customWidth="1"/>
    <col min="13590" max="13590" width="9.6328125" style="1" customWidth="1"/>
    <col min="13591" max="13591" width="11.81640625" style="1" customWidth="1"/>
    <col min="13592" max="13593" width="9.6328125" style="1" customWidth="1"/>
    <col min="13594" max="13594" width="0" style="1" hidden="1" customWidth="1"/>
    <col min="13595" max="13596" width="14.08984375" style="1" customWidth="1"/>
    <col min="13597" max="13597" width="13.453125" style="1" customWidth="1"/>
    <col min="13598" max="13598" width="11.81640625" style="1" customWidth="1"/>
    <col min="13599" max="13599" width="12.54296875" style="1" customWidth="1"/>
    <col min="13600" max="13600" width="9.6328125" style="1" customWidth="1"/>
    <col min="13601" max="13601" width="11.1796875" style="1" customWidth="1"/>
    <col min="13602" max="13603" width="9" style="1" customWidth="1"/>
    <col min="13604" max="13605" width="7.81640625" style="1" customWidth="1"/>
    <col min="13606" max="13607" width="8.90625" style="1"/>
    <col min="13608" max="13608" width="12.6328125" style="1" customWidth="1"/>
    <col min="13609" max="13609" width="8.90625" style="1"/>
    <col min="13610" max="13613" width="11.90625" style="1" customWidth="1"/>
    <col min="13614" max="13614" width="8.90625" style="1"/>
    <col min="13615" max="13615" width="17.36328125" style="1" customWidth="1"/>
    <col min="13616" max="13616" width="16.1796875" style="1" customWidth="1"/>
    <col min="13617" max="13617" width="11.81640625" style="1" customWidth="1"/>
    <col min="13618" max="13709" width="9.90625" style="1" customWidth="1"/>
    <col min="13710" max="13824" width="8.90625" style="1"/>
    <col min="13825" max="13825" width="12.08984375" style="1" customWidth="1"/>
    <col min="13826" max="13826" width="14.36328125" style="1" customWidth="1"/>
    <col min="13827" max="13827" width="27" style="1" customWidth="1"/>
    <col min="13828" max="13828" width="12.6328125" style="1" customWidth="1"/>
    <col min="13829" max="13829" width="10.36328125" style="1" customWidth="1"/>
    <col min="13830" max="13830" width="9.36328125" style="1" customWidth="1"/>
    <col min="13831" max="13831" width="9.6328125" style="1" customWidth="1"/>
    <col min="13832" max="13832" width="0" style="1" hidden="1" customWidth="1"/>
    <col min="13833" max="13834" width="9.6328125" style="1" customWidth="1"/>
    <col min="13835" max="13835" width="9" style="1" customWidth="1"/>
    <col min="13836" max="13836" width="0" style="1" hidden="1" customWidth="1"/>
    <col min="13837" max="13837" width="8.81640625" style="1" customWidth="1"/>
    <col min="13838" max="13838" width="9.6328125" style="1" customWidth="1"/>
    <col min="13839" max="13843" width="0" style="1" hidden="1" customWidth="1"/>
    <col min="13844" max="13844" width="9.6328125" style="1" customWidth="1"/>
    <col min="13845" max="13845" width="9.54296875" style="1" customWidth="1"/>
    <col min="13846" max="13846" width="9.6328125" style="1" customWidth="1"/>
    <col min="13847" max="13847" width="11.81640625" style="1" customWidth="1"/>
    <col min="13848" max="13849" width="9.6328125" style="1" customWidth="1"/>
    <col min="13850" max="13850" width="0" style="1" hidden="1" customWidth="1"/>
    <col min="13851" max="13852" width="14.08984375" style="1" customWidth="1"/>
    <col min="13853" max="13853" width="13.453125" style="1" customWidth="1"/>
    <col min="13854" max="13854" width="11.81640625" style="1" customWidth="1"/>
    <col min="13855" max="13855" width="12.54296875" style="1" customWidth="1"/>
    <col min="13856" max="13856" width="9.6328125" style="1" customWidth="1"/>
    <col min="13857" max="13857" width="11.1796875" style="1" customWidth="1"/>
    <col min="13858" max="13859" width="9" style="1" customWidth="1"/>
    <col min="13860" max="13861" width="7.81640625" style="1" customWidth="1"/>
    <col min="13862" max="13863" width="8.90625" style="1"/>
    <col min="13864" max="13864" width="12.6328125" style="1" customWidth="1"/>
    <col min="13865" max="13865" width="8.90625" style="1"/>
    <col min="13866" max="13869" width="11.90625" style="1" customWidth="1"/>
    <col min="13870" max="13870" width="8.90625" style="1"/>
    <col min="13871" max="13871" width="17.36328125" style="1" customWidth="1"/>
    <col min="13872" max="13872" width="16.1796875" style="1" customWidth="1"/>
    <col min="13873" max="13873" width="11.81640625" style="1" customWidth="1"/>
    <col min="13874" max="13965" width="9.90625" style="1" customWidth="1"/>
    <col min="13966" max="14080" width="8.90625" style="1"/>
    <col min="14081" max="14081" width="12.08984375" style="1" customWidth="1"/>
    <col min="14082" max="14082" width="14.36328125" style="1" customWidth="1"/>
    <col min="14083" max="14083" width="27" style="1" customWidth="1"/>
    <col min="14084" max="14084" width="12.6328125" style="1" customWidth="1"/>
    <col min="14085" max="14085" width="10.36328125" style="1" customWidth="1"/>
    <col min="14086" max="14086" width="9.36328125" style="1" customWidth="1"/>
    <col min="14087" max="14087" width="9.6328125" style="1" customWidth="1"/>
    <col min="14088" max="14088" width="0" style="1" hidden="1" customWidth="1"/>
    <col min="14089" max="14090" width="9.6328125" style="1" customWidth="1"/>
    <col min="14091" max="14091" width="9" style="1" customWidth="1"/>
    <col min="14092" max="14092" width="0" style="1" hidden="1" customWidth="1"/>
    <col min="14093" max="14093" width="8.81640625" style="1" customWidth="1"/>
    <col min="14094" max="14094" width="9.6328125" style="1" customWidth="1"/>
    <col min="14095" max="14099" width="0" style="1" hidden="1" customWidth="1"/>
    <col min="14100" max="14100" width="9.6328125" style="1" customWidth="1"/>
    <col min="14101" max="14101" width="9.54296875" style="1" customWidth="1"/>
    <col min="14102" max="14102" width="9.6328125" style="1" customWidth="1"/>
    <col min="14103" max="14103" width="11.81640625" style="1" customWidth="1"/>
    <col min="14104" max="14105" width="9.6328125" style="1" customWidth="1"/>
    <col min="14106" max="14106" width="0" style="1" hidden="1" customWidth="1"/>
    <col min="14107" max="14108" width="14.08984375" style="1" customWidth="1"/>
    <col min="14109" max="14109" width="13.453125" style="1" customWidth="1"/>
    <col min="14110" max="14110" width="11.81640625" style="1" customWidth="1"/>
    <col min="14111" max="14111" width="12.54296875" style="1" customWidth="1"/>
    <col min="14112" max="14112" width="9.6328125" style="1" customWidth="1"/>
    <col min="14113" max="14113" width="11.1796875" style="1" customWidth="1"/>
    <col min="14114" max="14115" width="9" style="1" customWidth="1"/>
    <col min="14116" max="14117" width="7.81640625" style="1" customWidth="1"/>
    <col min="14118" max="14119" width="8.90625" style="1"/>
    <col min="14120" max="14120" width="12.6328125" style="1" customWidth="1"/>
    <col min="14121" max="14121" width="8.90625" style="1"/>
    <col min="14122" max="14125" width="11.90625" style="1" customWidth="1"/>
    <col min="14126" max="14126" width="8.90625" style="1"/>
    <col min="14127" max="14127" width="17.36328125" style="1" customWidth="1"/>
    <col min="14128" max="14128" width="16.1796875" style="1" customWidth="1"/>
    <col min="14129" max="14129" width="11.81640625" style="1" customWidth="1"/>
    <col min="14130" max="14221" width="9.90625" style="1" customWidth="1"/>
    <col min="14222" max="14336" width="8.90625" style="1"/>
    <col min="14337" max="14337" width="12.08984375" style="1" customWidth="1"/>
    <col min="14338" max="14338" width="14.36328125" style="1" customWidth="1"/>
    <col min="14339" max="14339" width="27" style="1" customWidth="1"/>
    <col min="14340" max="14340" width="12.6328125" style="1" customWidth="1"/>
    <col min="14341" max="14341" width="10.36328125" style="1" customWidth="1"/>
    <col min="14342" max="14342" width="9.36328125" style="1" customWidth="1"/>
    <col min="14343" max="14343" width="9.6328125" style="1" customWidth="1"/>
    <col min="14344" max="14344" width="0" style="1" hidden="1" customWidth="1"/>
    <col min="14345" max="14346" width="9.6328125" style="1" customWidth="1"/>
    <col min="14347" max="14347" width="9" style="1" customWidth="1"/>
    <col min="14348" max="14348" width="0" style="1" hidden="1" customWidth="1"/>
    <col min="14349" max="14349" width="8.81640625" style="1" customWidth="1"/>
    <col min="14350" max="14350" width="9.6328125" style="1" customWidth="1"/>
    <col min="14351" max="14355" width="0" style="1" hidden="1" customWidth="1"/>
    <col min="14356" max="14356" width="9.6328125" style="1" customWidth="1"/>
    <col min="14357" max="14357" width="9.54296875" style="1" customWidth="1"/>
    <col min="14358" max="14358" width="9.6328125" style="1" customWidth="1"/>
    <col min="14359" max="14359" width="11.81640625" style="1" customWidth="1"/>
    <col min="14360" max="14361" width="9.6328125" style="1" customWidth="1"/>
    <col min="14362" max="14362" width="0" style="1" hidden="1" customWidth="1"/>
    <col min="14363" max="14364" width="14.08984375" style="1" customWidth="1"/>
    <col min="14365" max="14365" width="13.453125" style="1" customWidth="1"/>
    <col min="14366" max="14366" width="11.81640625" style="1" customWidth="1"/>
    <col min="14367" max="14367" width="12.54296875" style="1" customWidth="1"/>
    <col min="14368" max="14368" width="9.6328125" style="1" customWidth="1"/>
    <col min="14369" max="14369" width="11.1796875" style="1" customWidth="1"/>
    <col min="14370" max="14371" width="9" style="1" customWidth="1"/>
    <col min="14372" max="14373" width="7.81640625" style="1" customWidth="1"/>
    <col min="14374" max="14375" width="8.90625" style="1"/>
    <col min="14376" max="14376" width="12.6328125" style="1" customWidth="1"/>
    <col min="14377" max="14377" width="8.90625" style="1"/>
    <col min="14378" max="14381" width="11.90625" style="1" customWidth="1"/>
    <col min="14382" max="14382" width="8.90625" style="1"/>
    <col min="14383" max="14383" width="17.36328125" style="1" customWidth="1"/>
    <col min="14384" max="14384" width="16.1796875" style="1" customWidth="1"/>
    <col min="14385" max="14385" width="11.81640625" style="1" customWidth="1"/>
    <col min="14386" max="14477" width="9.90625" style="1" customWidth="1"/>
    <col min="14478" max="14592" width="8.90625" style="1"/>
    <col min="14593" max="14593" width="12.08984375" style="1" customWidth="1"/>
    <col min="14594" max="14594" width="14.36328125" style="1" customWidth="1"/>
    <col min="14595" max="14595" width="27" style="1" customWidth="1"/>
    <col min="14596" max="14596" width="12.6328125" style="1" customWidth="1"/>
    <col min="14597" max="14597" width="10.36328125" style="1" customWidth="1"/>
    <col min="14598" max="14598" width="9.36328125" style="1" customWidth="1"/>
    <col min="14599" max="14599" width="9.6328125" style="1" customWidth="1"/>
    <col min="14600" max="14600" width="0" style="1" hidden="1" customWidth="1"/>
    <col min="14601" max="14602" width="9.6328125" style="1" customWidth="1"/>
    <col min="14603" max="14603" width="9" style="1" customWidth="1"/>
    <col min="14604" max="14604" width="0" style="1" hidden="1" customWidth="1"/>
    <col min="14605" max="14605" width="8.81640625" style="1" customWidth="1"/>
    <col min="14606" max="14606" width="9.6328125" style="1" customWidth="1"/>
    <col min="14607" max="14611" width="0" style="1" hidden="1" customWidth="1"/>
    <col min="14612" max="14612" width="9.6328125" style="1" customWidth="1"/>
    <col min="14613" max="14613" width="9.54296875" style="1" customWidth="1"/>
    <col min="14614" max="14614" width="9.6328125" style="1" customWidth="1"/>
    <col min="14615" max="14615" width="11.81640625" style="1" customWidth="1"/>
    <col min="14616" max="14617" width="9.6328125" style="1" customWidth="1"/>
    <col min="14618" max="14618" width="0" style="1" hidden="1" customWidth="1"/>
    <col min="14619" max="14620" width="14.08984375" style="1" customWidth="1"/>
    <col min="14621" max="14621" width="13.453125" style="1" customWidth="1"/>
    <col min="14622" max="14622" width="11.81640625" style="1" customWidth="1"/>
    <col min="14623" max="14623" width="12.54296875" style="1" customWidth="1"/>
    <col min="14624" max="14624" width="9.6328125" style="1" customWidth="1"/>
    <col min="14625" max="14625" width="11.1796875" style="1" customWidth="1"/>
    <col min="14626" max="14627" width="9" style="1" customWidth="1"/>
    <col min="14628" max="14629" width="7.81640625" style="1" customWidth="1"/>
    <col min="14630" max="14631" width="8.90625" style="1"/>
    <col min="14632" max="14632" width="12.6328125" style="1" customWidth="1"/>
    <col min="14633" max="14633" width="8.90625" style="1"/>
    <col min="14634" max="14637" width="11.90625" style="1" customWidth="1"/>
    <col min="14638" max="14638" width="8.90625" style="1"/>
    <col min="14639" max="14639" width="17.36328125" style="1" customWidth="1"/>
    <col min="14640" max="14640" width="16.1796875" style="1" customWidth="1"/>
    <col min="14641" max="14641" width="11.81640625" style="1" customWidth="1"/>
    <col min="14642" max="14733" width="9.90625" style="1" customWidth="1"/>
    <col min="14734" max="14848" width="8.90625" style="1"/>
    <col min="14849" max="14849" width="12.08984375" style="1" customWidth="1"/>
    <col min="14850" max="14850" width="14.36328125" style="1" customWidth="1"/>
    <col min="14851" max="14851" width="27" style="1" customWidth="1"/>
    <col min="14852" max="14852" width="12.6328125" style="1" customWidth="1"/>
    <col min="14853" max="14853" width="10.36328125" style="1" customWidth="1"/>
    <col min="14854" max="14854" width="9.36328125" style="1" customWidth="1"/>
    <col min="14855" max="14855" width="9.6328125" style="1" customWidth="1"/>
    <col min="14856" max="14856" width="0" style="1" hidden="1" customWidth="1"/>
    <col min="14857" max="14858" width="9.6328125" style="1" customWidth="1"/>
    <col min="14859" max="14859" width="9" style="1" customWidth="1"/>
    <col min="14860" max="14860" width="0" style="1" hidden="1" customWidth="1"/>
    <col min="14861" max="14861" width="8.81640625" style="1" customWidth="1"/>
    <col min="14862" max="14862" width="9.6328125" style="1" customWidth="1"/>
    <col min="14863" max="14867" width="0" style="1" hidden="1" customWidth="1"/>
    <col min="14868" max="14868" width="9.6328125" style="1" customWidth="1"/>
    <col min="14869" max="14869" width="9.54296875" style="1" customWidth="1"/>
    <col min="14870" max="14870" width="9.6328125" style="1" customWidth="1"/>
    <col min="14871" max="14871" width="11.81640625" style="1" customWidth="1"/>
    <col min="14872" max="14873" width="9.6328125" style="1" customWidth="1"/>
    <col min="14874" max="14874" width="0" style="1" hidden="1" customWidth="1"/>
    <col min="14875" max="14876" width="14.08984375" style="1" customWidth="1"/>
    <col min="14877" max="14877" width="13.453125" style="1" customWidth="1"/>
    <col min="14878" max="14878" width="11.81640625" style="1" customWidth="1"/>
    <col min="14879" max="14879" width="12.54296875" style="1" customWidth="1"/>
    <col min="14880" max="14880" width="9.6328125" style="1" customWidth="1"/>
    <col min="14881" max="14881" width="11.1796875" style="1" customWidth="1"/>
    <col min="14882" max="14883" width="9" style="1" customWidth="1"/>
    <col min="14884" max="14885" width="7.81640625" style="1" customWidth="1"/>
    <col min="14886" max="14887" width="8.90625" style="1"/>
    <col min="14888" max="14888" width="12.6328125" style="1" customWidth="1"/>
    <col min="14889" max="14889" width="8.90625" style="1"/>
    <col min="14890" max="14893" width="11.90625" style="1" customWidth="1"/>
    <col min="14894" max="14894" width="8.90625" style="1"/>
    <col min="14895" max="14895" width="17.36328125" style="1" customWidth="1"/>
    <col min="14896" max="14896" width="16.1796875" style="1" customWidth="1"/>
    <col min="14897" max="14897" width="11.81640625" style="1" customWidth="1"/>
    <col min="14898" max="14989" width="9.90625" style="1" customWidth="1"/>
    <col min="14990" max="15104" width="8.90625" style="1"/>
    <col min="15105" max="15105" width="12.08984375" style="1" customWidth="1"/>
    <col min="15106" max="15106" width="14.36328125" style="1" customWidth="1"/>
    <col min="15107" max="15107" width="27" style="1" customWidth="1"/>
    <col min="15108" max="15108" width="12.6328125" style="1" customWidth="1"/>
    <col min="15109" max="15109" width="10.36328125" style="1" customWidth="1"/>
    <col min="15110" max="15110" width="9.36328125" style="1" customWidth="1"/>
    <col min="15111" max="15111" width="9.6328125" style="1" customWidth="1"/>
    <col min="15112" max="15112" width="0" style="1" hidden="1" customWidth="1"/>
    <col min="15113" max="15114" width="9.6328125" style="1" customWidth="1"/>
    <col min="15115" max="15115" width="9" style="1" customWidth="1"/>
    <col min="15116" max="15116" width="0" style="1" hidden="1" customWidth="1"/>
    <col min="15117" max="15117" width="8.81640625" style="1" customWidth="1"/>
    <col min="15118" max="15118" width="9.6328125" style="1" customWidth="1"/>
    <col min="15119" max="15123" width="0" style="1" hidden="1" customWidth="1"/>
    <col min="15124" max="15124" width="9.6328125" style="1" customWidth="1"/>
    <col min="15125" max="15125" width="9.54296875" style="1" customWidth="1"/>
    <col min="15126" max="15126" width="9.6328125" style="1" customWidth="1"/>
    <col min="15127" max="15127" width="11.81640625" style="1" customWidth="1"/>
    <col min="15128" max="15129" width="9.6328125" style="1" customWidth="1"/>
    <col min="15130" max="15130" width="0" style="1" hidden="1" customWidth="1"/>
    <col min="15131" max="15132" width="14.08984375" style="1" customWidth="1"/>
    <col min="15133" max="15133" width="13.453125" style="1" customWidth="1"/>
    <col min="15134" max="15134" width="11.81640625" style="1" customWidth="1"/>
    <col min="15135" max="15135" width="12.54296875" style="1" customWidth="1"/>
    <col min="15136" max="15136" width="9.6328125" style="1" customWidth="1"/>
    <col min="15137" max="15137" width="11.1796875" style="1" customWidth="1"/>
    <col min="15138" max="15139" width="9" style="1" customWidth="1"/>
    <col min="15140" max="15141" width="7.81640625" style="1" customWidth="1"/>
    <col min="15142" max="15143" width="8.90625" style="1"/>
    <col min="15144" max="15144" width="12.6328125" style="1" customWidth="1"/>
    <col min="15145" max="15145" width="8.90625" style="1"/>
    <col min="15146" max="15149" width="11.90625" style="1" customWidth="1"/>
    <col min="15150" max="15150" width="8.90625" style="1"/>
    <col min="15151" max="15151" width="17.36328125" style="1" customWidth="1"/>
    <col min="15152" max="15152" width="16.1796875" style="1" customWidth="1"/>
    <col min="15153" max="15153" width="11.81640625" style="1" customWidth="1"/>
    <col min="15154" max="15245" width="9.90625" style="1" customWidth="1"/>
    <col min="15246" max="15360" width="8.90625" style="1"/>
    <col min="15361" max="15361" width="12.08984375" style="1" customWidth="1"/>
    <col min="15362" max="15362" width="14.36328125" style="1" customWidth="1"/>
    <col min="15363" max="15363" width="27" style="1" customWidth="1"/>
    <col min="15364" max="15364" width="12.6328125" style="1" customWidth="1"/>
    <col min="15365" max="15365" width="10.36328125" style="1" customWidth="1"/>
    <col min="15366" max="15366" width="9.36328125" style="1" customWidth="1"/>
    <col min="15367" max="15367" width="9.6328125" style="1" customWidth="1"/>
    <col min="15368" max="15368" width="0" style="1" hidden="1" customWidth="1"/>
    <col min="15369" max="15370" width="9.6328125" style="1" customWidth="1"/>
    <col min="15371" max="15371" width="9" style="1" customWidth="1"/>
    <col min="15372" max="15372" width="0" style="1" hidden="1" customWidth="1"/>
    <col min="15373" max="15373" width="8.81640625" style="1" customWidth="1"/>
    <col min="15374" max="15374" width="9.6328125" style="1" customWidth="1"/>
    <col min="15375" max="15379" width="0" style="1" hidden="1" customWidth="1"/>
    <col min="15380" max="15380" width="9.6328125" style="1" customWidth="1"/>
    <col min="15381" max="15381" width="9.54296875" style="1" customWidth="1"/>
    <col min="15382" max="15382" width="9.6328125" style="1" customWidth="1"/>
    <col min="15383" max="15383" width="11.81640625" style="1" customWidth="1"/>
    <col min="15384" max="15385" width="9.6328125" style="1" customWidth="1"/>
    <col min="15386" max="15386" width="0" style="1" hidden="1" customWidth="1"/>
    <col min="15387" max="15388" width="14.08984375" style="1" customWidth="1"/>
    <col min="15389" max="15389" width="13.453125" style="1" customWidth="1"/>
    <col min="15390" max="15390" width="11.81640625" style="1" customWidth="1"/>
    <col min="15391" max="15391" width="12.54296875" style="1" customWidth="1"/>
    <col min="15392" max="15392" width="9.6328125" style="1" customWidth="1"/>
    <col min="15393" max="15393" width="11.1796875" style="1" customWidth="1"/>
    <col min="15394" max="15395" width="9" style="1" customWidth="1"/>
    <col min="15396" max="15397" width="7.81640625" style="1" customWidth="1"/>
    <col min="15398" max="15399" width="8.90625" style="1"/>
    <col min="15400" max="15400" width="12.6328125" style="1" customWidth="1"/>
    <col min="15401" max="15401" width="8.90625" style="1"/>
    <col min="15402" max="15405" width="11.90625" style="1" customWidth="1"/>
    <col min="15406" max="15406" width="8.90625" style="1"/>
    <col min="15407" max="15407" width="17.36328125" style="1" customWidth="1"/>
    <col min="15408" max="15408" width="16.1796875" style="1" customWidth="1"/>
    <col min="15409" max="15409" width="11.81640625" style="1" customWidth="1"/>
    <col min="15410" max="15501" width="9.90625" style="1" customWidth="1"/>
    <col min="15502" max="15616" width="8.90625" style="1"/>
    <col min="15617" max="15617" width="12.08984375" style="1" customWidth="1"/>
    <col min="15618" max="15618" width="14.36328125" style="1" customWidth="1"/>
    <col min="15619" max="15619" width="27" style="1" customWidth="1"/>
    <col min="15620" max="15620" width="12.6328125" style="1" customWidth="1"/>
    <col min="15621" max="15621" width="10.36328125" style="1" customWidth="1"/>
    <col min="15622" max="15622" width="9.36328125" style="1" customWidth="1"/>
    <col min="15623" max="15623" width="9.6328125" style="1" customWidth="1"/>
    <col min="15624" max="15624" width="0" style="1" hidden="1" customWidth="1"/>
    <col min="15625" max="15626" width="9.6328125" style="1" customWidth="1"/>
    <col min="15627" max="15627" width="9" style="1" customWidth="1"/>
    <col min="15628" max="15628" width="0" style="1" hidden="1" customWidth="1"/>
    <col min="15629" max="15629" width="8.81640625" style="1" customWidth="1"/>
    <col min="15630" max="15630" width="9.6328125" style="1" customWidth="1"/>
    <col min="15631" max="15635" width="0" style="1" hidden="1" customWidth="1"/>
    <col min="15636" max="15636" width="9.6328125" style="1" customWidth="1"/>
    <col min="15637" max="15637" width="9.54296875" style="1" customWidth="1"/>
    <col min="15638" max="15638" width="9.6328125" style="1" customWidth="1"/>
    <col min="15639" max="15639" width="11.81640625" style="1" customWidth="1"/>
    <col min="15640" max="15641" width="9.6328125" style="1" customWidth="1"/>
    <col min="15642" max="15642" width="0" style="1" hidden="1" customWidth="1"/>
    <col min="15643" max="15644" width="14.08984375" style="1" customWidth="1"/>
    <col min="15645" max="15645" width="13.453125" style="1" customWidth="1"/>
    <col min="15646" max="15646" width="11.81640625" style="1" customWidth="1"/>
    <col min="15647" max="15647" width="12.54296875" style="1" customWidth="1"/>
    <col min="15648" max="15648" width="9.6328125" style="1" customWidth="1"/>
    <col min="15649" max="15649" width="11.1796875" style="1" customWidth="1"/>
    <col min="15650" max="15651" width="9" style="1" customWidth="1"/>
    <col min="15652" max="15653" width="7.81640625" style="1" customWidth="1"/>
    <col min="15654" max="15655" width="8.90625" style="1"/>
    <col min="15656" max="15656" width="12.6328125" style="1" customWidth="1"/>
    <col min="15657" max="15657" width="8.90625" style="1"/>
    <col min="15658" max="15661" width="11.90625" style="1" customWidth="1"/>
    <col min="15662" max="15662" width="8.90625" style="1"/>
    <col min="15663" max="15663" width="17.36328125" style="1" customWidth="1"/>
    <col min="15664" max="15664" width="16.1796875" style="1" customWidth="1"/>
    <col min="15665" max="15665" width="11.81640625" style="1" customWidth="1"/>
    <col min="15666" max="15757" width="9.90625" style="1" customWidth="1"/>
    <col min="15758" max="15872" width="8.90625" style="1"/>
    <col min="15873" max="15873" width="12.08984375" style="1" customWidth="1"/>
    <col min="15874" max="15874" width="14.36328125" style="1" customWidth="1"/>
    <col min="15875" max="15875" width="27" style="1" customWidth="1"/>
    <col min="15876" max="15876" width="12.6328125" style="1" customWidth="1"/>
    <col min="15877" max="15877" width="10.36328125" style="1" customWidth="1"/>
    <col min="15878" max="15878" width="9.36328125" style="1" customWidth="1"/>
    <col min="15879" max="15879" width="9.6328125" style="1" customWidth="1"/>
    <col min="15880" max="15880" width="0" style="1" hidden="1" customWidth="1"/>
    <col min="15881" max="15882" width="9.6328125" style="1" customWidth="1"/>
    <col min="15883" max="15883" width="9" style="1" customWidth="1"/>
    <col min="15884" max="15884" width="0" style="1" hidden="1" customWidth="1"/>
    <col min="15885" max="15885" width="8.81640625" style="1" customWidth="1"/>
    <col min="15886" max="15886" width="9.6328125" style="1" customWidth="1"/>
    <col min="15887" max="15891" width="0" style="1" hidden="1" customWidth="1"/>
    <col min="15892" max="15892" width="9.6328125" style="1" customWidth="1"/>
    <col min="15893" max="15893" width="9.54296875" style="1" customWidth="1"/>
    <col min="15894" max="15894" width="9.6328125" style="1" customWidth="1"/>
    <col min="15895" max="15895" width="11.81640625" style="1" customWidth="1"/>
    <col min="15896" max="15897" width="9.6328125" style="1" customWidth="1"/>
    <col min="15898" max="15898" width="0" style="1" hidden="1" customWidth="1"/>
    <col min="15899" max="15900" width="14.08984375" style="1" customWidth="1"/>
    <col min="15901" max="15901" width="13.453125" style="1" customWidth="1"/>
    <col min="15902" max="15902" width="11.81640625" style="1" customWidth="1"/>
    <col min="15903" max="15903" width="12.54296875" style="1" customWidth="1"/>
    <col min="15904" max="15904" width="9.6328125" style="1" customWidth="1"/>
    <col min="15905" max="15905" width="11.1796875" style="1" customWidth="1"/>
    <col min="15906" max="15907" width="9" style="1" customWidth="1"/>
    <col min="15908" max="15909" width="7.81640625" style="1" customWidth="1"/>
    <col min="15910" max="15911" width="8.90625" style="1"/>
    <col min="15912" max="15912" width="12.6328125" style="1" customWidth="1"/>
    <col min="15913" max="15913" width="8.90625" style="1"/>
    <col min="15914" max="15917" width="11.90625" style="1" customWidth="1"/>
    <col min="15918" max="15918" width="8.90625" style="1"/>
    <col min="15919" max="15919" width="17.36328125" style="1" customWidth="1"/>
    <col min="15920" max="15920" width="16.1796875" style="1" customWidth="1"/>
    <col min="15921" max="15921" width="11.81640625" style="1" customWidth="1"/>
    <col min="15922" max="16013" width="9.90625" style="1" customWidth="1"/>
    <col min="16014" max="16128" width="8.90625" style="1"/>
    <col min="16129" max="16129" width="12.08984375" style="1" customWidth="1"/>
    <col min="16130" max="16130" width="14.36328125" style="1" customWidth="1"/>
    <col min="16131" max="16131" width="27" style="1" customWidth="1"/>
    <col min="16132" max="16132" width="12.6328125" style="1" customWidth="1"/>
    <col min="16133" max="16133" width="10.36328125" style="1" customWidth="1"/>
    <col min="16134" max="16134" width="9.36328125" style="1" customWidth="1"/>
    <col min="16135" max="16135" width="9.6328125" style="1" customWidth="1"/>
    <col min="16136" max="16136" width="0" style="1" hidden="1" customWidth="1"/>
    <col min="16137" max="16138" width="9.6328125" style="1" customWidth="1"/>
    <col min="16139" max="16139" width="9" style="1" customWidth="1"/>
    <col min="16140" max="16140" width="0" style="1" hidden="1" customWidth="1"/>
    <col min="16141" max="16141" width="8.81640625" style="1" customWidth="1"/>
    <col min="16142" max="16142" width="9.6328125" style="1" customWidth="1"/>
    <col min="16143" max="16147" width="0" style="1" hidden="1" customWidth="1"/>
    <col min="16148" max="16148" width="9.6328125" style="1" customWidth="1"/>
    <col min="16149" max="16149" width="9.54296875" style="1" customWidth="1"/>
    <col min="16150" max="16150" width="9.6328125" style="1" customWidth="1"/>
    <col min="16151" max="16151" width="11.81640625" style="1" customWidth="1"/>
    <col min="16152" max="16153" width="9.6328125" style="1" customWidth="1"/>
    <col min="16154" max="16154" width="0" style="1" hidden="1" customWidth="1"/>
    <col min="16155" max="16156" width="14.08984375" style="1" customWidth="1"/>
    <col min="16157" max="16157" width="13.453125" style="1" customWidth="1"/>
    <col min="16158" max="16158" width="11.81640625" style="1" customWidth="1"/>
    <col min="16159" max="16159" width="12.54296875" style="1" customWidth="1"/>
    <col min="16160" max="16160" width="9.6328125" style="1" customWidth="1"/>
    <col min="16161" max="16161" width="11.1796875" style="1" customWidth="1"/>
    <col min="16162" max="16163" width="9" style="1" customWidth="1"/>
    <col min="16164" max="16165" width="7.81640625" style="1" customWidth="1"/>
    <col min="16166" max="16167" width="8.90625" style="1"/>
    <col min="16168" max="16168" width="12.6328125" style="1" customWidth="1"/>
    <col min="16169" max="16169" width="8.90625" style="1"/>
    <col min="16170" max="16173" width="11.90625" style="1" customWidth="1"/>
    <col min="16174" max="16174" width="8.90625" style="1"/>
    <col min="16175" max="16175" width="17.36328125" style="1" customWidth="1"/>
    <col min="16176" max="16176" width="16.1796875" style="1" customWidth="1"/>
    <col min="16177" max="16177" width="11.81640625" style="1" customWidth="1"/>
    <col min="16178" max="16269" width="9.90625" style="1" customWidth="1"/>
    <col min="16270" max="16384" width="8.90625" style="1"/>
  </cols>
  <sheetData>
    <row r="1" spans="1:141" ht="24.75" hidden="1" customHeight="1" thickBot="1">
      <c r="F1" s="1">
        <f>580*9</f>
        <v>5220</v>
      </c>
      <c r="Y1" s="1">
        <f>830*7</f>
        <v>5810</v>
      </c>
      <c r="AA1" s="5"/>
      <c r="AC1" s="221">
        <v>270000000000</v>
      </c>
      <c r="AG1" s="3">
        <f>840*7</f>
        <v>5880</v>
      </c>
    </row>
    <row r="2" spans="1:141" s="12" customFormat="1" ht="19.5" hidden="1" customHeight="1" thickBot="1">
      <c r="A2" s="220"/>
      <c r="B2" s="219"/>
      <c r="C2" s="186"/>
      <c r="D2" s="218"/>
      <c r="E2" s="217"/>
      <c r="F2" s="186"/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  <c r="AA2" s="186"/>
      <c r="AB2" s="216"/>
      <c r="AC2" s="215">
        <f>+AC1/46</f>
        <v>5869565217.391304</v>
      </c>
      <c r="AD2" s="9">
        <f>+AC2/32600</f>
        <v>180048.01280341423</v>
      </c>
      <c r="AE2" s="42"/>
      <c r="AF2" s="214"/>
      <c r="AG2" s="214">
        <f>640*7</f>
        <v>4480</v>
      </c>
      <c r="AH2" s="214"/>
      <c r="AI2" s="10"/>
      <c r="AJ2" s="254" t="s">
        <v>312</v>
      </c>
      <c r="AK2" s="255"/>
      <c r="AL2" s="255"/>
      <c r="AM2" s="255"/>
      <c r="AN2" s="255"/>
      <c r="AO2" s="255"/>
      <c r="AP2" s="255"/>
      <c r="AQ2" s="255"/>
      <c r="AR2" s="255"/>
      <c r="AS2" s="255"/>
      <c r="AT2" s="256"/>
      <c r="AW2" s="254" t="s">
        <v>311</v>
      </c>
      <c r="AX2" s="255"/>
      <c r="AY2" s="255"/>
      <c r="AZ2" s="255"/>
      <c r="BA2" s="255"/>
      <c r="BB2" s="255"/>
      <c r="BC2" s="255"/>
      <c r="BD2" s="255"/>
      <c r="BE2" s="255"/>
      <c r="BF2" s="255"/>
      <c r="BG2" s="256"/>
    </row>
    <row r="3" spans="1:141" s="12" customFormat="1" ht="43.5" hidden="1" customHeight="1" thickBot="1">
      <c r="A3" s="39" t="s">
        <v>113</v>
      </c>
      <c r="B3" s="40">
        <v>7</v>
      </c>
      <c r="C3" s="39" t="s">
        <v>310</v>
      </c>
      <c r="D3" s="34" t="s">
        <v>214</v>
      </c>
      <c r="E3" s="34" t="s">
        <v>30</v>
      </c>
      <c r="F3" s="34" t="s">
        <v>309</v>
      </c>
      <c r="G3" s="38" t="s">
        <v>110</v>
      </c>
      <c r="H3" s="37" t="s">
        <v>110</v>
      </c>
      <c r="I3" s="19" t="s">
        <v>109</v>
      </c>
      <c r="J3" s="11" t="s">
        <v>108</v>
      </c>
      <c r="K3" s="19" t="s">
        <v>308</v>
      </c>
      <c r="L3" s="19" t="s">
        <v>307</v>
      </c>
      <c r="M3" s="19" t="s">
        <v>306</v>
      </c>
      <c r="N3" s="19" t="s">
        <v>305</v>
      </c>
      <c r="O3" s="19" t="s">
        <v>304</v>
      </c>
      <c r="P3" s="19" t="s">
        <v>303</v>
      </c>
      <c r="Q3" s="19" t="s">
        <v>302</v>
      </c>
      <c r="R3" s="19" t="s">
        <v>301</v>
      </c>
      <c r="S3" s="19" t="s">
        <v>300</v>
      </c>
      <c r="T3" s="19" t="s">
        <v>299</v>
      </c>
      <c r="U3" s="19" t="s">
        <v>298</v>
      </c>
      <c r="V3" s="19" t="s">
        <v>297</v>
      </c>
      <c r="W3" s="19" t="s">
        <v>296</v>
      </c>
      <c r="X3" s="19" t="s">
        <v>295</v>
      </c>
      <c r="Y3" s="19" t="s">
        <v>294</v>
      </c>
      <c r="Z3" s="19" t="s">
        <v>293</v>
      </c>
      <c r="AA3" s="213" t="s">
        <v>107</v>
      </c>
      <c r="AB3" s="70" t="s">
        <v>292</v>
      </c>
      <c r="AC3" s="212" t="s">
        <v>105</v>
      </c>
      <c r="AE3" s="42"/>
      <c r="AF3" s="10"/>
      <c r="AG3" s="10" t="s">
        <v>28</v>
      </c>
      <c r="AH3" s="10" t="s">
        <v>103</v>
      </c>
      <c r="AI3" s="54"/>
      <c r="AJ3" s="68" t="s">
        <v>102</v>
      </c>
      <c r="AK3" s="43" t="s">
        <v>101</v>
      </c>
      <c r="AL3" s="43" t="s">
        <v>100</v>
      </c>
      <c r="AM3" s="67" t="s">
        <v>99</v>
      </c>
      <c r="AN3" s="67" t="s">
        <v>98</v>
      </c>
      <c r="AO3" s="66" t="s">
        <v>97</v>
      </c>
      <c r="AP3" s="67" t="s">
        <v>96</v>
      </c>
      <c r="AQ3" s="66" t="s">
        <v>95</v>
      </c>
      <c r="AR3" s="66" t="s">
        <v>94</v>
      </c>
      <c r="AS3" s="66" t="s">
        <v>93</v>
      </c>
      <c r="AT3" s="66" t="s">
        <v>92</v>
      </c>
      <c r="AU3" s="83" t="s">
        <v>291</v>
      </c>
      <c r="AV3" s="83" t="s">
        <v>290</v>
      </c>
      <c r="AW3" s="32" t="s">
        <v>27</v>
      </c>
      <c r="AX3" s="12" t="s">
        <v>289</v>
      </c>
      <c r="AY3" s="12" t="s">
        <v>288</v>
      </c>
    </row>
    <row r="4" spans="1:141" s="12" customFormat="1" ht="27.75" hidden="1" customHeight="1" thickBot="1">
      <c r="A4" s="45" t="s">
        <v>287</v>
      </c>
      <c r="B4" s="44"/>
      <c r="D4" s="31" t="s">
        <v>286</v>
      </c>
      <c r="E4" s="43"/>
      <c r="AB4" s="9"/>
      <c r="AC4" s="9"/>
      <c r="AE4" s="42"/>
      <c r="AF4" s="10"/>
      <c r="AG4" s="10"/>
      <c r="AH4" s="10"/>
      <c r="AI4" s="54"/>
      <c r="AJ4" s="41"/>
      <c r="AK4" s="41"/>
      <c r="AL4" s="41"/>
      <c r="AM4" s="41"/>
      <c r="AN4" s="41"/>
      <c r="AO4" s="41"/>
      <c r="AP4" s="41"/>
      <c r="AQ4" s="41"/>
      <c r="AR4" s="41"/>
      <c r="AS4" s="41"/>
      <c r="AT4" s="41"/>
      <c r="AW4" s="223">
        <f>+A325</f>
        <v>46113</v>
      </c>
      <c r="AX4" s="223"/>
      <c r="AY4" s="224"/>
      <c r="AZ4" s="222">
        <f>+AW4+1</f>
        <v>46114</v>
      </c>
      <c r="BA4" s="223"/>
      <c r="BB4" s="224"/>
      <c r="BC4" s="222">
        <f>+AZ4+1</f>
        <v>46115</v>
      </c>
      <c r="BD4" s="223"/>
      <c r="BE4" s="224"/>
      <c r="BF4" s="222">
        <f>+BC4+1</f>
        <v>46116</v>
      </c>
      <c r="BG4" s="223"/>
      <c r="BH4" s="224"/>
      <c r="BI4" s="222">
        <f>+BF4+1</f>
        <v>46117</v>
      </c>
      <c r="BJ4" s="223"/>
      <c r="BK4" s="224"/>
      <c r="BL4" s="222">
        <f>+BI4+1</f>
        <v>46118</v>
      </c>
      <c r="BM4" s="223"/>
      <c r="BN4" s="224"/>
      <c r="BO4" s="222">
        <f>+BL4+1</f>
        <v>46119</v>
      </c>
      <c r="BP4" s="223"/>
      <c r="BQ4" s="224"/>
      <c r="BR4" s="222">
        <f>+BO4+1</f>
        <v>46120</v>
      </c>
      <c r="BS4" s="223"/>
      <c r="BT4" s="224"/>
      <c r="BU4" s="222">
        <f>+BR4+1</f>
        <v>46121</v>
      </c>
      <c r="BV4" s="223"/>
      <c r="BW4" s="224"/>
      <c r="BX4" s="222">
        <f>+BU4+1</f>
        <v>46122</v>
      </c>
      <c r="BY4" s="223"/>
      <c r="BZ4" s="224"/>
      <c r="CA4" s="222">
        <f>+BX4+1</f>
        <v>46123</v>
      </c>
      <c r="CB4" s="223"/>
      <c r="CC4" s="224"/>
      <c r="CD4" s="222">
        <f>+CA4+1</f>
        <v>46124</v>
      </c>
      <c r="CE4" s="223"/>
      <c r="CF4" s="224"/>
      <c r="CG4" s="222">
        <f>+CD4+1</f>
        <v>46125</v>
      </c>
      <c r="CH4" s="223"/>
      <c r="CI4" s="224"/>
      <c r="CJ4" s="222">
        <f>+CG4+1</f>
        <v>46126</v>
      </c>
      <c r="CK4" s="223"/>
      <c r="CL4" s="224"/>
      <c r="CM4" s="222">
        <f>+CJ4+1</f>
        <v>46127</v>
      </c>
      <c r="CN4" s="223"/>
      <c r="CO4" s="224"/>
      <c r="CP4" s="222">
        <f>+CM4+1</f>
        <v>46128</v>
      </c>
      <c r="CQ4" s="223"/>
      <c r="CR4" s="224"/>
      <c r="CS4" s="222">
        <f>+CP4+1</f>
        <v>46129</v>
      </c>
      <c r="CT4" s="223"/>
      <c r="CU4" s="224"/>
      <c r="CV4" s="222">
        <f>+CS4+1</f>
        <v>46130</v>
      </c>
      <c r="CW4" s="223"/>
      <c r="CX4" s="224"/>
      <c r="CY4" s="222">
        <f>+CV4+1</f>
        <v>46131</v>
      </c>
      <c r="CZ4" s="223"/>
      <c r="DA4" s="224"/>
      <c r="DB4" s="222">
        <f>+CY4+1</f>
        <v>46132</v>
      </c>
      <c r="DC4" s="223"/>
      <c r="DD4" s="224"/>
      <c r="DE4" s="222">
        <f>+DB4+1</f>
        <v>46133</v>
      </c>
      <c r="DF4" s="223"/>
      <c r="DG4" s="224"/>
      <c r="DH4" s="222">
        <f>+DE4+1</f>
        <v>46134</v>
      </c>
      <c r="DI4" s="223"/>
      <c r="DJ4" s="224"/>
      <c r="DK4" s="222">
        <f>+DH4+1</f>
        <v>46135</v>
      </c>
      <c r="DL4" s="223"/>
      <c r="DM4" s="224"/>
      <c r="DN4" s="222">
        <f>+DK4+1</f>
        <v>46136</v>
      </c>
      <c r="DO4" s="223"/>
      <c r="DP4" s="224"/>
      <c r="DQ4" s="222">
        <f>+DN4+1</f>
        <v>46137</v>
      </c>
      <c r="DR4" s="223"/>
      <c r="DS4" s="224"/>
      <c r="DT4" s="222">
        <f>+DQ4+1</f>
        <v>46138</v>
      </c>
      <c r="DU4" s="223"/>
      <c r="DV4" s="224"/>
      <c r="DW4" s="222">
        <f>+DT4+1</f>
        <v>46139</v>
      </c>
      <c r="DX4" s="223"/>
      <c r="DY4" s="224"/>
      <c r="DZ4" s="222">
        <f>+DW4+1</f>
        <v>46140</v>
      </c>
      <c r="EA4" s="223"/>
      <c r="EB4" s="224"/>
      <c r="EC4" s="222">
        <f>+DZ4+1</f>
        <v>46141</v>
      </c>
      <c r="ED4" s="223"/>
      <c r="EE4" s="224"/>
      <c r="EF4" s="222">
        <f>+EC4+1</f>
        <v>46142</v>
      </c>
      <c r="EG4" s="223"/>
      <c r="EH4" s="224"/>
      <c r="EI4" s="222">
        <f>+EF4+1</f>
        <v>46143</v>
      </c>
      <c r="EJ4" s="223"/>
      <c r="EK4" s="224"/>
    </row>
    <row r="5" spans="1:141" s="12" customFormat="1" ht="45.75" hidden="1" customHeight="1" thickBot="1">
      <c r="A5" s="49" t="s">
        <v>113</v>
      </c>
      <c r="B5" s="53"/>
      <c r="C5" s="49" t="s">
        <v>112</v>
      </c>
      <c r="D5" s="34" t="s">
        <v>214</v>
      </c>
      <c r="E5" s="34" t="s">
        <v>111</v>
      </c>
      <c r="F5" s="39" t="s">
        <v>285</v>
      </c>
      <c r="G5" s="38" t="s">
        <v>110</v>
      </c>
      <c r="H5" s="37" t="s">
        <v>110</v>
      </c>
      <c r="I5" s="19" t="s">
        <v>109</v>
      </c>
      <c r="J5" s="11" t="s">
        <v>108</v>
      </c>
      <c r="K5" s="19" t="str">
        <f t="shared" ref="K5:Z5" si="0">+K3</f>
        <v>Thiếu sản lượng</v>
      </c>
      <c r="L5" s="19" t="str">
        <f t="shared" si="0"/>
        <v>Bật máy, xét máy</v>
      </c>
      <c r="M5" s="19" t="str">
        <f t="shared" si="0"/>
        <v>Chuyển mã</v>
      </c>
      <c r="N5" s="19" t="str">
        <f t="shared" si="0"/>
        <v>Chỉnh máy</v>
      </c>
      <c r="O5" s="19" t="str">
        <f t="shared" si="0"/>
        <v>Chờ chỉnh máy</v>
      </c>
      <c r="P5" s="19" t="str">
        <f t="shared" si="0"/>
        <v>Mất điện</v>
      </c>
      <c r="Q5" s="19" t="str">
        <f t="shared" si="0"/>
        <v>Mất khí</v>
      </c>
      <c r="R5" s="19" t="str">
        <f t="shared" si="0"/>
        <v>Chờ hàng</v>
      </c>
      <c r="S5" s="19" t="str">
        <f t="shared" si="0"/>
        <v>bảo dưỡng máy</v>
      </c>
      <c r="T5" s="19" t="str">
        <f t="shared" si="0"/>
        <v>Nghỉ giải lao</v>
      </c>
      <c r="U5" s="19" t="str">
        <f t="shared" si="0"/>
        <v>Giao ca</v>
      </c>
      <c r="V5" s="19" t="str">
        <f t="shared" si="0"/>
        <v>Dừng máy đi hỗ trợ</v>
      </c>
      <c r="W5" s="19" t="str">
        <f t="shared" si="0"/>
        <v>Giặt cs/cân cs, tuốt-tái pp, GL</v>
      </c>
      <c r="X5" s="19" t="str">
        <f t="shared" si="0"/>
        <v>5s</v>
      </c>
      <c r="Y5" s="19" t="str">
        <f t="shared" si="0"/>
        <v>Học việc, đào tạo</v>
      </c>
      <c r="Z5" s="19" t="str">
        <f t="shared" si="0"/>
        <v>Đi muộn về sớm</v>
      </c>
      <c r="AA5" s="72" t="s">
        <v>107</v>
      </c>
      <c r="AB5" s="70" t="s">
        <v>106</v>
      </c>
      <c r="AC5" s="69" t="s">
        <v>105</v>
      </c>
      <c r="AE5" s="42"/>
      <c r="AF5" s="10" t="s">
        <v>104</v>
      </c>
      <c r="AG5" s="10"/>
      <c r="AH5" s="10" t="s">
        <v>103</v>
      </c>
      <c r="AI5" s="54"/>
      <c r="AJ5" s="68" t="s">
        <v>102</v>
      </c>
      <c r="AK5" s="43" t="s">
        <v>101</v>
      </c>
      <c r="AL5" s="43" t="s">
        <v>100</v>
      </c>
      <c r="AM5" s="67" t="s">
        <v>99</v>
      </c>
      <c r="AN5" s="67" t="s">
        <v>98</v>
      </c>
      <c r="AO5" s="66" t="s">
        <v>97</v>
      </c>
      <c r="AP5" s="67" t="s">
        <v>96</v>
      </c>
      <c r="AQ5" s="66" t="s">
        <v>95</v>
      </c>
      <c r="AR5" s="66" t="s">
        <v>94</v>
      </c>
      <c r="AS5" s="66" t="s">
        <v>93</v>
      </c>
      <c r="AT5" s="66" t="s">
        <v>92</v>
      </c>
      <c r="AV5" s="211" t="s">
        <v>213</v>
      </c>
      <c r="AW5" s="79" t="s">
        <v>28</v>
      </c>
      <c r="AX5" s="30" t="s">
        <v>212</v>
      </c>
      <c r="AY5" s="173" t="s">
        <v>211</v>
      </c>
      <c r="AZ5" s="133" t="s">
        <v>28</v>
      </c>
      <c r="BA5" s="25" t="s">
        <v>212</v>
      </c>
      <c r="BB5" s="132" t="s">
        <v>211</v>
      </c>
      <c r="BC5" s="133" t="s">
        <v>28</v>
      </c>
      <c r="BD5" s="25" t="s">
        <v>212</v>
      </c>
      <c r="BE5" s="132" t="s">
        <v>211</v>
      </c>
      <c r="BF5" s="133" t="s">
        <v>28</v>
      </c>
      <c r="BG5" s="25" t="s">
        <v>212</v>
      </c>
      <c r="BH5" s="132" t="s">
        <v>211</v>
      </c>
      <c r="BI5" s="133" t="s">
        <v>28</v>
      </c>
      <c r="BJ5" s="25" t="s">
        <v>212</v>
      </c>
      <c r="BK5" s="132" t="s">
        <v>211</v>
      </c>
      <c r="BL5" s="133" t="s">
        <v>28</v>
      </c>
      <c r="BM5" s="25" t="s">
        <v>212</v>
      </c>
      <c r="BN5" s="132" t="s">
        <v>211</v>
      </c>
      <c r="BO5" s="133" t="s">
        <v>28</v>
      </c>
      <c r="BP5" s="25" t="s">
        <v>212</v>
      </c>
      <c r="BQ5" s="132" t="s">
        <v>211</v>
      </c>
      <c r="BR5" s="133" t="s">
        <v>28</v>
      </c>
      <c r="BS5" s="25" t="s">
        <v>212</v>
      </c>
      <c r="BT5" s="132" t="s">
        <v>211</v>
      </c>
      <c r="BU5" s="133" t="s">
        <v>28</v>
      </c>
      <c r="BV5" s="25" t="s">
        <v>212</v>
      </c>
      <c r="BW5" s="132" t="s">
        <v>211</v>
      </c>
      <c r="BX5" s="133" t="s">
        <v>28</v>
      </c>
      <c r="BY5" s="25" t="s">
        <v>212</v>
      </c>
      <c r="BZ5" s="132" t="s">
        <v>211</v>
      </c>
      <c r="CA5" s="133" t="s">
        <v>28</v>
      </c>
      <c r="CB5" s="25" t="s">
        <v>212</v>
      </c>
      <c r="CC5" s="132" t="s">
        <v>211</v>
      </c>
      <c r="CD5" s="133" t="s">
        <v>28</v>
      </c>
      <c r="CE5" s="25" t="s">
        <v>212</v>
      </c>
      <c r="CF5" s="132" t="s">
        <v>211</v>
      </c>
      <c r="CG5" s="133" t="s">
        <v>28</v>
      </c>
      <c r="CH5" s="25" t="s">
        <v>212</v>
      </c>
      <c r="CI5" s="132" t="s">
        <v>211</v>
      </c>
      <c r="CJ5" s="133" t="s">
        <v>28</v>
      </c>
      <c r="CK5" s="25" t="s">
        <v>212</v>
      </c>
      <c r="CL5" s="132" t="s">
        <v>211</v>
      </c>
      <c r="CM5" s="133" t="s">
        <v>28</v>
      </c>
      <c r="CN5" s="25" t="s">
        <v>212</v>
      </c>
      <c r="CO5" s="132" t="s">
        <v>211</v>
      </c>
      <c r="CP5" s="133" t="s">
        <v>28</v>
      </c>
      <c r="CQ5" s="25" t="s">
        <v>212</v>
      </c>
      <c r="CR5" s="132" t="s">
        <v>211</v>
      </c>
      <c r="CS5" s="133" t="s">
        <v>28</v>
      </c>
      <c r="CT5" s="25" t="s">
        <v>212</v>
      </c>
      <c r="CU5" s="132" t="s">
        <v>211</v>
      </c>
      <c r="CV5" s="133" t="s">
        <v>28</v>
      </c>
      <c r="CW5" s="25" t="s">
        <v>212</v>
      </c>
      <c r="CX5" s="132" t="s">
        <v>211</v>
      </c>
      <c r="CY5" s="133" t="s">
        <v>28</v>
      </c>
      <c r="CZ5" s="25" t="s">
        <v>212</v>
      </c>
      <c r="DA5" s="132" t="s">
        <v>211</v>
      </c>
      <c r="DB5" s="133" t="s">
        <v>28</v>
      </c>
      <c r="DC5" s="25" t="s">
        <v>212</v>
      </c>
      <c r="DD5" s="132" t="s">
        <v>211</v>
      </c>
      <c r="DE5" s="133" t="s">
        <v>28</v>
      </c>
      <c r="DF5" s="25" t="s">
        <v>212</v>
      </c>
      <c r="DG5" s="132" t="s">
        <v>211</v>
      </c>
      <c r="DH5" s="133" t="s">
        <v>28</v>
      </c>
      <c r="DI5" s="25" t="s">
        <v>212</v>
      </c>
      <c r="DJ5" s="132" t="s">
        <v>211</v>
      </c>
      <c r="DK5" s="133" t="s">
        <v>28</v>
      </c>
      <c r="DL5" s="25" t="s">
        <v>212</v>
      </c>
      <c r="DM5" s="132" t="s">
        <v>211</v>
      </c>
      <c r="DN5" s="133" t="s">
        <v>28</v>
      </c>
      <c r="DO5" s="25" t="s">
        <v>212</v>
      </c>
      <c r="DP5" s="132" t="s">
        <v>211</v>
      </c>
      <c r="DQ5" s="133" t="s">
        <v>28</v>
      </c>
      <c r="DR5" s="25" t="s">
        <v>212</v>
      </c>
      <c r="DS5" s="132" t="s">
        <v>211</v>
      </c>
      <c r="DT5" s="133" t="s">
        <v>28</v>
      </c>
      <c r="DU5" s="25" t="s">
        <v>212</v>
      </c>
      <c r="DV5" s="132" t="s">
        <v>211</v>
      </c>
      <c r="DW5" s="133" t="s">
        <v>28</v>
      </c>
      <c r="DX5" s="25" t="s">
        <v>212</v>
      </c>
      <c r="DY5" s="132" t="s">
        <v>211</v>
      </c>
      <c r="DZ5" s="133" t="s">
        <v>28</v>
      </c>
      <c r="EA5" s="25" t="s">
        <v>212</v>
      </c>
      <c r="EB5" s="132" t="s">
        <v>211</v>
      </c>
      <c r="EC5" s="133" t="s">
        <v>28</v>
      </c>
      <c r="ED5" s="25" t="s">
        <v>212</v>
      </c>
      <c r="EE5" s="132" t="s">
        <v>211</v>
      </c>
      <c r="EF5" s="133" t="s">
        <v>28</v>
      </c>
      <c r="EG5" s="25" t="s">
        <v>212</v>
      </c>
      <c r="EH5" s="132" t="s">
        <v>211</v>
      </c>
      <c r="EI5" s="133" t="s">
        <v>28</v>
      </c>
      <c r="EJ5" s="25" t="s">
        <v>212</v>
      </c>
      <c r="EK5" s="132" t="s">
        <v>211</v>
      </c>
    </row>
    <row r="6" spans="1:141" s="12" customFormat="1" ht="14.25" hidden="1" customHeight="1">
      <c r="A6" s="25">
        <v>1</v>
      </c>
      <c r="B6" s="26">
        <v>2556</v>
      </c>
      <c r="C6" s="243" t="s">
        <v>284</v>
      </c>
      <c r="D6" s="244"/>
      <c r="E6" s="245"/>
      <c r="F6" s="210"/>
      <c r="G6" s="82">
        <f t="shared" ref="G6:G37" si="1">+SUMIF($AA$327:$AA$515,Z6,$H$327:$H$515)</f>
        <v>0</v>
      </c>
      <c r="H6" s="81">
        <f t="shared" ref="H6:H37" si="2">+SUMIF($AA$327:$AA$515,AA6,$H$327:$H$515)</f>
        <v>0</v>
      </c>
      <c r="I6" s="19">
        <f t="shared" ref="I6:I37" si="3">+SUMIF($AA$327:$AA$515,AA6,$I$327:$I$515)</f>
        <v>0</v>
      </c>
      <c r="J6" s="11">
        <f t="shared" ref="J6:J37" si="4">SUM(K6:Z6)</f>
        <v>0</v>
      </c>
      <c r="K6" s="19">
        <f t="shared" ref="K6:K37" si="5">+SUMIF($AA$327:$AA$515,AA6,$K$327:$K$515)</f>
        <v>0</v>
      </c>
      <c r="L6" s="19">
        <f t="shared" ref="L6:L37" si="6">+SUMIF($AA$327:$AA$515,AA6,$L$327:$L$515)</f>
        <v>0</v>
      </c>
      <c r="M6" s="19">
        <f t="shared" ref="M6:M37" si="7">+SUMIF($AA$327:$AA$515,AA6,$M$327:$M$515)</f>
        <v>0</v>
      </c>
      <c r="N6" s="19">
        <f t="shared" ref="N6:N37" si="8">+SUMIF($AA$327:$AA$515,AA6,$N$327:$N$515)</f>
        <v>0</v>
      </c>
      <c r="O6" s="19">
        <f t="shared" ref="O6:O37" si="9">+SUMIF($AA$327:$AA$515,AA6,$O$327:$O$515)</f>
        <v>0</v>
      </c>
      <c r="P6" s="19">
        <f t="shared" ref="P6:P37" si="10">+SUMIF($AA$327:$AA$515,AA6,$P$327:$P$515)</f>
        <v>0</v>
      </c>
      <c r="Q6" s="19">
        <f t="shared" ref="Q6:Q37" si="11">+SUMIF($AA$327:$AA$515,AA6,$Q$327:$Q$515)</f>
        <v>0</v>
      </c>
      <c r="R6" s="19">
        <f t="shared" ref="R6:R37" si="12">+SUMIF($AA$327:$AA$515,AA6,$R$327:$R$515)</f>
        <v>0</v>
      </c>
      <c r="S6" s="19">
        <f t="shared" ref="S6:S37" si="13">+SUMIF($AA$327:$AA$515,AA6,$S$327:$S$515)</f>
        <v>0</v>
      </c>
      <c r="T6" s="19">
        <f t="shared" ref="T6:T37" si="14">+SUMIF($AA$327:$AA$515,AA6,$T$327:$T$515)</f>
        <v>0</v>
      </c>
      <c r="U6" s="19">
        <f t="shared" ref="U6:U37" si="15">+SUMIF($AA$327:$AA$515,AA6,$U$327:$U$515)</f>
        <v>0</v>
      </c>
      <c r="V6" s="19">
        <f t="shared" ref="V6:V37" si="16">+SUMIF($AA$327:$AA$515,AA6,$V$327:$V$515)</f>
        <v>0</v>
      </c>
      <c r="W6" s="19">
        <f t="shared" ref="W6:W37" si="17">+SUMIF($AA$327:$AA$515,AA6,$W$327:$W$515)</f>
        <v>0</v>
      </c>
      <c r="X6" s="19">
        <f t="shared" ref="X6:X37" si="18">+SUMIF($AA$327:$AA$515,AA6,$X$327:$X$515)</f>
        <v>0</v>
      </c>
      <c r="Y6" s="19">
        <f t="shared" ref="Y6:Y37" si="19">+SUMIF($AA$327:$AA$515,AA6,$Y$327:$Y$515)</f>
        <v>0</v>
      </c>
      <c r="Z6" s="19">
        <f t="shared" ref="Z6:Z37" si="20">+SUMIF($AA$327:$AA$515,AB6,$Y$327:$Y$515)</f>
        <v>0</v>
      </c>
      <c r="AA6" s="20" t="s">
        <v>283</v>
      </c>
      <c r="AB6" s="129">
        <f t="shared" ref="AB6:AB50" si="21">+SUMIF($AA$327:$AA$515,AA6,$AB$327:$AB$515)</f>
        <v>0</v>
      </c>
      <c r="AC6" s="129">
        <f t="shared" ref="AC6:AC50" si="22">+SUMIF($AA$327:$AA$515,AA6,$AC$327:$AC$515)</f>
        <v>0</v>
      </c>
      <c r="AD6" s="128" t="e">
        <f t="shared" ref="AD6:AD37" si="23">+AC6/AB6</f>
        <v>#DIV/0!</v>
      </c>
      <c r="AE6" s="42"/>
      <c r="AF6" s="127" t="e">
        <f t="shared" ref="AF6:AF37" si="24">+AC6/H6</f>
        <v>#DIV/0!</v>
      </c>
      <c r="AG6" s="127"/>
      <c r="AH6" s="127">
        <f t="shared" ref="AH6:AH40" si="25">+SUM(AM6:AT6)</f>
        <v>0</v>
      </c>
      <c r="AI6" s="54" t="e">
        <f t="shared" ref="AI6:AI37" si="26">+AH6/AC6</f>
        <v>#DIV/0!</v>
      </c>
      <c r="AJ6" s="25">
        <f t="shared" ref="AJ6:AJ37" si="27">+SUMIF($AA$327:$AA$515,AA6,$AJ$327:$AJ$515)</f>
        <v>0</v>
      </c>
      <c r="AK6" s="25">
        <f t="shared" ref="AK6:AK37" si="28">+SUMIF($AA$327:$AA$515,AA6,$AK$327:$AK$515)</f>
        <v>0</v>
      </c>
      <c r="AL6" s="25">
        <f t="shared" ref="AL6:AL37" si="29">+SUMIF($AA$327:$AA$515,AA6,$AL$327:$AL$515)</f>
        <v>0</v>
      </c>
      <c r="AM6" s="20">
        <f t="shared" ref="AM6:AM33" si="30">+SUMIF($AA$327:$AA$515,AA6,$AM$327:$AM$515)</f>
        <v>0</v>
      </c>
      <c r="AN6" s="20">
        <f t="shared" ref="AN6:AN33" si="31">+SUMIF($AA$327:$AA$515,AA6,$AN$327:$AN$515)</f>
        <v>0</v>
      </c>
      <c r="AO6" s="20">
        <f t="shared" ref="AO6:AO34" si="32">+SUMIF($AA$327:$AA$515,AA6,$AO$327:$AO$515)</f>
        <v>0</v>
      </c>
      <c r="AP6" s="20">
        <f t="shared" ref="AP6:AP34" si="33">+SUMIF($AA$327:$AA$515,AA6,$AP$327:$AP$515)</f>
        <v>0</v>
      </c>
      <c r="AQ6" s="20">
        <f t="shared" ref="AQ6:AQ34" si="34">+SUMIF($AA$327:$AA$515,AA6,$AQ$327:$AQ$515)</f>
        <v>0</v>
      </c>
      <c r="AR6" s="20">
        <f t="shared" ref="AR6:AR37" si="35">+SUMIF($AB$327:$AB$515,AA6,$AR$327:$AR$515)</f>
        <v>0</v>
      </c>
      <c r="AS6" s="20">
        <f t="shared" ref="AS6:AS37" si="36">+SUMIF($AC$327:$AC$515,AA6,$AS$327:$AS$515)</f>
        <v>0</v>
      </c>
      <c r="AT6" s="20">
        <f t="shared" ref="AT6:AT34" si="37">+SUMIF($AA$327:$AA$515,AA6,$AT$327:$AT$515)</f>
        <v>0</v>
      </c>
      <c r="AV6" s="131">
        <f t="shared" ref="AV6:AV37" si="38">+SUMIF($AA$327:$AA$514,AA6,$H$327:$H$514)</f>
        <v>0</v>
      </c>
      <c r="AW6" s="79">
        <f t="array" ref="AW6">SUMIFS('Cắt lồng'!$AC$327:$AC$515,'Cắt lồng'!$AA$327:$AA$515,'Cắt lồng'!$AA6,'Cắt lồng'!$AE$327:$AE$515,'Cắt lồng'!AW$4:AW$4)</f>
        <v>0</v>
      </c>
      <c r="AX6" s="79">
        <f t="array" ref="AX6">SUMIFS('Cắt lồng'!$AH$327:$AH$515,'Cắt lồng'!$AA$327:$AA$515,'Cắt lồng'!$AA6,'Cắt lồng'!$AE$327:$AE$515,'Cắt lồng'!AX$4:AX$4)</f>
        <v>0</v>
      </c>
      <c r="AY6" s="78" t="e">
        <f t="shared" ref="AY6:AY37" si="39">+AX6/AW6</f>
        <v>#DIV/0!</v>
      </c>
      <c r="AZ6" s="79">
        <f t="array" ref="AZ6">SUMIFS('Cắt lồng'!$AC$327:$AC$515,'Cắt lồng'!$AA$327:$AA$515,'Cắt lồng'!$AA6,'Cắt lồng'!$AE$327:$AE$515,'Cắt lồng'!AZ$4:AZ$4)</f>
        <v>0</v>
      </c>
      <c r="BA6" s="79">
        <f t="array" ref="BA6">SUMIFS('Cắt lồng'!$AH$327:$AH$515,'Cắt lồng'!$AA$327:$AA$515,'Cắt lồng'!$AA6,'Cắt lồng'!$AE$327:$AE$515,'Cắt lồng'!BA$4:BA$4)</f>
        <v>0</v>
      </c>
      <c r="BB6" s="78" t="e">
        <f t="shared" ref="BB6:BB37" si="40">+BA6/AZ6</f>
        <v>#DIV/0!</v>
      </c>
      <c r="BC6" s="79">
        <f t="array" ref="BC6">SUMIFS('Cắt lồng'!$AC$327:$AC$515,'Cắt lồng'!$AA$327:$AA$515,'Cắt lồng'!$AA6,'Cắt lồng'!$AE$327:$AE$515,'Cắt lồng'!BC$4:BC$4)</f>
        <v>0</v>
      </c>
      <c r="BD6" s="79">
        <f t="array" ref="BD6">SUMIFS('Cắt lồng'!$AH$327:$AH$515,'Cắt lồng'!$AA$327:$AA$515,'Cắt lồng'!$AA6,'Cắt lồng'!$AE$327:$AE$515,'Cắt lồng'!BD$4:BD$4)</f>
        <v>0</v>
      </c>
      <c r="BE6" s="78" t="e">
        <f t="shared" ref="BE6:BE37" si="41">+BD6/BC6</f>
        <v>#DIV/0!</v>
      </c>
      <c r="BF6" s="79">
        <f t="array" ref="BF6">SUMIFS('Cắt lồng'!$AC$327:$AC$515,'Cắt lồng'!$AA$327:$AA$515,'Cắt lồng'!$AA6,'Cắt lồng'!$AE$327:$AE$515,'Cắt lồng'!BF$4:BF$4)</f>
        <v>0</v>
      </c>
      <c r="BG6" s="79">
        <f t="array" ref="BG6">SUMIFS('Cắt lồng'!$AH$327:$AH$515,'Cắt lồng'!$AA$327:$AA$515,'Cắt lồng'!$AA6,'Cắt lồng'!$AE$327:$AE$515,'Cắt lồng'!BG$4:BG$4)</f>
        <v>0</v>
      </c>
      <c r="BH6" s="78" t="e">
        <f t="shared" ref="BH6:BH37" si="42">+BG6/BF6</f>
        <v>#DIV/0!</v>
      </c>
      <c r="BI6" s="79">
        <f t="array" ref="BI6">SUMIFS('Cắt lồng'!$AC$327:$AC$515,'Cắt lồng'!$AA$327:$AA$515,'Cắt lồng'!$AA6,'Cắt lồng'!$AE$327:$AE$515,'Cắt lồng'!BI$4:BI$4)</f>
        <v>0</v>
      </c>
      <c r="BJ6" s="79">
        <f t="array" ref="BJ6">SUMIFS('Cắt lồng'!$AH$327:$AH$515,'Cắt lồng'!$AA$327:$AA$515,'Cắt lồng'!$AA6,'Cắt lồng'!$AE$327:$AE$515,'Cắt lồng'!BJ$4:BJ$4)</f>
        <v>0</v>
      </c>
      <c r="BK6" s="78" t="e">
        <f t="shared" ref="BK6:BK37" si="43">+BJ6/BI6</f>
        <v>#DIV/0!</v>
      </c>
      <c r="BL6" s="79">
        <f t="array" ref="BL6">SUMIFS('Cắt lồng'!$AC$327:$AC$515,'Cắt lồng'!$AA$327:$AA$515,'Cắt lồng'!$AA6,'Cắt lồng'!$AE$327:$AE$515,'Cắt lồng'!BL$4:BL$4)</f>
        <v>0</v>
      </c>
      <c r="BM6" s="79">
        <f t="array" ref="BM6">SUMIFS('Cắt lồng'!$AH$327:$AH$515,'Cắt lồng'!$AA$327:$AA$515,'Cắt lồng'!$AA6,'Cắt lồng'!$AE$327:$AE$515,'Cắt lồng'!BM$4:BM$4)</f>
        <v>0</v>
      </c>
      <c r="BN6" s="78" t="e">
        <f t="shared" ref="BN6:BN37" si="44">+BM6/BL6</f>
        <v>#DIV/0!</v>
      </c>
      <c r="BO6" s="79">
        <f t="array" ref="BO6">SUMIFS('Cắt lồng'!$AC$327:$AC$515,'Cắt lồng'!$AA$327:$AA$515,'Cắt lồng'!$AA6,'Cắt lồng'!$AE$327:$AE$515,'Cắt lồng'!BO$4:BO$4)</f>
        <v>0</v>
      </c>
      <c r="BP6" s="79">
        <f t="array" ref="BP6">SUMIFS('Cắt lồng'!$AH$327:$AH$515,'Cắt lồng'!$AA$327:$AA$515,'Cắt lồng'!$AA6,'Cắt lồng'!$AE$327:$AE$515,'Cắt lồng'!BP$4:BP$4)</f>
        <v>0</v>
      </c>
      <c r="BQ6" s="78" t="e">
        <f t="shared" ref="BQ6:BQ37" si="45">+BP6/BO6</f>
        <v>#DIV/0!</v>
      </c>
      <c r="BR6" s="79">
        <f t="array" ref="BR6">SUMIFS('Cắt lồng'!$AC$327:$AC$515,'Cắt lồng'!$AA$327:$AA$515,'Cắt lồng'!$AA6,'Cắt lồng'!$AE$327:$AE$515,'Cắt lồng'!BR$4:BR$4)</f>
        <v>0</v>
      </c>
      <c r="BS6" s="79">
        <f t="array" ref="BS6">SUMIFS('Cắt lồng'!$AH$327:$AH$515,'Cắt lồng'!$AA$327:$AA$515,'Cắt lồng'!$AA6,'Cắt lồng'!$AE$327:$AE$515,'Cắt lồng'!BS$4:BS$4)</f>
        <v>0</v>
      </c>
      <c r="BT6" s="78" t="e">
        <f t="shared" ref="BT6:BT37" si="46">+BS6/BR6</f>
        <v>#DIV/0!</v>
      </c>
      <c r="BU6" s="79">
        <f t="array" ref="BU6">SUMIFS('Cắt lồng'!$AC$327:$AC$515,'Cắt lồng'!$AA$327:$AA$515,'Cắt lồng'!$AA6,'Cắt lồng'!$AE$327:$AE$515,'Cắt lồng'!BU$4:BU$4)</f>
        <v>0</v>
      </c>
      <c r="BV6" s="79">
        <f t="array" ref="BV6">SUMIFS('Cắt lồng'!$AH$327:$AH$515,'Cắt lồng'!$AA$327:$AA$515,'Cắt lồng'!$AA6,'Cắt lồng'!$AE$327:$AE$515,'Cắt lồng'!BV$4:BV$4)</f>
        <v>0</v>
      </c>
      <c r="BW6" s="78" t="e">
        <f t="shared" ref="BW6:BW37" si="47">+BV6/BU6</f>
        <v>#DIV/0!</v>
      </c>
      <c r="BX6" s="79">
        <f t="array" ref="BX6">SUMIFS('Cắt lồng'!$AC$327:$AC$515,'Cắt lồng'!$AA$327:$AA$515,'Cắt lồng'!$AA6,'Cắt lồng'!$AE$327:$AE$515,'Cắt lồng'!BX$4:BX$4)</f>
        <v>0</v>
      </c>
      <c r="BY6" s="79">
        <f t="array" ref="BY6">SUMIFS('Cắt lồng'!$AH$327:$AH$515,'Cắt lồng'!$AA$327:$AA$515,'Cắt lồng'!$AA6,'Cắt lồng'!$AE$327:$AE$515,'Cắt lồng'!BY$4:BY$4)</f>
        <v>0</v>
      </c>
      <c r="BZ6" s="78" t="e">
        <f t="shared" ref="BZ6:BZ37" si="48">+BY6/BX6</f>
        <v>#DIV/0!</v>
      </c>
      <c r="CA6" s="79">
        <f t="array" ref="CA6">SUMIFS('Cắt lồng'!$AC$327:$AC$515,'Cắt lồng'!$AA$327:$AA$515,'Cắt lồng'!$AA6,'Cắt lồng'!$AE$327:$AE$515,'Cắt lồng'!CA$4:CA$4)</f>
        <v>0</v>
      </c>
      <c r="CB6" s="79">
        <f t="array" ref="CB6">SUMIFS('Cắt lồng'!$AH$327:$AH$515,'Cắt lồng'!$AA$327:$AA$515,'Cắt lồng'!$AA6,'Cắt lồng'!$AE$327:$AE$515,'Cắt lồng'!CB$4:CB$4)</f>
        <v>0</v>
      </c>
      <c r="CC6" s="78" t="e">
        <f t="shared" ref="CC6:CC37" si="49">+CB6/CA6</f>
        <v>#DIV/0!</v>
      </c>
      <c r="CD6" s="79">
        <f t="array" ref="CD6">SUMIFS('Cắt lồng'!$AC$327:$AC$515,'Cắt lồng'!$AA$327:$AA$515,'Cắt lồng'!$AA6,'Cắt lồng'!$AE$327:$AE$515,'Cắt lồng'!CD$4:CD$4)</f>
        <v>0</v>
      </c>
      <c r="CE6" s="79">
        <f t="array" ref="CE6">SUMIFS('Cắt lồng'!$AH$327:$AH$515,'Cắt lồng'!$AA$327:$AA$515,'Cắt lồng'!$AA6,'Cắt lồng'!$AE$327:$AE$515,'Cắt lồng'!CE$4:CE$4)</f>
        <v>0</v>
      </c>
      <c r="CF6" s="78" t="e">
        <f t="shared" ref="CF6:CF37" si="50">+CE6/CD6</f>
        <v>#DIV/0!</v>
      </c>
      <c r="CG6" s="79">
        <f t="array" ref="CG6">SUMIFS('Cắt lồng'!$AC$327:$AC$515,'Cắt lồng'!$AA$327:$AA$515,'Cắt lồng'!$AA6,'Cắt lồng'!$AE$327:$AE$515,'Cắt lồng'!CG$4:CG$4)</f>
        <v>0</v>
      </c>
      <c r="CH6" s="79">
        <f t="array" ref="CH6">SUMIFS('Cắt lồng'!$AH$327:$AH$515,'Cắt lồng'!$AA$327:$AA$515,'Cắt lồng'!$AA6,'Cắt lồng'!$AE$327:$AE$515,'Cắt lồng'!CH$4:CH$4)</f>
        <v>0</v>
      </c>
      <c r="CI6" s="78" t="e">
        <f t="shared" ref="CI6:CI37" si="51">+CH6/CG6</f>
        <v>#DIV/0!</v>
      </c>
      <c r="CJ6" s="79">
        <f t="array" ref="CJ6">SUMIFS('Cắt lồng'!$AC$327:$AC$515,'Cắt lồng'!$AA$327:$AA$515,'Cắt lồng'!$AA6,'Cắt lồng'!$AE$327:$AE$515,'Cắt lồng'!CJ$4:CJ$4)</f>
        <v>0</v>
      </c>
      <c r="CK6" s="79">
        <f t="array" ref="CK6">SUMIFS('Cắt lồng'!$AH$327:$AH$515,'Cắt lồng'!$AA$327:$AA$515,'Cắt lồng'!$AA6,'Cắt lồng'!$AE$327:$AE$515,'Cắt lồng'!CK$4:CK$4)</f>
        <v>0</v>
      </c>
      <c r="CL6" s="78" t="e">
        <f t="shared" ref="CL6:CL37" si="52">+CK6/CJ6</f>
        <v>#DIV/0!</v>
      </c>
      <c r="CM6" s="79">
        <f t="array" ref="CM6">SUMIFS('Cắt lồng'!$AC$327:$AC$515,'Cắt lồng'!$AA$327:$AA$515,'Cắt lồng'!$AA6,'Cắt lồng'!$AE$327:$AE$515,'Cắt lồng'!CM$4:CM$4)</f>
        <v>0</v>
      </c>
      <c r="CN6" s="79">
        <f t="array" ref="CN6">SUMIFS('Cắt lồng'!$AH$327:$AH$515,'Cắt lồng'!$AA$327:$AA$515,'Cắt lồng'!$AA6,'Cắt lồng'!$AE$327:$AE$515,'Cắt lồng'!CN$4:CN$4)</f>
        <v>0</v>
      </c>
      <c r="CO6" s="78" t="e">
        <f t="shared" ref="CO6:CO37" si="53">+CN6/CM6</f>
        <v>#DIV/0!</v>
      </c>
      <c r="CP6" s="79">
        <f t="array" ref="CP6">SUMIFS('Cắt lồng'!$AC$327:$AC$515,'Cắt lồng'!$AA$327:$AA$515,'Cắt lồng'!$AA6,'Cắt lồng'!$AE$327:$AE$515,'Cắt lồng'!CP$4:CP$4)</f>
        <v>0</v>
      </c>
      <c r="CQ6" s="79">
        <f t="array" ref="CQ6">SUMIFS('Cắt lồng'!$AH$327:$AH$515,'Cắt lồng'!$AA$327:$AA$515,'Cắt lồng'!$AA6,'Cắt lồng'!$AE$327:$AE$515,'Cắt lồng'!CQ$4:CQ$4)</f>
        <v>0</v>
      </c>
      <c r="CR6" s="78" t="e">
        <f t="shared" ref="CR6:CR37" si="54">+CQ6/CP6</f>
        <v>#DIV/0!</v>
      </c>
      <c r="CS6" s="79">
        <f t="array" ref="CS6">SUMIFS('Cắt lồng'!$AC$327:$AC$515,'Cắt lồng'!$AA$327:$AA$515,'Cắt lồng'!$AA6,'Cắt lồng'!$AE$327:$AE$515,'Cắt lồng'!CS$4:CS$4)</f>
        <v>0</v>
      </c>
      <c r="CT6" s="79">
        <f t="array" ref="CT6">SUMIFS('Cắt lồng'!$AH$327:$AH$515,'Cắt lồng'!$AA$327:$AA$515,'Cắt lồng'!$AA6,'Cắt lồng'!$AE$327:$AE$515,'Cắt lồng'!CT$4:CT$4)</f>
        <v>0</v>
      </c>
      <c r="CU6" s="78" t="e">
        <f t="shared" ref="CU6:CU37" si="55">+CT6/CS6</f>
        <v>#DIV/0!</v>
      </c>
      <c r="CV6" s="79">
        <f t="array" ref="CV6">SUMIFS('Cắt lồng'!$AC$327:$AC$515,'Cắt lồng'!$AA$327:$AA$515,'Cắt lồng'!$AA6,'Cắt lồng'!$AE$327:$AE$515,'Cắt lồng'!CV$4:CV$4)</f>
        <v>0</v>
      </c>
      <c r="CW6" s="79">
        <f t="array" ref="CW6">SUMIFS('Cắt lồng'!$AH$327:$AH$515,'Cắt lồng'!$AA$327:$AA$515,'Cắt lồng'!$AA6,'Cắt lồng'!$AE$327:$AE$515,'Cắt lồng'!CW$4:CW$4)</f>
        <v>0</v>
      </c>
      <c r="CX6" s="78" t="e">
        <f t="shared" ref="CX6:CX37" si="56">+CW6/CV6</f>
        <v>#DIV/0!</v>
      </c>
      <c r="CY6" s="79">
        <f t="array" ref="CY6">SUMIFS('Cắt lồng'!$AC$327:$AC$515,'Cắt lồng'!$AA$327:$AA$515,'Cắt lồng'!$AA6,'Cắt lồng'!$AE$327:$AE$515,'Cắt lồng'!CY$4:CY$4)</f>
        <v>0</v>
      </c>
      <c r="CZ6" s="79">
        <f t="array" ref="CZ6">SUMIFS('Cắt lồng'!$AH$327:$AH$515,'Cắt lồng'!$AA$327:$AA$515,'Cắt lồng'!$AA6,'Cắt lồng'!$AE$327:$AE$515,'Cắt lồng'!CZ$4:CZ$4)</f>
        <v>0</v>
      </c>
      <c r="DA6" s="78" t="e">
        <f t="shared" ref="DA6:DA37" si="57">+CZ6/CY6</f>
        <v>#DIV/0!</v>
      </c>
      <c r="DB6" s="79">
        <f t="array" ref="DB6">SUMIFS('Cắt lồng'!$AC$327:$AC$515,'Cắt lồng'!$AA$327:$AA$515,'Cắt lồng'!$AA6,'Cắt lồng'!$AE$327:$AE$515,'Cắt lồng'!DB$4:DB$4)</f>
        <v>0</v>
      </c>
      <c r="DC6" s="79">
        <f t="array" ref="DC6">SUMIFS('Cắt lồng'!$AH$327:$AH$515,'Cắt lồng'!$AA$327:$AA$515,'Cắt lồng'!$AA6,'Cắt lồng'!$AE$327:$AE$515,'Cắt lồng'!DC$4:DC$4)</f>
        <v>0</v>
      </c>
      <c r="DD6" s="78" t="e">
        <f t="shared" ref="DD6:DD37" si="58">+DC6/DB6</f>
        <v>#DIV/0!</v>
      </c>
      <c r="DE6" s="79">
        <f t="array" ref="DE6">SUMIFS('Cắt lồng'!$AC$327:$AC$515,'Cắt lồng'!$AA$327:$AA$515,'Cắt lồng'!$AA6,'Cắt lồng'!$AE$327:$AE$515,'Cắt lồng'!DE$4:DE$4)</f>
        <v>0</v>
      </c>
      <c r="DF6" s="79">
        <f t="array" ref="DF6">SUMIFS('Cắt lồng'!$AH$327:$AH$515,'Cắt lồng'!$AA$327:$AA$515,'Cắt lồng'!$AA6,'Cắt lồng'!$AE$327:$AE$515,'Cắt lồng'!DF$4:DF$4)</f>
        <v>0</v>
      </c>
      <c r="DG6" s="78" t="e">
        <f t="shared" ref="DG6:DG37" si="59">+DF6/DE6</f>
        <v>#DIV/0!</v>
      </c>
      <c r="DH6" s="79">
        <f t="array" ref="DH6">SUMIFS('Cắt lồng'!$AC$327:$AC$515,'Cắt lồng'!$AA$327:$AA$515,'Cắt lồng'!$AA6,'Cắt lồng'!$AE$327:$AE$515,'Cắt lồng'!DH$4:DH$4)</f>
        <v>0</v>
      </c>
      <c r="DI6" s="79">
        <f t="array" ref="DI6">SUMIFS('Cắt lồng'!$AH$327:$AH$515,'Cắt lồng'!$AA$327:$AA$515,'Cắt lồng'!$AA6,'Cắt lồng'!$AE$327:$AE$515,'Cắt lồng'!DI$4:DI$4)</f>
        <v>0</v>
      </c>
      <c r="DJ6" s="78" t="e">
        <f t="shared" ref="DJ6:DJ37" si="60">+DI6/DH6</f>
        <v>#DIV/0!</v>
      </c>
      <c r="DK6" s="79">
        <f>SUMIFS('Cắt lồng'!$AC$327:$AC$515,'Cắt lồng'!$AA$327:$AA$515,'Cắt lồng'!$AA6,'Cắt lồng'!$AE$327:$AE$515,'Cắt lồng'!DK$4:DK$4)</f>
        <v>0</v>
      </c>
      <c r="DL6" s="79">
        <f>SUMIFS('Cắt lồng'!$AH$327:$AH$515,'Cắt lồng'!$AA$327:$AA$515,'Cắt lồng'!$AA6,'Cắt lồng'!$AE$327:$AE$515,'Cắt lồng'!DL$4:DL$4)</f>
        <v>0</v>
      </c>
      <c r="DM6" s="78" t="e">
        <f t="shared" ref="DM6:DM37" si="61">+DL6/DK6</f>
        <v>#DIV/0!</v>
      </c>
      <c r="DN6" s="79">
        <f>SUMIFS('Cắt lồng'!$AC$327:$AC$515,'Cắt lồng'!$AA$327:$AA$515,'Cắt lồng'!$AA6,'Cắt lồng'!$AE$327:$AE$515,'Cắt lồng'!DN$4:DN$4)</f>
        <v>0</v>
      </c>
      <c r="DO6" s="79">
        <f t="array" ref="DO6">SUMIFS('Cắt lồng'!$AH$327:$AH$515,'Cắt lồng'!$AA$327:$AA$515,'Cắt lồng'!$AA6,'Cắt lồng'!$AE$327:$AE$515,'Cắt lồng'!DO$4:DO$4)</f>
        <v>0</v>
      </c>
      <c r="DP6" s="78" t="e">
        <f t="shared" ref="DP6:DP37" si="62">+DO6/DN6</f>
        <v>#DIV/0!</v>
      </c>
      <c r="DQ6" s="79">
        <f t="array" ref="DQ6">SUMIFS('Cắt lồng'!$AC$327:$AC$515,'Cắt lồng'!$AA$327:$AA$515,'Cắt lồng'!$AA6,'Cắt lồng'!$AE$327:$AE$515,'Cắt lồng'!DQ$4:DQ$4)</f>
        <v>0</v>
      </c>
      <c r="DR6" s="79">
        <f t="array" ref="DR6">SUMIFS('Cắt lồng'!$AH$327:$AH$515,'Cắt lồng'!$AA$327:$AA$515,'Cắt lồng'!$AA6,'Cắt lồng'!$AE$327:$AE$515,'Cắt lồng'!DR$4:DR$4)</f>
        <v>0</v>
      </c>
      <c r="DS6" s="78" t="e">
        <f t="shared" ref="DS6:DS37" si="63">+DR6/DQ6</f>
        <v>#DIV/0!</v>
      </c>
      <c r="DT6" s="79">
        <f t="array" ref="DT6">SUMIFS('Cắt lồng'!$AC$327:$AC$515,'Cắt lồng'!$AA$327:$AA$515,'Cắt lồng'!$AA6,'Cắt lồng'!$AE$327:$AE$515,'Cắt lồng'!DT$4:DT$4)</f>
        <v>0</v>
      </c>
      <c r="DU6" s="79">
        <f t="array" ref="DU6">SUMIFS('Cắt lồng'!$AH$327:$AH$515,'Cắt lồng'!$AA$327:$AA$515,'Cắt lồng'!$AA6,'Cắt lồng'!$AE$327:$AE$515,'Cắt lồng'!DU$4:DU$4)</f>
        <v>0</v>
      </c>
      <c r="DV6" s="78" t="e">
        <f t="shared" ref="DV6:DV37" si="64">+DU6/DT6</f>
        <v>#DIV/0!</v>
      </c>
      <c r="DW6" s="79">
        <f t="array" ref="DW6">SUMIFS('Cắt lồng'!$AC$327:$AC$515,'Cắt lồng'!$AA$327:$AA$515,'Cắt lồng'!$AA6,'Cắt lồng'!$AE$327:$AE$515,'Cắt lồng'!DW$4:DW$4)</f>
        <v>0</v>
      </c>
      <c r="DX6" s="79">
        <f t="array" ref="DX6">SUMIFS('Cắt lồng'!$AH$327:$AH$515,'Cắt lồng'!$AA$327:$AA$515,'Cắt lồng'!$AA6,'Cắt lồng'!$AE$327:$AE$515,'Cắt lồng'!DX$4:DX$4)</f>
        <v>0</v>
      </c>
      <c r="DY6" s="78" t="e">
        <f t="shared" ref="DY6:DY37" si="65">+DX6/DW6</f>
        <v>#DIV/0!</v>
      </c>
      <c r="DZ6" s="79">
        <f t="array" ref="DZ6">SUMIFS('Cắt lồng'!$AC$327:$AC$515,'Cắt lồng'!$AA$327:$AA$515,'Cắt lồng'!$AA6,'Cắt lồng'!$AE$327:$AE$515,'Cắt lồng'!DZ$4:DZ$4)</f>
        <v>0</v>
      </c>
      <c r="EA6" s="79">
        <f t="array" ref="EA6">SUMIFS('Cắt lồng'!$AH$327:$AH$515,'Cắt lồng'!$AA$327:$AA$515,'Cắt lồng'!$AA6,'Cắt lồng'!$AE$327:$AE$515,'Cắt lồng'!EA$4:EA$4)</f>
        <v>0</v>
      </c>
      <c r="EB6" s="78" t="e">
        <f t="shared" ref="EB6:EB37" si="66">+EA6/DZ6</f>
        <v>#DIV/0!</v>
      </c>
      <c r="EC6" s="79">
        <f t="array" ref="EC6">SUMIFS('Cắt lồng'!$AC$327:$AC$515,'Cắt lồng'!$AA$327:$AA$515,'Cắt lồng'!$AA6,'Cắt lồng'!$AE$327:$AE$515,'Cắt lồng'!EC$4:EC$4)</f>
        <v>0</v>
      </c>
      <c r="ED6" s="79">
        <f t="array" ref="ED6">SUMIFS('Cắt lồng'!$AH$327:$AH$515,'Cắt lồng'!$AA$327:$AA$515,'Cắt lồng'!$AA6,'Cắt lồng'!$AE$327:$AE$515,'Cắt lồng'!ED$4:ED$4)</f>
        <v>0</v>
      </c>
      <c r="EE6" s="78" t="e">
        <f t="shared" ref="EE6:EE37" si="67">+ED6/EC6</f>
        <v>#DIV/0!</v>
      </c>
      <c r="EF6" s="79">
        <f t="array" ref="EF6">SUMIFS('Cắt lồng'!$AC$327:$AC$515,'Cắt lồng'!$AA$327:$AA$515,'Cắt lồng'!$AA6,'Cắt lồng'!$AE$327:$AE$515,'Cắt lồng'!EF$4:EF$4)</f>
        <v>0</v>
      </c>
      <c r="EG6" s="79">
        <f t="array" ref="EG6">SUMIFS('Cắt lồng'!$AH$327:$AH$515,'Cắt lồng'!$AA$327:$AA$515,'Cắt lồng'!$AA6,'Cắt lồng'!$AE$327:$AE$515,'Cắt lồng'!EG$4:EG$4)</f>
        <v>0</v>
      </c>
      <c r="EH6" s="78" t="e">
        <f t="shared" ref="EH6:EH37" si="68">+EG6/EF6</f>
        <v>#DIV/0!</v>
      </c>
      <c r="EI6" s="79">
        <f t="array" ref="EI6">SUMIFS('Cắt lồng'!$AC$327:$AC$515,'Cắt lồng'!$AA$327:$AA$515,'Cắt lồng'!$AA6,'Cắt lồng'!$AE$327:$AE$515,'Cắt lồng'!EI$4:EI$4)</f>
        <v>0</v>
      </c>
      <c r="EJ6" s="79">
        <f t="array" ref="EJ6">SUMIFS('Cắt lồng'!$AH$327:$AH$515,'Cắt lồng'!$AA$327:$AA$515,'Cắt lồng'!$AA6,'Cắt lồng'!$AE$327:$AE$515,'Cắt lồng'!EJ$4:EJ$4)</f>
        <v>0</v>
      </c>
      <c r="EK6" s="78" t="e">
        <f t="shared" ref="EK6:EK37" si="69">+EJ6/EI6</f>
        <v>#DIV/0!</v>
      </c>
    </row>
    <row r="7" spans="1:141" s="12" customFormat="1" ht="14.25" hidden="1" customHeight="1">
      <c r="A7" s="25">
        <v>2</v>
      </c>
      <c r="B7" s="26">
        <v>2556</v>
      </c>
      <c r="C7" s="246"/>
      <c r="D7" s="247"/>
      <c r="E7" s="248"/>
      <c r="F7" s="209"/>
      <c r="G7" s="82">
        <f t="shared" si="1"/>
        <v>0</v>
      </c>
      <c r="H7" s="81">
        <f t="shared" si="2"/>
        <v>10.33</v>
      </c>
      <c r="I7" s="19">
        <f t="shared" si="3"/>
        <v>1</v>
      </c>
      <c r="J7" s="11">
        <f t="shared" si="4"/>
        <v>1.67</v>
      </c>
      <c r="K7" s="19">
        <f t="shared" si="5"/>
        <v>0</v>
      </c>
      <c r="L7" s="19">
        <f t="shared" si="6"/>
        <v>0</v>
      </c>
      <c r="M7" s="19">
        <f t="shared" si="7"/>
        <v>0</v>
      </c>
      <c r="N7" s="19">
        <f t="shared" si="8"/>
        <v>0.17</v>
      </c>
      <c r="O7" s="19">
        <f t="shared" si="9"/>
        <v>0</v>
      </c>
      <c r="P7" s="19">
        <f t="shared" si="10"/>
        <v>0</v>
      </c>
      <c r="Q7" s="19">
        <f t="shared" si="11"/>
        <v>0</v>
      </c>
      <c r="R7" s="19">
        <f t="shared" si="12"/>
        <v>0</v>
      </c>
      <c r="S7" s="19">
        <f t="shared" si="13"/>
        <v>0</v>
      </c>
      <c r="T7" s="19">
        <f t="shared" si="14"/>
        <v>1.17</v>
      </c>
      <c r="U7" s="19">
        <f t="shared" si="15"/>
        <v>0</v>
      </c>
      <c r="V7" s="19">
        <f t="shared" si="16"/>
        <v>0</v>
      </c>
      <c r="W7" s="19">
        <f t="shared" si="17"/>
        <v>0</v>
      </c>
      <c r="X7" s="19">
        <f t="shared" si="18"/>
        <v>0.33</v>
      </c>
      <c r="Y7" s="19">
        <f t="shared" si="19"/>
        <v>0</v>
      </c>
      <c r="Z7" s="19">
        <f t="shared" si="20"/>
        <v>0</v>
      </c>
      <c r="AA7" s="20" t="s">
        <v>17</v>
      </c>
      <c r="AB7" s="129" t="e">
        <f t="shared" si="21"/>
        <v>#VALUE!</v>
      </c>
      <c r="AC7" s="129">
        <f t="shared" si="22"/>
        <v>46812</v>
      </c>
      <c r="AD7" s="128" t="e">
        <f t="shared" si="23"/>
        <v>#VALUE!</v>
      </c>
      <c r="AE7" s="42"/>
      <c r="AF7" s="127">
        <f t="shared" si="24"/>
        <v>4531.6553727008713</v>
      </c>
      <c r="AG7" s="127"/>
      <c r="AH7" s="127">
        <f t="shared" si="25"/>
        <v>156</v>
      </c>
      <c r="AI7" s="54">
        <f t="shared" si="26"/>
        <v>3.3324788515765188E-3</v>
      </c>
      <c r="AJ7" s="25">
        <f t="shared" si="27"/>
        <v>0</v>
      </c>
      <c r="AK7" s="25">
        <f t="shared" si="28"/>
        <v>0</v>
      </c>
      <c r="AL7" s="25">
        <f t="shared" si="29"/>
        <v>0</v>
      </c>
      <c r="AM7" s="20">
        <f t="shared" si="30"/>
        <v>156</v>
      </c>
      <c r="AN7" s="20">
        <f t="shared" si="31"/>
        <v>0</v>
      </c>
      <c r="AO7" s="20">
        <f t="shared" si="32"/>
        <v>0</v>
      </c>
      <c r="AP7" s="20">
        <f t="shared" si="33"/>
        <v>0</v>
      </c>
      <c r="AQ7" s="20">
        <f t="shared" si="34"/>
        <v>0</v>
      </c>
      <c r="AR7" s="20">
        <f t="shared" si="35"/>
        <v>0</v>
      </c>
      <c r="AS7" s="20">
        <f t="shared" si="36"/>
        <v>0</v>
      </c>
      <c r="AT7" s="20">
        <f t="shared" si="37"/>
        <v>0</v>
      </c>
      <c r="AV7" s="79">
        <f t="shared" si="38"/>
        <v>10.33</v>
      </c>
      <c r="AW7" s="79">
        <f t="array" ref="AW7">SUMIFS('Cắt lồng'!$AC$327:$AC$515,'Cắt lồng'!$AA$327:$AA$515,'Cắt lồng'!$AA7,'Cắt lồng'!$AE$327:$AE$515,'Cắt lồng'!AW$4:AW$4)</f>
        <v>46812</v>
      </c>
      <c r="AX7" s="79">
        <f t="array" ref="AX7">SUMIFS('Cắt lồng'!$AH$327:$AH$515,'Cắt lồng'!$AA$327:$AA$515,'Cắt lồng'!$AA7,'Cắt lồng'!$AE$327:$AE$515,'Cắt lồng'!AX$4:AX$4)</f>
        <v>0</v>
      </c>
      <c r="AY7" s="78">
        <f t="shared" si="39"/>
        <v>0</v>
      </c>
      <c r="AZ7" s="79">
        <f t="array" ref="AZ7">SUMIFS('Cắt lồng'!$AC$327:$AC$515,'Cắt lồng'!$AA$327:$AA$515,'Cắt lồng'!$AA7,'Cắt lồng'!$AE$327:$AE$515,'Cắt lồng'!AZ$4:AZ$4)</f>
        <v>0</v>
      </c>
      <c r="BA7" s="79">
        <f t="array" ref="BA7">SUMIFS('Cắt lồng'!$AH$327:$AH$515,'Cắt lồng'!$AA$327:$AA$515,'Cắt lồng'!$AA7,'Cắt lồng'!$AE$327:$AE$515,'Cắt lồng'!BA$4:BA$4)</f>
        <v>0</v>
      </c>
      <c r="BB7" s="78" t="e">
        <f t="shared" si="40"/>
        <v>#DIV/0!</v>
      </c>
      <c r="BC7" s="79">
        <f t="array" ref="BC7">SUMIFS('Cắt lồng'!$AC$327:$AC$515,'Cắt lồng'!$AA$327:$AA$515,'Cắt lồng'!$AA7,'Cắt lồng'!$AE$327:$AE$515,'Cắt lồng'!BC$4:BC$4)</f>
        <v>0</v>
      </c>
      <c r="BD7" s="79">
        <f t="array" ref="BD7">SUMIFS('Cắt lồng'!$AH$327:$AH$515,'Cắt lồng'!$AA$327:$AA$515,'Cắt lồng'!$AA7,'Cắt lồng'!$AE$327:$AE$515,'Cắt lồng'!BD$4:BD$4)</f>
        <v>0</v>
      </c>
      <c r="BE7" s="78" t="e">
        <f t="shared" si="41"/>
        <v>#DIV/0!</v>
      </c>
      <c r="BF7" s="79">
        <f t="array" ref="BF7">SUMIFS('Cắt lồng'!$AC$327:$AC$515,'Cắt lồng'!$AA$327:$AA$515,'Cắt lồng'!$AA7,'Cắt lồng'!$AE$327:$AE$515,'Cắt lồng'!BF$4:BF$4)</f>
        <v>0</v>
      </c>
      <c r="BG7" s="79">
        <f t="array" ref="BG7">SUMIFS('Cắt lồng'!$AH$327:$AH$515,'Cắt lồng'!$AA$327:$AA$515,'Cắt lồng'!$AA7,'Cắt lồng'!$AE$327:$AE$515,'Cắt lồng'!BG$4:BG$4)</f>
        <v>0</v>
      </c>
      <c r="BH7" s="78" t="e">
        <f t="shared" si="42"/>
        <v>#DIV/0!</v>
      </c>
      <c r="BI7" s="79">
        <f t="array" ref="BI7">SUMIFS('Cắt lồng'!$AC$327:$AC$515,'Cắt lồng'!$AA$327:$AA$515,'Cắt lồng'!$AA7,'Cắt lồng'!$AE$327:$AE$515,'Cắt lồng'!BI$4:BI$4)</f>
        <v>0</v>
      </c>
      <c r="BJ7" s="79">
        <f t="array" ref="BJ7">SUMIFS('Cắt lồng'!$AH$327:$AH$515,'Cắt lồng'!$AA$327:$AA$515,'Cắt lồng'!$AA7,'Cắt lồng'!$AE$327:$AE$515,'Cắt lồng'!BJ$4:BJ$4)</f>
        <v>0</v>
      </c>
      <c r="BK7" s="78" t="e">
        <f t="shared" si="43"/>
        <v>#DIV/0!</v>
      </c>
      <c r="BL7" s="79">
        <f t="array" ref="BL7">SUMIFS('Cắt lồng'!$AC$327:$AC$515,'Cắt lồng'!$AA$327:$AA$515,'Cắt lồng'!$AA7,'Cắt lồng'!$AE$327:$AE$515,'Cắt lồng'!BL$4:BL$4)</f>
        <v>0</v>
      </c>
      <c r="BM7" s="79">
        <f t="array" ref="BM7">SUMIFS('Cắt lồng'!$AH$327:$AH$515,'Cắt lồng'!$AA$327:$AA$515,'Cắt lồng'!$AA7,'Cắt lồng'!$AE$327:$AE$515,'Cắt lồng'!BM$4:BM$4)</f>
        <v>0</v>
      </c>
      <c r="BN7" s="78" t="e">
        <f t="shared" si="44"/>
        <v>#DIV/0!</v>
      </c>
      <c r="BO7" s="79">
        <f t="array" ref="BO7">SUMIFS('Cắt lồng'!$AC$327:$AC$515,'Cắt lồng'!$AA$327:$AA$515,'Cắt lồng'!$AA7,'Cắt lồng'!$AE$327:$AE$515,'Cắt lồng'!BO$4:BO$4)</f>
        <v>0</v>
      </c>
      <c r="BP7" s="79">
        <f t="array" ref="BP7">SUMIFS('Cắt lồng'!$AH$327:$AH$515,'Cắt lồng'!$AA$327:$AA$515,'Cắt lồng'!$AA7,'Cắt lồng'!$AE$327:$AE$515,'Cắt lồng'!BP$4:BP$4)</f>
        <v>0</v>
      </c>
      <c r="BQ7" s="78" t="e">
        <f t="shared" si="45"/>
        <v>#DIV/0!</v>
      </c>
      <c r="BR7" s="79">
        <f t="array" ref="BR7">SUMIFS('Cắt lồng'!$AC$327:$AC$515,'Cắt lồng'!$AA$327:$AA$515,'Cắt lồng'!$AA7,'Cắt lồng'!$AE$327:$AE$515,'Cắt lồng'!BR$4:BR$4)</f>
        <v>0</v>
      </c>
      <c r="BS7" s="79">
        <f t="array" ref="BS7">SUMIFS('Cắt lồng'!$AH$327:$AH$515,'Cắt lồng'!$AA$327:$AA$515,'Cắt lồng'!$AA7,'Cắt lồng'!$AE$327:$AE$515,'Cắt lồng'!BS$4:BS$4)</f>
        <v>0</v>
      </c>
      <c r="BT7" s="78" t="e">
        <f t="shared" si="46"/>
        <v>#DIV/0!</v>
      </c>
      <c r="BU7" s="79">
        <f t="array" ref="BU7">SUMIFS('Cắt lồng'!$AC$327:$AC$515,'Cắt lồng'!$AA$327:$AA$515,'Cắt lồng'!$AA7,'Cắt lồng'!$AE$327:$AE$515,'Cắt lồng'!BU$4:BU$4)</f>
        <v>0</v>
      </c>
      <c r="BV7" s="79">
        <f t="array" ref="BV7">SUMIFS('Cắt lồng'!$AH$327:$AH$515,'Cắt lồng'!$AA$327:$AA$515,'Cắt lồng'!$AA7,'Cắt lồng'!$AE$327:$AE$515,'Cắt lồng'!BV$4:BV$4)</f>
        <v>0</v>
      </c>
      <c r="BW7" s="78" t="e">
        <f t="shared" si="47"/>
        <v>#DIV/0!</v>
      </c>
      <c r="BX7" s="79">
        <f t="array" ref="BX7">SUMIFS('Cắt lồng'!$AC$327:$AC$515,'Cắt lồng'!$AA$327:$AA$515,'Cắt lồng'!$AA7,'Cắt lồng'!$AE$327:$AE$515,'Cắt lồng'!BX$4:BX$4)</f>
        <v>0</v>
      </c>
      <c r="BY7" s="79">
        <f t="array" ref="BY7">SUMIFS('Cắt lồng'!$AH$327:$AH$515,'Cắt lồng'!$AA$327:$AA$515,'Cắt lồng'!$AA7,'Cắt lồng'!$AE$327:$AE$515,'Cắt lồng'!BY$4:BY$4)</f>
        <v>0</v>
      </c>
      <c r="BZ7" s="78" t="e">
        <f t="shared" si="48"/>
        <v>#DIV/0!</v>
      </c>
      <c r="CA7" s="79">
        <f t="array" ref="CA7">SUMIFS('Cắt lồng'!$AC$327:$AC$515,'Cắt lồng'!$AA$327:$AA$515,'Cắt lồng'!$AA7,'Cắt lồng'!$AE$327:$AE$515,'Cắt lồng'!CA$4:CA$4)</f>
        <v>0</v>
      </c>
      <c r="CB7" s="79">
        <f t="array" ref="CB7">SUMIFS('Cắt lồng'!$AH$327:$AH$515,'Cắt lồng'!$AA$327:$AA$515,'Cắt lồng'!$AA7,'Cắt lồng'!$AE$327:$AE$515,'Cắt lồng'!CB$4:CB$4)</f>
        <v>0</v>
      </c>
      <c r="CC7" s="78" t="e">
        <f t="shared" si="49"/>
        <v>#DIV/0!</v>
      </c>
      <c r="CD7" s="79">
        <f t="array" ref="CD7">SUMIFS('Cắt lồng'!$AC$327:$AC$515,'Cắt lồng'!$AA$327:$AA$515,'Cắt lồng'!$AA7,'Cắt lồng'!$AE$327:$AE$515,'Cắt lồng'!CD$4:CD$4)</f>
        <v>0</v>
      </c>
      <c r="CE7" s="79">
        <f t="array" ref="CE7">SUMIFS('Cắt lồng'!$AH$327:$AH$515,'Cắt lồng'!$AA$327:$AA$515,'Cắt lồng'!$AA7,'Cắt lồng'!$AE$327:$AE$515,'Cắt lồng'!CE$4:CE$4)</f>
        <v>0</v>
      </c>
      <c r="CF7" s="78" t="e">
        <f t="shared" si="50"/>
        <v>#DIV/0!</v>
      </c>
      <c r="CG7" s="79">
        <f t="array" ref="CG7">SUMIFS('Cắt lồng'!$AC$327:$AC$515,'Cắt lồng'!$AA$327:$AA$515,'Cắt lồng'!$AA7,'Cắt lồng'!$AE$327:$AE$515,'Cắt lồng'!CG$4:CG$4)</f>
        <v>0</v>
      </c>
      <c r="CH7" s="79">
        <f t="array" ref="CH7">SUMIFS('Cắt lồng'!$AH$327:$AH$515,'Cắt lồng'!$AA$327:$AA$515,'Cắt lồng'!$AA7,'Cắt lồng'!$AE$327:$AE$515,'Cắt lồng'!CH$4:CH$4)</f>
        <v>0</v>
      </c>
      <c r="CI7" s="78" t="e">
        <f t="shared" si="51"/>
        <v>#DIV/0!</v>
      </c>
      <c r="CJ7" s="79">
        <f t="array" ref="CJ7">SUMIFS('Cắt lồng'!$AC$327:$AC$515,'Cắt lồng'!$AA$327:$AA$515,'Cắt lồng'!$AA7,'Cắt lồng'!$AE$327:$AE$515,'Cắt lồng'!CJ$4:CJ$4)</f>
        <v>0</v>
      </c>
      <c r="CK7" s="79">
        <f t="array" ref="CK7">SUMIFS('Cắt lồng'!$AH$327:$AH$515,'Cắt lồng'!$AA$327:$AA$515,'Cắt lồng'!$AA7,'Cắt lồng'!$AE$327:$AE$515,'Cắt lồng'!CK$4:CK$4)</f>
        <v>0</v>
      </c>
      <c r="CL7" s="78" t="e">
        <f t="shared" si="52"/>
        <v>#DIV/0!</v>
      </c>
      <c r="CM7" s="79">
        <f t="array" ref="CM7">SUMIFS('Cắt lồng'!$AC$327:$AC$515,'Cắt lồng'!$AA$327:$AA$515,'Cắt lồng'!$AA7,'Cắt lồng'!$AE$327:$AE$515,'Cắt lồng'!CM$4:CM$4)</f>
        <v>0</v>
      </c>
      <c r="CN7" s="79">
        <f t="array" ref="CN7">SUMIFS('Cắt lồng'!$AH$327:$AH$515,'Cắt lồng'!$AA$327:$AA$515,'Cắt lồng'!$AA7,'Cắt lồng'!$AE$327:$AE$515,'Cắt lồng'!CN$4:CN$4)</f>
        <v>0</v>
      </c>
      <c r="CO7" s="78" t="e">
        <f t="shared" si="53"/>
        <v>#DIV/0!</v>
      </c>
      <c r="CP7" s="79">
        <f t="array" ref="CP7">SUMIFS('Cắt lồng'!$AC$327:$AC$515,'Cắt lồng'!$AA$327:$AA$515,'Cắt lồng'!$AA7,'Cắt lồng'!$AE$327:$AE$515,'Cắt lồng'!CP$4:CP$4)</f>
        <v>0</v>
      </c>
      <c r="CQ7" s="79">
        <f t="array" ref="CQ7">SUMIFS('Cắt lồng'!$AH$327:$AH$515,'Cắt lồng'!$AA$327:$AA$515,'Cắt lồng'!$AA7,'Cắt lồng'!$AE$327:$AE$515,'Cắt lồng'!CQ$4:CQ$4)</f>
        <v>0</v>
      </c>
      <c r="CR7" s="78" t="e">
        <f t="shared" si="54"/>
        <v>#DIV/0!</v>
      </c>
      <c r="CS7" s="79">
        <f t="array" ref="CS7">SUMIFS('Cắt lồng'!$AC$327:$AC$515,'Cắt lồng'!$AA$327:$AA$515,'Cắt lồng'!$AA7,'Cắt lồng'!$AE$327:$AE$515,'Cắt lồng'!CS$4:CS$4)</f>
        <v>0</v>
      </c>
      <c r="CT7" s="79">
        <f t="array" ref="CT7">SUMIFS('Cắt lồng'!$AH$327:$AH$515,'Cắt lồng'!$AA$327:$AA$515,'Cắt lồng'!$AA7,'Cắt lồng'!$AE$327:$AE$515,'Cắt lồng'!CT$4:CT$4)</f>
        <v>0</v>
      </c>
      <c r="CU7" s="78" t="e">
        <f t="shared" si="55"/>
        <v>#DIV/0!</v>
      </c>
      <c r="CV7" s="79">
        <f t="array" ref="CV7">SUMIFS('Cắt lồng'!$AC$327:$AC$515,'Cắt lồng'!$AA$327:$AA$515,'Cắt lồng'!$AA7,'Cắt lồng'!$AE$327:$AE$515,'Cắt lồng'!CV$4:CV$4)</f>
        <v>0</v>
      </c>
      <c r="CW7" s="79">
        <f t="array" ref="CW7">SUMIFS('Cắt lồng'!$AH$327:$AH$515,'Cắt lồng'!$AA$327:$AA$515,'Cắt lồng'!$AA7,'Cắt lồng'!$AE$327:$AE$515,'Cắt lồng'!CW$4:CW$4)</f>
        <v>0</v>
      </c>
      <c r="CX7" s="78" t="e">
        <f t="shared" si="56"/>
        <v>#DIV/0!</v>
      </c>
      <c r="CY7" s="79">
        <f t="array" ref="CY7">SUMIFS('Cắt lồng'!$AC$327:$AC$515,'Cắt lồng'!$AA$327:$AA$515,'Cắt lồng'!$AA7,'Cắt lồng'!$AE$327:$AE$515,'Cắt lồng'!CY$4:CY$4)</f>
        <v>0</v>
      </c>
      <c r="CZ7" s="79">
        <f t="array" ref="CZ7">SUMIFS('Cắt lồng'!$AH$327:$AH$515,'Cắt lồng'!$AA$327:$AA$515,'Cắt lồng'!$AA7,'Cắt lồng'!$AE$327:$AE$515,'Cắt lồng'!CZ$4:CZ$4)</f>
        <v>0</v>
      </c>
      <c r="DA7" s="78" t="e">
        <f t="shared" si="57"/>
        <v>#DIV/0!</v>
      </c>
      <c r="DB7" s="79">
        <f t="array" ref="DB7">SUMIFS('Cắt lồng'!$AC$327:$AC$515,'Cắt lồng'!$AA$327:$AA$515,'Cắt lồng'!$AA7,'Cắt lồng'!$AE$327:$AE$515,'Cắt lồng'!DB$4:DB$4)</f>
        <v>0</v>
      </c>
      <c r="DC7" s="79">
        <f t="array" ref="DC7">SUMIFS('Cắt lồng'!$AH$327:$AH$515,'Cắt lồng'!$AA$327:$AA$515,'Cắt lồng'!$AA7,'Cắt lồng'!$AE$327:$AE$515,'Cắt lồng'!DC$4:DC$4)</f>
        <v>0</v>
      </c>
      <c r="DD7" s="78" t="e">
        <f t="shared" si="58"/>
        <v>#DIV/0!</v>
      </c>
      <c r="DE7" s="79">
        <f t="array" ref="DE7">SUMIFS('Cắt lồng'!$AC$327:$AC$515,'Cắt lồng'!$AA$327:$AA$515,'Cắt lồng'!$AA7,'Cắt lồng'!$AE$327:$AE$515,'Cắt lồng'!DE$4:DE$4)</f>
        <v>0</v>
      </c>
      <c r="DF7" s="79">
        <f t="array" ref="DF7">SUMIFS('Cắt lồng'!$AH$327:$AH$515,'Cắt lồng'!$AA$327:$AA$515,'Cắt lồng'!$AA7,'Cắt lồng'!$AE$327:$AE$515,'Cắt lồng'!DF$4:DF$4)</f>
        <v>0</v>
      </c>
      <c r="DG7" s="78" t="e">
        <f t="shared" si="59"/>
        <v>#DIV/0!</v>
      </c>
      <c r="DH7" s="79">
        <f t="array" ref="DH7">SUMIFS('Cắt lồng'!$AC$327:$AC$515,'Cắt lồng'!$AA$327:$AA$515,'Cắt lồng'!$AA7,'Cắt lồng'!$AE$327:$AE$515,'Cắt lồng'!DH$4:DH$4)</f>
        <v>0</v>
      </c>
      <c r="DI7" s="79">
        <f t="array" ref="DI7">SUMIFS('Cắt lồng'!$AH$327:$AH$515,'Cắt lồng'!$AA$327:$AA$515,'Cắt lồng'!$AA7,'Cắt lồng'!$AE$327:$AE$515,'Cắt lồng'!DI$4:DI$4)</f>
        <v>0</v>
      </c>
      <c r="DJ7" s="78" t="e">
        <f t="shared" si="60"/>
        <v>#DIV/0!</v>
      </c>
      <c r="DK7" s="79">
        <f t="array" ref="DK7">SUMIFS('Cắt lồng'!$AC$327:$AC$515,'Cắt lồng'!$AA$327:$AA$515,'Cắt lồng'!$AA7,'Cắt lồng'!$AE$327:$AE$515,'Cắt lồng'!DK$4:DK$4)</f>
        <v>0</v>
      </c>
      <c r="DL7" s="79">
        <f t="array" ref="DL7">SUMIFS('Cắt lồng'!$AH$327:$AH$515,'Cắt lồng'!$AA$327:$AA$515,'Cắt lồng'!$AA7,'Cắt lồng'!$AE$327:$AE$515,'Cắt lồng'!DL$4:DL$4)</f>
        <v>0</v>
      </c>
      <c r="DM7" s="78" t="e">
        <f t="shared" si="61"/>
        <v>#DIV/0!</v>
      </c>
      <c r="DN7" s="79">
        <f>SUMIFS('Cắt lồng'!$AC$327:$AC$515,'Cắt lồng'!$AA$327:$AA$515,'Cắt lồng'!$AA7,'Cắt lồng'!$AE$327:$AE$515,'Cắt lồng'!DN$4:DN$4)</f>
        <v>0</v>
      </c>
      <c r="DO7" s="79">
        <f t="array" ref="DO7">SUMIFS('Cắt lồng'!$AH$327:$AH$515,'Cắt lồng'!$AA$327:$AA$515,'Cắt lồng'!$AA7,'Cắt lồng'!$AE$327:$AE$515,'Cắt lồng'!DO$4:DO$4)</f>
        <v>0</v>
      </c>
      <c r="DP7" s="78" t="e">
        <f t="shared" si="62"/>
        <v>#DIV/0!</v>
      </c>
      <c r="DQ7" s="79">
        <f t="array" ref="DQ7">SUMIFS('Cắt lồng'!$AC$327:$AC$515,'Cắt lồng'!$AA$327:$AA$515,'Cắt lồng'!$AA7,'Cắt lồng'!$AE$327:$AE$515,'Cắt lồng'!DQ$4:DQ$4)</f>
        <v>0</v>
      </c>
      <c r="DR7" s="79">
        <f t="array" ref="DR7">SUMIFS('Cắt lồng'!$AH$327:$AH$515,'Cắt lồng'!$AA$327:$AA$515,'Cắt lồng'!$AA7,'Cắt lồng'!$AE$327:$AE$515,'Cắt lồng'!DR$4:DR$4)</f>
        <v>0</v>
      </c>
      <c r="DS7" s="78" t="e">
        <f t="shared" si="63"/>
        <v>#DIV/0!</v>
      </c>
      <c r="DT7" s="79">
        <f t="array" ref="DT7">SUMIFS('Cắt lồng'!$AC$327:$AC$515,'Cắt lồng'!$AA$327:$AA$515,'Cắt lồng'!$AA7,'Cắt lồng'!$AE$327:$AE$515,'Cắt lồng'!DT$4:DT$4)</f>
        <v>0</v>
      </c>
      <c r="DU7" s="79">
        <f t="array" ref="DU7">SUMIFS('Cắt lồng'!$AH$327:$AH$515,'Cắt lồng'!$AA$327:$AA$515,'Cắt lồng'!$AA7,'Cắt lồng'!$AE$327:$AE$515,'Cắt lồng'!DU$4:DU$4)</f>
        <v>0</v>
      </c>
      <c r="DV7" s="78" t="e">
        <f t="shared" si="64"/>
        <v>#DIV/0!</v>
      </c>
      <c r="DW7" s="79">
        <f t="array" ref="DW7">SUMIFS('Cắt lồng'!$AC$327:$AC$515,'Cắt lồng'!$AA$327:$AA$515,'Cắt lồng'!$AA7,'Cắt lồng'!$AE$327:$AE$515,'Cắt lồng'!DW$4:DW$4)</f>
        <v>0</v>
      </c>
      <c r="DX7" s="79">
        <f t="array" ref="DX7">SUMIFS('Cắt lồng'!$AH$327:$AH$515,'Cắt lồng'!$AA$327:$AA$515,'Cắt lồng'!$AA7,'Cắt lồng'!$AE$327:$AE$515,'Cắt lồng'!DX$4:DX$4)</f>
        <v>0</v>
      </c>
      <c r="DY7" s="78" t="e">
        <f t="shared" si="65"/>
        <v>#DIV/0!</v>
      </c>
      <c r="DZ7" s="79">
        <f t="array" ref="DZ7">SUMIFS('Cắt lồng'!$AC$327:$AC$515,'Cắt lồng'!$AA$327:$AA$515,'Cắt lồng'!$AA7,'Cắt lồng'!$AE$327:$AE$515,'Cắt lồng'!DZ$4:DZ$4)</f>
        <v>0</v>
      </c>
      <c r="EA7" s="79">
        <f t="array" ref="EA7">SUMIFS('Cắt lồng'!$AH$327:$AH$515,'Cắt lồng'!$AA$327:$AA$515,'Cắt lồng'!$AA7,'Cắt lồng'!$AE$327:$AE$515,'Cắt lồng'!EA$4:EA$4)</f>
        <v>0</v>
      </c>
      <c r="EB7" s="78" t="e">
        <f t="shared" si="66"/>
        <v>#DIV/0!</v>
      </c>
      <c r="EC7" s="79">
        <f t="array" ref="EC7">SUMIFS('Cắt lồng'!$AC$327:$AC$515,'Cắt lồng'!$AA$327:$AA$515,'Cắt lồng'!$AA7,'Cắt lồng'!$AE$327:$AE$515,'Cắt lồng'!EC$4:EC$4)</f>
        <v>0</v>
      </c>
      <c r="ED7" s="79">
        <f t="array" ref="ED7">SUMIFS('Cắt lồng'!$AH$327:$AH$515,'Cắt lồng'!$AA$327:$AA$515,'Cắt lồng'!$AA7,'Cắt lồng'!$AE$327:$AE$515,'Cắt lồng'!ED$4:ED$4)</f>
        <v>0</v>
      </c>
      <c r="EE7" s="78" t="e">
        <f t="shared" si="67"/>
        <v>#DIV/0!</v>
      </c>
      <c r="EF7" s="79">
        <f t="array" ref="EF7">SUMIFS('Cắt lồng'!$AC$327:$AC$515,'Cắt lồng'!$AA$327:$AA$515,'Cắt lồng'!$AA7,'Cắt lồng'!$AE$327:$AE$515,'Cắt lồng'!EF$4:EF$4)</f>
        <v>0</v>
      </c>
      <c r="EG7" s="79">
        <f t="array" ref="EG7">SUMIFS('Cắt lồng'!$AH$327:$AH$515,'Cắt lồng'!$AA$327:$AA$515,'Cắt lồng'!$AA7,'Cắt lồng'!$AE$327:$AE$515,'Cắt lồng'!EG$4:EG$4)</f>
        <v>0</v>
      </c>
      <c r="EH7" s="78" t="e">
        <f t="shared" si="68"/>
        <v>#DIV/0!</v>
      </c>
      <c r="EI7" s="79">
        <f t="array" ref="EI7">SUMIFS('Cắt lồng'!$AC$327:$AC$515,'Cắt lồng'!$AA$327:$AA$515,'Cắt lồng'!$AA7,'Cắt lồng'!$AE$327:$AE$515,'Cắt lồng'!EI$4:EI$4)</f>
        <v>0</v>
      </c>
      <c r="EJ7" s="79">
        <f t="array" ref="EJ7">SUMIFS('Cắt lồng'!$AH$327:$AH$515,'Cắt lồng'!$AA$327:$AA$515,'Cắt lồng'!$AA7,'Cắt lồng'!$AE$327:$AE$515,'Cắt lồng'!EJ$4:EJ$4)</f>
        <v>0</v>
      </c>
      <c r="EK7" s="78" t="e">
        <f t="shared" si="69"/>
        <v>#DIV/0!</v>
      </c>
    </row>
    <row r="8" spans="1:141" s="12" customFormat="1" ht="14.25" hidden="1" customHeight="1">
      <c r="A8" s="25">
        <v>3</v>
      </c>
      <c r="B8" s="26">
        <v>2556</v>
      </c>
      <c r="C8" s="246"/>
      <c r="D8" s="247"/>
      <c r="E8" s="248"/>
      <c r="F8" s="209"/>
      <c r="G8" s="82">
        <f t="shared" si="1"/>
        <v>0</v>
      </c>
      <c r="H8" s="81">
        <f t="shared" si="2"/>
        <v>0</v>
      </c>
      <c r="I8" s="19">
        <f t="shared" si="3"/>
        <v>0</v>
      </c>
      <c r="J8" s="11">
        <f t="shared" si="4"/>
        <v>0</v>
      </c>
      <c r="K8" s="19">
        <f t="shared" si="5"/>
        <v>0</v>
      </c>
      <c r="L8" s="19">
        <f t="shared" si="6"/>
        <v>0</v>
      </c>
      <c r="M8" s="19">
        <f t="shared" si="7"/>
        <v>0</v>
      </c>
      <c r="N8" s="19">
        <f t="shared" si="8"/>
        <v>0</v>
      </c>
      <c r="O8" s="19">
        <f t="shared" si="9"/>
        <v>0</v>
      </c>
      <c r="P8" s="19">
        <f t="shared" si="10"/>
        <v>0</v>
      </c>
      <c r="Q8" s="19">
        <f t="shared" si="11"/>
        <v>0</v>
      </c>
      <c r="R8" s="19">
        <f t="shared" si="12"/>
        <v>0</v>
      </c>
      <c r="S8" s="19">
        <f t="shared" si="13"/>
        <v>0</v>
      </c>
      <c r="T8" s="19">
        <f t="shared" si="14"/>
        <v>0</v>
      </c>
      <c r="U8" s="19">
        <f t="shared" si="15"/>
        <v>0</v>
      </c>
      <c r="V8" s="19">
        <f t="shared" si="16"/>
        <v>0</v>
      </c>
      <c r="W8" s="19">
        <f t="shared" si="17"/>
        <v>0</v>
      </c>
      <c r="X8" s="19">
        <f t="shared" si="18"/>
        <v>0</v>
      </c>
      <c r="Y8" s="19">
        <f t="shared" si="19"/>
        <v>0</v>
      </c>
      <c r="Z8" s="19">
        <f t="shared" si="20"/>
        <v>0</v>
      </c>
      <c r="AA8" s="20" t="s">
        <v>282</v>
      </c>
      <c r="AB8" s="129">
        <f t="shared" si="21"/>
        <v>0</v>
      </c>
      <c r="AC8" s="129">
        <f t="shared" si="22"/>
        <v>0</v>
      </c>
      <c r="AD8" s="128" t="e">
        <f t="shared" si="23"/>
        <v>#DIV/0!</v>
      </c>
      <c r="AE8" s="42"/>
      <c r="AF8" s="127" t="e">
        <f t="shared" si="24"/>
        <v>#DIV/0!</v>
      </c>
      <c r="AG8" s="127"/>
      <c r="AH8" s="127">
        <f t="shared" si="25"/>
        <v>0</v>
      </c>
      <c r="AI8" s="54" t="e">
        <f t="shared" si="26"/>
        <v>#DIV/0!</v>
      </c>
      <c r="AJ8" s="25">
        <f t="shared" si="27"/>
        <v>0</v>
      </c>
      <c r="AK8" s="25">
        <f t="shared" si="28"/>
        <v>0</v>
      </c>
      <c r="AL8" s="25">
        <f t="shared" si="29"/>
        <v>0</v>
      </c>
      <c r="AM8" s="20">
        <f t="shared" si="30"/>
        <v>0</v>
      </c>
      <c r="AN8" s="20">
        <f t="shared" si="31"/>
        <v>0</v>
      </c>
      <c r="AO8" s="20">
        <f t="shared" si="32"/>
        <v>0</v>
      </c>
      <c r="AP8" s="20">
        <f t="shared" si="33"/>
        <v>0</v>
      </c>
      <c r="AQ8" s="20">
        <f t="shared" si="34"/>
        <v>0</v>
      </c>
      <c r="AR8" s="20">
        <f t="shared" si="35"/>
        <v>0</v>
      </c>
      <c r="AS8" s="20">
        <f t="shared" si="36"/>
        <v>0</v>
      </c>
      <c r="AT8" s="20">
        <f t="shared" si="37"/>
        <v>0</v>
      </c>
      <c r="AV8" s="79">
        <f t="shared" si="38"/>
        <v>0</v>
      </c>
      <c r="AW8" s="79">
        <f t="array" ref="AW8">SUMIFS('Cắt lồng'!$AC$327:$AC$515,'Cắt lồng'!$AA$327:$AA$515,'Cắt lồng'!$AA8,'Cắt lồng'!$AE$327:$AE$515,'Cắt lồng'!AW$4:AW$4)</f>
        <v>0</v>
      </c>
      <c r="AX8" s="79">
        <f t="array" ref="AX8">SUMIFS('Cắt lồng'!$AH$327:$AH$515,'Cắt lồng'!$AA$327:$AA$515,'Cắt lồng'!$AA8,'Cắt lồng'!$AE$327:$AE$515,'Cắt lồng'!AX$4:AX$4)</f>
        <v>0</v>
      </c>
      <c r="AY8" s="78" t="e">
        <f t="shared" si="39"/>
        <v>#DIV/0!</v>
      </c>
      <c r="AZ8" s="79">
        <f t="array" ref="AZ8">SUMIFS('Cắt lồng'!$AC$327:$AC$515,'Cắt lồng'!$AA$327:$AA$515,'Cắt lồng'!$AA8,'Cắt lồng'!$AE$327:$AE$515,'Cắt lồng'!AZ$4:AZ$4)</f>
        <v>0</v>
      </c>
      <c r="BA8" s="79">
        <f t="array" ref="BA8">SUMIFS('Cắt lồng'!$AH$327:$AH$515,'Cắt lồng'!$AA$327:$AA$515,'Cắt lồng'!$AA8,'Cắt lồng'!$AE$327:$AE$515,'Cắt lồng'!BA$4:BA$4)</f>
        <v>0</v>
      </c>
      <c r="BB8" s="78" t="e">
        <f t="shared" si="40"/>
        <v>#DIV/0!</v>
      </c>
      <c r="BC8" s="79">
        <f t="array" ref="BC8">SUMIFS('Cắt lồng'!$AC$327:$AC$515,'Cắt lồng'!$AA$327:$AA$515,'Cắt lồng'!$AA8,'Cắt lồng'!$AE$327:$AE$515,'Cắt lồng'!BC$4:BC$4)</f>
        <v>0</v>
      </c>
      <c r="BD8" s="79">
        <f t="array" ref="BD8">SUMIFS('Cắt lồng'!$AH$327:$AH$515,'Cắt lồng'!$AA$327:$AA$515,'Cắt lồng'!$AA8,'Cắt lồng'!$AE$327:$AE$515,'Cắt lồng'!BD$4:BD$4)</f>
        <v>0</v>
      </c>
      <c r="BE8" s="78" t="e">
        <f t="shared" si="41"/>
        <v>#DIV/0!</v>
      </c>
      <c r="BF8" s="79">
        <f t="array" ref="BF8">SUMIFS('Cắt lồng'!$AC$327:$AC$515,'Cắt lồng'!$AA$327:$AA$515,'Cắt lồng'!$AA8,'Cắt lồng'!$AE$327:$AE$515,'Cắt lồng'!BF$4:BF$4)</f>
        <v>0</v>
      </c>
      <c r="BG8" s="79">
        <f t="array" ref="BG8">SUMIFS('Cắt lồng'!$AH$327:$AH$515,'Cắt lồng'!$AA$327:$AA$515,'Cắt lồng'!$AA8,'Cắt lồng'!$AE$327:$AE$515,'Cắt lồng'!BG$4:BG$4)</f>
        <v>0</v>
      </c>
      <c r="BH8" s="78" t="e">
        <f t="shared" si="42"/>
        <v>#DIV/0!</v>
      </c>
      <c r="BI8" s="79">
        <f t="array" ref="BI8">SUMIFS('Cắt lồng'!$AC$327:$AC$515,'Cắt lồng'!$AA$327:$AA$515,'Cắt lồng'!$AA8,'Cắt lồng'!$AE$327:$AE$515,'Cắt lồng'!BI$4:BI$4)</f>
        <v>0</v>
      </c>
      <c r="BJ8" s="79">
        <f t="array" ref="BJ8">SUMIFS('Cắt lồng'!$AH$327:$AH$515,'Cắt lồng'!$AA$327:$AA$515,'Cắt lồng'!$AA8,'Cắt lồng'!$AE$327:$AE$515,'Cắt lồng'!BJ$4:BJ$4)</f>
        <v>0</v>
      </c>
      <c r="BK8" s="78" t="e">
        <f t="shared" si="43"/>
        <v>#DIV/0!</v>
      </c>
      <c r="BL8" s="79">
        <f t="array" ref="BL8">SUMIFS('Cắt lồng'!$AC$327:$AC$515,'Cắt lồng'!$AA$327:$AA$515,'Cắt lồng'!$AA8,'Cắt lồng'!$AE$327:$AE$515,'Cắt lồng'!BL$4:BL$4)</f>
        <v>0</v>
      </c>
      <c r="BM8" s="79">
        <f t="array" ref="BM8">SUMIFS('Cắt lồng'!$AH$327:$AH$515,'Cắt lồng'!$AA$327:$AA$515,'Cắt lồng'!$AA8,'Cắt lồng'!$AE$327:$AE$515,'Cắt lồng'!BM$4:BM$4)</f>
        <v>0</v>
      </c>
      <c r="BN8" s="78" t="e">
        <f t="shared" si="44"/>
        <v>#DIV/0!</v>
      </c>
      <c r="BO8" s="79">
        <f t="array" ref="BO8">SUMIFS('Cắt lồng'!$AC$327:$AC$515,'Cắt lồng'!$AA$327:$AA$515,'Cắt lồng'!$AA8,'Cắt lồng'!$AE$327:$AE$515,'Cắt lồng'!BO$4:BO$4)</f>
        <v>0</v>
      </c>
      <c r="BP8" s="79">
        <f t="array" ref="BP8">SUMIFS('Cắt lồng'!$AH$327:$AH$515,'Cắt lồng'!$AA$327:$AA$515,'Cắt lồng'!$AA8,'Cắt lồng'!$AE$327:$AE$515,'Cắt lồng'!BP$4:BP$4)</f>
        <v>0</v>
      </c>
      <c r="BQ8" s="78" t="e">
        <f t="shared" si="45"/>
        <v>#DIV/0!</v>
      </c>
      <c r="BR8" s="79">
        <f t="array" ref="BR8">SUMIFS('Cắt lồng'!$AC$327:$AC$515,'Cắt lồng'!$AA$327:$AA$515,'Cắt lồng'!$AA8,'Cắt lồng'!$AE$327:$AE$515,'Cắt lồng'!BR$4:BR$4)</f>
        <v>0</v>
      </c>
      <c r="BS8" s="79">
        <f t="array" ref="BS8">SUMIFS('Cắt lồng'!$AH$327:$AH$515,'Cắt lồng'!$AA$327:$AA$515,'Cắt lồng'!$AA8,'Cắt lồng'!$AE$327:$AE$515,'Cắt lồng'!BS$4:BS$4)</f>
        <v>0</v>
      </c>
      <c r="BT8" s="78" t="e">
        <f t="shared" si="46"/>
        <v>#DIV/0!</v>
      </c>
      <c r="BU8" s="79">
        <f t="array" ref="BU8">SUMIFS('Cắt lồng'!$AC$327:$AC$515,'Cắt lồng'!$AA$327:$AA$515,'Cắt lồng'!$AA8,'Cắt lồng'!$AE$327:$AE$515,'Cắt lồng'!BU$4:BU$4)</f>
        <v>0</v>
      </c>
      <c r="BV8" s="79">
        <f t="array" ref="BV8">SUMIFS('Cắt lồng'!$AH$327:$AH$515,'Cắt lồng'!$AA$327:$AA$515,'Cắt lồng'!$AA8,'Cắt lồng'!$AE$327:$AE$515,'Cắt lồng'!BV$4:BV$4)</f>
        <v>0</v>
      </c>
      <c r="BW8" s="78" t="e">
        <f t="shared" si="47"/>
        <v>#DIV/0!</v>
      </c>
      <c r="BX8" s="79">
        <f t="array" ref="BX8">SUMIFS('Cắt lồng'!$AC$327:$AC$515,'Cắt lồng'!$AA$327:$AA$515,'Cắt lồng'!$AA8,'Cắt lồng'!$AE$327:$AE$515,'Cắt lồng'!BX$4:BX$4)</f>
        <v>0</v>
      </c>
      <c r="BY8" s="79">
        <f t="array" ref="BY8">SUMIFS('Cắt lồng'!$AH$327:$AH$515,'Cắt lồng'!$AA$327:$AA$515,'Cắt lồng'!$AA8,'Cắt lồng'!$AE$327:$AE$515,'Cắt lồng'!BY$4:BY$4)</f>
        <v>0</v>
      </c>
      <c r="BZ8" s="78" t="e">
        <f t="shared" si="48"/>
        <v>#DIV/0!</v>
      </c>
      <c r="CA8" s="79">
        <f t="array" ref="CA8">SUMIFS('Cắt lồng'!$AC$327:$AC$515,'Cắt lồng'!$AA$327:$AA$515,'Cắt lồng'!$AA8,'Cắt lồng'!$AE$327:$AE$515,'Cắt lồng'!CA$4:CA$4)</f>
        <v>0</v>
      </c>
      <c r="CB8" s="79">
        <f t="array" ref="CB8">SUMIFS('Cắt lồng'!$AH$327:$AH$515,'Cắt lồng'!$AA$327:$AA$515,'Cắt lồng'!$AA8,'Cắt lồng'!$AE$327:$AE$515,'Cắt lồng'!CB$4:CB$4)</f>
        <v>0</v>
      </c>
      <c r="CC8" s="78" t="e">
        <f t="shared" si="49"/>
        <v>#DIV/0!</v>
      </c>
      <c r="CD8" s="79">
        <f t="array" ref="CD8">SUMIFS('Cắt lồng'!$AC$327:$AC$515,'Cắt lồng'!$AA$327:$AA$515,'Cắt lồng'!$AA8,'Cắt lồng'!$AE$327:$AE$515,'Cắt lồng'!CD$4:CD$4)</f>
        <v>0</v>
      </c>
      <c r="CE8" s="79">
        <f t="array" ref="CE8">SUMIFS('Cắt lồng'!$AH$327:$AH$515,'Cắt lồng'!$AA$327:$AA$515,'Cắt lồng'!$AA8,'Cắt lồng'!$AE$327:$AE$515,'Cắt lồng'!CE$4:CE$4)</f>
        <v>0</v>
      </c>
      <c r="CF8" s="78" t="e">
        <f t="shared" si="50"/>
        <v>#DIV/0!</v>
      </c>
      <c r="CG8" s="79">
        <f t="array" ref="CG8">SUMIFS('Cắt lồng'!$AC$327:$AC$515,'Cắt lồng'!$AA$327:$AA$515,'Cắt lồng'!$AA8,'Cắt lồng'!$AE$327:$AE$515,'Cắt lồng'!CG$4:CG$4)</f>
        <v>0</v>
      </c>
      <c r="CH8" s="79">
        <f t="array" ref="CH8">SUMIFS('Cắt lồng'!$AH$327:$AH$515,'Cắt lồng'!$AA$327:$AA$515,'Cắt lồng'!$AA8,'Cắt lồng'!$AE$327:$AE$515,'Cắt lồng'!CH$4:CH$4)</f>
        <v>0</v>
      </c>
      <c r="CI8" s="78" t="e">
        <f t="shared" si="51"/>
        <v>#DIV/0!</v>
      </c>
      <c r="CJ8" s="79">
        <f t="array" ref="CJ8">SUMIFS('Cắt lồng'!$AC$327:$AC$515,'Cắt lồng'!$AA$327:$AA$515,'Cắt lồng'!$AA8,'Cắt lồng'!$AE$327:$AE$515,'Cắt lồng'!CJ$4:CJ$4)</f>
        <v>0</v>
      </c>
      <c r="CK8" s="79">
        <f t="array" ref="CK8">SUMIFS('Cắt lồng'!$AH$327:$AH$515,'Cắt lồng'!$AA$327:$AA$515,'Cắt lồng'!$AA8,'Cắt lồng'!$AE$327:$AE$515,'Cắt lồng'!CK$4:CK$4)</f>
        <v>0</v>
      </c>
      <c r="CL8" s="78" t="e">
        <f t="shared" si="52"/>
        <v>#DIV/0!</v>
      </c>
      <c r="CM8" s="79">
        <f t="array" ref="CM8">SUMIFS('Cắt lồng'!$AC$327:$AC$515,'Cắt lồng'!$AA$327:$AA$515,'Cắt lồng'!$AA8,'Cắt lồng'!$AE$327:$AE$515,'Cắt lồng'!CM$4:CM$4)</f>
        <v>0</v>
      </c>
      <c r="CN8" s="79">
        <f t="array" ref="CN8">SUMIFS('Cắt lồng'!$AH$327:$AH$515,'Cắt lồng'!$AA$327:$AA$515,'Cắt lồng'!$AA8,'Cắt lồng'!$AE$327:$AE$515,'Cắt lồng'!CN$4:CN$4)</f>
        <v>0</v>
      </c>
      <c r="CO8" s="78" t="e">
        <f t="shared" si="53"/>
        <v>#DIV/0!</v>
      </c>
      <c r="CP8" s="79">
        <f t="array" ref="CP8">SUMIFS('Cắt lồng'!$AC$327:$AC$515,'Cắt lồng'!$AA$327:$AA$515,'Cắt lồng'!$AA8,'Cắt lồng'!$AE$327:$AE$515,'Cắt lồng'!CP$4:CP$4)</f>
        <v>0</v>
      </c>
      <c r="CQ8" s="79">
        <f t="array" ref="CQ8">SUMIFS('Cắt lồng'!$AH$327:$AH$515,'Cắt lồng'!$AA$327:$AA$515,'Cắt lồng'!$AA8,'Cắt lồng'!$AE$327:$AE$515,'Cắt lồng'!CQ$4:CQ$4)</f>
        <v>0</v>
      </c>
      <c r="CR8" s="78" t="e">
        <f t="shared" si="54"/>
        <v>#DIV/0!</v>
      </c>
      <c r="CS8" s="79">
        <f t="array" ref="CS8">SUMIFS('Cắt lồng'!$AC$327:$AC$515,'Cắt lồng'!$AA$327:$AA$515,'Cắt lồng'!$AA8,'Cắt lồng'!$AE$327:$AE$515,'Cắt lồng'!CS$4:CS$4)</f>
        <v>0</v>
      </c>
      <c r="CT8" s="79">
        <f t="array" ref="CT8">SUMIFS('Cắt lồng'!$AH$327:$AH$515,'Cắt lồng'!$AA$327:$AA$515,'Cắt lồng'!$AA8,'Cắt lồng'!$AE$327:$AE$515,'Cắt lồng'!CT$4:CT$4)</f>
        <v>0</v>
      </c>
      <c r="CU8" s="78" t="e">
        <f t="shared" si="55"/>
        <v>#DIV/0!</v>
      </c>
      <c r="CV8" s="79">
        <f t="array" ref="CV8">SUMIFS('Cắt lồng'!$AC$327:$AC$515,'Cắt lồng'!$AA$327:$AA$515,'Cắt lồng'!$AA8,'Cắt lồng'!$AE$327:$AE$515,'Cắt lồng'!CV$4:CV$4)</f>
        <v>0</v>
      </c>
      <c r="CW8" s="79">
        <f t="array" ref="CW8">SUMIFS('Cắt lồng'!$AH$327:$AH$515,'Cắt lồng'!$AA$327:$AA$515,'Cắt lồng'!$AA8,'Cắt lồng'!$AE$327:$AE$515,'Cắt lồng'!CW$4:CW$4)</f>
        <v>0</v>
      </c>
      <c r="CX8" s="78" t="e">
        <f t="shared" si="56"/>
        <v>#DIV/0!</v>
      </c>
      <c r="CY8" s="79">
        <f t="array" ref="CY8">SUMIFS('Cắt lồng'!$AC$327:$AC$515,'Cắt lồng'!$AA$327:$AA$515,'Cắt lồng'!$AA8,'Cắt lồng'!$AE$327:$AE$515,'Cắt lồng'!CY$4:CY$4)</f>
        <v>0</v>
      </c>
      <c r="CZ8" s="79">
        <f t="array" ref="CZ8">SUMIFS('Cắt lồng'!$AH$327:$AH$515,'Cắt lồng'!$AA$327:$AA$515,'Cắt lồng'!$AA8,'Cắt lồng'!$AE$327:$AE$515,'Cắt lồng'!CZ$4:CZ$4)</f>
        <v>0</v>
      </c>
      <c r="DA8" s="78" t="e">
        <f t="shared" si="57"/>
        <v>#DIV/0!</v>
      </c>
      <c r="DB8" s="79">
        <f t="array" ref="DB8">SUMIFS('Cắt lồng'!$AC$327:$AC$515,'Cắt lồng'!$AA$327:$AA$515,'Cắt lồng'!$AA8,'Cắt lồng'!$AE$327:$AE$515,'Cắt lồng'!DB$4:DB$4)</f>
        <v>0</v>
      </c>
      <c r="DC8" s="79">
        <f t="array" ref="DC8">SUMIFS('Cắt lồng'!$AH$327:$AH$515,'Cắt lồng'!$AA$327:$AA$515,'Cắt lồng'!$AA8,'Cắt lồng'!$AE$327:$AE$515,'Cắt lồng'!DC$4:DC$4)</f>
        <v>0</v>
      </c>
      <c r="DD8" s="78" t="e">
        <f t="shared" si="58"/>
        <v>#DIV/0!</v>
      </c>
      <c r="DE8" s="79">
        <f t="array" ref="DE8">SUMIFS('Cắt lồng'!$AC$327:$AC$515,'Cắt lồng'!$AA$327:$AA$515,'Cắt lồng'!$AA8,'Cắt lồng'!$AE$327:$AE$515,'Cắt lồng'!DE$4:DE$4)</f>
        <v>0</v>
      </c>
      <c r="DF8" s="79">
        <f t="array" ref="DF8">SUMIFS('Cắt lồng'!$AH$327:$AH$515,'Cắt lồng'!$AA$327:$AA$515,'Cắt lồng'!$AA8,'Cắt lồng'!$AE$327:$AE$515,'Cắt lồng'!DF$4:DF$4)</f>
        <v>0</v>
      </c>
      <c r="DG8" s="78" t="e">
        <f t="shared" si="59"/>
        <v>#DIV/0!</v>
      </c>
      <c r="DH8" s="79">
        <f t="array" ref="DH8">SUMIFS('Cắt lồng'!$AC$327:$AC$515,'Cắt lồng'!$AA$327:$AA$515,'Cắt lồng'!$AA8,'Cắt lồng'!$AE$327:$AE$515,'Cắt lồng'!DH$4:DH$4)</f>
        <v>0</v>
      </c>
      <c r="DI8" s="79">
        <f t="array" ref="DI8">SUMIFS('Cắt lồng'!$AH$327:$AH$515,'Cắt lồng'!$AA$327:$AA$515,'Cắt lồng'!$AA8,'Cắt lồng'!$AE$327:$AE$515,'Cắt lồng'!DI$4:DI$4)</f>
        <v>0</v>
      </c>
      <c r="DJ8" s="78" t="e">
        <f t="shared" si="60"/>
        <v>#DIV/0!</v>
      </c>
      <c r="DK8" s="79">
        <f t="array" ref="DK8">SUMIFS('Cắt lồng'!$AC$327:$AC$515,'Cắt lồng'!$AA$327:$AA$515,'Cắt lồng'!$AA8,'Cắt lồng'!$AE$327:$AE$515,'Cắt lồng'!DK$4:DK$4)</f>
        <v>0</v>
      </c>
      <c r="DL8" s="79">
        <f t="array" ref="DL8">SUMIFS('Cắt lồng'!$AH$327:$AH$515,'Cắt lồng'!$AA$327:$AA$515,'Cắt lồng'!$AA8,'Cắt lồng'!$AE$327:$AE$515,'Cắt lồng'!DL$4:DL$4)</f>
        <v>0</v>
      </c>
      <c r="DM8" s="78" t="e">
        <f t="shared" si="61"/>
        <v>#DIV/0!</v>
      </c>
      <c r="DN8" s="79">
        <f>SUMIFS('Cắt lồng'!$AC$327:$AC$515,'Cắt lồng'!$AA$327:$AA$515,'Cắt lồng'!$AA8,'Cắt lồng'!$AE$327:$AE$515,'Cắt lồng'!DN$4:DN$4)</f>
        <v>0</v>
      </c>
      <c r="DO8" s="79">
        <f t="array" ref="DO8">SUMIFS('Cắt lồng'!$AH$327:$AH$515,'Cắt lồng'!$AA$327:$AA$515,'Cắt lồng'!$AA8,'Cắt lồng'!$AE$327:$AE$515,'Cắt lồng'!DO$4:DO$4)</f>
        <v>0</v>
      </c>
      <c r="DP8" s="78" t="e">
        <f t="shared" si="62"/>
        <v>#DIV/0!</v>
      </c>
      <c r="DQ8" s="79">
        <f t="array" ref="DQ8">SUMIFS('Cắt lồng'!$AC$327:$AC$515,'Cắt lồng'!$AA$327:$AA$515,'Cắt lồng'!$AA8,'Cắt lồng'!$AE$327:$AE$515,'Cắt lồng'!DQ$4:DQ$4)</f>
        <v>0</v>
      </c>
      <c r="DR8" s="79">
        <f t="array" ref="DR8">SUMIFS('Cắt lồng'!$AH$327:$AH$515,'Cắt lồng'!$AA$327:$AA$515,'Cắt lồng'!$AA8,'Cắt lồng'!$AE$327:$AE$515,'Cắt lồng'!DR$4:DR$4)</f>
        <v>0</v>
      </c>
      <c r="DS8" s="78" t="e">
        <f t="shared" si="63"/>
        <v>#DIV/0!</v>
      </c>
      <c r="DT8" s="79">
        <f t="array" ref="DT8">SUMIFS('Cắt lồng'!$AC$327:$AC$515,'Cắt lồng'!$AA$327:$AA$515,'Cắt lồng'!$AA8,'Cắt lồng'!$AE$327:$AE$515,'Cắt lồng'!DT$4:DT$4)</f>
        <v>0</v>
      </c>
      <c r="DU8" s="79">
        <f t="array" ref="DU8">SUMIFS('Cắt lồng'!$AH$327:$AH$515,'Cắt lồng'!$AA$327:$AA$515,'Cắt lồng'!$AA8,'Cắt lồng'!$AE$327:$AE$515,'Cắt lồng'!DU$4:DU$4)</f>
        <v>0</v>
      </c>
      <c r="DV8" s="78" t="e">
        <f t="shared" si="64"/>
        <v>#DIV/0!</v>
      </c>
      <c r="DW8" s="79">
        <f t="array" ref="DW8">SUMIFS('Cắt lồng'!$AC$327:$AC$515,'Cắt lồng'!$AA$327:$AA$515,'Cắt lồng'!$AA8,'Cắt lồng'!$AE$327:$AE$515,'Cắt lồng'!DW$4:DW$4)</f>
        <v>0</v>
      </c>
      <c r="DX8" s="79">
        <f t="array" ref="DX8">SUMIFS('Cắt lồng'!$AH$327:$AH$515,'Cắt lồng'!$AA$327:$AA$515,'Cắt lồng'!$AA8,'Cắt lồng'!$AE$327:$AE$515,'Cắt lồng'!DX$4:DX$4)</f>
        <v>0</v>
      </c>
      <c r="DY8" s="78" t="e">
        <f t="shared" si="65"/>
        <v>#DIV/0!</v>
      </c>
      <c r="DZ8" s="79">
        <f t="array" ref="DZ8">SUMIFS('Cắt lồng'!$AC$327:$AC$515,'Cắt lồng'!$AA$327:$AA$515,'Cắt lồng'!$AA8,'Cắt lồng'!$AE$327:$AE$515,'Cắt lồng'!DZ$4:DZ$4)</f>
        <v>0</v>
      </c>
      <c r="EA8" s="79">
        <f t="array" ref="EA8">SUMIFS('Cắt lồng'!$AH$327:$AH$515,'Cắt lồng'!$AA$327:$AA$515,'Cắt lồng'!$AA8,'Cắt lồng'!$AE$327:$AE$515,'Cắt lồng'!EA$4:EA$4)</f>
        <v>0</v>
      </c>
      <c r="EB8" s="78" t="e">
        <f t="shared" si="66"/>
        <v>#DIV/0!</v>
      </c>
      <c r="EC8" s="79">
        <f t="array" ref="EC8">SUMIFS('Cắt lồng'!$AC$327:$AC$515,'Cắt lồng'!$AA$327:$AA$515,'Cắt lồng'!$AA8,'Cắt lồng'!$AE$327:$AE$515,'Cắt lồng'!EC$4:EC$4)</f>
        <v>0</v>
      </c>
      <c r="ED8" s="79">
        <f t="array" ref="ED8">SUMIFS('Cắt lồng'!$AH$327:$AH$515,'Cắt lồng'!$AA$327:$AA$515,'Cắt lồng'!$AA8,'Cắt lồng'!$AE$327:$AE$515,'Cắt lồng'!ED$4:ED$4)</f>
        <v>0</v>
      </c>
      <c r="EE8" s="78" t="e">
        <f t="shared" si="67"/>
        <v>#DIV/0!</v>
      </c>
      <c r="EF8" s="79">
        <f t="array" ref="EF8">SUMIFS('Cắt lồng'!$AC$327:$AC$515,'Cắt lồng'!$AA$327:$AA$515,'Cắt lồng'!$AA8,'Cắt lồng'!$AE$327:$AE$515,'Cắt lồng'!EF$4:EF$4)</f>
        <v>0</v>
      </c>
      <c r="EG8" s="79">
        <f t="array" ref="EG8">SUMIFS('Cắt lồng'!$AH$327:$AH$515,'Cắt lồng'!$AA$327:$AA$515,'Cắt lồng'!$AA8,'Cắt lồng'!$AE$327:$AE$515,'Cắt lồng'!EG$4:EG$4)</f>
        <v>0</v>
      </c>
      <c r="EH8" s="78" t="e">
        <f t="shared" si="68"/>
        <v>#DIV/0!</v>
      </c>
      <c r="EI8" s="79">
        <f t="array" ref="EI8">SUMIFS('Cắt lồng'!$AC$327:$AC$515,'Cắt lồng'!$AA$327:$AA$515,'Cắt lồng'!$AA8,'Cắt lồng'!$AE$327:$AE$515,'Cắt lồng'!EI$4:EI$4)</f>
        <v>0</v>
      </c>
      <c r="EJ8" s="79">
        <f t="array" ref="EJ8">SUMIFS('Cắt lồng'!$AH$327:$AH$515,'Cắt lồng'!$AA$327:$AA$515,'Cắt lồng'!$AA8,'Cắt lồng'!$AE$327:$AE$515,'Cắt lồng'!EJ$4:EJ$4)</f>
        <v>0</v>
      </c>
      <c r="EK8" s="78" t="e">
        <f t="shared" si="69"/>
        <v>#DIV/0!</v>
      </c>
    </row>
    <row r="9" spans="1:141" s="12" customFormat="1" ht="14.25" hidden="1" customHeight="1">
      <c r="A9" s="25">
        <v>4</v>
      </c>
      <c r="B9" s="26">
        <v>2556</v>
      </c>
      <c r="C9" s="249"/>
      <c r="D9" s="250"/>
      <c r="E9" s="251"/>
      <c r="F9" s="208"/>
      <c r="G9" s="82">
        <f t="shared" si="1"/>
        <v>0</v>
      </c>
      <c r="H9" s="81">
        <f t="shared" si="2"/>
        <v>0</v>
      </c>
      <c r="I9" s="19">
        <f t="shared" si="3"/>
        <v>0</v>
      </c>
      <c r="J9" s="11">
        <f t="shared" si="4"/>
        <v>0</v>
      </c>
      <c r="K9" s="19">
        <f t="shared" si="5"/>
        <v>0</v>
      </c>
      <c r="L9" s="19">
        <f t="shared" si="6"/>
        <v>0</v>
      </c>
      <c r="M9" s="19">
        <f t="shared" si="7"/>
        <v>0</v>
      </c>
      <c r="N9" s="19">
        <f t="shared" si="8"/>
        <v>0</v>
      </c>
      <c r="O9" s="19">
        <f t="shared" si="9"/>
        <v>0</v>
      </c>
      <c r="P9" s="19">
        <f t="shared" si="10"/>
        <v>0</v>
      </c>
      <c r="Q9" s="19">
        <f t="shared" si="11"/>
        <v>0</v>
      </c>
      <c r="R9" s="19">
        <f t="shared" si="12"/>
        <v>0</v>
      </c>
      <c r="S9" s="19">
        <f t="shared" si="13"/>
        <v>0</v>
      </c>
      <c r="T9" s="19">
        <f t="shared" si="14"/>
        <v>0</v>
      </c>
      <c r="U9" s="19">
        <f t="shared" si="15"/>
        <v>0</v>
      </c>
      <c r="V9" s="19">
        <f t="shared" si="16"/>
        <v>0</v>
      </c>
      <c r="W9" s="19">
        <f t="shared" si="17"/>
        <v>0</v>
      </c>
      <c r="X9" s="19">
        <f t="shared" si="18"/>
        <v>0</v>
      </c>
      <c r="Y9" s="19">
        <f t="shared" si="19"/>
        <v>0</v>
      </c>
      <c r="Z9" s="19">
        <f t="shared" si="20"/>
        <v>0</v>
      </c>
      <c r="AA9" s="20" t="s">
        <v>281</v>
      </c>
      <c r="AB9" s="129">
        <f t="shared" si="21"/>
        <v>0</v>
      </c>
      <c r="AC9" s="129">
        <f t="shared" si="22"/>
        <v>0</v>
      </c>
      <c r="AD9" s="128" t="e">
        <f t="shared" si="23"/>
        <v>#DIV/0!</v>
      </c>
      <c r="AE9" s="42"/>
      <c r="AF9" s="127" t="e">
        <f t="shared" si="24"/>
        <v>#DIV/0!</v>
      </c>
      <c r="AG9" s="127"/>
      <c r="AH9" s="127">
        <f t="shared" si="25"/>
        <v>0</v>
      </c>
      <c r="AI9" s="54" t="e">
        <f t="shared" si="26"/>
        <v>#DIV/0!</v>
      </c>
      <c r="AJ9" s="25">
        <f t="shared" si="27"/>
        <v>0</v>
      </c>
      <c r="AK9" s="25">
        <f t="shared" si="28"/>
        <v>0</v>
      </c>
      <c r="AL9" s="25">
        <f t="shared" si="29"/>
        <v>0</v>
      </c>
      <c r="AM9" s="20">
        <f t="shared" si="30"/>
        <v>0</v>
      </c>
      <c r="AN9" s="20">
        <f t="shared" si="31"/>
        <v>0</v>
      </c>
      <c r="AO9" s="20">
        <f t="shared" si="32"/>
        <v>0</v>
      </c>
      <c r="AP9" s="20">
        <f t="shared" si="33"/>
        <v>0</v>
      </c>
      <c r="AQ9" s="20">
        <f t="shared" si="34"/>
        <v>0</v>
      </c>
      <c r="AR9" s="20">
        <f t="shared" si="35"/>
        <v>0</v>
      </c>
      <c r="AS9" s="20">
        <f t="shared" si="36"/>
        <v>0</v>
      </c>
      <c r="AT9" s="20">
        <f t="shared" si="37"/>
        <v>0</v>
      </c>
      <c r="AV9" s="79">
        <f t="shared" si="38"/>
        <v>0</v>
      </c>
      <c r="AW9" s="79">
        <f t="array" ref="AW9">SUMIFS('Cắt lồng'!$AC$327:$AC$515,'Cắt lồng'!$AA$327:$AA$515,'Cắt lồng'!$AA9,'Cắt lồng'!$AE$327:$AE$515,'Cắt lồng'!AW$4:AW$4)</f>
        <v>0</v>
      </c>
      <c r="AX9" s="79">
        <f t="array" ref="AX9">SUMIFS('Cắt lồng'!$AH$327:$AH$515,'Cắt lồng'!$AA$327:$AA$515,'Cắt lồng'!$AA9,'Cắt lồng'!$AE$327:$AE$515,'Cắt lồng'!AX$4:AX$4)</f>
        <v>0</v>
      </c>
      <c r="AY9" s="78" t="e">
        <f t="shared" si="39"/>
        <v>#DIV/0!</v>
      </c>
      <c r="AZ9" s="79">
        <f t="array" ref="AZ9">SUMIFS('Cắt lồng'!$AC$327:$AC$515,'Cắt lồng'!$AA$327:$AA$515,'Cắt lồng'!$AA9,'Cắt lồng'!$AE$327:$AE$515,'Cắt lồng'!AZ$4:AZ$4)</f>
        <v>0</v>
      </c>
      <c r="BA9" s="79">
        <f t="array" ref="BA9">SUMIFS('Cắt lồng'!$AH$327:$AH$515,'Cắt lồng'!$AA$327:$AA$515,'Cắt lồng'!$AA9,'Cắt lồng'!$AE$327:$AE$515,'Cắt lồng'!BA$4:BA$4)</f>
        <v>0</v>
      </c>
      <c r="BB9" s="78" t="e">
        <f t="shared" si="40"/>
        <v>#DIV/0!</v>
      </c>
      <c r="BC9" s="79">
        <f t="array" ref="BC9">SUMIFS('Cắt lồng'!$AC$327:$AC$515,'Cắt lồng'!$AA$327:$AA$515,'Cắt lồng'!$AA9,'Cắt lồng'!$AE$327:$AE$515,'Cắt lồng'!BC$4:BC$4)</f>
        <v>0</v>
      </c>
      <c r="BD9" s="79">
        <f t="array" ref="BD9">SUMIFS('Cắt lồng'!$AH$327:$AH$515,'Cắt lồng'!$AA$327:$AA$515,'Cắt lồng'!$AA9,'Cắt lồng'!$AE$327:$AE$515,'Cắt lồng'!BD$4:BD$4)</f>
        <v>0</v>
      </c>
      <c r="BE9" s="78" t="e">
        <f t="shared" si="41"/>
        <v>#DIV/0!</v>
      </c>
      <c r="BF9" s="79">
        <f t="array" ref="BF9">SUMIFS('Cắt lồng'!$AC$327:$AC$515,'Cắt lồng'!$AA$327:$AA$515,'Cắt lồng'!$AA9,'Cắt lồng'!$AE$327:$AE$515,'Cắt lồng'!BF$4:BF$4)</f>
        <v>0</v>
      </c>
      <c r="BG9" s="79">
        <f t="array" ref="BG9">SUMIFS('Cắt lồng'!$AH$327:$AH$515,'Cắt lồng'!$AA$327:$AA$515,'Cắt lồng'!$AA9,'Cắt lồng'!$AE$327:$AE$515,'Cắt lồng'!BG$4:BG$4)</f>
        <v>0</v>
      </c>
      <c r="BH9" s="78" t="e">
        <f t="shared" si="42"/>
        <v>#DIV/0!</v>
      </c>
      <c r="BI9" s="79">
        <f t="array" ref="BI9">SUMIFS('Cắt lồng'!$AC$327:$AC$515,'Cắt lồng'!$AA$327:$AA$515,'Cắt lồng'!$AA9,'Cắt lồng'!$AE$327:$AE$515,'Cắt lồng'!BI$4:BI$4)</f>
        <v>0</v>
      </c>
      <c r="BJ9" s="79">
        <f t="array" ref="BJ9">SUMIFS('Cắt lồng'!$AH$327:$AH$515,'Cắt lồng'!$AA$327:$AA$515,'Cắt lồng'!$AA9,'Cắt lồng'!$AE$327:$AE$515,'Cắt lồng'!BJ$4:BJ$4)</f>
        <v>0</v>
      </c>
      <c r="BK9" s="78" t="e">
        <f t="shared" si="43"/>
        <v>#DIV/0!</v>
      </c>
      <c r="BL9" s="79">
        <f t="array" ref="BL9">SUMIFS('Cắt lồng'!$AC$327:$AC$515,'Cắt lồng'!$AA$327:$AA$515,'Cắt lồng'!$AA9,'Cắt lồng'!$AE$327:$AE$515,'Cắt lồng'!BL$4:BL$4)</f>
        <v>0</v>
      </c>
      <c r="BM9" s="79">
        <f t="array" ref="BM9">SUMIFS('Cắt lồng'!$AH$327:$AH$515,'Cắt lồng'!$AA$327:$AA$515,'Cắt lồng'!$AA9,'Cắt lồng'!$AE$327:$AE$515,'Cắt lồng'!BM$4:BM$4)</f>
        <v>0</v>
      </c>
      <c r="BN9" s="78" t="e">
        <f t="shared" si="44"/>
        <v>#DIV/0!</v>
      </c>
      <c r="BO9" s="79">
        <f t="array" ref="BO9">SUMIFS('Cắt lồng'!$AC$327:$AC$515,'Cắt lồng'!$AA$327:$AA$515,'Cắt lồng'!$AA9,'Cắt lồng'!$AE$327:$AE$515,'Cắt lồng'!BO$4:BO$4)</f>
        <v>0</v>
      </c>
      <c r="BP9" s="79">
        <f t="array" ref="BP9">SUMIFS('Cắt lồng'!$AH$327:$AH$515,'Cắt lồng'!$AA$327:$AA$515,'Cắt lồng'!$AA9,'Cắt lồng'!$AE$327:$AE$515,'Cắt lồng'!BP$4:BP$4)</f>
        <v>0</v>
      </c>
      <c r="BQ9" s="78" t="e">
        <f t="shared" si="45"/>
        <v>#DIV/0!</v>
      </c>
      <c r="BR9" s="79">
        <f t="array" ref="BR9">SUMIFS('Cắt lồng'!$AC$327:$AC$515,'Cắt lồng'!$AA$327:$AA$515,'Cắt lồng'!$AA9,'Cắt lồng'!$AE$327:$AE$515,'Cắt lồng'!BR$4:BR$4)</f>
        <v>0</v>
      </c>
      <c r="BS9" s="79">
        <f t="array" ref="BS9">SUMIFS('Cắt lồng'!$AH$327:$AH$515,'Cắt lồng'!$AA$327:$AA$515,'Cắt lồng'!$AA9,'Cắt lồng'!$AE$327:$AE$515,'Cắt lồng'!BS$4:BS$4)</f>
        <v>0</v>
      </c>
      <c r="BT9" s="78" t="e">
        <f t="shared" si="46"/>
        <v>#DIV/0!</v>
      </c>
      <c r="BU9" s="79">
        <f t="array" ref="BU9">SUMIFS('Cắt lồng'!$AC$327:$AC$515,'Cắt lồng'!$AA$327:$AA$515,'Cắt lồng'!$AA9,'Cắt lồng'!$AE$327:$AE$515,'Cắt lồng'!BU$4:BU$4)</f>
        <v>0</v>
      </c>
      <c r="BV9" s="79">
        <f t="array" ref="BV9">SUMIFS('Cắt lồng'!$AH$327:$AH$515,'Cắt lồng'!$AA$327:$AA$515,'Cắt lồng'!$AA9,'Cắt lồng'!$AE$327:$AE$515,'Cắt lồng'!BV$4:BV$4)</f>
        <v>0</v>
      </c>
      <c r="BW9" s="78" t="e">
        <f t="shared" si="47"/>
        <v>#DIV/0!</v>
      </c>
      <c r="BX9" s="79">
        <f t="array" ref="BX9">SUMIFS('Cắt lồng'!$AC$327:$AC$515,'Cắt lồng'!$AA$327:$AA$515,'Cắt lồng'!$AA9,'Cắt lồng'!$AE$327:$AE$515,'Cắt lồng'!BX$4:BX$4)</f>
        <v>0</v>
      </c>
      <c r="BY9" s="79">
        <f t="array" ref="BY9">SUMIFS('Cắt lồng'!$AH$327:$AH$515,'Cắt lồng'!$AA$327:$AA$515,'Cắt lồng'!$AA9,'Cắt lồng'!$AE$327:$AE$515,'Cắt lồng'!BY$4:BY$4)</f>
        <v>0</v>
      </c>
      <c r="BZ9" s="78" t="e">
        <f t="shared" si="48"/>
        <v>#DIV/0!</v>
      </c>
      <c r="CA9" s="79">
        <f t="array" ref="CA9">SUMIFS('Cắt lồng'!$AC$327:$AC$515,'Cắt lồng'!$AA$327:$AA$515,'Cắt lồng'!$AA9,'Cắt lồng'!$AE$327:$AE$515,'Cắt lồng'!CA$4:CA$4)</f>
        <v>0</v>
      </c>
      <c r="CB9" s="79">
        <f t="array" ref="CB9">SUMIFS('Cắt lồng'!$AH$327:$AH$515,'Cắt lồng'!$AA$327:$AA$515,'Cắt lồng'!$AA9,'Cắt lồng'!$AE$327:$AE$515,'Cắt lồng'!CB$4:CB$4)</f>
        <v>0</v>
      </c>
      <c r="CC9" s="78" t="e">
        <f t="shared" si="49"/>
        <v>#DIV/0!</v>
      </c>
      <c r="CD9" s="79">
        <f t="array" ref="CD9">SUMIFS('Cắt lồng'!$AC$327:$AC$515,'Cắt lồng'!$AA$327:$AA$515,'Cắt lồng'!$AA9,'Cắt lồng'!$AE$327:$AE$515,'Cắt lồng'!CD$4:CD$4)</f>
        <v>0</v>
      </c>
      <c r="CE9" s="79">
        <f t="array" ref="CE9">SUMIFS('Cắt lồng'!$AH$327:$AH$515,'Cắt lồng'!$AA$327:$AA$515,'Cắt lồng'!$AA9,'Cắt lồng'!$AE$327:$AE$515,'Cắt lồng'!CE$4:CE$4)</f>
        <v>0</v>
      </c>
      <c r="CF9" s="78" t="e">
        <f t="shared" si="50"/>
        <v>#DIV/0!</v>
      </c>
      <c r="CG9" s="79">
        <f t="array" ref="CG9">SUMIFS('Cắt lồng'!$AC$327:$AC$515,'Cắt lồng'!$AA$327:$AA$515,'Cắt lồng'!$AA9,'Cắt lồng'!$AE$327:$AE$515,'Cắt lồng'!CG$4:CG$4)</f>
        <v>0</v>
      </c>
      <c r="CH9" s="79">
        <f t="array" ref="CH9">SUMIFS('Cắt lồng'!$AH$327:$AH$515,'Cắt lồng'!$AA$327:$AA$515,'Cắt lồng'!$AA9,'Cắt lồng'!$AE$327:$AE$515,'Cắt lồng'!CH$4:CH$4)</f>
        <v>0</v>
      </c>
      <c r="CI9" s="78" t="e">
        <f t="shared" si="51"/>
        <v>#DIV/0!</v>
      </c>
      <c r="CJ9" s="79">
        <f t="array" ref="CJ9">SUMIFS('Cắt lồng'!$AC$327:$AC$515,'Cắt lồng'!$AA$327:$AA$515,'Cắt lồng'!$AA9,'Cắt lồng'!$AE$327:$AE$515,'Cắt lồng'!CJ$4:CJ$4)</f>
        <v>0</v>
      </c>
      <c r="CK9" s="79">
        <f t="array" ref="CK9">SUMIFS('Cắt lồng'!$AH$327:$AH$515,'Cắt lồng'!$AA$327:$AA$515,'Cắt lồng'!$AA9,'Cắt lồng'!$AE$327:$AE$515,'Cắt lồng'!CK$4:CK$4)</f>
        <v>0</v>
      </c>
      <c r="CL9" s="78" t="e">
        <f t="shared" si="52"/>
        <v>#DIV/0!</v>
      </c>
      <c r="CM9" s="79">
        <f t="array" ref="CM9">SUMIFS('Cắt lồng'!$AC$327:$AC$515,'Cắt lồng'!$AA$327:$AA$515,'Cắt lồng'!$AA9,'Cắt lồng'!$AE$327:$AE$515,'Cắt lồng'!CM$4:CM$4)</f>
        <v>0</v>
      </c>
      <c r="CN9" s="79">
        <f t="array" ref="CN9">SUMIFS('Cắt lồng'!$AH$327:$AH$515,'Cắt lồng'!$AA$327:$AA$515,'Cắt lồng'!$AA9,'Cắt lồng'!$AE$327:$AE$515,'Cắt lồng'!CN$4:CN$4)</f>
        <v>0</v>
      </c>
      <c r="CO9" s="78" t="e">
        <f t="shared" si="53"/>
        <v>#DIV/0!</v>
      </c>
      <c r="CP9" s="79">
        <f t="array" ref="CP9">SUMIFS('Cắt lồng'!$AC$327:$AC$515,'Cắt lồng'!$AA$327:$AA$515,'Cắt lồng'!$AA9,'Cắt lồng'!$AE$327:$AE$515,'Cắt lồng'!CP$4:CP$4)</f>
        <v>0</v>
      </c>
      <c r="CQ9" s="79">
        <f t="array" ref="CQ9">SUMIFS('Cắt lồng'!$AH$327:$AH$515,'Cắt lồng'!$AA$327:$AA$515,'Cắt lồng'!$AA9,'Cắt lồng'!$AE$327:$AE$515,'Cắt lồng'!CQ$4:CQ$4)</f>
        <v>0</v>
      </c>
      <c r="CR9" s="78" t="e">
        <f t="shared" si="54"/>
        <v>#DIV/0!</v>
      </c>
      <c r="CS9" s="79">
        <f t="array" ref="CS9">SUMIFS('Cắt lồng'!$AC$327:$AC$515,'Cắt lồng'!$AA$327:$AA$515,'Cắt lồng'!$AA9,'Cắt lồng'!$AE$327:$AE$515,'Cắt lồng'!CS$4:CS$4)</f>
        <v>0</v>
      </c>
      <c r="CT9" s="79">
        <f t="array" ref="CT9">SUMIFS('Cắt lồng'!$AH$327:$AH$515,'Cắt lồng'!$AA$327:$AA$515,'Cắt lồng'!$AA9,'Cắt lồng'!$AE$327:$AE$515,'Cắt lồng'!CT$4:CT$4)</f>
        <v>0</v>
      </c>
      <c r="CU9" s="78" t="e">
        <f t="shared" si="55"/>
        <v>#DIV/0!</v>
      </c>
      <c r="CV9" s="79">
        <f t="array" ref="CV9">SUMIFS('Cắt lồng'!$AC$327:$AC$515,'Cắt lồng'!$AA$327:$AA$515,'Cắt lồng'!$AA9,'Cắt lồng'!$AE$327:$AE$515,'Cắt lồng'!CV$4:CV$4)</f>
        <v>0</v>
      </c>
      <c r="CW9" s="79">
        <f t="array" ref="CW9">SUMIFS('Cắt lồng'!$AH$327:$AH$515,'Cắt lồng'!$AA$327:$AA$515,'Cắt lồng'!$AA9,'Cắt lồng'!$AE$327:$AE$515,'Cắt lồng'!CW$4:CW$4)</f>
        <v>0</v>
      </c>
      <c r="CX9" s="78" t="e">
        <f t="shared" si="56"/>
        <v>#DIV/0!</v>
      </c>
      <c r="CY9" s="79">
        <f t="array" ref="CY9">SUMIFS('Cắt lồng'!$AC$327:$AC$515,'Cắt lồng'!$AA$327:$AA$515,'Cắt lồng'!$AA9,'Cắt lồng'!$AE$327:$AE$515,'Cắt lồng'!CY$4:CY$4)</f>
        <v>0</v>
      </c>
      <c r="CZ9" s="79">
        <f t="array" ref="CZ9">SUMIFS('Cắt lồng'!$AH$327:$AH$515,'Cắt lồng'!$AA$327:$AA$515,'Cắt lồng'!$AA9,'Cắt lồng'!$AE$327:$AE$515,'Cắt lồng'!CZ$4:CZ$4)</f>
        <v>0</v>
      </c>
      <c r="DA9" s="78" t="e">
        <f t="shared" si="57"/>
        <v>#DIV/0!</v>
      </c>
      <c r="DB9" s="79">
        <f t="array" ref="DB9">SUMIFS('Cắt lồng'!$AC$327:$AC$515,'Cắt lồng'!$AA$327:$AA$515,'Cắt lồng'!$AA9,'Cắt lồng'!$AE$327:$AE$515,'Cắt lồng'!DB$4:DB$4)</f>
        <v>0</v>
      </c>
      <c r="DC9" s="79">
        <f t="array" ref="DC9">SUMIFS('Cắt lồng'!$AH$327:$AH$515,'Cắt lồng'!$AA$327:$AA$515,'Cắt lồng'!$AA9,'Cắt lồng'!$AE$327:$AE$515,'Cắt lồng'!DC$4:DC$4)</f>
        <v>0</v>
      </c>
      <c r="DD9" s="78" t="e">
        <f t="shared" si="58"/>
        <v>#DIV/0!</v>
      </c>
      <c r="DE9" s="79">
        <f t="array" ref="DE9">SUMIFS('Cắt lồng'!$AC$327:$AC$515,'Cắt lồng'!$AA$327:$AA$515,'Cắt lồng'!$AA9,'Cắt lồng'!$AE$327:$AE$515,'Cắt lồng'!DE$4:DE$4)</f>
        <v>0</v>
      </c>
      <c r="DF9" s="79">
        <f t="array" ref="DF9">SUMIFS('Cắt lồng'!$AH$327:$AH$515,'Cắt lồng'!$AA$327:$AA$515,'Cắt lồng'!$AA9,'Cắt lồng'!$AE$327:$AE$515,'Cắt lồng'!DF$4:DF$4)</f>
        <v>0</v>
      </c>
      <c r="DG9" s="78" t="e">
        <f t="shared" si="59"/>
        <v>#DIV/0!</v>
      </c>
      <c r="DH9" s="79">
        <f t="array" ref="DH9">SUMIFS('Cắt lồng'!$AC$327:$AC$515,'Cắt lồng'!$AA$327:$AA$515,'Cắt lồng'!$AA9,'Cắt lồng'!$AE$327:$AE$515,'Cắt lồng'!DH$4:DH$4)</f>
        <v>0</v>
      </c>
      <c r="DI9" s="79">
        <f t="array" ref="DI9">SUMIFS('Cắt lồng'!$AH$327:$AH$515,'Cắt lồng'!$AA$327:$AA$515,'Cắt lồng'!$AA9,'Cắt lồng'!$AE$327:$AE$515,'Cắt lồng'!DI$4:DI$4)</f>
        <v>0</v>
      </c>
      <c r="DJ9" s="78" t="e">
        <f t="shared" si="60"/>
        <v>#DIV/0!</v>
      </c>
      <c r="DK9" s="79">
        <f t="array" ref="DK9">SUMIFS('Cắt lồng'!$AC$327:$AC$515,'Cắt lồng'!$AA$327:$AA$515,'Cắt lồng'!$AA9,'Cắt lồng'!$AE$327:$AE$515,'Cắt lồng'!DK$4:DK$4)</f>
        <v>0</v>
      </c>
      <c r="DL9" s="79">
        <f t="array" ref="DL9">SUMIFS('Cắt lồng'!$AH$327:$AH$515,'Cắt lồng'!$AA$327:$AA$515,'Cắt lồng'!$AA9,'Cắt lồng'!$AE$327:$AE$515,'Cắt lồng'!DL$4:DL$4)</f>
        <v>0</v>
      </c>
      <c r="DM9" s="78" t="e">
        <f t="shared" si="61"/>
        <v>#DIV/0!</v>
      </c>
      <c r="DN9" s="79">
        <f>SUMIFS('Cắt lồng'!$AC$327:$AC$515,'Cắt lồng'!$AA$327:$AA$515,'Cắt lồng'!$AA9,'Cắt lồng'!$AE$327:$AE$515,'Cắt lồng'!DN$4:DN$4)</f>
        <v>0</v>
      </c>
      <c r="DO9" s="79">
        <f t="array" ref="DO9">SUMIFS('Cắt lồng'!$AH$327:$AH$515,'Cắt lồng'!$AA$327:$AA$515,'Cắt lồng'!$AA9,'Cắt lồng'!$AE$327:$AE$515,'Cắt lồng'!DO$4:DO$4)</f>
        <v>0</v>
      </c>
      <c r="DP9" s="78" t="e">
        <f t="shared" si="62"/>
        <v>#DIV/0!</v>
      </c>
      <c r="DQ9" s="79">
        <f t="array" ref="DQ9">SUMIFS('Cắt lồng'!$AC$327:$AC$515,'Cắt lồng'!$AA$327:$AA$515,'Cắt lồng'!$AA9,'Cắt lồng'!$AE$327:$AE$515,'Cắt lồng'!DQ$4:DQ$4)</f>
        <v>0</v>
      </c>
      <c r="DR9" s="79">
        <f t="array" ref="DR9">SUMIFS('Cắt lồng'!$AH$327:$AH$515,'Cắt lồng'!$AA$327:$AA$515,'Cắt lồng'!$AA9,'Cắt lồng'!$AE$327:$AE$515,'Cắt lồng'!DR$4:DR$4)</f>
        <v>0</v>
      </c>
      <c r="DS9" s="78" t="e">
        <f t="shared" si="63"/>
        <v>#DIV/0!</v>
      </c>
      <c r="DT9" s="79">
        <f t="array" ref="DT9">SUMIFS('Cắt lồng'!$AC$327:$AC$515,'Cắt lồng'!$AA$327:$AA$515,'Cắt lồng'!$AA9,'Cắt lồng'!$AE$327:$AE$515,'Cắt lồng'!DT$4:DT$4)</f>
        <v>0</v>
      </c>
      <c r="DU9" s="79">
        <f t="array" ref="DU9">SUMIFS('Cắt lồng'!$AH$327:$AH$515,'Cắt lồng'!$AA$327:$AA$515,'Cắt lồng'!$AA9,'Cắt lồng'!$AE$327:$AE$515,'Cắt lồng'!DU$4:DU$4)</f>
        <v>0</v>
      </c>
      <c r="DV9" s="78" t="e">
        <f t="shared" si="64"/>
        <v>#DIV/0!</v>
      </c>
      <c r="DW9" s="79">
        <f t="array" ref="DW9">SUMIFS('Cắt lồng'!$AC$327:$AC$515,'Cắt lồng'!$AA$327:$AA$515,'Cắt lồng'!$AA9,'Cắt lồng'!$AE$327:$AE$515,'Cắt lồng'!DW$4:DW$4)</f>
        <v>0</v>
      </c>
      <c r="DX9" s="79">
        <f t="array" ref="DX9">SUMIFS('Cắt lồng'!$AH$327:$AH$515,'Cắt lồng'!$AA$327:$AA$515,'Cắt lồng'!$AA9,'Cắt lồng'!$AE$327:$AE$515,'Cắt lồng'!DX$4:DX$4)</f>
        <v>0</v>
      </c>
      <c r="DY9" s="78" t="e">
        <f t="shared" si="65"/>
        <v>#DIV/0!</v>
      </c>
      <c r="DZ9" s="79">
        <f t="array" ref="DZ9">SUMIFS('Cắt lồng'!$AC$327:$AC$515,'Cắt lồng'!$AA$327:$AA$515,'Cắt lồng'!$AA9,'Cắt lồng'!$AE$327:$AE$515,'Cắt lồng'!DZ$4:DZ$4)</f>
        <v>0</v>
      </c>
      <c r="EA9" s="79">
        <f t="array" ref="EA9">SUMIFS('Cắt lồng'!$AH$327:$AH$515,'Cắt lồng'!$AA$327:$AA$515,'Cắt lồng'!$AA9,'Cắt lồng'!$AE$327:$AE$515,'Cắt lồng'!EA$4:EA$4)</f>
        <v>0</v>
      </c>
      <c r="EB9" s="78" t="e">
        <f t="shared" si="66"/>
        <v>#DIV/0!</v>
      </c>
      <c r="EC9" s="79">
        <f t="array" ref="EC9">SUMIFS('Cắt lồng'!$AC$327:$AC$515,'Cắt lồng'!$AA$327:$AA$515,'Cắt lồng'!$AA9,'Cắt lồng'!$AE$327:$AE$515,'Cắt lồng'!EC$4:EC$4)</f>
        <v>0</v>
      </c>
      <c r="ED9" s="79">
        <f t="array" ref="ED9">SUMIFS('Cắt lồng'!$AH$327:$AH$515,'Cắt lồng'!$AA$327:$AA$515,'Cắt lồng'!$AA9,'Cắt lồng'!$AE$327:$AE$515,'Cắt lồng'!ED$4:ED$4)</f>
        <v>0</v>
      </c>
      <c r="EE9" s="78" t="e">
        <f t="shared" si="67"/>
        <v>#DIV/0!</v>
      </c>
      <c r="EF9" s="79">
        <f t="array" ref="EF9">SUMIFS('Cắt lồng'!$AC$327:$AC$515,'Cắt lồng'!$AA$327:$AA$515,'Cắt lồng'!$AA9,'Cắt lồng'!$AE$327:$AE$515,'Cắt lồng'!EF$4:EF$4)</f>
        <v>0</v>
      </c>
      <c r="EG9" s="79">
        <f t="array" ref="EG9">SUMIFS('Cắt lồng'!$AH$327:$AH$515,'Cắt lồng'!$AA$327:$AA$515,'Cắt lồng'!$AA9,'Cắt lồng'!$AE$327:$AE$515,'Cắt lồng'!EG$4:EG$4)</f>
        <v>0</v>
      </c>
      <c r="EH9" s="78" t="e">
        <f t="shared" si="68"/>
        <v>#DIV/0!</v>
      </c>
      <c r="EI9" s="79">
        <f t="array" ref="EI9">SUMIFS('Cắt lồng'!$AC$327:$AC$515,'Cắt lồng'!$AA$327:$AA$515,'Cắt lồng'!$AA9,'Cắt lồng'!$AE$327:$AE$515,'Cắt lồng'!EI$4:EI$4)</f>
        <v>0</v>
      </c>
      <c r="EJ9" s="79">
        <f t="array" ref="EJ9">SUMIFS('Cắt lồng'!$AH$327:$AH$515,'Cắt lồng'!$AA$327:$AA$515,'Cắt lồng'!$AA9,'Cắt lồng'!$AE$327:$AE$515,'Cắt lồng'!EJ$4:EJ$4)</f>
        <v>0</v>
      </c>
      <c r="EK9" s="78" t="e">
        <f t="shared" si="69"/>
        <v>#DIV/0!</v>
      </c>
    </row>
    <row r="10" spans="1:141" s="12" customFormat="1" ht="14.25" hidden="1" customHeight="1">
      <c r="A10" s="25">
        <v>5</v>
      </c>
      <c r="B10" s="26">
        <v>2821</v>
      </c>
      <c r="C10" s="25"/>
      <c r="D10" s="207"/>
      <c r="E10" s="206"/>
      <c r="F10" s="17"/>
      <c r="G10" s="82">
        <f t="shared" si="1"/>
        <v>0</v>
      </c>
      <c r="H10" s="81">
        <f t="shared" si="2"/>
        <v>0</v>
      </c>
      <c r="I10" s="19">
        <f t="shared" si="3"/>
        <v>0</v>
      </c>
      <c r="J10" s="11">
        <f t="shared" si="4"/>
        <v>0</v>
      </c>
      <c r="K10" s="19">
        <f t="shared" si="5"/>
        <v>0</v>
      </c>
      <c r="L10" s="19">
        <f t="shared" si="6"/>
        <v>0</v>
      </c>
      <c r="M10" s="19">
        <f t="shared" si="7"/>
        <v>0</v>
      </c>
      <c r="N10" s="19">
        <f t="shared" si="8"/>
        <v>0</v>
      </c>
      <c r="O10" s="19">
        <f t="shared" si="9"/>
        <v>0</v>
      </c>
      <c r="P10" s="19">
        <f t="shared" si="10"/>
        <v>0</v>
      </c>
      <c r="Q10" s="19">
        <f t="shared" si="11"/>
        <v>0</v>
      </c>
      <c r="R10" s="19">
        <f t="shared" si="12"/>
        <v>0</v>
      </c>
      <c r="S10" s="19">
        <f t="shared" si="13"/>
        <v>0</v>
      </c>
      <c r="T10" s="19">
        <f t="shared" si="14"/>
        <v>0</v>
      </c>
      <c r="U10" s="19">
        <f t="shared" si="15"/>
        <v>0</v>
      </c>
      <c r="V10" s="19">
        <f t="shared" si="16"/>
        <v>0</v>
      </c>
      <c r="W10" s="19">
        <f t="shared" si="17"/>
        <v>0</v>
      </c>
      <c r="X10" s="19">
        <f t="shared" si="18"/>
        <v>0</v>
      </c>
      <c r="Y10" s="19">
        <f t="shared" si="19"/>
        <v>0</v>
      </c>
      <c r="Z10" s="19">
        <f t="shared" si="20"/>
        <v>0</v>
      </c>
      <c r="AA10" s="20" t="s">
        <v>279</v>
      </c>
      <c r="AB10" s="129">
        <f t="shared" si="21"/>
        <v>0</v>
      </c>
      <c r="AC10" s="129">
        <f t="shared" si="22"/>
        <v>0</v>
      </c>
      <c r="AD10" s="128" t="e">
        <f t="shared" si="23"/>
        <v>#DIV/0!</v>
      </c>
      <c r="AE10" s="42"/>
      <c r="AF10" s="127" t="e">
        <f t="shared" si="24"/>
        <v>#DIV/0!</v>
      </c>
      <c r="AG10" s="127"/>
      <c r="AH10" s="127">
        <f t="shared" si="25"/>
        <v>0</v>
      </c>
      <c r="AI10" s="54" t="e">
        <f t="shared" si="26"/>
        <v>#DIV/0!</v>
      </c>
      <c r="AJ10" s="25">
        <f t="shared" si="27"/>
        <v>0</v>
      </c>
      <c r="AK10" s="25">
        <f t="shared" si="28"/>
        <v>0</v>
      </c>
      <c r="AL10" s="25">
        <f t="shared" si="29"/>
        <v>0</v>
      </c>
      <c r="AM10" s="20">
        <f t="shared" si="30"/>
        <v>0</v>
      </c>
      <c r="AN10" s="20">
        <f t="shared" si="31"/>
        <v>0</v>
      </c>
      <c r="AO10" s="20">
        <f t="shared" si="32"/>
        <v>0</v>
      </c>
      <c r="AP10" s="20">
        <f t="shared" si="33"/>
        <v>0</v>
      </c>
      <c r="AQ10" s="20">
        <f t="shared" si="34"/>
        <v>0</v>
      </c>
      <c r="AR10" s="20">
        <f t="shared" si="35"/>
        <v>0</v>
      </c>
      <c r="AS10" s="20">
        <f t="shared" si="36"/>
        <v>0</v>
      </c>
      <c r="AT10" s="20">
        <f t="shared" si="37"/>
        <v>0</v>
      </c>
      <c r="AV10" s="79">
        <f t="shared" si="38"/>
        <v>0</v>
      </c>
      <c r="AW10" s="79">
        <f t="array" ref="AW10">SUMIFS('Cắt lồng'!$AC$327:$AC$515,'Cắt lồng'!$AA$327:$AA$515,'Cắt lồng'!$AA10,'Cắt lồng'!$AE$327:$AE$515,'Cắt lồng'!AW$4:AW$4)</f>
        <v>0</v>
      </c>
      <c r="AX10" s="79">
        <f t="array" ref="AX10">SUMIFS('Cắt lồng'!$AH$327:$AH$515,'Cắt lồng'!$AA$327:$AA$515,'Cắt lồng'!$AA10,'Cắt lồng'!$AE$327:$AE$515,'Cắt lồng'!AX$4:AX$4)</f>
        <v>0</v>
      </c>
      <c r="AY10" s="78" t="e">
        <f t="shared" si="39"/>
        <v>#DIV/0!</v>
      </c>
      <c r="AZ10" s="79">
        <f t="array" ref="AZ10">SUMIFS('Cắt lồng'!$AC$327:$AC$515,'Cắt lồng'!$AA$327:$AA$515,'Cắt lồng'!$AA10,'Cắt lồng'!$AE$327:$AE$515,'Cắt lồng'!AZ$4:AZ$4)</f>
        <v>0</v>
      </c>
      <c r="BA10" s="79">
        <f t="array" ref="BA10">SUMIFS('Cắt lồng'!$AH$327:$AH$515,'Cắt lồng'!$AA$327:$AA$515,'Cắt lồng'!$AA10,'Cắt lồng'!$AE$327:$AE$515,'Cắt lồng'!BA$4:BA$4)</f>
        <v>0</v>
      </c>
      <c r="BB10" s="78" t="e">
        <f t="shared" si="40"/>
        <v>#DIV/0!</v>
      </c>
      <c r="BC10" s="79">
        <f t="array" ref="BC10">SUMIFS('Cắt lồng'!$AC$327:$AC$515,'Cắt lồng'!$AA$327:$AA$515,'Cắt lồng'!$AA10,'Cắt lồng'!$AE$327:$AE$515,'Cắt lồng'!BC$4:BC$4)</f>
        <v>0</v>
      </c>
      <c r="BD10" s="79">
        <f t="array" ref="BD10">SUMIFS('Cắt lồng'!$AH$327:$AH$515,'Cắt lồng'!$AA$327:$AA$515,'Cắt lồng'!$AA10,'Cắt lồng'!$AE$327:$AE$515,'Cắt lồng'!BD$4:BD$4)</f>
        <v>0</v>
      </c>
      <c r="BE10" s="78" t="e">
        <f t="shared" si="41"/>
        <v>#DIV/0!</v>
      </c>
      <c r="BF10" s="79">
        <f t="array" ref="BF10">SUMIFS('Cắt lồng'!$AC$327:$AC$515,'Cắt lồng'!$AA$327:$AA$515,'Cắt lồng'!$AA10,'Cắt lồng'!$AE$327:$AE$515,'Cắt lồng'!BF$4:BF$4)</f>
        <v>0</v>
      </c>
      <c r="BG10" s="79">
        <f t="array" ref="BG10">SUMIFS('Cắt lồng'!$AH$327:$AH$515,'Cắt lồng'!$AA$327:$AA$515,'Cắt lồng'!$AA10,'Cắt lồng'!$AE$327:$AE$515,'Cắt lồng'!BG$4:BG$4)</f>
        <v>0</v>
      </c>
      <c r="BH10" s="78" t="e">
        <f t="shared" si="42"/>
        <v>#DIV/0!</v>
      </c>
      <c r="BI10" s="79">
        <f t="array" ref="BI10">SUMIFS('Cắt lồng'!$AC$327:$AC$515,'Cắt lồng'!$AA$327:$AA$515,'Cắt lồng'!$AA10,'Cắt lồng'!$AE$327:$AE$515,'Cắt lồng'!BI$4:BI$4)</f>
        <v>0</v>
      </c>
      <c r="BJ10" s="79">
        <f t="array" ref="BJ10">SUMIFS('Cắt lồng'!$AH$327:$AH$515,'Cắt lồng'!$AA$327:$AA$515,'Cắt lồng'!$AA10,'Cắt lồng'!$AE$327:$AE$515,'Cắt lồng'!BJ$4:BJ$4)</f>
        <v>0</v>
      </c>
      <c r="BK10" s="78" t="e">
        <f t="shared" si="43"/>
        <v>#DIV/0!</v>
      </c>
      <c r="BL10" s="79">
        <f t="array" ref="BL10">SUMIFS('Cắt lồng'!$AC$327:$AC$515,'Cắt lồng'!$AA$327:$AA$515,'Cắt lồng'!$AA10,'Cắt lồng'!$AE$327:$AE$515,'Cắt lồng'!BL$4:BL$4)</f>
        <v>0</v>
      </c>
      <c r="BM10" s="79">
        <f t="array" ref="BM10">SUMIFS('Cắt lồng'!$AH$327:$AH$515,'Cắt lồng'!$AA$327:$AA$515,'Cắt lồng'!$AA10,'Cắt lồng'!$AE$327:$AE$515,'Cắt lồng'!BM$4:BM$4)</f>
        <v>0</v>
      </c>
      <c r="BN10" s="78" t="e">
        <f t="shared" si="44"/>
        <v>#DIV/0!</v>
      </c>
      <c r="BO10" s="79">
        <f t="array" ref="BO10">SUMIFS('Cắt lồng'!$AC$327:$AC$515,'Cắt lồng'!$AA$327:$AA$515,'Cắt lồng'!$AA10,'Cắt lồng'!$AE$327:$AE$515,'Cắt lồng'!BO$4:BO$4)</f>
        <v>0</v>
      </c>
      <c r="BP10" s="79">
        <f t="array" ref="BP10">SUMIFS('Cắt lồng'!$AH$327:$AH$515,'Cắt lồng'!$AA$327:$AA$515,'Cắt lồng'!$AA10,'Cắt lồng'!$AE$327:$AE$515,'Cắt lồng'!BP$4:BP$4)</f>
        <v>0</v>
      </c>
      <c r="BQ10" s="78" t="e">
        <f t="shared" si="45"/>
        <v>#DIV/0!</v>
      </c>
      <c r="BR10" s="79">
        <f t="array" ref="BR10">SUMIFS('Cắt lồng'!$AC$327:$AC$515,'Cắt lồng'!$AA$327:$AA$515,'Cắt lồng'!$AA10,'Cắt lồng'!$AE$327:$AE$515,'Cắt lồng'!BR$4:BR$4)</f>
        <v>0</v>
      </c>
      <c r="BS10" s="79">
        <f t="array" ref="BS10">SUMIFS('Cắt lồng'!$AH$327:$AH$515,'Cắt lồng'!$AA$327:$AA$515,'Cắt lồng'!$AA10,'Cắt lồng'!$AE$327:$AE$515,'Cắt lồng'!BS$4:BS$4)</f>
        <v>0</v>
      </c>
      <c r="BT10" s="78" t="e">
        <f t="shared" si="46"/>
        <v>#DIV/0!</v>
      </c>
      <c r="BU10" s="79">
        <f t="array" ref="BU10">SUMIFS('Cắt lồng'!$AC$327:$AC$515,'Cắt lồng'!$AA$327:$AA$515,'Cắt lồng'!$AA10,'Cắt lồng'!$AE$327:$AE$515,'Cắt lồng'!BU$4:BU$4)</f>
        <v>0</v>
      </c>
      <c r="BV10" s="79">
        <f t="array" ref="BV10">SUMIFS('Cắt lồng'!$AH$327:$AH$515,'Cắt lồng'!$AA$327:$AA$515,'Cắt lồng'!$AA10,'Cắt lồng'!$AE$327:$AE$515,'Cắt lồng'!BV$4:BV$4)</f>
        <v>0</v>
      </c>
      <c r="BW10" s="78" t="e">
        <f t="shared" si="47"/>
        <v>#DIV/0!</v>
      </c>
      <c r="BX10" s="79">
        <f t="array" ref="BX10">SUMIFS('Cắt lồng'!$AC$327:$AC$515,'Cắt lồng'!$AA$327:$AA$515,'Cắt lồng'!$AA10,'Cắt lồng'!$AE$327:$AE$515,'Cắt lồng'!BX$4:BX$4)</f>
        <v>0</v>
      </c>
      <c r="BY10" s="79">
        <f t="array" ref="BY10">SUMIFS('Cắt lồng'!$AH$327:$AH$515,'Cắt lồng'!$AA$327:$AA$515,'Cắt lồng'!$AA10,'Cắt lồng'!$AE$327:$AE$515,'Cắt lồng'!BY$4:BY$4)</f>
        <v>0</v>
      </c>
      <c r="BZ10" s="78" t="e">
        <f t="shared" si="48"/>
        <v>#DIV/0!</v>
      </c>
      <c r="CA10" s="79">
        <f t="array" ref="CA10">SUMIFS('Cắt lồng'!$AC$327:$AC$515,'Cắt lồng'!$AA$327:$AA$515,'Cắt lồng'!$AA10,'Cắt lồng'!$AE$327:$AE$515,'Cắt lồng'!CA$4:CA$4)</f>
        <v>0</v>
      </c>
      <c r="CB10" s="79">
        <f t="array" ref="CB10">SUMIFS('Cắt lồng'!$AH$327:$AH$515,'Cắt lồng'!$AA$327:$AA$515,'Cắt lồng'!$AA10,'Cắt lồng'!$AE$327:$AE$515,'Cắt lồng'!CB$4:CB$4)</f>
        <v>0</v>
      </c>
      <c r="CC10" s="78" t="e">
        <f t="shared" si="49"/>
        <v>#DIV/0!</v>
      </c>
      <c r="CD10" s="79">
        <f t="array" ref="CD10">SUMIFS('Cắt lồng'!$AC$327:$AC$515,'Cắt lồng'!$AA$327:$AA$515,'Cắt lồng'!$AA10,'Cắt lồng'!$AE$327:$AE$515,'Cắt lồng'!CD$4:CD$4)</f>
        <v>0</v>
      </c>
      <c r="CE10" s="79">
        <f t="array" ref="CE10">SUMIFS('Cắt lồng'!$AH$327:$AH$515,'Cắt lồng'!$AA$327:$AA$515,'Cắt lồng'!$AA10,'Cắt lồng'!$AE$327:$AE$515,'Cắt lồng'!CE$4:CE$4)</f>
        <v>0</v>
      </c>
      <c r="CF10" s="78" t="e">
        <f t="shared" si="50"/>
        <v>#DIV/0!</v>
      </c>
      <c r="CG10" s="79">
        <f t="array" ref="CG10">SUMIFS('Cắt lồng'!$AC$327:$AC$515,'Cắt lồng'!$AA$327:$AA$515,'Cắt lồng'!$AA10,'Cắt lồng'!$AE$327:$AE$515,'Cắt lồng'!CG$4:CG$4)</f>
        <v>0</v>
      </c>
      <c r="CH10" s="79">
        <f t="array" ref="CH10">SUMIFS('Cắt lồng'!$AH$327:$AH$515,'Cắt lồng'!$AA$327:$AA$515,'Cắt lồng'!$AA10,'Cắt lồng'!$AE$327:$AE$515,'Cắt lồng'!CH$4:CH$4)</f>
        <v>0</v>
      </c>
      <c r="CI10" s="78" t="e">
        <f t="shared" si="51"/>
        <v>#DIV/0!</v>
      </c>
      <c r="CJ10" s="79">
        <f t="array" ref="CJ10">SUMIFS('Cắt lồng'!$AC$327:$AC$515,'Cắt lồng'!$AA$327:$AA$515,'Cắt lồng'!$AA10,'Cắt lồng'!$AE$327:$AE$515,'Cắt lồng'!CJ$4:CJ$4)</f>
        <v>0</v>
      </c>
      <c r="CK10" s="79">
        <f t="array" ref="CK10">SUMIFS('Cắt lồng'!$AH$327:$AH$515,'Cắt lồng'!$AA$327:$AA$515,'Cắt lồng'!$AA10,'Cắt lồng'!$AE$327:$AE$515,'Cắt lồng'!CK$4:CK$4)</f>
        <v>0</v>
      </c>
      <c r="CL10" s="78" t="e">
        <f t="shared" si="52"/>
        <v>#DIV/0!</v>
      </c>
      <c r="CM10" s="79">
        <f t="array" ref="CM10">SUMIFS('Cắt lồng'!$AC$327:$AC$515,'Cắt lồng'!$AA$327:$AA$515,'Cắt lồng'!$AA10,'Cắt lồng'!$AE$327:$AE$515,'Cắt lồng'!CM$4:CM$4)</f>
        <v>0</v>
      </c>
      <c r="CN10" s="79">
        <f t="array" ref="CN10">SUMIFS('Cắt lồng'!$AH$327:$AH$515,'Cắt lồng'!$AA$327:$AA$515,'Cắt lồng'!$AA10,'Cắt lồng'!$AE$327:$AE$515,'Cắt lồng'!CN$4:CN$4)</f>
        <v>0</v>
      </c>
      <c r="CO10" s="78" t="e">
        <f t="shared" si="53"/>
        <v>#DIV/0!</v>
      </c>
      <c r="CP10" s="79">
        <f t="array" ref="CP10">SUMIFS('Cắt lồng'!$AC$327:$AC$515,'Cắt lồng'!$AA$327:$AA$515,'Cắt lồng'!$AA10,'Cắt lồng'!$AE$327:$AE$515,'Cắt lồng'!CP$4:CP$4)</f>
        <v>0</v>
      </c>
      <c r="CQ10" s="79">
        <f t="array" ref="CQ10">SUMIFS('Cắt lồng'!$AH$327:$AH$515,'Cắt lồng'!$AA$327:$AA$515,'Cắt lồng'!$AA10,'Cắt lồng'!$AE$327:$AE$515,'Cắt lồng'!CQ$4:CQ$4)</f>
        <v>0</v>
      </c>
      <c r="CR10" s="78" t="e">
        <f t="shared" si="54"/>
        <v>#DIV/0!</v>
      </c>
      <c r="CS10" s="79">
        <f t="array" ref="CS10">SUMIFS('Cắt lồng'!$AC$327:$AC$515,'Cắt lồng'!$AA$327:$AA$515,'Cắt lồng'!$AA10,'Cắt lồng'!$AE$327:$AE$515,'Cắt lồng'!CS$4:CS$4)</f>
        <v>0</v>
      </c>
      <c r="CT10" s="79">
        <f t="array" ref="CT10">SUMIFS('Cắt lồng'!$AH$327:$AH$515,'Cắt lồng'!$AA$327:$AA$515,'Cắt lồng'!$AA10,'Cắt lồng'!$AE$327:$AE$515,'Cắt lồng'!CT$4:CT$4)</f>
        <v>0</v>
      </c>
      <c r="CU10" s="78" t="e">
        <f t="shared" si="55"/>
        <v>#DIV/0!</v>
      </c>
      <c r="CV10" s="79">
        <f t="array" ref="CV10">SUMIFS('Cắt lồng'!$AC$327:$AC$515,'Cắt lồng'!$AA$327:$AA$515,'Cắt lồng'!$AA10,'Cắt lồng'!$AE$327:$AE$515,'Cắt lồng'!CV$4:CV$4)</f>
        <v>0</v>
      </c>
      <c r="CW10" s="79">
        <f t="array" ref="CW10">SUMIFS('Cắt lồng'!$AH$327:$AH$515,'Cắt lồng'!$AA$327:$AA$515,'Cắt lồng'!$AA10,'Cắt lồng'!$AE$327:$AE$515,'Cắt lồng'!CW$4:CW$4)</f>
        <v>0</v>
      </c>
      <c r="CX10" s="78" t="e">
        <f t="shared" si="56"/>
        <v>#DIV/0!</v>
      </c>
      <c r="CY10" s="79">
        <f t="array" ref="CY10">SUMIFS('Cắt lồng'!$AC$327:$AC$515,'Cắt lồng'!$AA$327:$AA$515,'Cắt lồng'!$AA10,'Cắt lồng'!$AE$327:$AE$515,'Cắt lồng'!CY$4:CY$4)</f>
        <v>0</v>
      </c>
      <c r="CZ10" s="79">
        <f t="array" ref="CZ10">SUMIFS('Cắt lồng'!$AH$327:$AH$515,'Cắt lồng'!$AA$327:$AA$515,'Cắt lồng'!$AA10,'Cắt lồng'!$AE$327:$AE$515,'Cắt lồng'!CZ$4:CZ$4)</f>
        <v>0</v>
      </c>
      <c r="DA10" s="78" t="e">
        <f t="shared" si="57"/>
        <v>#DIV/0!</v>
      </c>
      <c r="DB10" s="79">
        <f t="array" ref="DB10">SUMIFS('Cắt lồng'!$AC$327:$AC$515,'Cắt lồng'!$AA$327:$AA$515,'Cắt lồng'!$AA10,'Cắt lồng'!$AE$327:$AE$515,'Cắt lồng'!DB$4:DB$4)</f>
        <v>0</v>
      </c>
      <c r="DC10" s="79">
        <f t="array" ref="DC10">SUMIFS('Cắt lồng'!$AH$327:$AH$515,'Cắt lồng'!$AA$327:$AA$515,'Cắt lồng'!$AA10,'Cắt lồng'!$AE$327:$AE$515,'Cắt lồng'!DC$4:DC$4)</f>
        <v>0</v>
      </c>
      <c r="DD10" s="78" t="e">
        <f t="shared" si="58"/>
        <v>#DIV/0!</v>
      </c>
      <c r="DE10" s="79">
        <f t="array" ref="DE10">SUMIFS('Cắt lồng'!$AC$327:$AC$515,'Cắt lồng'!$AA$327:$AA$515,'Cắt lồng'!$AA10,'Cắt lồng'!$AE$327:$AE$515,'Cắt lồng'!DE$4:DE$4)</f>
        <v>0</v>
      </c>
      <c r="DF10" s="79">
        <f t="array" ref="DF10">SUMIFS('Cắt lồng'!$AH$327:$AH$515,'Cắt lồng'!$AA$327:$AA$515,'Cắt lồng'!$AA10,'Cắt lồng'!$AE$327:$AE$515,'Cắt lồng'!DF$4:DF$4)</f>
        <v>0</v>
      </c>
      <c r="DG10" s="78" t="e">
        <f t="shared" si="59"/>
        <v>#DIV/0!</v>
      </c>
      <c r="DH10" s="79">
        <f t="array" ref="DH10">SUMIFS('Cắt lồng'!$AC$327:$AC$515,'Cắt lồng'!$AA$327:$AA$515,'Cắt lồng'!$AA10,'Cắt lồng'!$AE$327:$AE$515,'Cắt lồng'!DH$4:DH$4)</f>
        <v>0</v>
      </c>
      <c r="DI10" s="79">
        <f t="array" ref="DI10">SUMIFS('Cắt lồng'!$AH$327:$AH$515,'Cắt lồng'!$AA$327:$AA$515,'Cắt lồng'!$AA10,'Cắt lồng'!$AE$327:$AE$515,'Cắt lồng'!DI$4:DI$4)</f>
        <v>0</v>
      </c>
      <c r="DJ10" s="78" t="e">
        <f t="shared" si="60"/>
        <v>#DIV/0!</v>
      </c>
      <c r="DK10" s="79">
        <f t="array" ref="DK10">SUMIFS('Cắt lồng'!$AC$327:$AC$515,'Cắt lồng'!$AA$327:$AA$515,'Cắt lồng'!$AA10,'Cắt lồng'!$AE$327:$AE$515,'Cắt lồng'!DK$4:DK$4)</f>
        <v>0</v>
      </c>
      <c r="DL10" s="79">
        <f t="array" ref="DL10">SUMIFS('Cắt lồng'!$AH$327:$AH$515,'Cắt lồng'!$AA$327:$AA$515,'Cắt lồng'!$AA10,'Cắt lồng'!$AE$327:$AE$515,'Cắt lồng'!DL$4:DL$4)</f>
        <v>0</v>
      </c>
      <c r="DM10" s="78" t="e">
        <f t="shared" si="61"/>
        <v>#DIV/0!</v>
      </c>
      <c r="DN10" s="79">
        <f>SUMIFS('Cắt lồng'!$AC$327:$AC$515,'Cắt lồng'!$AA$327:$AA$515,'Cắt lồng'!$AA10,'Cắt lồng'!$AE$327:$AE$515,'Cắt lồng'!DN$4:DN$4)</f>
        <v>0</v>
      </c>
      <c r="DO10" s="79">
        <f t="array" ref="DO10">SUMIFS('Cắt lồng'!$AH$327:$AH$515,'Cắt lồng'!$AA$327:$AA$515,'Cắt lồng'!$AA10,'Cắt lồng'!$AE$327:$AE$515,'Cắt lồng'!DO$4:DO$4)</f>
        <v>0</v>
      </c>
      <c r="DP10" s="78" t="e">
        <f t="shared" si="62"/>
        <v>#DIV/0!</v>
      </c>
      <c r="DQ10" s="79">
        <f t="array" ref="DQ10">SUMIFS('Cắt lồng'!$AC$327:$AC$515,'Cắt lồng'!$AA$327:$AA$515,'Cắt lồng'!$AA10,'Cắt lồng'!$AE$327:$AE$515,'Cắt lồng'!DQ$4:DQ$4)</f>
        <v>0</v>
      </c>
      <c r="DR10" s="79">
        <f t="array" ref="DR10">SUMIFS('Cắt lồng'!$AH$327:$AH$515,'Cắt lồng'!$AA$327:$AA$515,'Cắt lồng'!$AA10,'Cắt lồng'!$AE$327:$AE$515,'Cắt lồng'!DR$4:DR$4)</f>
        <v>0</v>
      </c>
      <c r="DS10" s="78" t="e">
        <f t="shared" si="63"/>
        <v>#DIV/0!</v>
      </c>
      <c r="DT10" s="79">
        <f t="array" ref="DT10">SUMIFS('Cắt lồng'!$AC$327:$AC$515,'Cắt lồng'!$AA$327:$AA$515,'Cắt lồng'!$AA10,'Cắt lồng'!$AE$327:$AE$515,'Cắt lồng'!DT$4:DT$4)</f>
        <v>0</v>
      </c>
      <c r="DU10" s="79">
        <f t="array" ref="DU10">SUMIFS('Cắt lồng'!$AH$327:$AH$515,'Cắt lồng'!$AA$327:$AA$515,'Cắt lồng'!$AA10,'Cắt lồng'!$AE$327:$AE$515,'Cắt lồng'!DU$4:DU$4)</f>
        <v>0</v>
      </c>
      <c r="DV10" s="78" t="e">
        <f t="shared" si="64"/>
        <v>#DIV/0!</v>
      </c>
      <c r="DW10" s="79">
        <f t="array" ref="DW10">SUMIFS('Cắt lồng'!$AC$327:$AC$515,'Cắt lồng'!$AA$327:$AA$515,'Cắt lồng'!$AA10,'Cắt lồng'!$AE$327:$AE$515,'Cắt lồng'!DW$4:DW$4)</f>
        <v>0</v>
      </c>
      <c r="DX10" s="79">
        <f t="array" ref="DX10">SUMIFS('Cắt lồng'!$AH$327:$AH$515,'Cắt lồng'!$AA$327:$AA$515,'Cắt lồng'!$AA10,'Cắt lồng'!$AE$327:$AE$515,'Cắt lồng'!DX$4:DX$4)</f>
        <v>0</v>
      </c>
      <c r="DY10" s="78" t="e">
        <f t="shared" si="65"/>
        <v>#DIV/0!</v>
      </c>
      <c r="DZ10" s="79">
        <f t="array" ref="DZ10">SUMIFS('Cắt lồng'!$AC$327:$AC$515,'Cắt lồng'!$AA$327:$AA$515,'Cắt lồng'!$AA10,'Cắt lồng'!$AE$327:$AE$515,'Cắt lồng'!DZ$4:DZ$4)</f>
        <v>0</v>
      </c>
      <c r="EA10" s="79">
        <f t="array" ref="EA10">SUMIFS('Cắt lồng'!$AH$327:$AH$515,'Cắt lồng'!$AA$327:$AA$515,'Cắt lồng'!$AA10,'Cắt lồng'!$AE$327:$AE$515,'Cắt lồng'!EA$4:EA$4)</f>
        <v>0</v>
      </c>
      <c r="EB10" s="78" t="e">
        <f t="shared" si="66"/>
        <v>#DIV/0!</v>
      </c>
      <c r="EC10" s="79">
        <f t="array" ref="EC10">SUMIFS('Cắt lồng'!$AC$327:$AC$515,'Cắt lồng'!$AA$327:$AA$515,'Cắt lồng'!$AA10,'Cắt lồng'!$AE$327:$AE$515,'Cắt lồng'!EC$4:EC$4)</f>
        <v>0</v>
      </c>
      <c r="ED10" s="79">
        <f t="array" ref="ED10">SUMIFS('Cắt lồng'!$AH$327:$AH$515,'Cắt lồng'!$AA$327:$AA$515,'Cắt lồng'!$AA10,'Cắt lồng'!$AE$327:$AE$515,'Cắt lồng'!ED$4:ED$4)</f>
        <v>0</v>
      </c>
      <c r="EE10" s="78" t="e">
        <f t="shared" si="67"/>
        <v>#DIV/0!</v>
      </c>
      <c r="EF10" s="79">
        <f t="array" ref="EF10">SUMIFS('Cắt lồng'!$AC$327:$AC$515,'Cắt lồng'!$AA$327:$AA$515,'Cắt lồng'!$AA10,'Cắt lồng'!$AE$327:$AE$515,'Cắt lồng'!EF$4:EF$4)</f>
        <v>0</v>
      </c>
      <c r="EG10" s="79">
        <f t="array" ref="EG10">SUMIFS('Cắt lồng'!$AH$327:$AH$515,'Cắt lồng'!$AA$327:$AA$515,'Cắt lồng'!$AA10,'Cắt lồng'!$AE$327:$AE$515,'Cắt lồng'!EG$4:EG$4)</f>
        <v>0</v>
      </c>
      <c r="EH10" s="78" t="e">
        <f t="shared" si="68"/>
        <v>#DIV/0!</v>
      </c>
      <c r="EI10" s="79">
        <f t="array" ref="EI10">SUMIFS('Cắt lồng'!$AC$327:$AC$515,'Cắt lồng'!$AA$327:$AA$515,'Cắt lồng'!$AA10,'Cắt lồng'!$AE$327:$AE$515,'Cắt lồng'!EI$4:EI$4)</f>
        <v>0</v>
      </c>
      <c r="EJ10" s="79">
        <f t="array" ref="EJ10">SUMIFS('Cắt lồng'!$AH$327:$AH$515,'Cắt lồng'!$AA$327:$AA$515,'Cắt lồng'!$AA10,'Cắt lồng'!$AE$327:$AE$515,'Cắt lồng'!EJ$4:EJ$4)</f>
        <v>0</v>
      </c>
      <c r="EK10" s="78" t="e">
        <f t="shared" si="69"/>
        <v>#DIV/0!</v>
      </c>
    </row>
    <row r="11" spans="1:141" s="12" customFormat="1" ht="14.25" hidden="1" customHeight="1">
      <c r="A11" s="25">
        <v>6</v>
      </c>
      <c r="B11" s="26"/>
      <c r="C11" s="205" t="s">
        <v>280</v>
      </c>
      <c r="D11" s="201" t="e">
        <f>+AB6+AB7+AB8+AB9</f>
        <v>#VALUE!</v>
      </c>
      <c r="E11" s="200">
        <f>+AC6+AC7+AC8+AC9</f>
        <v>46812</v>
      </c>
      <c r="F11" s="199"/>
      <c r="G11" s="82">
        <f t="shared" si="1"/>
        <v>0</v>
      </c>
      <c r="H11" s="81">
        <f t="shared" si="2"/>
        <v>0</v>
      </c>
      <c r="I11" s="19">
        <f t="shared" si="3"/>
        <v>0</v>
      </c>
      <c r="J11" s="11">
        <f t="shared" si="4"/>
        <v>0</v>
      </c>
      <c r="K11" s="19">
        <f t="shared" si="5"/>
        <v>0</v>
      </c>
      <c r="L11" s="19">
        <f t="shared" si="6"/>
        <v>0</v>
      </c>
      <c r="M11" s="19">
        <f t="shared" si="7"/>
        <v>0</v>
      </c>
      <c r="N11" s="19">
        <f t="shared" si="8"/>
        <v>0</v>
      </c>
      <c r="O11" s="19">
        <f t="shared" si="9"/>
        <v>0</v>
      </c>
      <c r="P11" s="19">
        <f t="shared" si="10"/>
        <v>0</v>
      </c>
      <c r="Q11" s="19">
        <f t="shared" si="11"/>
        <v>0</v>
      </c>
      <c r="R11" s="19">
        <f t="shared" si="12"/>
        <v>0</v>
      </c>
      <c r="S11" s="19">
        <f t="shared" si="13"/>
        <v>0</v>
      </c>
      <c r="T11" s="19">
        <f t="shared" si="14"/>
        <v>0</v>
      </c>
      <c r="U11" s="19">
        <f t="shared" si="15"/>
        <v>0</v>
      </c>
      <c r="V11" s="19">
        <f t="shared" si="16"/>
        <v>0</v>
      </c>
      <c r="W11" s="19">
        <f t="shared" si="17"/>
        <v>0</v>
      </c>
      <c r="X11" s="19">
        <f t="shared" si="18"/>
        <v>0</v>
      </c>
      <c r="Y11" s="19">
        <f t="shared" si="19"/>
        <v>0</v>
      </c>
      <c r="Z11" s="19">
        <f t="shared" si="20"/>
        <v>0</v>
      </c>
      <c r="AA11" s="20"/>
      <c r="AB11" s="129">
        <f t="shared" si="21"/>
        <v>0</v>
      </c>
      <c r="AC11" s="129">
        <f t="shared" si="22"/>
        <v>0</v>
      </c>
      <c r="AD11" s="128" t="e">
        <f t="shared" si="23"/>
        <v>#DIV/0!</v>
      </c>
      <c r="AE11" s="42"/>
      <c r="AF11" s="127" t="e">
        <f t="shared" si="24"/>
        <v>#DIV/0!</v>
      </c>
      <c r="AG11" s="127"/>
      <c r="AH11" s="127">
        <f t="shared" si="25"/>
        <v>0</v>
      </c>
      <c r="AI11" s="54" t="e">
        <f t="shared" si="26"/>
        <v>#DIV/0!</v>
      </c>
      <c r="AJ11" s="25">
        <f t="shared" si="27"/>
        <v>0</v>
      </c>
      <c r="AK11" s="25">
        <f t="shared" si="28"/>
        <v>0</v>
      </c>
      <c r="AL11" s="25">
        <f t="shared" si="29"/>
        <v>0</v>
      </c>
      <c r="AM11" s="20">
        <f t="shared" si="30"/>
        <v>0</v>
      </c>
      <c r="AN11" s="20">
        <f t="shared" si="31"/>
        <v>0</v>
      </c>
      <c r="AO11" s="20">
        <f t="shared" si="32"/>
        <v>0</v>
      </c>
      <c r="AP11" s="20">
        <f t="shared" si="33"/>
        <v>0</v>
      </c>
      <c r="AQ11" s="20">
        <f t="shared" si="34"/>
        <v>0</v>
      </c>
      <c r="AR11" s="20">
        <f t="shared" si="35"/>
        <v>0</v>
      </c>
      <c r="AS11" s="20">
        <f t="shared" si="36"/>
        <v>0</v>
      </c>
      <c r="AT11" s="20">
        <f t="shared" si="37"/>
        <v>0</v>
      </c>
      <c r="AV11" s="79">
        <f t="shared" si="38"/>
        <v>0</v>
      </c>
      <c r="AW11" s="79">
        <f t="array" ref="AW11">SUMIFS('Cắt lồng'!$AC$327:$AC$515,'Cắt lồng'!$AA$327:$AA$515,'Cắt lồng'!$AA11,'Cắt lồng'!$AE$327:$AE$515,'Cắt lồng'!AW$4:AW$4)</f>
        <v>0</v>
      </c>
      <c r="AX11" s="79">
        <f t="array" ref="AX11">SUMIFS('Cắt lồng'!$AH$327:$AH$515,'Cắt lồng'!$AA$327:$AA$515,'Cắt lồng'!$AA11,'Cắt lồng'!$AE$327:$AE$515,'Cắt lồng'!AX$4:AX$4)</f>
        <v>0</v>
      </c>
      <c r="AY11" s="78" t="e">
        <f t="shared" si="39"/>
        <v>#DIV/0!</v>
      </c>
      <c r="AZ11" s="79">
        <f t="array" ref="AZ11">SUMIFS('Cắt lồng'!$AC$327:$AC$515,'Cắt lồng'!$AA$327:$AA$515,'Cắt lồng'!$AA11,'Cắt lồng'!$AE$327:$AE$515,'Cắt lồng'!AZ$4:AZ$4)</f>
        <v>0</v>
      </c>
      <c r="BA11" s="79">
        <f t="array" ref="BA11">SUMIFS('Cắt lồng'!$AH$327:$AH$515,'Cắt lồng'!$AA$327:$AA$515,'Cắt lồng'!$AA11,'Cắt lồng'!$AE$327:$AE$515,'Cắt lồng'!BA$4:BA$4)</f>
        <v>0</v>
      </c>
      <c r="BB11" s="78" t="e">
        <f t="shared" si="40"/>
        <v>#DIV/0!</v>
      </c>
      <c r="BC11" s="79">
        <f t="array" ref="BC11">SUMIFS('Cắt lồng'!$AC$327:$AC$515,'Cắt lồng'!$AA$327:$AA$515,'Cắt lồng'!$AA11,'Cắt lồng'!$AE$327:$AE$515,'Cắt lồng'!BC$4:BC$4)</f>
        <v>0</v>
      </c>
      <c r="BD11" s="79">
        <f t="array" ref="BD11">SUMIFS('Cắt lồng'!$AH$327:$AH$515,'Cắt lồng'!$AA$327:$AA$515,'Cắt lồng'!$AA11,'Cắt lồng'!$AE$327:$AE$515,'Cắt lồng'!BD$4:BD$4)</f>
        <v>0</v>
      </c>
      <c r="BE11" s="78" t="e">
        <f t="shared" si="41"/>
        <v>#DIV/0!</v>
      </c>
      <c r="BF11" s="79">
        <f t="array" ref="BF11">SUMIFS('Cắt lồng'!$AC$327:$AC$515,'Cắt lồng'!$AA$327:$AA$515,'Cắt lồng'!$AA11,'Cắt lồng'!$AE$327:$AE$515,'Cắt lồng'!BF$4:BF$4)</f>
        <v>0</v>
      </c>
      <c r="BG11" s="79">
        <f t="array" ref="BG11">SUMIFS('Cắt lồng'!$AH$327:$AH$515,'Cắt lồng'!$AA$327:$AA$515,'Cắt lồng'!$AA11,'Cắt lồng'!$AE$327:$AE$515,'Cắt lồng'!BG$4:BG$4)</f>
        <v>0</v>
      </c>
      <c r="BH11" s="78" t="e">
        <f t="shared" si="42"/>
        <v>#DIV/0!</v>
      </c>
      <c r="BI11" s="79">
        <f t="array" ref="BI11">SUMIFS('Cắt lồng'!$AC$327:$AC$515,'Cắt lồng'!$AA$327:$AA$515,'Cắt lồng'!$AA11,'Cắt lồng'!$AE$327:$AE$515,'Cắt lồng'!BI$4:BI$4)</f>
        <v>0</v>
      </c>
      <c r="BJ11" s="79">
        <f t="array" ref="BJ11">SUMIFS('Cắt lồng'!$AH$327:$AH$515,'Cắt lồng'!$AA$327:$AA$515,'Cắt lồng'!$AA11,'Cắt lồng'!$AE$327:$AE$515,'Cắt lồng'!BJ$4:BJ$4)</f>
        <v>0</v>
      </c>
      <c r="BK11" s="78" t="e">
        <f t="shared" si="43"/>
        <v>#DIV/0!</v>
      </c>
      <c r="BL11" s="79">
        <f t="array" ref="BL11">SUMIFS('Cắt lồng'!$AC$327:$AC$515,'Cắt lồng'!$AA$327:$AA$515,'Cắt lồng'!$AA11,'Cắt lồng'!$AE$327:$AE$515,'Cắt lồng'!BL$4:BL$4)</f>
        <v>0</v>
      </c>
      <c r="BM11" s="79">
        <f t="array" ref="BM11">SUMIFS('Cắt lồng'!$AH$327:$AH$515,'Cắt lồng'!$AA$327:$AA$515,'Cắt lồng'!$AA11,'Cắt lồng'!$AE$327:$AE$515,'Cắt lồng'!BM$4:BM$4)</f>
        <v>0</v>
      </c>
      <c r="BN11" s="78" t="e">
        <f t="shared" si="44"/>
        <v>#DIV/0!</v>
      </c>
      <c r="BO11" s="79">
        <f t="array" ref="BO11">SUMIFS('Cắt lồng'!$AC$327:$AC$515,'Cắt lồng'!$AA$327:$AA$515,'Cắt lồng'!$AA11,'Cắt lồng'!$AE$327:$AE$515,'Cắt lồng'!BO$4:BO$4)</f>
        <v>0</v>
      </c>
      <c r="BP11" s="79">
        <f t="array" ref="BP11">SUMIFS('Cắt lồng'!$AH$327:$AH$515,'Cắt lồng'!$AA$327:$AA$515,'Cắt lồng'!$AA11,'Cắt lồng'!$AE$327:$AE$515,'Cắt lồng'!BP$4:BP$4)</f>
        <v>0</v>
      </c>
      <c r="BQ11" s="78" t="e">
        <f t="shared" si="45"/>
        <v>#DIV/0!</v>
      </c>
      <c r="BR11" s="79">
        <f t="array" ref="BR11">SUMIFS('Cắt lồng'!$AC$327:$AC$515,'Cắt lồng'!$AA$327:$AA$515,'Cắt lồng'!$AA11,'Cắt lồng'!$AE$327:$AE$515,'Cắt lồng'!BR$4:BR$4)</f>
        <v>0</v>
      </c>
      <c r="BS11" s="79">
        <f t="array" ref="BS11">SUMIFS('Cắt lồng'!$AH$327:$AH$515,'Cắt lồng'!$AA$327:$AA$515,'Cắt lồng'!$AA11,'Cắt lồng'!$AE$327:$AE$515,'Cắt lồng'!BS$4:BS$4)</f>
        <v>0</v>
      </c>
      <c r="BT11" s="78" t="e">
        <f t="shared" si="46"/>
        <v>#DIV/0!</v>
      </c>
      <c r="BU11" s="79">
        <f t="array" ref="BU11">SUMIFS('Cắt lồng'!$AC$327:$AC$515,'Cắt lồng'!$AA$327:$AA$515,'Cắt lồng'!$AA11,'Cắt lồng'!$AE$327:$AE$515,'Cắt lồng'!BU$4:BU$4)</f>
        <v>0</v>
      </c>
      <c r="BV11" s="79">
        <f t="array" ref="BV11">SUMIFS('Cắt lồng'!$AH$327:$AH$515,'Cắt lồng'!$AA$327:$AA$515,'Cắt lồng'!$AA11,'Cắt lồng'!$AE$327:$AE$515,'Cắt lồng'!BV$4:BV$4)</f>
        <v>0</v>
      </c>
      <c r="BW11" s="78" t="e">
        <f t="shared" si="47"/>
        <v>#DIV/0!</v>
      </c>
      <c r="BX11" s="79">
        <f t="array" ref="BX11">SUMIFS('Cắt lồng'!$AC$327:$AC$515,'Cắt lồng'!$AA$327:$AA$515,'Cắt lồng'!$AA11,'Cắt lồng'!$AE$327:$AE$515,'Cắt lồng'!BX$4:BX$4)</f>
        <v>0</v>
      </c>
      <c r="BY11" s="79">
        <f t="array" ref="BY11">SUMIFS('Cắt lồng'!$AH$327:$AH$515,'Cắt lồng'!$AA$327:$AA$515,'Cắt lồng'!$AA11,'Cắt lồng'!$AE$327:$AE$515,'Cắt lồng'!BY$4:BY$4)</f>
        <v>0</v>
      </c>
      <c r="BZ11" s="78" t="e">
        <f t="shared" si="48"/>
        <v>#DIV/0!</v>
      </c>
      <c r="CA11" s="79">
        <f t="array" ref="CA11">SUMIFS('Cắt lồng'!$AC$327:$AC$515,'Cắt lồng'!$AA$327:$AA$515,'Cắt lồng'!$AA11,'Cắt lồng'!$AE$327:$AE$515,'Cắt lồng'!CA$4:CA$4)</f>
        <v>0</v>
      </c>
      <c r="CB11" s="79">
        <f t="array" ref="CB11">SUMIFS('Cắt lồng'!$AH$327:$AH$515,'Cắt lồng'!$AA$327:$AA$515,'Cắt lồng'!$AA11,'Cắt lồng'!$AE$327:$AE$515,'Cắt lồng'!CB$4:CB$4)</f>
        <v>0</v>
      </c>
      <c r="CC11" s="78" t="e">
        <f t="shared" si="49"/>
        <v>#DIV/0!</v>
      </c>
      <c r="CD11" s="79">
        <f t="array" ref="CD11">SUMIFS('Cắt lồng'!$AC$327:$AC$515,'Cắt lồng'!$AA$327:$AA$515,'Cắt lồng'!$AA11,'Cắt lồng'!$AE$327:$AE$515,'Cắt lồng'!CD$4:CD$4)</f>
        <v>0</v>
      </c>
      <c r="CE11" s="79">
        <f t="array" ref="CE11">SUMIFS('Cắt lồng'!$AH$327:$AH$515,'Cắt lồng'!$AA$327:$AA$515,'Cắt lồng'!$AA11,'Cắt lồng'!$AE$327:$AE$515,'Cắt lồng'!CE$4:CE$4)</f>
        <v>0</v>
      </c>
      <c r="CF11" s="78" t="e">
        <f t="shared" si="50"/>
        <v>#DIV/0!</v>
      </c>
      <c r="CG11" s="79">
        <f t="array" ref="CG11">SUMIFS('Cắt lồng'!$AC$327:$AC$515,'Cắt lồng'!$AA$327:$AA$515,'Cắt lồng'!$AA11,'Cắt lồng'!$AE$327:$AE$515,'Cắt lồng'!CG$4:CG$4)</f>
        <v>0</v>
      </c>
      <c r="CH11" s="79">
        <f t="array" ref="CH11">SUMIFS('Cắt lồng'!$AH$327:$AH$515,'Cắt lồng'!$AA$327:$AA$515,'Cắt lồng'!$AA11,'Cắt lồng'!$AE$327:$AE$515,'Cắt lồng'!CH$4:CH$4)</f>
        <v>0</v>
      </c>
      <c r="CI11" s="78" t="e">
        <f t="shared" si="51"/>
        <v>#DIV/0!</v>
      </c>
      <c r="CJ11" s="79">
        <f t="array" ref="CJ11">SUMIFS('Cắt lồng'!$AC$327:$AC$515,'Cắt lồng'!$AA$327:$AA$515,'Cắt lồng'!$AA11,'Cắt lồng'!$AE$327:$AE$515,'Cắt lồng'!CJ$4:CJ$4)</f>
        <v>0</v>
      </c>
      <c r="CK11" s="79">
        <f t="array" ref="CK11">SUMIFS('Cắt lồng'!$AH$327:$AH$515,'Cắt lồng'!$AA$327:$AA$515,'Cắt lồng'!$AA11,'Cắt lồng'!$AE$327:$AE$515,'Cắt lồng'!CK$4:CK$4)</f>
        <v>0</v>
      </c>
      <c r="CL11" s="78" t="e">
        <f t="shared" si="52"/>
        <v>#DIV/0!</v>
      </c>
      <c r="CM11" s="79">
        <f t="array" ref="CM11">SUMIFS('Cắt lồng'!$AC$327:$AC$515,'Cắt lồng'!$AA$327:$AA$515,'Cắt lồng'!$AA11,'Cắt lồng'!$AE$327:$AE$515,'Cắt lồng'!CM$4:CM$4)</f>
        <v>0</v>
      </c>
      <c r="CN11" s="79">
        <f t="array" ref="CN11">SUMIFS('Cắt lồng'!$AH$327:$AH$515,'Cắt lồng'!$AA$327:$AA$515,'Cắt lồng'!$AA11,'Cắt lồng'!$AE$327:$AE$515,'Cắt lồng'!CN$4:CN$4)</f>
        <v>0</v>
      </c>
      <c r="CO11" s="78" t="e">
        <f t="shared" si="53"/>
        <v>#DIV/0!</v>
      </c>
      <c r="CP11" s="79">
        <f t="array" ref="CP11">SUMIFS('Cắt lồng'!$AC$327:$AC$515,'Cắt lồng'!$AA$327:$AA$515,'Cắt lồng'!$AA11,'Cắt lồng'!$AE$327:$AE$515,'Cắt lồng'!CP$4:CP$4)</f>
        <v>0</v>
      </c>
      <c r="CQ11" s="79">
        <f t="array" ref="CQ11">SUMIFS('Cắt lồng'!$AH$327:$AH$515,'Cắt lồng'!$AA$327:$AA$515,'Cắt lồng'!$AA11,'Cắt lồng'!$AE$327:$AE$515,'Cắt lồng'!CQ$4:CQ$4)</f>
        <v>0</v>
      </c>
      <c r="CR11" s="78" t="e">
        <f t="shared" si="54"/>
        <v>#DIV/0!</v>
      </c>
      <c r="CS11" s="79">
        <f t="array" ref="CS11">SUMIFS('Cắt lồng'!$AC$327:$AC$515,'Cắt lồng'!$AA$327:$AA$515,'Cắt lồng'!$AA11,'Cắt lồng'!$AE$327:$AE$515,'Cắt lồng'!CS$4:CS$4)</f>
        <v>0</v>
      </c>
      <c r="CT11" s="79">
        <f t="array" ref="CT11">SUMIFS('Cắt lồng'!$AH$327:$AH$515,'Cắt lồng'!$AA$327:$AA$515,'Cắt lồng'!$AA11,'Cắt lồng'!$AE$327:$AE$515,'Cắt lồng'!CT$4:CT$4)</f>
        <v>0</v>
      </c>
      <c r="CU11" s="78" t="e">
        <f t="shared" si="55"/>
        <v>#DIV/0!</v>
      </c>
      <c r="CV11" s="79">
        <f t="array" ref="CV11">SUMIFS('Cắt lồng'!$AC$327:$AC$515,'Cắt lồng'!$AA$327:$AA$515,'Cắt lồng'!$AA11,'Cắt lồng'!$AE$327:$AE$515,'Cắt lồng'!CV$4:CV$4)</f>
        <v>0</v>
      </c>
      <c r="CW11" s="79">
        <f t="array" ref="CW11">SUMIFS('Cắt lồng'!$AH$327:$AH$515,'Cắt lồng'!$AA$327:$AA$515,'Cắt lồng'!$AA11,'Cắt lồng'!$AE$327:$AE$515,'Cắt lồng'!CW$4:CW$4)</f>
        <v>0</v>
      </c>
      <c r="CX11" s="78" t="e">
        <f t="shared" si="56"/>
        <v>#DIV/0!</v>
      </c>
      <c r="CY11" s="79">
        <f t="array" ref="CY11">SUMIFS('Cắt lồng'!$AC$327:$AC$515,'Cắt lồng'!$AA$327:$AA$515,'Cắt lồng'!$AA11,'Cắt lồng'!$AE$327:$AE$515,'Cắt lồng'!CY$4:CY$4)</f>
        <v>0</v>
      </c>
      <c r="CZ11" s="79">
        <f t="array" ref="CZ11">SUMIFS('Cắt lồng'!$AH$327:$AH$515,'Cắt lồng'!$AA$327:$AA$515,'Cắt lồng'!$AA11,'Cắt lồng'!$AE$327:$AE$515,'Cắt lồng'!CZ$4:CZ$4)</f>
        <v>0</v>
      </c>
      <c r="DA11" s="78" t="e">
        <f t="shared" si="57"/>
        <v>#DIV/0!</v>
      </c>
      <c r="DB11" s="79">
        <f t="array" ref="DB11">SUMIFS('Cắt lồng'!$AC$327:$AC$515,'Cắt lồng'!$AA$327:$AA$515,'Cắt lồng'!$AA11,'Cắt lồng'!$AE$327:$AE$515,'Cắt lồng'!DB$4:DB$4)</f>
        <v>0</v>
      </c>
      <c r="DC11" s="79">
        <f t="array" ref="DC11">SUMIFS('Cắt lồng'!$AH$327:$AH$515,'Cắt lồng'!$AA$327:$AA$515,'Cắt lồng'!$AA11,'Cắt lồng'!$AE$327:$AE$515,'Cắt lồng'!DC$4:DC$4)</f>
        <v>0</v>
      </c>
      <c r="DD11" s="78" t="e">
        <f t="shared" si="58"/>
        <v>#DIV/0!</v>
      </c>
      <c r="DE11" s="79">
        <f t="array" ref="DE11">SUMIFS('Cắt lồng'!$AC$327:$AC$515,'Cắt lồng'!$AA$327:$AA$515,'Cắt lồng'!$AA11,'Cắt lồng'!$AE$327:$AE$515,'Cắt lồng'!DE$4:DE$4)</f>
        <v>0</v>
      </c>
      <c r="DF11" s="79">
        <f t="array" ref="DF11">SUMIFS('Cắt lồng'!$AH$327:$AH$515,'Cắt lồng'!$AA$327:$AA$515,'Cắt lồng'!$AA11,'Cắt lồng'!$AE$327:$AE$515,'Cắt lồng'!DF$4:DF$4)</f>
        <v>0</v>
      </c>
      <c r="DG11" s="78" t="e">
        <f t="shared" si="59"/>
        <v>#DIV/0!</v>
      </c>
      <c r="DH11" s="79">
        <f t="array" ref="DH11">SUMIFS('Cắt lồng'!$AC$327:$AC$515,'Cắt lồng'!$AA$327:$AA$515,'Cắt lồng'!$AA11,'Cắt lồng'!$AE$327:$AE$515,'Cắt lồng'!DH$4:DH$4)</f>
        <v>0</v>
      </c>
      <c r="DI11" s="79">
        <f t="array" ref="DI11">SUMIFS('Cắt lồng'!$AH$327:$AH$515,'Cắt lồng'!$AA$327:$AA$515,'Cắt lồng'!$AA11,'Cắt lồng'!$AE$327:$AE$515,'Cắt lồng'!DI$4:DI$4)</f>
        <v>0</v>
      </c>
      <c r="DJ11" s="78" t="e">
        <f t="shared" si="60"/>
        <v>#DIV/0!</v>
      </c>
      <c r="DK11" s="79">
        <f t="array" ref="DK11">SUMIFS('Cắt lồng'!$AC$327:$AC$515,'Cắt lồng'!$AA$327:$AA$515,'Cắt lồng'!$AA11,'Cắt lồng'!$AE$327:$AE$515,'Cắt lồng'!DK$4:DK$4)</f>
        <v>0</v>
      </c>
      <c r="DL11" s="79">
        <f t="array" ref="DL11">SUMIFS('Cắt lồng'!$AH$327:$AH$515,'Cắt lồng'!$AA$327:$AA$515,'Cắt lồng'!$AA11,'Cắt lồng'!$AE$327:$AE$515,'Cắt lồng'!DL$4:DL$4)</f>
        <v>0</v>
      </c>
      <c r="DM11" s="78" t="e">
        <f t="shared" si="61"/>
        <v>#DIV/0!</v>
      </c>
      <c r="DN11" s="79">
        <f>SUMIFS('Cắt lồng'!$AC$327:$AC$515,'Cắt lồng'!$AA$327:$AA$515,'Cắt lồng'!$AA11,'Cắt lồng'!$AE$327:$AE$515,'Cắt lồng'!DN$4:DN$4)</f>
        <v>0</v>
      </c>
      <c r="DO11" s="79">
        <f t="array" ref="DO11">SUMIFS('Cắt lồng'!$AH$327:$AH$515,'Cắt lồng'!$AA$327:$AA$515,'Cắt lồng'!$AA11,'Cắt lồng'!$AE$327:$AE$515,'Cắt lồng'!DO$4:DO$4)</f>
        <v>0</v>
      </c>
      <c r="DP11" s="78" t="e">
        <f t="shared" si="62"/>
        <v>#DIV/0!</v>
      </c>
      <c r="DQ11" s="79">
        <f t="array" ref="DQ11">SUMIFS('Cắt lồng'!$AC$327:$AC$515,'Cắt lồng'!$AA$327:$AA$515,'Cắt lồng'!$AA11,'Cắt lồng'!$AE$327:$AE$515,'Cắt lồng'!DQ$4:DQ$4)</f>
        <v>0</v>
      </c>
      <c r="DR11" s="79">
        <f t="array" ref="DR11">SUMIFS('Cắt lồng'!$AH$327:$AH$515,'Cắt lồng'!$AA$327:$AA$515,'Cắt lồng'!$AA11,'Cắt lồng'!$AE$327:$AE$515,'Cắt lồng'!DR$4:DR$4)</f>
        <v>0</v>
      </c>
      <c r="DS11" s="78" t="e">
        <f t="shared" si="63"/>
        <v>#DIV/0!</v>
      </c>
      <c r="DT11" s="79">
        <f t="array" ref="DT11">SUMIFS('Cắt lồng'!$AC$327:$AC$515,'Cắt lồng'!$AA$327:$AA$515,'Cắt lồng'!$AA11,'Cắt lồng'!$AE$327:$AE$515,'Cắt lồng'!DT$4:DT$4)</f>
        <v>0</v>
      </c>
      <c r="DU11" s="79">
        <f t="array" ref="DU11">SUMIFS('Cắt lồng'!$AH$327:$AH$515,'Cắt lồng'!$AA$327:$AA$515,'Cắt lồng'!$AA11,'Cắt lồng'!$AE$327:$AE$515,'Cắt lồng'!DU$4:DU$4)</f>
        <v>0</v>
      </c>
      <c r="DV11" s="78" t="e">
        <f t="shared" si="64"/>
        <v>#DIV/0!</v>
      </c>
      <c r="DW11" s="79">
        <f t="array" ref="DW11">SUMIFS('Cắt lồng'!$AC$327:$AC$515,'Cắt lồng'!$AA$327:$AA$515,'Cắt lồng'!$AA11,'Cắt lồng'!$AE$327:$AE$515,'Cắt lồng'!DW$4:DW$4)</f>
        <v>0</v>
      </c>
      <c r="DX11" s="79">
        <f t="array" ref="DX11">SUMIFS('Cắt lồng'!$AH$327:$AH$515,'Cắt lồng'!$AA$327:$AA$515,'Cắt lồng'!$AA11,'Cắt lồng'!$AE$327:$AE$515,'Cắt lồng'!DX$4:DX$4)</f>
        <v>0</v>
      </c>
      <c r="DY11" s="78" t="e">
        <f t="shared" si="65"/>
        <v>#DIV/0!</v>
      </c>
      <c r="DZ11" s="79">
        <f t="array" ref="DZ11">SUMIFS('Cắt lồng'!$AC$327:$AC$515,'Cắt lồng'!$AA$327:$AA$515,'Cắt lồng'!$AA11,'Cắt lồng'!$AE$327:$AE$515,'Cắt lồng'!DZ$4:DZ$4)</f>
        <v>0</v>
      </c>
      <c r="EA11" s="79">
        <f t="array" ref="EA11">SUMIFS('Cắt lồng'!$AH$327:$AH$515,'Cắt lồng'!$AA$327:$AA$515,'Cắt lồng'!$AA11,'Cắt lồng'!$AE$327:$AE$515,'Cắt lồng'!EA$4:EA$4)</f>
        <v>0</v>
      </c>
      <c r="EB11" s="78" t="e">
        <f t="shared" si="66"/>
        <v>#DIV/0!</v>
      </c>
      <c r="EC11" s="79">
        <f t="array" ref="EC11">SUMIFS('Cắt lồng'!$AC$327:$AC$515,'Cắt lồng'!$AA$327:$AA$515,'Cắt lồng'!$AA11,'Cắt lồng'!$AE$327:$AE$515,'Cắt lồng'!EC$4:EC$4)</f>
        <v>0</v>
      </c>
      <c r="ED11" s="79">
        <f t="array" ref="ED11">SUMIFS('Cắt lồng'!$AH$327:$AH$515,'Cắt lồng'!$AA$327:$AA$515,'Cắt lồng'!$AA11,'Cắt lồng'!$AE$327:$AE$515,'Cắt lồng'!ED$4:ED$4)</f>
        <v>0</v>
      </c>
      <c r="EE11" s="78" t="e">
        <f t="shared" si="67"/>
        <v>#DIV/0!</v>
      </c>
      <c r="EF11" s="79">
        <f t="array" ref="EF11">SUMIFS('Cắt lồng'!$AC$327:$AC$515,'Cắt lồng'!$AA$327:$AA$515,'Cắt lồng'!$AA11,'Cắt lồng'!$AE$327:$AE$515,'Cắt lồng'!EF$4:EF$4)</f>
        <v>0</v>
      </c>
      <c r="EG11" s="79">
        <f t="array" ref="EG11">SUMIFS('Cắt lồng'!$AH$327:$AH$515,'Cắt lồng'!$AA$327:$AA$515,'Cắt lồng'!$AA11,'Cắt lồng'!$AE$327:$AE$515,'Cắt lồng'!EG$4:EG$4)</f>
        <v>0</v>
      </c>
      <c r="EH11" s="78" t="e">
        <f t="shared" si="68"/>
        <v>#DIV/0!</v>
      </c>
      <c r="EI11" s="79">
        <f t="array" ref="EI11">SUMIFS('Cắt lồng'!$AC$327:$AC$515,'Cắt lồng'!$AA$327:$AA$515,'Cắt lồng'!$AA11,'Cắt lồng'!$AE$327:$AE$515,'Cắt lồng'!EI$4:EI$4)</f>
        <v>0</v>
      </c>
      <c r="EJ11" s="79">
        <f t="array" ref="EJ11">SUMIFS('Cắt lồng'!$AH$327:$AH$515,'Cắt lồng'!$AA$327:$AA$515,'Cắt lồng'!$AA11,'Cắt lồng'!$AE$327:$AE$515,'Cắt lồng'!EJ$4:EJ$4)</f>
        <v>0</v>
      </c>
      <c r="EK11" s="78" t="e">
        <f t="shared" si="69"/>
        <v>#DIV/0!</v>
      </c>
    </row>
    <row r="12" spans="1:141" s="12" customFormat="1" ht="14.25" hidden="1" customHeight="1">
      <c r="A12" s="25">
        <v>7</v>
      </c>
      <c r="B12" s="26">
        <v>8484</v>
      </c>
      <c r="C12" s="204" t="s">
        <v>279</v>
      </c>
      <c r="D12" s="201">
        <f t="shared" ref="D12:E15" si="70">+AB10</f>
        <v>0</v>
      </c>
      <c r="E12" s="200">
        <f t="shared" si="70"/>
        <v>0</v>
      </c>
      <c r="F12" s="199"/>
      <c r="G12" s="82">
        <f t="shared" si="1"/>
        <v>0</v>
      </c>
      <c r="H12" s="81">
        <f t="shared" si="2"/>
        <v>0</v>
      </c>
      <c r="I12" s="19">
        <f t="shared" si="3"/>
        <v>0</v>
      </c>
      <c r="J12" s="11">
        <f t="shared" si="4"/>
        <v>0</v>
      </c>
      <c r="K12" s="19">
        <f t="shared" si="5"/>
        <v>0</v>
      </c>
      <c r="L12" s="19">
        <f t="shared" si="6"/>
        <v>0</v>
      </c>
      <c r="M12" s="19">
        <f t="shared" si="7"/>
        <v>0</v>
      </c>
      <c r="N12" s="19">
        <f t="shared" si="8"/>
        <v>0</v>
      </c>
      <c r="O12" s="19">
        <f t="shared" si="9"/>
        <v>0</v>
      </c>
      <c r="P12" s="19">
        <f t="shared" si="10"/>
        <v>0</v>
      </c>
      <c r="Q12" s="19">
        <f t="shared" si="11"/>
        <v>0</v>
      </c>
      <c r="R12" s="19">
        <f t="shared" si="12"/>
        <v>0</v>
      </c>
      <c r="S12" s="19">
        <f t="shared" si="13"/>
        <v>0</v>
      </c>
      <c r="T12" s="19">
        <f t="shared" si="14"/>
        <v>0</v>
      </c>
      <c r="U12" s="19">
        <f t="shared" si="15"/>
        <v>0</v>
      </c>
      <c r="V12" s="19">
        <f t="shared" si="16"/>
        <v>0</v>
      </c>
      <c r="W12" s="19">
        <f t="shared" si="17"/>
        <v>0</v>
      </c>
      <c r="X12" s="19">
        <f t="shared" si="18"/>
        <v>0</v>
      </c>
      <c r="Y12" s="19">
        <f t="shared" si="19"/>
        <v>0</v>
      </c>
      <c r="Z12" s="19">
        <f t="shared" si="20"/>
        <v>0</v>
      </c>
      <c r="AA12" s="20" t="s">
        <v>277</v>
      </c>
      <c r="AB12" s="129">
        <f t="shared" si="21"/>
        <v>0</v>
      </c>
      <c r="AC12" s="129">
        <f t="shared" si="22"/>
        <v>0</v>
      </c>
      <c r="AD12" s="128" t="e">
        <f t="shared" si="23"/>
        <v>#DIV/0!</v>
      </c>
      <c r="AE12" s="42"/>
      <c r="AF12" s="127" t="e">
        <f t="shared" si="24"/>
        <v>#DIV/0!</v>
      </c>
      <c r="AG12" s="127"/>
      <c r="AH12" s="127">
        <f t="shared" si="25"/>
        <v>0</v>
      </c>
      <c r="AI12" s="54" t="e">
        <f t="shared" si="26"/>
        <v>#DIV/0!</v>
      </c>
      <c r="AJ12" s="25">
        <f t="shared" si="27"/>
        <v>0</v>
      </c>
      <c r="AK12" s="25">
        <f t="shared" si="28"/>
        <v>0</v>
      </c>
      <c r="AL12" s="25">
        <f t="shared" si="29"/>
        <v>0</v>
      </c>
      <c r="AM12" s="20">
        <f t="shared" si="30"/>
        <v>0</v>
      </c>
      <c r="AN12" s="20">
        <f t="shared" si="31"/>
        <v>0</v>
      </c>
      <c r="AO12" s="20">
        <f t="shared" si="32"/>
        <v>0</v>
      </c>
      <c r="AP12" s="20">
        <f t="shared" si="33"/>
        <v>0</v>
      </c>
      <c r="AQ12" s="20">
        <f t="shared" si="34"/>
        <v>0</v>
      </c>
      <c r="AR12" s="20">
        <f t="shared" si="35"/>
        <v>0</v>
      </c>
      <c r="AS12" s="20">
        <f t="shared" si="36"/>
        <v>0</v>
      </c>
      <c r="AT12" s="20">
        <f t="shared" si="37"/>
        <v>0</v>
      </c>
      <c r="AV12" s="79">
        <f t="shared" si="38"/>
        <v>0</v>
      </c>
      <c r="AW12" s="79">
        <f t="array" ref="AW12">SUMIFS('Cắt lồng'!$AC$327:$AC$515,'Cắt lồng'!$AA$327:$AA$515,'Cắt lồng'!$AA12,'Cắt lồng'!$AE$327:$AE$515,'Cắt lồng'!AW$4:AW$4)</f>
        <v>0</v>
      </c>
      <c r="AX12" s="79">
        <f t="array" ref="AX12">SUMIFS('Cắt lồng'!$AH$327:$AH$515,'Cắt lồng'!$AA$327:$AA$515,'Cắt lồng'!$AA12,'Cắt lồng'!$AE$327:$AE$515,'Cắt lồng'!AX$4:AX$4)</f>
        <v>0</v>
      </c>
      <c r="AY12" s="78" t="e">
        <f t="shared" si="39"/>
        <v>#DIV/0!</v>
      </c>
      <c r="AZ12" s="79">
        <f t="array" ref="AZ12">SUMIFS('Cắt lồng'!$AC$327:$AC$515,'Cắt lồng'!$AA$327:$AA$515,'Cắt lồng'!$AA12,'Cắt lồng'!$AE$327:$AE$515,'Cắt lồng'!AZ$4:AZ$4)</f>
        <v>0</v>
      </c>
      <c r="BA12" s="79">
        <f t="array" ref="BA12">SUMIFS('Cắt lồng'!$AH$327:$AH$515,'Cắt lồng'!$AA$327:$AA$515,'Cắt lồng'!$AA12,'Cắt lồng'!$AE$327:$AE$515,'Cắt lồng'!BA$4:BA$4)</f>
        <v>0</v>
      </c>
      <c r="BB12" s="78" t="e">
        <f t="shared" si="40"/>
        <v>#DIV/0!</v>
      </c>
      <c r="BC12" s="79">
        <f t="array" ref="BC12">SUMIFS('Cắt lồng'!$AC$327:$AC$515,'Cắt lồng'!$AA$327:$AA$515,'Cắt lồng'!$AA12,'Cắt lồng'!$AE$327:$AE$515,'Cắt lồng'!BC$4:BC$4)</f>
        <v>0</v>
      </c>
      <c r="BD12" s="79">
        <f t="array" ref="BD12">SUMIFS('Cắt lồng'!$AH$327:$AH$515,'Cắt lồng'!$AA$327:$AA$515,'Cắt lồng'!$AA12,'Cắt lồng'!$AE$327:$AE$515,'Cắt lồng'!BD$4:BD$4)</f>
        <v>0</v>
      </c>
      <c r="BE12" s="78" t="e">
        <f t="shared" si="41"/>
        <v>#DIV/0!</v>
      </c>
      <c r="BF12" s="79">
        <f t="array" ref="BF12">SUMIFS('Cắt lồng'!$AC$327:$AC$515,'Cắt lồng'!$AA$327:$AA$515,'Cắt lồng'!$AA12,'Cắt lồng'!$AE$327:$AE$515,'Cắt lồng'!BF$4:BF$4)</f>
        <v>0</v>
      </c>
      <c r="BG12" s="79">
        <f t="array" ref="BG12">SUMIFS('Cắt lồng'!$AH$327:$AH$515,'Cắt lồng'!$AA$327:$AA$515,'Cắt lồng'!$AA12,'Cắt lồng'!$AE$327:$AE$515,'Cắt lồng'!BG$4:BG$4)</f>
        <v>0</v>
      </c>
      <c r="BH12" s="78" t="e">
        <f t="shared" si="42"/>
        <v>#DIV/0!</v>
      </c>
      <c r="BI12" s="79">
        <f t="array" ref="BI12">SUMIFS('Cắt lồng'!$AC$327:$AC$515,'Cắt lồng'!$AA$327:$AA$515,'Cắt lồng'!$AA12,'Cắt lồng'!$AE$327:$AE$515,'Cắt lồng'!BI$4:BI$4)</f>
        <v>0</v>
      </c>
      <c r="BJ12" s="79">
        <f t="array" ref="BJ12">SUMIFS('Cắt lồng'!$AH$327:$AH$515,'Cắt lồng'!$AA$327:$AA$515,'Cắt lồng'!$AA12,'Cắt lồng'!$AE$327:$AE$515,'Cắt lồng'!BJ$4:BJ$4)</f>
        <v>0</v>
      </c>
      <c r="BK12" s="78" t="e">
        <f t="shared" si="43"/>
        <v>#DIV/0!</v>
      </c>
      <c r="BL12" s="79">
        <f t="array" ref="BL12">SUMIFS('Cắt lồng'!$AC$327:$AC$515,'Cắt lồng'!$AA$327:$AA$515,'Cắt lồng'!$AA12,'Cắt lồng'!$AE$327:$AE$515,'Cắt lồng'!BL$4:BL$4)</f>
        <v>0</v>
      </c>
      <c r="BM12" s="79">
        <f t="array" ref="BM12">SUMIFS('Cắt lồng'!$AH$327:$AH$515,'Cắt lồng'!$AA$327:$AA$515,'Cắt lồng'!$AA12,'Cắt lồng'!$AE$327:$AE$515,'Cắt lồng'!BM$4:BM$4)</f>
        <v>0</v>
      </c>
      <c r="BN12" s="78" t="e">
        <f t="shared" si="44"/>
        <v>#DIV/0!</v>
      </c>
      <c r="BO12" s="79">
        <f t="array" ref="BO12">SUMIFS('Cắt lồng'!$AC$327:$AC$515,'Cắt lồng'!$AA$327:$AA$515,'Cắt lồng'!$AA12,'Cắt lồng'!$AE$327:$AE$515,'Cắt lồng'!BO$4:BO$4)</f>
        <v>0</v>
      </c>
      <c r="BP12" s="79">
        <f t="array" ref="BP12">SUMIFS('Cắt lồng'!$AH$327:$AH$515,'Cắt lồng'!$AA$327:$AA$515,'Cắt lồng'!$AA12,'Cắt lồng'!$AE$327:$AE$515,'Cắt lồng'!BP$4:BP$4)</f>
        <v>0</v>
      </c>
      <c r="BQ12" s="78" t="e">
        <f t="shared" si="45"/>
        <v>#DIV/0!</v>
      </c>
      <c r="BR12" s="79">
        <f t="array" ref="BR12">SUMIFS('Cắt lồng'!$AC$327:$AC$515,'Cắt lồng'!$AA$327:$AA$515,'Cắt lồng'!$AA12,'Cắt lồng'!$AE$327:$AE$515,'Cắt lồng'!BR$4:BR$4)</f>
        <v>0</v>
      </c>
      <c r="BS12" s="79">
        <f t="array" ref="BS12">SUMIFS('Cắt lồng'!$AH$327:$AH$515,'Cắt lồng'!$AA$327:$AA$515,'Cắt lồng'!$AA12,'Cắt lồng'!$AE$327:$AE$515,'Cắt lồng'!BS$4:BS$4)</f>
        <v>0</v>
      </c>
      <c r="BT12" s="78" t="e">
        <f t="shared" si="46"/>
        <v>#DIV/0!</v>
      </c>
      <c r="BU12" s="79">
        <f t="array" ref="BU12">SUMIFS('Cắt lồng'!$AC$327:$AC$515,'Cắt lồng'!$AA$327:$AA$515,'Cắt lồng'!$AA12,'Cắt lồng'!$AE$327:$AE$515,'Cắt lồng'!BU$4:BU$4)</f>
        <v>0</v>
      </c>
      <c r="BV12" s="79">
        <f t="array" ref="BV12">SUMIFS('Cắt lồng'!$AH$327:$AH$515,'Cắt lồng'!$AA$327:$AA$515,'Cắt lồng'!$AA12,'Cắt lồng'!$AE$327:$AE$515,'Cắt lồng'!BV$4:BV$4)</f>
        <v>0</v>
      </c>
      <c r="BW12" s="78" t="e">
        <f t="shared" si="47"/>
        <v>#DIV/0!</v>
      </c>
      <c r="BX12" s="79">
        <f t="array" ref="BX12">SUMIFS('Cắt lồng'!$AC$327:$AC$515,'Cắt lồng'!$AA$327:$AA$515,'Cắt lồng'!$AA12,'Cắt lồng'!$AE$327:$AE$515,'Cắt lồng'!BX$4:BX$4)</f>
        <v>0</v>
      </c>
      <c r="BY12" s="79">
        <f t="array" ref="BY12">SUMIFS('Cắt lồng'!$AH$327:$AH$515,'Cắt lồng'!$AA$327:$AA$515,'Cắt lồng'!$AA12,'Cắt lồng'!$AE$327:$AE$515,'Cắt lồng'!BY$4:BY$4)</f>
        <v>0</v>
      </c>
      <c r="BZ12" s="78" t="e">
        <f t="shared" si="48"/>
        <v>#DIV/0!</v>
      </c>
      <c r="CA12" s="79">
        <f t="array" ref="CA12">SUMIFS('Cắt lồng'!$AC$327:$AC$515,'Cắt lồng'!$AA$327:$AA$515,'Cắt lồng'!$AA12,'Cắt lồng'!$AE$327:$AE$515,'Cắt lồng'!CA$4:CA$4)</f>
        <v>0</v>
      </c>
      <c r="CB12" s="79">
        <f t="array" ref="CB12">SUMIFS('Cắt lồng'!$AH$327:$AH$515,'Cắt lồng'!$AA$327:$AA$515,'Cắt lồng'!$AA12,'Cắt lồng'!$AE$327:$AE$515,'Cắt lồng'!CB$4:CB$4)</f>
        <v>0</v>
      </c>
      <c r="CC12" s="78" t="e">
        <f t="shared" si="49"/>
        <v>#DIV/0!</v>
      </c>
      <c r="CD12" s="79">
        <f t="array" ref="CD12">SUMIFS('Cắt lồng'!$AC$327:$AC$515,'Cắt lồng'!$AA$327:$AA$515,'Cắt lồng'!$AA12,'Cắt lồng'!$AE$327:$AE$515,'Cắt lồng'!CD$4:CD$4)</f>
        <v>0</v>
      </c>
      <c r="CE12" s="79">
        <f t="array" ref="CE12">SUMIFS('Cắt lồng'!$AH$327:$AH$515,'Cắt lồng'!$AA$327:$AA$515,'Cắt lồng'!$AA12,'Cắt lồng'!$AE$327:$AE$515,'Cắt lồng'!CE$4:CE$4)</f>
        <v>0</v>
      </c>
      <c r="CF12" s="78" t="e">
        <f t="shared" si="50"/>
        <v>#DIV/0!</v>
      </c>
      <c r="CG12" s="79">
        <f t="array" ref="CG12">SUMIFS('Cắt lồng'!$AC$327:$AC$515,'Cắt lồng'!$AA$327:$AA$515,'Cắt lồng'!$AA12,'Cắt lồng'!$AE$327:$AE$515,'Cắt lồng'!CG$4:CG$4)</f>
        <v>0</v>
      </c>
      <c r="CH12" s="79">
        <f t="array" ref="CH12">SUMIFS('Cắt lồng'!$AH$327:$AH$515,'Cắt lồng'!$AA$327:$AA$515,'Cắt lồng'!$AA12,'Cắt lồng'!$AE$327:$AE$515,'Cắt lồng'!CH$4:CH$4)</f>
        <v>0</v>
      </c>
      <c r="CI12" s="78" t="e">
        <f t="shared" si="51"/>
        <v>#DIV/0!</v>
      </c>
      <c r="CJ12" s="79">
        <f t="array" ref="CJ12">SUMIFS('Cắt lồng'!$AC$327:$AC$515,'Cắt lồng'!$AA$327:$AA$515,'Cắt lồng'!$AA12,'Cắt lồng'!$AE$327:$AE$515,'Cắt lồng'!CJ$4:CJ$4)</f>
        <v>0</v>
      </c>
      <c r="CK12" s="79">
        <f t="array" ref="CK12">SUMIFS('Cắt lồng'!$AH$327:$AH$515,'Cắt lồng'!$AA$327:$AA$515,'Cắt lồng'!$AA12,'Cắt lồng'!$AE$327:$AE$515,'Cắt lồng'!CK$4:CK$4)</f>
        <v>0</v>
      </c>
      <c r="CL12" s="78" t="e">
        <f t="shared" si="52"/>
        <v>#DIV/0!</v>
      </c>
      <c r="CM12" s="79">
        <f t="array" ref="CM12">SUMIFS('Cắt lồng'!$AC$327:$AC$515,'Cắt lồng'!$AA$327:$AA$515,'Cắt lồng'!$AA12,'Cắt lồng'!$AE$327:$AE$515,'Cắt lồng'!CM$4:CM$4)</f>
        <v>0</v>
      </c>
      <c r="CN12" s="79">
        <f t="array" ref="CN12">SUMIFS('Cắt lồng'!$AH$327:$AH$515,'Cắt lồng'!$AA$327:$AA$515,'Cắt lồng'!$AA12,'Cắt lồng'!$AE$327:$AE$515,'Cắt lồng'!CN$4:CN$4)</f>
        <v>0</v>
      </c>
      <c r="CO12" s="78" t="e">
        <f t="shared" si="53"/>
        <v>#DIV/0!</v>
      </c>
      <c r="CP12" s="79">
        <f t="array" ref="CP12">SUMIFS('Cắt lồng'!$AC$327:$AC$515,'Cắt lồng'!$AA$327:$AA$515,'Cắt lồng'!$AA12,'Cắt lồng'!$AE$327:$AE$515,'Cắt lồng'!CP$4:CP$4)</f>
        <v>0</v>
      </c>
      <c r="CQ12" s="79">
        <f t="array" ref="CQ12">SUMIFS('Cắt lồng'!$AH$327:$AH$515,'Cắt lồng'!$AA$327:$AA$515,'Cắt lồng'!$AA12,'Cắt lồng'!$AE$327:$AE$515,'Cắt lồng'!CQ$4:CQ$4)</f>
        <v>0</v>
      </c>
      <c r="CR12" s="78" t="e">
        <f t="shared" si="54"/>
        <v>#DIV/0!</v>
      </c>
      <c r="CS12" s="79">
        <f t="array" ref="CS12">SUMIFS('Cắt lồng'!$AC$327:$AC$515,'Cắt lồng'!$AA$327:$AA$515,'Cắt lồng'!$AA12,'Cắt lồng'!$AE$327:$AE$515,'Cắt lồng'!CS$4:CS$4)</f>
        <v>0</v>
      </c>
      <c r="CT12" s="79">
        <f t="array" ref="CT12">SUMIFS('Cắt lồng'!$AH$327:$AH$515,'Cắt lồng'!$AA$327:$AA$515,'Cắt lồng'!$AA12,'Cắt lồng'!$AE$327:$AE$515,'Cắt lồng'!CT$4:CT$4)</f>
        <v>0</v>
      </c>
      <c r="CU12" s="78" t="e">
        <f t="shared" si="55"/>
        <v>#DIV/0!</v>
      </c>
      <c r="CV12" s="79">
        <f t="array" ref="CV12">SUMIFS('Cắt lồng'!$AC$327:$AC$515,'Cắt lồng'!$AA$327:$AA$515,'Cắt lồng'!$AA12,'Cắt lồng'!$AE$327:$AE$515,'Cắt lồng'!CV$4:CV$4)</f>
        <v>0</v>
      </c>
      <c r="CW12" s="79">
        <f t="array" ref="CW12">SUMIFS('Cắt lồng'!$AH$327:$AH$515,'Cắt lồng'!$AA$327:$AA$515,'Cắt lồng'!$AA12,'Cắt lồng'!$AE$327:$AE$515,'Cắt lồng'!CW$4:CW$4)</f>
        <v>0</v>
      </c>
      <c r="CX12" s="78" t="e">
        <f t="shared" si="56"/>
        <v>#DIV/0!</v>
      </c>
      <c r="CY12" s="79">
        <f t="array" ref="CY12">SUMIFS('Cắt lồng'!$AC$327:$AC$515,'Cắt lồng'!$AA$327:$AA$515,'Cắt lồng'!$AA12,'Cắt lồng'!$AE$327:$AE$515,'Cắt lồng'!CY$4:CY$4)</f>
        <v>0</v>
      </c>
      <c r="CZ12" s="79">
        <f t="array" ref="CZ12">SUMIFS('Cắt lồng'!$AH$327:$AH$515,'Cắt lồng'!$AA$327:$AA$515,'Cắt lồng'!$AA12,'Cắt lồng'!$AE$327:$AE$515,'Cắt lồng'!CZ$4:CZ$4)</f>
        <v>0</v>
      </c>
      <c r="DA12" s="78" t="e">
        <f t="shared" si="57"/>
        <v>#DIV/0!</v>
      </c>
      <c r="DB12" s="79">
        <f t="array" ref="DB12">SUMIFS('Cắt lồng'!$AC$327:$AC$515,'Cắt lồng'!$AA$327:$AA$515,'Cắt lồng'!$AA12,'Cắt lồng'!$AE$327:$AE$515,'Cắt lồng'!DB$4:DB$4)</f>
        <v>0</v>
      </c>
      <c r="DC12" s="79">
        <f t="array" ref="DC12">SUMIFS('Cắt lồng'!$AH$327:$AH$515,'Cắt lồng'!$AA$327:$AA$515,'Cắt lồng'!$AA12,'Cắt lồng'!$AE$327:$AE$515,'Cắt lồng'!DC$4:DC$4)</f>
        <v>0</v>
      </c>
      <c r="DD12" s="78" t="e">
        <f t="shared" si="58"/>
        <v>#DIV/0!</v>
      </c>
      <c r="DE12" s="79">
        <f t="array" ref="DE12">SUMIFS('Cắt lồng'!$AC$327:$AC$515,'Cắt lồng'!$AA$327:$AA$515,'Cắt lồng'!$AA12,'Cắt lồng'!$AE$327:$AE$515,'Cắt lồng'!DE$4:DE$4)</f>
        <v>0</v>
      </c>
      <c r="DF12" s="79">
        <f t="array" ref="DF12">SUMIFS('Cắt lồng'!$AH$327:$AH$515,'Cắt lồng'!$AA$327:$AA$515,'Cắt lồng'!$AA12,'Cắt lồng'!$AE$327:$AE$515,'Cắt lồng'!DF$4:DF$4)</f>
        <v>0</v>
      </c>
      <c r="DG12" s="78" t="e">
        <f t="shared" si="59"/>
        <v>#DIV/0!</v>
      </c>
      <c r="DH12" s="79">
        <f t="array" ref="DH12">SUMIFS('Cắt lồng'!$AC$327:$AC$515,'Cắt lồng'!$AA$327:$AA$515,'Cắt lồng'!$AA12,'Cắt lồng'!$AE$327:$AE$515,'Cắt lồng'!DH$4:DH$4)</f>
        <v>0</v>
      </c>
      <c r="DI12" s="79">
        <f t="array" ref="DI12">SUMIFS('Cắt lồng'!$AH$327:$AH$515,'Cắt lồng'!$AA$327:$AA$515,'Cắt lồng'!$AA12,'Cắt lồng'!$AE$327:$AE$515,'Cắt lồng'!DI$4:DI$4)</f>
        <v>0</v>
      </c>
      <c r="DJ12" s="78" t="e">
        <f t="shared" si="60"/>
        <v>#DIV/0!</v>
      </c>
      <c r="DK12" s="79">
        <f t="array" ref="DK12">SUMIFS('Cắt lồng'!$AC$327:$AC$515,'Cắt lồng'!$AA$327:$AA$515,'Cắt lồng'!$AA12,'Cắt lồng'!$AE$327:$AE$515,'Cắt lồng'!DK$4:DK$4)</f>
        <v>0</v>
      </c>
      <c r="DL12" s="79">
        <f t="array" ref="DL12">SUMIFS('Cắt lồng'!$AH$327:$AH$515,'Cắt lồng'!$AA$327:$AA$515,'Cắt lồng'!$AA12,'Cắt lồng'!$AE$327:$AE$515,'Cắt lồng'!DL$4:DL$4)</f>
        <v>0</v>
      </c>
      <c r="DM12" s="78" t="e">
        <f t="shared" si="61"/>
        <v>#DIV/0!</v>
      </c>
      <c r="DN12" s="79">
        <f>SUMIFS('Cắt lồng'!$AC$327:$AC$515,'Cắt lồng'!$AA$327:$AA$515,'Cắt lồng'!$AA12,'Cắt lồng'!$AE$327:$AE$515,'Cắt lồng'!DN$4:DN$4)</f>
        <v>0</v>
      </c>
      <c r="DO12" s="79">
        <f t="array" ref="DO12">SUMIFS('Cắt lồng'!$AH$327:$AH$515,'Cắt lồng'!$AA$327:$AA$515,'Cắt lồng'!$AA12,'Cắt lồng'!$AE$327:$AE$515,'Cắt lồng'!DO$4:DO$4)</f>
        <v>0</v>
      </c>
      <c r="DP12" s="78" t="e">
        <f t="shared" si="62"/>
        <v>#DIV/0!</v>
      </c>
      <c r="DQ12" s="79">
        <f t="array" ref="DQ12">SUMIFS('Cắt lồng'!$AC$327:$AC$515,'Cắt lồng'!$AA$327:$AA$515,'Cắt lồng'!$AA12,'Cắt lồng'!$AE$327:$AE$515,'Cắt lồng'!DQ$4:DQ$4)</f>
        <v>0</v>
      </c>
      <c r="DR12" s="79">
        <f t="array" ref="DR12">SUMIFS('Cắt lồng'!$AH$327:$AH$515,'Cắt lồng'!$AA$327:$AA$515,'Cắt lồng'!$AA12,'Cắt lồng'!$AE$327:$AE$515,'Cắt lồng'!DR$4:DR$4)</f>
        <v>0</v>
      </c>
      <c r="DS12" s="78" t="e">
        <f t="shared" si="63"/>
        <v>#DIV/0!</v>
      </c>
      <c r="DT12" s="79">
        <f t="array" ref="DT12">SUMIFS('Cắt lồng'!$AC$327:$AC$515,'Cắt lồng'!$AA$327:$AA$515,'Cắt lồng'!$AA12,'Cắt lồng'!$AE$327:$AE$515,'Cắt lồng'!DT$4:DT$4)</f>
        <v>0</v>
      </c>
      <c r="DU12" s="79">
        <f t="array" ref="DU12">SUMIFS('Cắt lồng'!$AH$327:$AH$515,'Cắt lồng'!$AA$327:$AA$515,'Cắt lồng'!$AA12,'Cắt lồng'!$AE$327:$AE$515,'Cắt lồng'!DU$4:DU$4)</f>
        <v>0</v>
      </c>
      <c r="DV12" s="78" t="e">
        <f t="shared" si="64"/>
        <v>#DIV/0!</v>
      </c>
      <c r="DW12" s="79">
        <f t="array" ref="DW12">SUMIFS('Cắt lồng'!$AC$327:$AC$515,'Cắt lồng'!$AA$327:$AA$515,'Cắt lồng'!$AA12,'Cắt lồng'!$AE$327:$AE$515,'Cắt lồng'!DW$4:DW$4)</f>
        <v>0</v>
      </c>
      <c r="DX12" s="79">
        <f t="array" ref="DX12">SUMIFS('Cắt lồng'!$AH$327:$AH$515,'Cắt lồng'!$AA$327:$AA$515,'Cắt lồng'!$AA12,'Cắt lồng'!$AE$327:$AE$515,'Cắt lồng'!DX$4:DX$4)</f>
        <v>0</v>
      </c>
      <c r="DY12" s="78" t="e">
        <f t="shared" si="65"/>
        <v>#DIV/0!</v>
      </c>
      <c r="DZ12" s="79">
        <f t="array" ref="DZ12">SUMIFS('Cắt lồng'!$AC$327:$AC$515,'Cắt lồng'!$AA$327:$AA$515,'Cắt lồng'!$AA12,'Cắt lồng'!$AE$327:$AE$515,'Cắt lồng'!DZ$4:DZ$4)</f>
        <v>0</v>
      </c>
      <c r="EA12" s="79">
        <f t="array" ref="EA12">SUMIFS('Cắt lồng'!$AH$327:$AH$515,'Cắt lồng'!$AA$327:$AA$515,'Cắt lồng'!$AA12,'Cắt lồng'!$AE$327:$AE$515,'Cắt lồng'!EA$4:EA$4)</f>
        <v>0</v>
      </c>
      <c r="EB12" s="78" t="e">
        <f t="shared" si="66"/>
        <v>#DIV/0!</v>
      </c>
      <c r="EC12" s="79">
        <f t="array" ref="EC12">SUMIFS('Cắt lồng'!$AC$327:$AC$515,'Cắt lồng'!$AA$327:$AA$515,'Cắt lồng'!$AA12,'Cắt lồng'!$AE$327:$AE$515,'Cắt lồng'!EC$4:EC$4)</f>
        <v>0</v>
      </c>
      <c r="ED12" s="79">
        <f t="array" ref="ED12">SUMIFS('Cắt lồng'!$AH$327:$AH$515,'Cắt lồng'!$AA$327:$AA$515,'Cắt lồng'!$AA12,'Cắt lồng'!$AE$327:$AE$515,'Cắt lồng'!ED$4:ED$4)</f>
        <v>0</v>
      </c>
      <c r="EE12" s="78" t="e">
        <f t="shared" si="67"/>
        <v>#DIV/0!</v>
      </c>
      <c r="EF12" s="79">
        <f t="array" ref="EF12">SUMIFS('Cắt lồng'!$AC$327:$AC$515,'Cắt lồng'!$AA$327:$AA$515,'Cắt lồng'!$AA12,'Cắt lồng'!$AE$327:$AE$515,'Cắt lồng'!EF$4:EF$4)</f>
        <v>0</v>
      </c>
      <c r="EG12" s="79">
        <f t="array" ref="EG12">SUMIFS('Cắt lồng'!$AH$327:$AH$515,'Cắt lồng'!$AA$327:$AA$515,'Cắt lồng'!$AA12,'Cắt lồng'!$AE$327:$AE$515,'Cắt lồng'!EG$4:EG$4)</f>
        <v>0</v>
      </c>
      <c r="EH12" s="78" t="e">
        <f t="shared" si="68"/>
        <v>#DIV/0!</v>
      </c>
      <c r="EI12" s="79">
        <f t="array" ref="EI12">SUMIFS('Cắt lồng'!$AC$327:$AC$515,'Cắt lồng'!$AA$327:$AA$515,'Cắt lồng'!$AA12,'Cắt lồng'!$AE$327:$AE$515,'Cắt lồng'!EI$4:EI$4)</f>
        <v>0</v>
      </c>
      <c r="EJ12" s="79">
        <f t="array" ref="EJ12">SUMIFS('Cắt lồng'!$AH$327:$AH$515,'Cắt lồng'!$AA$327:$AA$515,'Cắt lồng'!$AA12,'Cắt lồng'!$AE$327:$AE$515,'Cắt lồng'!EJ$4:EJ$4)</f>
        <v>0</v>
      </c>
      <c r="EK12" s="78" t="e">
        <f t="shared" si="69"/>
        <v>#DIV/0!</v>
      </c>
    </row>
    <row r="13" spans="1:141" s="12" customFormat="1" ht="14.25" hidden="1" customHeight="1">
      <c r="A13" s="25">
        <v>8</v>
      </c>
      <c r="B13" s="26">
        <v>8485</v>
      </c>
      <c r="C13" s="204" t="s">
        <v>278</v>
      </c>
      <c r="D13" s="201">
        <f t="shared" si="70"/>
        <v>0</v>
      </c>
      <c r="E13" s="200">
        <f t="shared" si="70"/>
        <v>0</v>
      </c>
      <c r="F13" s="199"/>
      <c r="G13" s="82">
        <f t="shared" si="1"/>
        <v>0</v>
      </c>
      <c r="H13" s="81">
        <f t="shared" si="2"/>
        <v>0</v>
      </c>
      <c r="I13" s="19">
        <f t="shared" si="3"/>
        <v>0</v>
      </c>
      <c r="J13" s="11">
        <f t="shared" si="4"/>
        <v>0</v>
      </c>
      <c r="K13" s="19">
        <f t="shared" si="5"/>
        <v>0</v>
      </c>
      <c r="L13" s="19">
        <f t="shared" si="6"/>
        <v>0</v>
      </c>
      <c r="M13" s="19">
        <f t="shared" si="7"/>
        <v>0</v>
      </c>
      <c r="N13" s="19">
        <f t="shared" si="8"/>
        <v>0</v>
      </c>
      <c r="O13" s="19">
        <f t="shared" si="9"/>
        <v>0</v>
      </c>
      <c r="P13" s="19">
        <f t="shared" si="10"/>
        <v>0</v>
      </c>
      <c r="Q13" s="19">
        <f t="shared" si="11"/>
        <v>0</v>
      </c>
      <c r="R13" s="19">
        <f t="shared" si="12"/>
        <v>0</v>
      </c>
      <c r="S13" s="19">
        <f t="shared" si="13"/>
        <v>0</v>
      </c>
      <c r="T13" s="19">
        <f t="shared" si="14"/>
        <v>0</v>
      </c>
      <c r="U13" s="19">
        <f t="shared" si="15"/>
        <v>0</v>
      </c>
      <c r="V13" s="19">
        <f t="shared" si="16"/>
        <v>0</v>
      </c>
      <c r="W13" s="19">
        <f t="shared" si="17"/>
        <v>0</v>
      </c>
      <c r="X13" s="19">
        <f t="shared" si="18"/>
        <v>0</v>
      </c>
      <c r="Y13" s="19">
        <f t="shared" si="19"/>
        <v>0</v>
      </c>
      <c r="Z13" s="19">
        <f t="shared" si="20"/>
        <v>0</v>
      </c>
      <c r="AA13" s="20" t="s">
        <v>275</v>
      </c>
      <c r="AB13" s="129">
        <f t="shared" si="21"/>
        <v>0</v>
      </c>
      <c r="AC13" s="129">
        <f t="shared" si="22"/>
        <v>0</v>
      </c>
      <c r="AD13" s="128" t="e">
        <f t="shared" si="23"/>
        <v>#DIV/0!</v>
      </c>
      <c r="AE13" s="42"/>
      <c r="AF13" s="127" t="e">
        <f t="shared" si="24"/>
        <v>#DIV/0!</v>
      </c>
      <c r="AG13" s="127"/>
      <c r="AH13" s="127">
        <f t="shared" si="25"/>
        <v>0</v>
      </c>
      <c r="AI13" s="54" t="e">
        <f t="shared" si="26"/>
        <v>#DIV/0!</v>
      </c>
      <c r="AJ13" s="25">
        <f t="shared" si="27"/>
        <v>0</v>
      </c>
      <c r="AK13" s="25">
        <f t="shared" si="28"/>
        <v>0</v>
      </c>
      <c r="AL13" s="25">
        <f t="shared" si="29"/>
        <v>0</v>
      </c>
      <c r="AM13" s="20">
        <f t="shared" si="30"/>
        <v>0</v>
      </c>
      <c r="AN13" s="20">
        <f t="shared" si="31"/>
        <v>0</v>
      </c>
      <c r="AO13" s="20">
        <f t="shared" si="32"/>
        <v>0</v>
      </c>
      <c r="AP13" s="20">
        <f t="shared" si="33"/>
        <v>0</v>
      </c>
      <c r="AQ13" s="20">
        <f t="shared" si="34"/>
        <v>0</v>
      </c>
      <c r="AR13" s="20">
        <f t="shared" si="35"/>
        <v>0</v>
      </c>
      <c r="AS13" s="20">
        <f t="shared" si="36"/>
        <v>0</v>
      </c>
      <c r="AT13" s="20">
        <f t="shared" si="37"/>
        <v>0</v>
      </c>
      <c r="AV13" s="79">
        <f t="shared" si="38"/>
        <v>0</v>
      </c>
      <c r="AW13" s="79">
        <f t="array" ref="AW13">SUMIFS('Cắt lồng'!$AC$327:$AC$515,'Cắt lồng'!$AA$327:$AA$515,'Cắt lồng'!$AA13,'Cắt lồng'!$AE$327:$AE$515,'Cắt lồng'!AW$4:AW$4)</f>
        <v>0</v>
      </c>
      <c r="AX13" s="79">
        <f t="array" ref="AX13">SUMIFS('Cắt lồng'!$AH$327:$AH$515,'Cắt lồng'!$AA$327:$AA$515,'Cắt lồng'!$AA13,'Cắt lồng'!$AE$327:$AE$515,'Cắt lồng'!AX$4:AX$4)</f>
        <v>0</v>
      </c>
      <c r="AY13" s="78" t="e">
        <f t="shared" si="39"/>
        <v>#DIV/0!</v>
      </c>
      <c r="AZ13" s="79">
        <f t="array" ref="AZ13">SUMIFS('Cắt lồng'!$AC$327:$AC$515,'Cắt lồng'!$AA$327:$AA$515,'Cắt lồng'!$AA13,'Cắt lồng'!$AE$327:$AE$515,'Cắt lồng'!AZ$4:AZ$4)</f>
        <v>0</v>
      </c>
      <c r="BA13" s="79">
        <f t="array" ref="BA13">SUMIFS('Cắt lồng'!$AH$327:$AH$515,'Cắt lồng'!$AA$327:$AA$515,'Cắt lồng'!$AA13,'Cắt lồng'!$AE$327:$AE$515,'Cắt lồng'!BA$4:BA$4)</f>
        <v>0</v>
      </c>
      <c r="BB13" s="78" t="e">
        <f t="shared" si="40"/>
        <v>#DIV/0!</v>
      </c>
      <c r="BC13" s="79">
        <f t="array" ref="BC13">SUMIFS('Cắt lồng'!$AC$327:$AC$515,'Cắt lồng'!$AA$327:$AA$515,'Cắt lồng'!$AA13,'Cắt lồng'!$AE$327:$AE$515,'Cắt lồng'!BC$4:BC$4)</f>
        <v>0</v>
      </c>
      <c r="BD13" s="79">
        <f t="array" ref="BD13">SUMIFS('Cắt lồng'!$AH$327:$AH$515,'Cắt lồng'!$AA$327:$AA$515,'Cắt lồng'!$AA13,'Cắt lồng'!$AE$327:$AE$515,'Cắt lồng'!BD$4:BD$4)</f>
        <v>0</v>
      </c>
      <c r="BE13" s="78" t="e">
        <f t="shared" si="41"/>
        <v>#DIV/0!</v>
      </c>
      <c r="BF13" s="79">
        <f t="array" ref="BF13">SUMIFS('Cắt lồng'!$AC$327:$AC$515,'Cắt lồng'!$AA$327:$AA$515,'Cắt lồng'!$AA13,'Cắt lồng'!$AE$327:$AE$515,'Cắt lồng'!BF$4:BF$4)</f>
        <v>0</v>
      </c>
      <c r="BG13" s="79">
        <f t="array" ref="BG13">SUMIFS('Cắt lồng'!$AH$327:$AH$515,'Cắt lồng'!$AA$327:$AA$515,'Cắt lồng'!$AA13,'Cắt lồng'!$AE$327:$AE$515,'Cắt lồng'!BG$4:BG$4)</f>
        <v>0</v>
      </c>
      <c r="BH13" s="78" t="e">
        <f t="shared" si="42"/>
        <v>#DIV/0!</v>
      </c>
      <c r="BI13" s="79">
        <f t="array" ref="BI13">SUMIFS('Cắt lồng'!$AC$327:$AC$515,'Cắt lồng'!$AA$327:$AA$515,'Cắt lồng'!$AA13,'Cắt lồng'!$AE$327:$AE$515,'Cắt lồng'!BI$4:BI$4)</f>
        <v>0</v>
      </c>
      <c r="BJ13" s="79">
        <f t="array" ref="BJ13">SUMIFS('Cắt lồng'!$AH$327:$AH$515,'Cắt lồng'!$AA$327:$AA$515,'Cắt lồng'!$AA13,'Cắt lồng'!$AE$327:$AE$515,'Cắt lồng'!BJ$4:BJ$4)</f>
        <v>0</v>
      </c>
      <c r="BK13" s="78" t="e">
        <f t="shared" si="43"/>
        <v>#DIV/0!</v>
      </c>
      <c r="BL13" s="79">
        <f t="array" ref="BL13">SUMIFS('Cắt lồng'!$AC$327:$AC$515,'Cắt lồng'!$AA$327:$AA$515,'Cắt lồng'!$AA13,'Cắt lồng'!$AE$327:$AE$515,'Cắt lồng'!BL$4:BL$4)</f>
        <v>0</v>
      </c>
      <c r="BM13" s="79">
        <f t="array" ref="BM13">SUMIFS('Cắt lồng'!$AH$327:$AH$515,'Cắt lồng'!$AA$327:$AA$515,'Cắt lồng'!$AA13,'Cắt lồng'!$AE$327:$AE$515,'Cắt lồng'!BM$4:BM$4)</f>
        <v>0</v>
      </c>
      <c r="BN13" s="78" t="e">
        <f t="shared" si="44"/>
        <v>#DIV/0!</v>
      </c>
      <c r="BO13" s="79">
        <f t="array" ref="BO13">SUMIFS('Cắt lồng'!$AC$327:$AC$515,'Cắt lồng'!$AA$327:$AA$515,'Cắt lồng'!$AA13,'Cắt lồng'!$AE$327:$AE$515,'Cắt lồng'!BO$4:BO$4)</f>
        <v>0</v>
      </c>
      <c r="BP13" s="79">
        <f t="array" ref="BP13">SUMIFS('Cắt lồng'!$AH$327:$AH$515,'Cắt lồng'!$AA$327:$AA$515,'Cắt lồng'!$AA13,'Cắt lồng'!$AE$327:$AE$515,'Cắt lồng'!BP$4:BP$4)</f>
        <v>0</v>
      </c>
      <c r="BQ13" s="78" t="e">
        <f t="shared" si="45"/>
        <v>#DIV/0!</v>
      </c>
      <c r="BR13" s="79">
        <f t="array" ref="BR13">SUMIFS('Cắt lồng'!$AC$327:$AC$515,'Cắt lồng'!$AA$327:$AA$515,'Cắt lồng'!$AA13,'Cắt lồng'!$AE$327:$AE$515,'Cắt lồng'!BR$4:BR$4)</f>
        <v>0</v>
      </c>
      <c r="BS13" s="79">
        <f t="array" ref="BS13">SUMIFS('Cắt lồng'!$AH$327:$AH$515,'Cắt lồng'!$AA$327:$AA$515,'Cắt lồng'!$AA13,'Cắt lồng'!$AE$327:$AE$515,'Cắt lồng'!BS$4:BS$4)</f>
        <v>0</v>
      </c>
      <c r="BT13" s="78" t="e">
        <f t="shared" si="46"/>
        <v>#DIV/0!</v>
      </c>
      <c r="BU13" s="79">
        <f t="array" ref="BU13">SUMIFS('Cắt lồng'!$AC$327:$AC$515,'Cắt lồng'!$AA$327:$AA$515,'Cắt lồng'!$AA13,'Cắt lồng'!$AE$327:$AE$515,'Cắt lồng'!BU$4:BU$4)</f>
        <v>0</v>
      </c>
      <c r="BV13" s="79">
        <f t="array" ref="BV13">SUMIFS('Cắt lồng'!$AH$327:$AH$515,'Cắt lồng'!$AA$327:$AA$515,'Cắt lồng'!$AA13,'Cắt lồng'!$AE$327:$AE$515,'Cắt lồng'!BV$4:BV$4)</f>
        <v>0</v>
      </c>
      <c r="BW13" s="78" t="e">
        <f t="shared" si="47"/>
        <v>#DIV/0!</v>
      </c>
      <c r="BX13" s="79">
        <f t="array" ref="BX13">SUMIFS('Cắt lồng'!$AC$327:$AC$515,'Cắt lồng'!$AA$327:$AA$515,'Cắt lồng'!$AA13,'Cắt lồng'!$AE$327:$AE$515,'Cắt lồng'!BX$4:BX$4)</f>
        <v>0</v>
      </c>
      <c r="BY13" s="79">
        <f t="array" ref="BY13">SUMIFS('Cắt lồng'!$AH$327:$AH$515,'Cắt lồng'!$AA$327:$AA$515,'Cắt lồng'!$AA13,'Cắt lồng'!$AE$327:$AE$515,'Cắt lồng'!BY$4:BY$4)</f>
        <v>0</v>
      </c>
      <c r="BZ13" s="78" t="e">
        <f t="shared" si="48"/>
        <v>#DIV/0!</v>
      </c>
      <c r="CA13" s="79">
        <f t="array" ref="CA13">SUMIFS('Cắt lồng'!$AC$327:$AC$515,'Cắt lồng'!$AA$327:$AA$515,'Cắt lồng'!$AA13,'Cắt lồng'!$AE$327:$AE$515,'Cắt lồng'!CA$4:CA$4)</f>
        <v>0</v>
      </c>
      <c r="CB13" s="79">
        <f t="array" ref="CB13">SUMIFS('Cắt lồng'!$AH$327:$AH$515,'Cắt lồng'!$AA$327:$AA$515,'Cắt lồng'!$AA13,'Cắt lồng'!$AE$327:$AE$515,'Cắt lồng'!CB$4:CB$4)</f>
        <v>0</v>
      </c>
      <c r="CC13" s="78" t="e">
        <f t="shared" si="49"/>
        <v>#DIV/0!</v>
      </c>
      <c r="CD13" s="79">
        <f t="array" ref="CD13">SUMIFS('Cắt lồng'!$AC$327:$AC$515,'Cắt lồng'!$AA$327:$AA$515,'Cắt lồng'!$AA13,'Cắt lồng'!$AE$327:$AE$515,'Cắt lồng'!CD$4:CD$4)</f>
        <v>0</v>
      </c>
      <c r="CE13" s="79">
        <f t="array" ref="CE13">SUMIFS('Cắt lồng'!$AH$327:$AH$515,'Cắt lồng'!$AA$327:$AA$515,'Cắt lồng'!$AA13,'Cắt lồng'!$AE$327:$AE$515,'Cắt lồng'!CE$4:CE$4)</f>
        <v>0</v>
      </c>
      <c r="CF13" s="78" t="e">
        <f t="shared" si="50"/>
        <v>#DIV/0!</v>
      </c>
      <c r="CG13" s="79">
        <f t="array" ref="CG13">SUMIFS('Cắt lồng'!$AC$327:$AC$515,'Cắt lồng'!$AA$327:$AA$515,'Cắt lồng'!$AA13,'Cắt lồng'!$AE$327:$AE$515,'Cắt lồng'!CG$4:CG$4)</f>
        <v>0</v>
      </c>
      <c r="CH13" s="79">
        <f t="array" ref="CH13">SUMIFS('Cắt lồng'!$AH$327:$AH$515,'Cắt lồng'!$AA$327:$AA$515,'Cắt lồng'!$AA13,'Cắt lồng'!$AE$327:$AE$515,'Cắt lồng'!CH$4:CH$4)</f>
        <v>0</v>
      </c>
      <c r="CI13" s="78" t="e">
        <f t="shared" si="51"/>
        <v>#DIV/0!</v>
      </c>
      <c r="CJ13" s="79">
        <f t="array" ref="CJ13">SUMIFS('Cắt lồng'!$AC$327:$AC$515,'Cắt lồng'!$AA$327:$AA$515,'Cắt lồng'!$AA13,'Cắt lồng'!$AE$327:$AE$515,'Cắt lồng'!CJ$4:CJ$4)</f>
        <v>0</v>
      </c>
      <c r="CK13" s="79">
        <f t="array" ref="CK13">SUMIFS('Cắt lồng'!$AH$327:$AH$515,'Cắt lồng'!$AA$327:$AA$515,'Cắt lồng'!$AA13,'Cắt lồng'!$AE$327:$AE$515,'Cắt lồng'!CK$4:CK$4)</f>
        <v>0</v>
      </c>
      <c r="CL13" s="78" t="e">
        <f t="shared" si="52"/>
        <v>#DIV/0!</v>
      </c>
      <c r="CM13" s="79">
        <f t="array" ref="CM13">SUMIFS('Cắt lồng'!$AC$327:$AC$515,'Cắt lồng'!$AA$327:$AA$515,'Cắt lồng'!$AA13,'Cắt lồng'!$AE$327:$AE$515,'Cắt lồng'!CM$4:CM$4)</f>
        <v>0</v>
      </c>
      <c r="CN13" s="79">
        <f t="array" ref="CN13">SUMIFS('Cắt lồng'!$AH$327:$AH$515,'Cắt lồng'!$AA$327:$AA$515,'Cắt lồng'!$AA13,'Cắt lồng'!$AE$327:$AE$515,'Cắt lồng'!CN$4:CN$4)</f>
        <v>0</v>
      </c>
      <c r="CO13" s="78" t="e">
        <f t="shared" si="53"/>
        <v>#DIV/0!</v>
      </c>
      <c r="CP13" s="79">
        <f t="array" ref="CP13">SUMIFS('Cắt lồng'!$AC$327:$AC$515,'Cắt lồng'!$AA$327:$AA$515,'Cắt lồng'!$AA13,'Cắt lồng'!$AE$327:$AE$515,'Cắt lồng'!CP$4:CP$4)</f>
        <v>0</v>
      </c>
      <c r="CQ13" s="79">
        <f t="array" ref="CQ13">SUMIFS('Cắt lồng'!$AH$327:$AH$515,'Cắt lồng'!$AA$327:$AA$515,'Cắt lồng'!$AA13,'Cắt lồng'!$AE$327:$AE$515,'Cắt lồng'!CQ$4:CQ$4)</f>
        <v>0</v>
      </c>
      <c r="CR13" s="78" t="e">
        <f t="shared" si="54"/>
        <v>#DIV/0!</v>
      </c>
      <c r="CS13" s="79">
        <f t="array" ref="CS13">SUMIFS('Cắt lồng'!$AC$327:$AC$515,'Cắt lồng'!$AA$327:$AA$515,'Cắt lồng'!$AA13,'Cắt lồng'!$AE$327:$AE$515,'Cắt lồng'!CS$4:CS$4)</f>
        <v>0</v>
      </c>
      <c r="CT13" s="79">
        <f t="array" ref="CT13">SUMIFS('Cắt lồng'!$AH$327:$AH$515,'Cắt lồng'!$AA$327:$AA$515,'Cắt lồng'!$AA13,'Cắt lồng'!$AE$327:$AE$515,'Cắt lồng'!CT$4:CT$4)</f>
        <v>0</v>
      </c>
      <c r="CU13" s="78" t="e">
        <f t="shared" si="55"/>
        <v>#DIV/0!</v>
      </c>
      <c r="CV13" s="79">
        <f t="array" ref="CV13">SUMIFS('Cắt lồng'!$AC$327:$AC$515,'Cắt lồng'!$AA$327:$AA$515,'Cắt lồng'!$AA13,'Cắt lồng'!$AE$327:$AE$515,'Cắt lồng'!CV$4:CV$4)</f>
        <v>0</v>
      </c>
      <c r="CW13" s="79">
        <f t="array" ref="CW13">SUMIFS('Cắt lồng'!$AH$327:$AH$515,'Cắt lồng'!$AA$327:$AA$515,'Cắt lồng'!$AA13,'Cắt lồng'!$AE$327:$AE$515,'Cắt lồng'!CW$4:CW$4)</f>
        <v>0</v>
      </c>
      <c r="CX13" s="78" t="e">
        <f t="shared" si="56"/>
        <v>#DIV/0!</v>
      </c>
      <c r="CY13" s="79">
        <f t="array" ref="CY13">SUMIFS('Cắt lồng'!$AC$327:$AC$515,'Cắt lồng'!$AA$327:$AA$515,'Cắt lồng'!$AA13,'Cắt lồng'!$AE$327:$AE$515,'Cắt lồng'!CY$4:CY$4)</f>
        <v>0</v>
      </c>
      <c r="CZ13" s="79">
        <f t="array" ref="CZ13">SUMIFS('Cắt lồng'!$AH$327:$AH$515,'Cắt lồng'!$AA$327:$AA$515,'Cắt lồng'!$AA13,'Cắt lồng'!$AE$327:$AE$515,'Cắt lồng'!CZ$4:CZ$4)</f>
        <v>0</v>
      </c>
      <c r="DA13" s="78" t="e">
        <f t="shared" si="57"/>
        <v>#DIV/0!</v>
      </c>
      <c r="DB13" s="79">
        <f t="array" ref="DB13">SUMIFS('Cắt lồng'!$AC$327:$AC$515,'Cắt lồng'!$AA$327:$AA$515,'Cắt lồng'!$AA13,'Cắt lồng'!$AE$327:$AE$515,'Cắt lồng'!DB$4:DB$4)</f>
        <v>0</v>
      </c>
      <c r="DC13" s="79">
        <f t="array" ref="DC13">SUMIFS('Cắt lồng'!$AH$327:$AH$515,'Cắt lồng'!$AA$327:$AA$515,'Cắt lồng'!$AA13,'Cắt lồng'!$AE$327:$AE$515,'Cắt lồng'!DC$4:DC$4)</f>
        <v>0</v>
      </c>
      <c r="DD13" s="78" t="e">
        <f t="shared" si="58"/>
        <v>#DIV/0!</v>
      </c>
      <c r="DE13" s="79">
        <f t="array" ref="DE13">SUMIFS('Cắt lồng'!$AC$327:$AC$515,'Cắt lồng'!$AA$327:$AA$515,'Cắt lồng'!$AA13,'Cắt lồng'!$AE$327:$AE$515,'Cắt lồng'!DE$4:DE$4)</f>
        <v>0</v>
      </c>
      <c r="DF13" s="79">
        <f t="array" ref="DF13">SUMIFS('Cắt lồng'!$AH$327:$AH$515,'Cắt lồng'!$AA$327:$AA$515,'Cắt lồng'!$AA13,'Cắt lồng'!$AE$327:$AE$515,'Cắt lồng'!DF$4:DF$4)</f>
        <v>0</v>
      </c>
      <c r="DG13" s="78" t="e">
        <f t="shared" si="59"/>
        <v>#DIV/0!</v>
      </c>
      <c r="DH13" s="79">
        <f t="array" ref="DH13">SUMIFS('Cắt lồng'!$AC$327:$AC$515,'Cắt lồng'!$AA$327:$AA$515,'Cắt lồng'!$AA13,'Cắt lồng'!$AE$327:$AE$515,'Cắt lồng'!DH$4:DH$4)</f>
        <v>0</v>
      </c>
      <c r="DI13" s="79">
        <f t="array" ref="DI13">SUMIFS('Cắt lồng'!$AH$327:$AH$515,'Cắt lồng'!$AA$327:$AA$515,'Cắt lồng'!$AA13,'Cắt lồng'!$AE$327:$AE$515,'Cắt lồng'!DI$4:DI$4)</f>
        <v>0</v>
      </c>
      <c r="DJ13" s="78" t="e">
        <f t="shared" si="60"/>
        <v>#DIV/0!</v>
      </c>
      <c r="DK13" s="79">
        <f t="array" ref="DK13">SUMIFS('Cắt lồng'!$AC$327:$AC$515,'Cắt lồng'!$AA$327:$AA$515,'Cắt lồng'!$AA13,'Cắt lồng'!$AE$327:$AE$515,'Cắt lồng'!DK$4:DK$4)</f>
        <v>0</v>
      </c>
      <c r="DL13" s="79">
        <f t="array" ref="DL13">SUMIFS('Cắt lồng'!$AH$327:$AH$515,'Cắt lồng'!$AA$327:$AA$515,'Cắt lồng'!$AA13,'Cắt lồng'!$AE$327:$AE$515,'Cắt lồng'!DL$4:DL$4)</f>
        <v>0</v>
      </c>
      <c r="DM13" s="78" t="e">
        <f t="shared" si="61"/>
        <v>#DIV/0!</v>
      </c>
      <c r="DN13" s="79">
        <f>SUMIFS('Cắt lồng'!$AC$327:$AC$515,'Cắt lồng'!$AA$327:$AA$515,'Cắt lồng'!$AA13,'Cắt lồng'!$AE$327:$AE$515,'Cắt lồng'!DN$4:DN$4)</f>
        <v>0</v>
      </c>
      <c r="DO13" s="79">
        <f t="array" ref="DO13">SUMIFS('Cắt lồng'!$AH$327:$AH$515,'Cắt lồng'!$AA$327:$AA$515,'Cắt lồng'!$AA13,'Cắt lồng'!$AE$327:$AE$515,'Cắt lồng'!DO$4:DO$4)</f>
        <v>0</v>
      </c>
      <c r="DP13" s="78" t="e">
        <f t="shared" si="62"/>
        <v>#DIV/0!</v>
      </c>
      <c r="DQ13" s="79">
        <f t="array" ref="DQ13">SUMIFS('Cắt lồng'!$AC$327:$AC$515,'Cắt lồng'!$AA$327:$AA$515,'Cắt lồng'!$AA13,'Cắt lồng'!$AE$327:$AE$515,'Cắt lồng'!DQ$4:DQ$4)</f>
        <v>0</v>
      </c>
      <c r="DR13" s="79">
        <f t="array" ref="DR13">SUMIFS('Cắt lồng'!$AH$327:$AH$515,'Cắt lồng'!$AA$327:$AA$515,'Cắt lồng'!$AA13,'Cắt lồng'!$AE$327:$AE$515,'Cắt lồng'!DR$4:DR$4)</f>
        <v>0</v>
      </c>
      <c r="DS13" s="78" t="e">
        <f t="shared" si="63"/>
        <v>#DIV/0!</v>
      </c>
      <c r="DT13" s="79">
        <f t="array" ref="DT13">SUMIFS('Cắt lồng'!$AC$327:$AC$515,'Cắt lồng'!$AA$327:$AA$515,'Cắt lồng'!$AA13,'Cắt lồng'!$AE$327:$AE$515,'Cắt lồng'!DT$4:DT$4)</f>
        <v>0</v>
      </c>
      <c r="DU13" s="79">
        <f t="array" ref="DU13">SUMIFS('Cắt lồng'!$AH$327:$AH$515,'Cắt lồng'!$AA$327:$AA$515,'Cắt lồng'!$AA13,'Cắt lồng'!$AE$327:$AE$515,'Cắt lồng'!DU$4:DU$4)</f>
        <v>0</v>
      </c>
      <c r="DV13" s="78" t="e">
        <f t="shared" si="64"/>
        <v>#DIV/0!</v>
      </c>
      <c r="DW13" s="79">
        <f t="array" ref="DW13">SUMIFS('Cắt lồng'!$AC$327:$AC$515,'Cắt lồng'!$AA$327:$AA$515,'Cắt lồng'!$AA13,'Cắt lồng'!$AE$327:$AE$515,'Cắt lồng'!DW$4:DW$4)</f>
        <v>0</v>
      </c>
      <c r="DX13" s="79">
        <f t="array" ref="DX13">SUMIFS('Cắt lồng'!$AH$327:$AH$515,'Cắt lồng'!$AA$327:$AA$515,'Cắt lồng'!$AA13,'Cắt lồng'!$AE$327:$AE$515,'Cắt lồng'!DX$4:DX$4)</f>
        <v>0</v>
      </c>
      <c r="DY13" s="78" t="e">
        <f t="shared" si="65"/>
        <v>#DIV/0!</v>
      </c>
      <c r="DZ13" s="79">
        <f t="array" ref="DZ13">SUMIFS('Cắt lồng'!$AC$327:$AC$515,'Cắt lồng'!$AA$327:$AA$515,'Cắt lồng'!$AA13,'Cắt lồng'!$AE$327:$AE$515,'Cắt lồng'!DZ$4:DZ$4)</f>
        <v>0</v>
      </c>
      <c r="EA13" s="79">
        <f t="array" ref="EA13">SUMIFS('Cắt lồng'!$AH$327:$AH$515,'Cắt lồng'!$AA$327:$AA$515,'Cắt lồng'!$AA13,'Cắt lồng'!$AE$327:$AE$515,'Cắt lồng'!EA$4:EA$4)</f>
        <v>0</v>
      </c>
      <c r="EB13" s="78" t="e">
        <f t="shared" si="66"/>
        <v>#DIV/0!</v>
      </c>
      <c r="EC13" s="79">
        <f t="array" ref="EC13">SUMIFS('Cắt lồng'!$AC$327:$AC$515,'Cắt lồng'!$AA$327:$AA$515,'Cắt lồng'!$AA13,'Cắt lồng'!$AE$327:$AE$515,'Cắt lồng'!EC$4:EC$4)</f>
        <v>0</v>
      </c>
      <c r="ED13" s="79">
        <f t="array" ref="ED13">SUMIFS('Cắt lồng'!$AH$327:$AH$515,'Cắt lồng'!$AA$327:$AA$515,'Cắt lồng'!$AA13,'Cắt lồng'!$AE$327:$AE$515,'Cắt lồng'!ED$4:ED$4)</f>
        <v>0</v>
      </c>
      <c r="EE13" s="78" t="e">
        <f t="shared" si="67"/>
        <v>#DIV/0!</v>
      </c>
      <c r="EF13" s="79">
        <f t="array" ref="EF13">SUMIFS('Cắt lồng'!$AC$327:$AC$515,'Cắt lồng'!$AA$327:$AA$515,'Cắt lồng'!$AA13,'Cắt lồng'!$AE$327:$AE$515,'Cắt lồng'!EF$4:EF$4)</f>
        <v>0</v>
      </c>
      <c r="EG13" s="79">
        <f t="array" ref="EG13">SUMIFS('Cắt lồng'!$AH$327:$AH$515,'Cắt lồng'!$AA$327:$AA$515,'Cắt lồng'!$AA13,'Cắt lồng'!$AE$327:$AE$515,'Cắt lồng'!EG$4:EG$4)</f>
        <v>0</v>
      </c>
      <c r="EH13" s="78" t="e">
        <f t="shared" si="68"/>
        <v>#DIV/0!</v>
      </c>
      <c r="EI13" s="79">
        <f t="array" ref="EI13">SUMIFS('Cắt lồng'!$AC$327:$AC$515,'Cắt lồng'!$AA$327:$AA$515,'Cắt lồng'!$AA13,'Cắt lồng'!$AE$327:$AE$515,'Cắt lồng'!EI$4:EI$4)</f>
        <v>0</v>
      </c>
      <c r="EJ13" s="79">
        <f t="array" ref="EJ13">SUMIFS('Cắt lồng'!$AH$327:$AH$515,'Cắt lồng'!$AA$327:$AA$515,'Cắt lồng'!$AA13,'Cắt lồng'!$AE$327:$AE$515,'Cắt lồng'!EJ$4:EJ$4)</f>
        <v>0</v>
      </c>
      <c r="EK13" s="78" t="e">
        <f t="shared" si="69"/>
        <v>#DIV/0!</v>
      </c>
    </row>
    <row r="14" spans="1:141" s="12" customFormat="1" ht="14.25" hidden="1" customHeight="1">
      <c r="A14" s="25">
        <v>9</v>
      </c>
      <c r="B14" s="26">
        <v>3880</v>
      </c>
      <c r="C14" s="204" t="s">
        <v>277</v>
      </c>
      <c r="D14" s="201">
        <f t="shared" si="70"/>
        <v>0</v>
      </c>
      <c r="E14" s="200">
        <f t="shared" si="70"/>
        <v>0</v>
      </c>
      <c r="F14" s="199"/>
      <c r="G14" s="82">
        <f t="shared" si="1"/>
        <v>0</v>
      </c>
      <c r="H14" s="81">
        <f t="shared" si="2"/>
        <v>0</v>
      </c>
      <c r="I14" s="19">
        <f t="shared" si="3"/>
        <v>0</v>
      </c>
      <c r="J14" s="11">
        <f t="shared" si="4"/>
        <v>0</v>
      </c>
      <c r="K14" s="19">
        <f t="shared" si="5"/>
        <v>0</v>
      </c>
      <c r="L14" s="19">
        <f t="shared" si="6"/>
        <v>0</v>
      </c>
      <c r="M14" s="19">
        <f t="shared" si="7"/>
        <v>0</v>
      </c>
      <c r="N14" s="19">
        <f t="shared" si="8"/>
        <v>0</v>
      </c>
      <c r="O14" s="19">
        <f t="shared" si="9"/>
        <v>0</v>
      </c>
      <c r="P14" s="19">
        <f t="shared" si="10"/>
        <v>0</v>
      </c>
      <c r="Q14" s="19">
        <f t="shared" si="11"/>
        <v>0</v>
      </c>
      <c r="R14" s="19">
        <f t="shared" si="12"/>
        <v>0</v>
      </c>
      <c r="S14" s="19">
        <f t="shared" si="13"/>
        <v>0</v>
      </c>
      <c r="T14" s="19">
        <f t="shared" si="14"/>
        <v>0</v>
      </c>
      <c r="U14" s="19">
        <f t="shared" si="15"/>
        <v>0</v>
      </c>
      <c r="V14" s="19">
        <f t="shared" si="16"/>
        <v>0</v>
      </c>
      <c r="W14" s="19">
        <f t="shared" si="17"/>
        <v>0</v>
      </c>
      <c r="X14" s="19">
        <f t="shared" si="18"/>
        <v>0</v>
      </c>
      <c r="Y14" s="19">
        <f t="shared" si="19"/>
        <v>0</v>
      </c>
      <c r="Z14" s="19">
        <f t="shared" si="20"/>
        <v>0</v>
      </c>
      <c r="AA14" s="20" t="s">
        <v>276</v>
      </c>
      <c r="AB14" s="129">
        <f t="shared" si="21"/>
        <v>0</v>
      </c>
      <c r="AC14" s="129">
        <f t="shared" si="22"/>
        <v>0</v>
      </c>
      <c r="AD14" s="128" t="e">
        <f t="shared" si="23"/>
        <v>#DIV/0!</v>
      </c>
      <c r="AE14" s="42"/>
      <c r="AF14" s="127" t="e">
        <f t="shared" si="24"/>
        <v>#DIV/0!</v>
      </c>
      <c r="AG14" s="127"/>
      <c r="AH14" s="127">
        <f t="shared" si="25"/>
        <v>0</v>
      </c>
      <c r="AI14" s="54" t="e">
        <f t="shared" si="26"/>
        <v>#DIV/0!</v>
      </c>
      <c r="AJ14" s="25">
        <f t="shared" si="27"/>
        <v>0</v>
      </c>
      <c r="AK14" s="25">
        <f t="shared" si="28"/>
        <v>0</v>
      </c>
      <c r="AL14" s="25">
        <f t="shared" si="29"/>
        <v>0</v>
      </c>
      <c r="AM14" s="20">
        <f t="shared" si="30"/>
        <v>0</v>
      </c>
      <c r="AN14" s="20">
        <f t="shared" si="31"/>
        <v>0</v>
      </c>
      <c r="AO14" s="20">
        <f t="shared" si="32"/>
        <v>0</v>
      </c>
      <c r="AP14" s="20">
        <f t="shared" si="33"/>
        <v>0</v>
      </c>
      <c r="AQ14" s="20">
        <f t="shared" si="34"/>
        <v>0</v>
      </c>
      <c r="AR14" s="20">
        <f t="shared" si="35"/>
        <v>0</v>
      </c>
      <c r="AS14" s="20">
        <f t="shared" si="36"/>
        <v>0</v>
      </c>
      <c r="AT14" s="20">
        <f t="shared" si="37"/>
        <v>0</v>
      </c>
      <c r="AV14" s="79">
        <f t="shared" si="38"/>
        <v>0</v>
      </c>
      <c r="AW14" s="79">
        <f t="array" ref="AW14">SUMIFS('Cắt lồng'!$AC$327:$AC$515,'Cắt lồng'!$AA$327:$AA$515,'Cắt lồng'!$AA14,'Cắt lồng'!$AE$327:$AE$515,'Cắt lồng'!AW$4:AW$4)</f>
        <v>0</v>
      </c>
      <c r="AX14" s="79">
        <f t="array" ref="AX14">SUMIFS('Cắt lồng'!$AH$327:$AH$515,'Cắt lồng'!$AA$327:$AA$515,'Cắt lồng'!$AA14,'Cắt lồng'!$AE$327:$AE$515,'Cắt lồng'!AX$4:AX$4)</f>
        <v>0</v>
      </c>
      <c r="AY14" s="78" t="e">
        <f t="shared" si="39"/>
        <v>#DIV/0!</v>
      </c>
      <c r="AZ14" s="79">
        <f t="array" ref="AZ14">SUMIFS('Cắt lồng'!$AC$327:$AC$515,'Cắt lồng'!$AA$327:$AA$515,'Cắt lồng'!$AA14,'Cắt lồng'!$AE$327:$AE$515,'Cắt lồng'!AZ$4:AZ$4)</f>
        <v>0</v>
      </c>
      <c r="BA14" s="79">
        <f t="array" ref="BA14">SUMIFS('Cắt lồng'!$AH$327:$AH$515,'Cắt lồng'!$AA$327:$AA$515,'Cắt lồng'!$AA14,'Cắt lồng'!$AE$327:$AE$515,'Cắt lồng'!BA$4:BA$4)</f>
        <v>0</v>
      </c>
      <c r="BB14" s="78" t="e">
        <f t="shared" si="40"/>
        <v>#DIV/0!</v>
      </c>
      <c r="BC14" s="79">
        <f t="array" ref="BC14">SUMIFS('Cắt lồng'!$AC$327:$AC$515,'Cắt lồng'!$AA$327:$AA$515,'Cắt lồng'!$AA14,'Cắt lồng'!$AE$327:$AE$515,'Cắt lồng'!BC$4:BC$4)</f>
        <v>0</v>
      </c>
      <c r="BD14" s="79">
        <f t="array" ref="BD14">SUMIFS('Cắt lồng'!$AH$327:$AH$515,'Cắt lồng'!$AA$327:$AA$515,'Cắt lồng'!$AA14,'Cắt lồng'!$AE$327:$AE$515,'Cắt lồng'!BD$4:BD$4)</f>
        <v>0</v>
      </c>
      <c r="BE14" s="78" t="e">
        <f t="shared" si="41"/>
        <v>#DIV/0!</v>
      </c>
      <c r="BF14" s="79">
        <f t="array" ref="BF14">SUMIFS('Cắt lồng'!$AC$327:$AC$515,'Cắt lồng'!$AA$327:$AA$515,'Cắt lồng'!$AA14,'Cắt lồng'!$AE$327:$AE$515,'Cắt lồng'!BF$4:BF$4)</f>
        <v>0</v>
      </c>
      <c r="BG14" s="79">
        <f t="array" ref="BG14">SUMIFS('Cắt lồng'!$AH$327:$AH$515,'Cắt lồng'!$AA$327:$AA$515,'Cắt lồng'!$AA14,'Cắt lồng'!$AE$327:$AE$515,'Cắt lồng'!BG$4:BG$4)</f>
        <v>0</v>
      </c>
      <c r="BH14" s="78" t="e">
        <f t="shared" si="42"/>
        <v>#DIV/0!</v>
      </c>
      <c r="BI14" s="79">
        <f t="array" ref="BI14">SUMIFS('Cắt lồng'!$AC$327:$AC$515,'Cắt lồng'!$AA$327:$AA$515,'Cắt lồng'!$AA14,'Cắt lồng'!$AE$327:$AE$515,'Cắt lồng'!BI$4:BI$4)</f>
        <v>0</v>
      </c>
      <c r="BJ14" s="79">
        <f t="array" ref="BJ14">SUMIFS('Cắt lồng'!$AH$327:$AH$515,'Cắt lồng'!$AA$327:$AA$515,'Cắt lồng'!$AA14,'Cắt lồng'!$AE$327:$AE$515,'Cắt lồng'!BJ$4:BJ$4)</f>
        <v>0</v>
      </c>
      <c r="BK14" s="78" t="e">
        <f t="shared" si="43"/>
        <v>#DIV/0!</v>
      </c>
      <c r="BL14" s="79">
        <f t="array" ref="BL14">SUMIFS('Cắt lồng'!$AC$327:$AC$515,'Cắt lồng'!$AA$327:$AA$515,'Cắt lồng'!$AA14,'Cắt lồng'!$AE$327:$AE$515,'Cắt lồng'!BL$4:BL$4)</f>
        <v>0</v>
      </c>
      <c r="BM14" s="79">
        <f t="array" ref="BM14">SUMIFS('Cắt lồng'!$AH$327:$AH$515,'Cắt lồng'!$AA$327:$AA$515,'Cắt lồng'!$AA14,'Cắt lồng'!$AE$327:$AE$515,'Cắt lồng'!BM$4:BM$4)</f>
        <v>0</v>
      </c>
      <c r="BN14" s="78" t="e">
        <f t="shared" si="44"/>
        <v>#DIV/0!</v>
      </c>
      <c r="BO14" s="79">
        <f t="array" ref="BO14">SUMIFS('Cắt lồng'!$AC$327:$AC$515,'Cắt lồng'!$AA$327:$AA$515,'Cắt lồng'!$AA14,'Cắt lồng'!$AE$327:$AE$515,'Cắt lồng'!BO$4:BO$4)</f>
        <v>0</v>
      </c>
      <c r="BP14" s="79">
        <f t="array" ref="BP14">SUMIFS('Cắt lồng'!$AH$327:$AH$515,'Cắt lồng'!$AA$327:$AA$515,'Cắt lồng'!$AA14,'Cắt lồng'!$AE$327:$AE$515,'Cắt lồng'!BP$4:BP$4)</f>
        <v>0</v>
      </c>
      <c r="BQ14" s="78" t="e">
        <f t="shared" si="45"/>
        <v>#DIV/0!</v>
      </c>
      <c r="BR14" s="79">
        <f t="array" ref="BR14">SUMIFS('Cắt lồng'!$AC$327:$AC$515,'Cắt lồng'!$AA$327:$AA$515,'Cắt lồng'!$AA14,'Cắt lồng'!$AE$327:$AE$515,'Cắt lồng'!BR$4:BR$4)</f>
        <v>0</v>
      </c>
      <c r="BS14" s="79">
        <f t="array" ref="BS14">SUMIFS('Cắt lồng'!$AH$327:$AH$515,'Cắt lồng'!$AA$327:$AA$515,'Cắt lồng'!$AA14,'Cắt lồng'!$AE$327:$AE$515,'Cắt lồng'!BS$4:BS$4)</f>
        <v>0</v>
      </c>
      <c r="BT14" s="78" t="e">
        <f t="shared" si="46"/>
        <v>#DIV/0!</v>
      </c>
      <c r="BU14" s="79">
        <f t="array" ref="BU14">SUMIFS('Cắt lồng'!$AC$327:$AC$515,'Cắt lồng'!$AA$327:$AA$515,'Cắt lồng'!$AA14,'Cắt lồng'!$AE$327:$AE$515,'Cắt lồng'!BU$4:BU$4)</f>
        <v>0</v>
      </c>
      <c r="BV14" s="79">
        <f t="array" ref="BV14">SUMIFS('Cắt lồng'!$AH$327:$AH$515,'Cắt lồng'!$AA$327:$AA$515,'Cắt lồng'!$AA14,'Cắt lồng'!$AE$327:$AE$515,'Cắt lồng'!BV$4:BV$4)</f>
        <v>0</v>
      </c>
      <c r="BW14" s="78" t="e">
        <f t="shared" si="47"/>
        <v>#DIV/0!</v>
      </c>
      <c r="BX14" s="79">
        <f t="array" ref="BX14">SUMIFS('Cắt lồng'!$AC$327:$AC$515,'Cắt lồng'!$AA$327:$AA$515,'Cắt lồng'!$AA14,'Cắt lồng'!$AE$327:$AE$515,'Cắt lồng'!BX$4:BX$4)</f>
        <v>0</v>
      </c>
      <c r="BY14" s="79">
        <f t="array" ref="BY14">SUMIFS('Cắt lồng'!$AH$327:$AH$515,'Cắt lồng'!$AA$327:$AA$515,'Cắt lồng'!$AA14,'Cắt lồng'!$AE$327:$AE$515,'Cắt lồng'!BY$4:BY$4)</f>
        <v>0</v>
      </c>
      <c r="BZ14" s="78" t="e">
        <f t="shared" si="48"/>
        <v>#DIV/0!</v>
      </c>
      <c r="CA14" s="79">
        <f t="array" ref="CA14">SUMIFS('Cắt lồng'!$AC$327:$AC$515,'Cắt lồng'!$AA$327:$AA$515,'Cắt lồng'!$AA14,'Cắt lồng'!$AE$327:$AE$515,'Cắt lồng'!CA$4:CA$4)</f>
        <v>0</v>
      </c>
      <c r="CB14" s="79">
        <f t="array" ref="CB14">SUMIFS('Cắt lồng'!$AH$327:$AH$515,'Cắt lồng'!$AA$327:$AA$515,'Cắt lồng'!$AA14,'Cắt lồng'!$AE$327:$AE$515,'Cắt lồng'!CB$4:CB$4)</f>
        <v>0</v>
      </c>
      <c r="CC14" s="78" t="e">
        <f t="shared" si="49"/>
        <v>#DIV/0!</v>
      </c>
      <c r="CD14" s="79">
        <f t="array" ref="CD14">SUMIFS('Cắt lồng'!$AC$327:$AC$515,'Cắt lồng'!$AA$327:$AA$515,'Cắt lồng'!$AA14,'Cắt lồng'!$AE$327:$AE$515,'Cắt lồng'!CD$4:CD$4)</f>
        <v>0</v>
      </c>
      <c r="CE14" s="79">
        <f t="array" ref="CE14">SUMIFS('Cắt lồng'!$AH$327:$AH$515,'Cắt lồng'!$AA$327:$AA$515,'Cắt lồng'!$AA14,'Cắt lồng'!$AE$327:$AE$515,'Cắt lồng'!CE$4:CE$4)</f>
        <v>0</v>
      </c>
      <c r="CF14" s="78" t="e">
        <f t="shared" si="50"/>
        <v>#DIV/0!</v>
      </c>
      <c r="CG14" s="79">
        <f t="array" ref="CG14">SUMIFS('Cắt lồng'!$AC$327:$AC$515,'Cắt lồng'!$AA$327:$AA$515,'Cắt lồng'!$AA14,'Cắt lồng'!$AE$327:$AE$515,'Cắt lồng'!CG$4:CG$4)</f>
        <v>0</v>
      </c>
      <c r="CH14" s="79">
        <f t="array" ref="CH14">SUMIFS('Cắt lồng'!$AH$327:$AH$515,'Cắt lồng'!$AA$327:$AA$515,'Cắt lồng'!$AA14,'Cắt lồng'!$AE$327:$AE$515,'Cắt lồng'!CH$4:CH$4)</f>
        <v>0</v>
      </c>
      <c r="CI14" s="78" t="e">
        <f t="shared" si="51"/>
        <v>#DIV/0!</v>
      </c>
      <c r="CJ14" s="79">
        <f t="array" ref="CJ14">SUMIFS('Cắt lồng'!$AC$327:$AC$515,'Cắt lồng'!$AA$327:$AA$515,'Cắt lồng'!$AA14,'Cắt lồng'!$AE$327:$AE$515,'Cắt lồng'!CJ$4:CJ$4)</f>
        <v>0</v>
      </c>
      <c r="CK14" s="79">
        <f t="array" ref="CK14">SUMIFS('Cắt lồng'!$AH$327:$AH$515,'Cắt lồng'!$AA$327:$AA$515,'Cắt lồng'!$AA14,'Cắt lồng'!$AE$327:$AE$515,'Cắt lồng'!CK$4:CK$4)</f>
        <v>0</v>
      </c>
      <c r="CL14" s="78" t="e">
        <f t="shared" si="52"/>
        <v>#DIV/0!</v>
      </c>
      <c r="CM14" s="79">
        <f t="array" ref="CM14">SUMIFS('Cắt lồng'!$AC$327:$AC$515,'Cắt lồng'!$AA$327:$AA$515,'Cắt lồng'!$AA14,'Cắt lồng'!$AE$327:$AE$515,'Cắt lồng'!CM$4:CM$4)</f>
        <v>0</v>
      </c>
      <c r="CN14" s="79">
        <f t="array" ref="CN14">SUMIFS('Cắt lồng'!$AH$327:$AH$515,'Cắt lồng'!$AA$327:$AA$515,'Cắt lồng'!$AA14,'Cắt lồng'!$AE$327:$AE$515,'Cắt lồng'!CN$4:CN$4)</f>
        <v>0</v>
      </c>
      <c r="CO14" s="78" t="e">
        <f t="shared" si="53"/>
        <v>#DIV/0!</v>
      </c>
      <c r="CP14" s="79">
        <f t="array" ref="CP14">SUMIFS('Cắt lồng'!$AC$327:$AC$515,'Cắt lồng'!$AA$327:$AA$515,'Cắt lồng'!$AA14,'Cắt lồng'!$AE$327:$AE$515,'Cắt lồng'!CP$4:CP$4)</f>
        <v>0</v>
      </c>
      <c r="CQ14" s="79">
        <f t="array" ref="CQ14">SUMIFS('Cắt lồng'!$AH$327:$AH$515,'Cắt lồng'!$AA$327:$AA$515,'Cắt lồng'!$AA14,'Cắt lồng'!$AE$327:$AE$515,'Cắt lồng'!CQ$4:CQ$4)</f>
        <v>0</v>
      </c>
      <c r="CR14" s="78" t="e">
        <f t="shared" si="54"/>
        <v>#DIV/0!</v>
      </c>
      <c r="CS14" s="79">
        <f t="array" ref="CS14">SUMIFS('Cắt lồng'!$AC$327:$AC$515,'Cắt lồng'!$AA$327:$AA$515,'Cắt lồng'!$AA14,'Cắt lồng'!$AE$327:$AE$515,'Cắt lồng'!CS$4:CS$4)</f>
        <v>0</v>
      </c>
      <c r="CT14" s="79">
        <f t="array" ref="CT14">SUMIFS('Cắt lồng'!$AH$327:$AH$515,'Cắt lồng'!$AA$327:$AA$515,'Cắt lồng'!$AA14,'Cắt lồng'!$AE$327:$AE$515,'Cắt lồng'!CT$4:CT$4)</f>
        <v>0</v>
      </c>
      <c r="CU14" s="78" t="e">
        <f t="shared" si="55"/>
        <v>#DIV/0!</v>
      </c>
      <c r="CV14" s="79">
        <f t="array" ref="CV14">SUMIFS('Cắt lồng'!$AC$327:$AC$515,'Cắt lồng'!$AA$327:$AA$515,'Cắt lồng'!$AA14,'Cắt lồng'!$AE$327:$AE$515,'Cắt lồng'!CV$4:CV$4)</f>
        <v>0</v>
      </c>
      <c r="CW14" s="79">
        <f t="array" ref="CW14">SUMIFS('Cắt lồng'!$AH$327:$AH$515,'Cắt lồng'!$AA$327:$AA$515,'Cắt lồng'!$AA14,'Cắt lồng'!$AE$327:$AE$515,'Cắt lồng'!CW$4:CW$4)</f>
        <v>0</v>
      </c>
      <c r="CX14" s="78" t="e">
        <f t="shared" si="56"/>
        <v>#DIV/0!</v>
      </c>
      <c r="CY14" s="79">
        <f t="array" ref="CY14">SUMIFS('Cắt lồng'!$AC$327:$AC$515,'Cắt lồng'!$AA$327:$AA$515,'Cắt lồng'!$AA14,'Cắt lồng'!$AE$327:$AE$515,'Cắt lồng'!CY$4:CY$4)</f>
        <v>0</v>
      </c>
      <c r="CZ14" s="79">
        <f t="array" ref="CZ14">SUMIFS('Cắt lồng'!$AH$327:$AH$515,'Cắt lồng'!$AA$327:$AA$515,'Cắt lồng'!$AA14,'Cắt lồng'!$AE$327:$AE$515,'Cắt lồng'!CZ$4:CZ$4)</f>
        <v>0</v>
      </c>
      <c r="DA14" s="78" t="e">
        <f t="shared" si="57"/>
        <v>#DIV/0!</v>
      </c>
      <c r="DB14" s="79">
        <f t="array" ref="DB14">SUMIFS('Cắt lồng'!$AC$327:$AC$515,'Cắt lồng'!$AA$327:$AA$515,'Cắt lồng'!$AA14,'Cắt lồng'!$AE$327:$AE$515,'Cắt lồng'!DB$4:DB$4)</f>
        <v>0</v>
      </c>
      <c r="DC14" s="79">
        <f t="array" ref="DC14">SUMIFS('Cắt lồng'!$AH$327:$AH$515,'Cắt lồng'!$AA$327:$AA$515,'Cắt lồng'!$AA14,'Cắt lồng'!$AE$327:$AE$515,'Cắt lồng'!DC$4:DC$4)</f>
        <v>0</v>
      </c>
      <c r="DD14" s="78" t="e">
        <f t="shared" si="58"/>
        <v>#DIV/0!</v>
      </c>
      <c r="DE14" s="79">
        <f t="array" ref="DE14">SUMIFS('Cắt lồng'!$AC$327:$AC$515,'Cắt lồng'!$AA$327:$AA$515,'Cắt lồng'!$AA14,'Cắt lồng'!$AE$327:$AE$515,'Cắt lồng'!DE$4:DE$4)</f>
        <v>0</v>
      </c>
      <c r="DF14" s="79">
        <f t="array" ref="DF14">SUMIFS('Cắt lồng'!$AH$327:$AH$515,'Cắt lồng'!$AA$327:$AA$515,'Cắt lồng'!$AA14,'Cắt lồng'!$AE$327:$AE$515,'Cắt lồng'!DF$4:DF$4)</f>
        <v>0</v>
      </c>
      <c r="DG14" s="78" t="e">
        <f t="shared" si="59"/>
        <v>#DIV/0!</v>
      </c>
      <c r="DH14" s="79">
        <f t="array" ref="DH14">SUMIFS('Cắt lồng'!$AC$327:$AC$515,'Cắt lồng'!$AA$327:$AA$515,'Cắt lồng'!$AA14,'Cắt lồng'!$AE$327:$AE$515,'Cắt lồng'!DH$4:DH$4)</f>
        <v>0</v>
      </c>
      <c r="DI14" s="79">
        <f t="array" ref="DI14">SUMIFS('Cắt lồng'!$AH$327:$AH$515,'Cắt lồng'!$AA$327:$AA$515,'Cắt lồng'!$AA14,'Cắt lồng'!$AE$327:$AE$515,'Cắt lồng'!DI$4:DI$4)</f>
        <v>0</v>
      </c>
      <c r="DJ14" s="78" t="e">
        <f t="shared" si="60"/>
        <v>#DIV/0!</v>
      </c>
      <c r="DK14" s="79">
        <f t="array" ref="DK14">SUMIFS('Cắt lồng'!$AC$327:$AC$515,'Cắt lồng'!$AA$327:$AA$515,'Cắt lồng'!$AA14,'Cắt lồng'!$AE$327:$AE$515,'Cắt lồng'!DK$4:DK$4)</f>
        <v>0</v>
      </c>
      <c r="DL14" s="79">
        <f t="array" ref="DL14">SUMIFS('Cắt lồng'!$AH$327:$AH$515,'Cắt lồng'!$AA$327:$AA$515,'Cắt lồng'!$AA14,'Cắt lồng'!$AE$327:$AE$515,'Cắt lồng'!DL$4:DL$4)</f>
        <v>0</v>
      </c>
      <c r="DM14" s="78" t="e">
        <f t="shared" si="61"/>
        <v>#DIV/0!</v>
      </c>
      <c r="DN14" s="79">
        <f>SUMIFS('Cắt lồng'!$AC$327:$AC$515,'Cắt lồng'!$AA$327:$AA$515,'Cắt lồng'!$AA14,'Cắt lồng'!$AE$327:$AE$515,'Cắt lồng'!DN$4:DN$4)</f>
        <v>0</v>
      </c>
      <c r="DO14" s="79">
        <f t="array" ref="DO14">SUMIFS('Cắt lồng'!$AH$327:$AH$515,'Cắt lồng'!$AA$327:$AA$515,'Cắt lồng'!$AA14,'Cắt lồng'!$AE$327:$AE$515,'Cắt lồng'!DO$4:DO$4)</f>
        <v>0</v>
      </c>
      <c r="DP14" s="78" t="e">
        <f t="shared" si="62"/>
        <v>#DIV/0!</v>
      </c>
      <c r="DQ14" s="79">
        <f t="array" ref="DQ14">SUMIFS('Cắt lồng'!$AC$327:$AC$515,'Cắt lồng'!$AA$327:$AA$515,'Cắt lồng'!$AA14,'Cắt lồng'!$AE$327:$AE$515,'Cắt lồng'!DQ$4:DQ$4)</f>
        <v>0</v>
      </c>
      <c r="DR14" s="79">
        <f t="array" ref="DR14">SUMIFS('Cắt lồng'!$AH$327:$AH$515,'Cắt lồng'!$AA$327:$AA$515,'Cắt lồng'!$AA14,'Cắt lồng'!$AE$327:$AE$515,'Cắt lồng'!DR$4:DR$4)</f>
        <v>0</v>
      </c>
      <c r="DS14" s="78" t="e">
        <f t="shared" si="63"/>
        <v>#DIV/0!</v>
      </c>
      <c r="DT14" s="79">
        <f t="array" ref="DT14">SUMIFS('Cắt lồng'!$AC$327:$AC$515,'Cắt lồng'!$AA$327:$AA$515,'Cắt lồng'!$AA14,'Cắt lồng'!$AE$327:$AE$515,'Cắt lồng'!DT$4:DT$4)</f>
        <v>0</v>
      </c>
      <c r="DU14" s="79">
        <f t="array" ref="DU14">SUMIFS('Cắt lồng'!$AH$327:$AH$515,'Cắt lồng'!$AA$327:$AA$515,'Cắt lồng'!$AA14,'Cắt lồng'!$AE$327:$AE$515,'Cắt lồng'!DU$4:DU$4)</f>
        <v>0</v>
      </c>
      <c r="DV14" s="78" t="e">
        <f t="shared" si="64"/>
        <v>#DIV/0!</v>
      </c>
      <c r="DW14" s="79">
        <f t="array" ref="DW14">SUMIFS('Cắt lồng'!$AC$327:$AC$515,'Cắt lồng'!$AA$327:$AA$515,'Cắt lồng'!$AA14,'Cắt lồng'!$AE$327:$AE$515,'Cắt lồng'!DW$4:DW$4)</f>
        <v>0</v>
      </c>
      <c r="DX14" s="79">
        <f t="array" ref="DX14">SUMIFS('Cắt lồng'!$AH$327:$AH$515,'Cắt lồng'!$AA$327:$AA$515,'Cắt lồng'!$AA14,'Cắt lồng'!$AE$327:$AE$515,'Cắt lồng'!DX$4:DX$4)</f>
        <v>0</v>
      </c>
      <c r="DY14" s="78" t="e">
        <f t="shared" si="65"/>
        <v>#DIV/0!</v>
      </c>
      <c r="DZ14" s="79">
        <f t="array" ref="DZ14">SUMIFS('Cắt lồng'!$AC$327:$AC$515,'Cắt lồng'!$AA$327:$AA$515,'Cắt lồng'!$AA14,'Cắt lồng'!$AE$327:$AE$515,'Cắt lồng'!DZ$4:DZ$4)</f>
        <v>0</v>
      </c>
      <c r="EA14" s="79">
        <f t="array" ref="EA14">SUMIFS('Cắt lồng'!$AH$327:$AH$515,'Cắt lồng'!$AA$327:$AA$515,'Cắt lồng'!$AA14,'Cắt lồng'!$AE$327:$AE$515,'Cắt lồng'!EA$4:EA$4)</f>
        <v>0</v>
      </c>
      <c r="EB14" s="78" t="e">
        <f t="shared" si="66"/>
        <v>#DIV/0!</v>
      </c>
      <c r="EC14" s="79">
        <f t="array" ref="EC14">SUMIFS('Cắt lồng'!$AC$327:$AC$515,'Cắt lồng'!$AA$327:$AA$515,'Cắt lồng'!$AA14,'Cắt lồng'!$AE$327:$AE$515,'Cắt lồng'!EC$4:EC$4)</f>
        <v>0</v>
      </c>
      <c r="ED14" s="79">
        <f t="array" ref="ED14">SUMIFS('Cắt lồng'!$AH$327:$AH$515,'Cắt lồng'!$AA$327:$AA$515,'Cắt lồng'!$AA14,'Cắt lồng'!$AE$327:$AE$515,'Cắt lồng'!ED$4:ED$4)</f>
        <v>0</v>
      </c>
      <c r="EE14" s="78" t="e">
        <f t="shared" si="67"/>
        <v>#DIV/0!</v>
      </c>
      <c r="EF14" s="79">
        <f t="array" ref="EF14">SUMIFS('Cắt lồng'!$AC$327:$AC$515,'Cắt lồng'!$AA$327:$AA$515,'Cắt lồng'!$AA14,'Cắt lồng'!$AE$327:$AE$515,'Cắt lồng'!EF$4:EF$4)</f>
        <v>0</v>
      </c>
      <c r="EG14" s="79">
        <f t="array" ref="EG14">SUMIFS('Cắt lồng'!$AH$327:$AH$515,'Cắt lồng'!$AA$327:$AA$515,'Cắt lồng'!$AA14,'Cắt lồng'!$AE$327:$AE$515,'Cắt lồng'!EG$4:EG$4)</f>
        <v>0</v>
      </c>
      <c r="EH14" s="78" t="e">
        <f t="shared" si="68"/>
        <v>#DIV/0!</v>
      </c>
      <c r="EI14" s="79">
        <f t="array" ref="EI14">SUMIFS('Cắt lồng'!$AC$327:$AC$515,'Cắt lồng'!$AA$327:$AA$515,'Cắt lồng'!$AA14,'Cắt lồng'!$AE$327:$AE$515,'Cắt lồng'!EI$4:EI$4)</f>
        <v>0</v>
      </c>
      <c r="EJ14" s="79">
        <f t="array" ref="EJ14">SUMIFS('Cắt lồng'!$AH$327:$AH$515,'Cắt lồng'!$AA$327:$AA$515,'Cắt lồng'!$AA14,'Cắt lồng'!$AE$327:$AE$515,'Cắt lồng'!EJ$4:EJ$4)</f>
        <v>0</v>
      </c>
      <c r="EK14" s="78" t="e">
        <f t="shared" si="69"/>
        <v>#DIV/0!</v>
      </c>
    </row>
    <row r="15" spans="1:141" s="12" customFormat="1" ht="14.25" hidden="1" customHeight="1">
      <c r="A15" s="25">
        <v>10</v>
      </c>
      <c r="B15" s="26">
        <v>3880</v>
      </c>
      <c r="C15" s="202" t="s">
        <v>275</v>
      </c>
      <c r="D15" s="201">
        <f t="shared" si="70"/>
        <v>0</v>
      </c>
      <c r="E15" s="200">
        <f t="shared" si="70"/>
        <v>0</v>
      </c>
      <c r="F15" s="199"/>
      <c r="G15" s="82">
        <f t="shared" si="1"/>
        <v>0</v>
      </c>
      <c r="H15" s="81">
        <f t="shared" si="2"/>
        <v>0</v>
      </c>
      <c r="I15" s="19">
        <f t="shared" si="3"/>
        <v>0</v>
      </c>
      <c r="J15" s="11">
        <f t="shared" si="4"/>
        <v>0</v>
      </c>
      <c r="K15" s="19">
        <f t="shared" si="5"/>
        <v>0</v>
      </c>
      <c r="L15" s="19">
        <f t="shared" si="6"/>
        <v>0</v>
      </c>
      <c r="M15" s="19">
        <f t="shared" si="7"/>
        <v>0</v>
      </c>
      <c r="N15" s="19">
        <f t="shared" si="8"/>
        <v>0</v>
      </c>
      <c r="O15" s="19">
        <f t="shared" si="9"/>
        <v>0</v>
      </c>
      <c r="P15" s="19">
        <f t="shared" si="10"/>
        <v>0</v>
      </c>
      <c r="Q15" s="19">
        <f t="shared" si="11"/>
        <v>0</v>
      </c>
      <c r="R15" s="19">
        <f t="shared" si="12"/>
        <v>0</v>
      </c>
      <c r="S15" s="19">
        <f t="shared" si="13"/>
        <v>0</v>
      </c>
      <c r="T15" s="19">
        <f t="shared" si="14"/>
        <v>0</v>
      </c>
      <c r="U15" s="19">
        <f t="shared" si="15"/>
        <v>0</v>
      </c>
      <c r="V15" s="19">
        <f t="shared" si="16"/>
        <v>0</v>
      </c>
      <c r="W15" s="19">
        <f t="shared" si="17"/>
        <v>0</v>
      </c>
      <c r="X15" s="19">
        <f t="shared" si="18"/>
        <v>0</v>
      </c>
      <c r="Y15" s="19">
        <f t="shared" si="19"/>
        <v>0</v>
      </c>
      <c r="Z15" s="19">
        <f t="shared" si="20"/>
        <v>0</v>
      </c>
      <c r="AA15" s="20" t="s">
        <v>274</v>
      </c>
      <c r="AB15" s="129">
        <f t="shared" si="21"/>
        <v>0</v>
      </c>
      <c r="AC15" s="129">
        <f t="shared" si="22"/>
        <v>0</v>
      </c>
      <c r="AD15" s="128" t="e">
        <f t="shared" si="23"/>
        <v>#DIV/0!</v>
      </c>
      <c r="AE15" s="42"/>
      <c r="AF15" s="127" t="e">
        <f t="shared" si="24"/>
        <v>#DIV/0!</v>
      </c>
      <c r="AG15" s="127"/>
      <c r="AH15" s="127">
        <f t="shared" si="25"/>
        <v>0</v>
      </c>
      <c r="AI15" s="54" t="e">
        <f t="shared" si="26"/>
        <v>#DIV/0!</v>
      </c>
      <c r="AJ15" s="25">
        <f t="shared" si="27"/>
        <v>0</v>
      </c>
      <c r="AK15" s="25">
        <f t="shared" si="28"/>
        <v>0</v>
      </c>
      <c r="AL15" s="25">
        <f t="shared" si="29"/>
        <v>0</v>
      </c>
      <c r="AM15" s="20">
        <f t="shared" si="30"/>
        <v>0</v>
      </c>
      <c r="AN15" s="20">
        <f t="shared" si="31"/>
        <v>0</v>
      </c>
      <c r="AO15" s="20">
        <f t="shared" si="32"/>
        <v>0</v>
      </c>
      <c r="AP15" s="20">
        <f t="shared" si="33"/>
        <v>0</v>
      </c>
      <c r="AQ15" s="20">
        <f t="shared" si="34"/>
        <v>0</v>
      </c>
      <c r="AR15" s="20">
        <f t="shared" si="35"/>
        <v>0</v>
      </c>
      <c r="AS15" s="20">
        <f t="shared" si="36"/>
        <v>0</v>
      </c>
      <c r="AT15" s="20">
        <f t="shared" si="37"/>
        <v>0</v>
      </c>
      <c r="AV15" s="79">
        <f t="shared" si="38"/>
        <v>0</v>
      </c>
      <c r="AW15" s="79">
        <f t="array" ref="AW15">SUMIFS('Cắt lồng'!$AC$327:$AC$515,'Cắt lồng'!$AA$327:$AA$515,'Cắt lồng'!$AA15,'Cắt lồng'!$AE$327:$AE$515,'Cắt lồng'!AW$4:AW$4)</f>
        <v>0</v>
      </c>
      <c r="AX15" s="79">
        <f t="array" ref="AX15">SUMIFS('Cắt lồng'!$AH$327:$AH$515,'Cắt lồng'!$AA$327:$AA$515,'Cắt lồng'!$AA15,'Cắt lồng'!$AE$327:$AE$515,'Cắt lồng'!AX$4:AX$4)</f>
        <v>0</v>
      </c>
      <c r="AY15" s="78" t="e">
        <f t="shared" si="39"/>
        <v>#DIV/0!</v>
      </c>
      <c r="AZ15" s="79">
        <f t="array" ref="AZ15">SUMIFS('Cắt lồng'!$AC$327:$AC$515,'Cắt lồng'!$AA$327:$AA$515,'Cắt lồng'!$AA15,'Cắt lồng'!$AE$327:$AE$515,'Cắt lồng'!AZ$4:AZ$4)</f>
        <v>0</v>
      </c>
      <c r="BA15" s="79">
        <f t="array" ref="BA15">SUMIFS('Cắt lồng'!$AH$327:$AH$515,'Cắt lồng'!$AA$327:$AA$515,'Cắt lồng'!$AA15,'Cắt lồng'!$AE$327:$AE$515,'Cắt lồng'!BA$4:BA$4)</f>
        <v>0</v>
      </c>
      <c r="BB15" s="78" t="e">
        <f t="shared" si="40"/>
        <v>#DIV/0!</v>
      </c>
      <c r="BC15" s="79">
        <f t="array" ref="BC15">SUMIFS('Cắt lồng'!$AC$327:$AC$515,'Cắt lồng'!$AA$327:$AA$515,'Cắt lồng'!$AA15,'Cắt lồng'!$AE$327:$AE$515,'Cắt lồng'!BC$4:BC$4)</f>
        <v>0</v>
      </c>
      <c r="BD15" s="79">
        <f t="array" ref="BD15">SUMIFS('Cắt lồng'!$AH$327:$AH$515,'Cắt lồng'!$AA$327:$AA$515,'Cắt lồng'!$AA15,'Cắt lồng'!$AE$327:$AE$515,'Cắt lồng'!BD$4:BD$4)</f>
        <v>0</v>
      </c>
      <c r="BE15" s="78" t="e">
        <f t="shared" si="41"/>
        <v>#DIV/0!</v>
      </c>
      <c r="BF15" s="79">
        <f t="array" ref="BF15">SUMIFS('Cắt lồng'!$AC$327:$AC$515,'Cắt lồng'!$AA$327:$AA$515,'Cắt lồng'!$AA15,'Cắt lồng'!$AE$327:$AE$515,'Cắt lồng'!BF$4:BF$4)</f>
        <v>0</v>
      </c>
      <c r="BG15" s="79">
        <f t="array" ref="BG15">SUMIFS('Cắt lồng'!$AH$327:$AH$515,'Cắt lồng'!$AA$327:$AA$515,'Cắt lồng'!$AA15,'Cắt lồng'!$AE$327:$AE$515,'Cắt lồng'!BG$4:BG$4)</f>
        <v>0</v>
      </c>
      <c r="BH15" s="78" t="e">
        <f t="shared" si="42"/>
        <v>#DIV/0!</v>
      </c>
      <c r="BI15" s="79">
        <f t="array" ref="BI15">SUMIFS('Cắt lồng'!$AC$327:$AC$515,'Cắt lồng'!$AA$327:$AA$515,'Cắt lồng'!$AA15,'Cắt lồng'!$AE$327:$AE$515,'Cắt lồng'!BI$4:BI$4)</f>
        <v>0</v>
      </c>
      <c r="BJ15" s="79">
        <f t="array" ref="BJ15">SUMIFS('Cắt lồng'!$AH$327:$AH$515,'Cắt lồng'!$AA$327:$AA$515,'Cắt lồng'!$AA15,'Cắt lồng'!$AE$327:$AE$515,'Cắt lồng'!BJ$4:BJ$4)</f>
        <v>0</v>
      </c>
      <c r="BK15" s="78" t="e">
        <f t="shared" si="43"/>
        <v>#DIV/0!</v>
      </c>
      <c r="BL15" s="79">
        <f t="array" ref="BL15">SUMIFS('Cắt lồng'!$AC$327:$AC$515,'Cắt lồng'!$AA$327:$AA$515,'Cắt lồng'!$AA15,'Cắt lồng'!$AE$327:$AE$515,'Cắt lồng'!BL$4:BL$4)</f>
        <v>0</v>
      </c>
      <c r="BM15" s="79">
        <f t="array" ref="BM15">SUMIFS('Cắt lồng'!$AH$327:$AH$515,'Cắt lồng'!$AA$327:$AA$515,'Cắt lồng'!$AA15,'Cắt lồng'!$AE$327:$AE$515,'Cắt lồng'!BM$4:BM$4)</f>
        <v>0</v>
      </c>
      <c r="BN15" s="78" t="e">
        <f t="shared" si="44"/>
        <v>#DIV/0!</v>
      </c>
      <c r="BO15" s="79">
        <f t="array" ref="BO15">SUMIFS('Cắt lồng'!$AC$327:$AC$515,'Cắt lồng'!$AA$327:$AA$515,'Cắt lồng'!$AA15,'Cắt lồng'!$AE$327:$AE$515,'Cắt lồng'!BO$4:BO$4)</f>
        <v>0</v>
      </c>
      <c r="BP15" s="79">
        <f t="array" ref="BP15">SUMIFS('Cắt lồng'!$AH$327:$AH$515,'Cắt lồng'!$AA$327:$AA$515,'Cắt lồng'!$AA15,'Cắt lồng'!$AE$327:$AE$515,'Cắt lồng'!BP$4:BP$4)</f>
        <v>0</v>
      </c>
      <c r="BQ15" s="78" t="e">
        <f t="shared" si="45"/>
        <v>#DIV/0!</v>
      </c>
      <c r="BR15" s="79">
        <f t="array" ref="BR15">SUMIFS('Cắt lồng'!$AC$327:$AC$515,'Cắt lồng'!$AA$327:$AA$515,'Cắt lồng'!$AA15,'Cắt lồng'!$AE$327:$AE$515,'Cắt lồng'!BR$4:BR$4)</f>
        <v>0</v>
      </c>
      <c r="BS15" s="79">
        <f t="array" ref="BS15">SUMIFS('Cắt lồng'!$AH$327:$AH$515,'Cắt lồng'!$AA$327:$AA$515,'Cắt lồng'!$AA15,'Cắt lồng'!$AE$327:$AE$515,'Cắt lồng'!BS$4:BS$4)</f>
        <v>0</v>
      </c>
      <c r="BT15" s="78" t="e">
        <f t="shared" si="46"/>
        <v>#DIV/0!</v>
      </c>
      <c r="BU15" s="79">
        <f t="array" ref="BU15">SUMIFS('Cắt lồng'!$AC$327:$AC$515,'Cắt lồng'!$AA$327:$AA$515,'Cắt lồng'!$AA15,'Cắt lồng'!$AE$327:$AE$515,'Cắt lồng'!BU$4:BU$4)</f>
        <v>0</v>
      </c>
      <c r="BV15" s="79">
        <f t="array" ref="BV15">SUMIFS('Cắt lồng'!$AH$327:$AH$515,'Cắt lồng'!$AA$327:$AA$515,'Cắt lồng'!$AA15,'Cắt lồng'!$AE$327:$AE$515,'Cắt lồng'!BV$4:BV$4)</f>
        <v>0</v>
      </c>
      <c r="BW15" s="78" t="e">
        <f t="shared" si="47"/>
        <v>#DIV/0!</v>
      </c>
      <c r="BX15" s="79">
        <f t="array" ref="BX15">SUMIFS('Cắt lồng'!$AC$327:$AC$515,'Cắt lồng'!$AA$327:$AA$515,'Cắt lồng'!$AA15,'Cắt lồng'!$AE$327:$AE$515,'Cắt lồng'!BX$4:BX$4)</f>
        <v>0</v>
      </c>
      <c r="BY15" s="79">
        <f t="array" ref="BY15">SUMIFS('Cắt lồng'!$AH$327:$AH$515,'Cắt lồng'!$AA$327:$AA$515,'Cắt lồng'!$AA15,'Cắt lồng'!$AE$327:$AE$515,'Cắt lồng'!BY$4:BY$4)</f>
        <v>0</v>
      </c>
      <c r="BZ15" s="78" t="e">
        <f t="shared" si="48"/>
        <v>#DIV/0!</v>
      </c>
      <c r="CA15" s="79">
        <f t="array" ref="CA15">SUMIFS('Cắt lồng'!$AC$327:$AC$515,'Cắt lồng'!$AA$327:$AA$515,'Cắt lồng'!$AA15,'Cắt lồng'!$AE$327:$AE$515,'Cắt lồng'!CA$4:CA$4)</f>
        <v>0</v>
      </c>
      <c r="CB15" s="79">
        <f t="array" ref="CB15">SUMIFS('Cắt lồng'!$AH$327:$AH$515,'Cắt lồng'!$AA$327:$AA$515,'Cắt lồng'!$AA15,'Cắt lồng'!$AE$327:$AE$515,'Cắt lồng'!CB$4:CB$4)</f>
        <v>0</v>
      </c>
      <c r="CC15" s="78" t="e">
        <f t="shared" si="49"/>
        <v>#DIV/0!</v>
      </c>
      <c r="CD15" s="79">
        <f t="array" ref="CD15">SUMIFS('Cắt lồng'!$AC$327:$AC$515,'Cắt lồng'!$AA$327:$AA$515,'Cắt lồng'!$AA15,'Cắt lồng'!$AE$327:$AE$515,'Cắt lồng'!CD$4:CD$4)</f>
        <v>0</v>
      </c>
      <c r="CE15" s="79">
        <f t="array" ref="CE15">SUMIFS('Cắt lồng'!$AH$327:$AH$515,'Cắt lồng'!$AA$327:$AA$515,'Cắt lồng'!$AA15,'Cắt lồng'!$AE$327:$AE$515,'Cắt lồng'!CE$4:CE$4)</f>
        <v>0</v>
      </c>
      <c r="CF15" s="78" t="e">
        <f t="shared" si="50"/>
        <v>#DIV/0!</v>
      </c>
      <c r="CG15" s="79">
        <f t="array" ref="CG15">SUMIFS('Cắt lồng'!$AC$327:$AC$515,'Cắt lồng'!$AA$327:$AA$515,'Cắt lồng'!$AA15,'Cắt lồng'!$AE$327:$AE$515,'Cắt lồng'!CG$4:CG$4)</f>
        <v>0</v>
      </c>
      <c r="CH15" s="79">
        <f t="array" ref="CH15">SUMIFS('Cắt lồng'!$AH$327:$AH$515,'Cắt lồng'!$AA$327:$AA$515,'Cắt lồng'!$AA15,'Cắt lồng'!$AE$327:$AE$515,'Cắt lồng'!CH$4:CH$4)</f>
        <v>0</v>
      </c>
      <c r="CI15" s="78" t="e">
        <f t="shared" si="51"/>
        <v>#DIV/0!</v>
      </c>
      <c r="CJ15" s="79">
        <f t="array" ref="CJ15">SUMIFS('Cắt lồng'!$AC$327:$AC$515,'Cắt lồng'!$AA$327:$AA$515,'Cắt lồng'!$AA15,'Cắt lồng'!$AE$327:$AE$515,'Cắt lồng'!CJ$4:CJ$4)</f>
        <v>0</v>
      </c>
      <c r="CK15" s="79">
        <f t="array" ref="CK15">SUMIFS('Cắt lồng'!$AH$327:$AH$515,'Cắt lồng'!$AA$327:$AA$515,'Cắt lồng'!$AA15,'Cắt lồng'!$AE$327:$AE$515,'Cắt lồng'!CK$4:CK$4)</f>
        <v>0</v>
      </c>
      <c r="CL15" s="78" t="e">
        <f t="shared" si="52"/>
        <v>#DIV/0!</v>
      </c>
      <c r="CM15" s="79">
        <f t="array" ref="CM15">SUMIFS('Cắt lồng'!$AC$327:$AC$515,'Cắt lồng'!$AA$327:$AA$515,'Cắt lồng'!$AA15,'Cắt lồng'!$AE$327:$AE$515,'Cắt lồng'!CM$4:CM$4)</f>
        <v>0</v>
      </c>
      <c r="CN15" s="79">
        <f t="array" ref="CN15">SUMIFS('Cắt lồng'!$AH$327:$AH$515,'Cắt lồng'!$AA$327:$AA$515,'Cắt lồng'!$AA15,'Cắt lồng'!$AE$327:$AE$515,'Cắt lồng'!CN$4:CN$4)</f>
        <v>0</v>
      </c>
      <c r="CO15" s="78" t="e">
        <f t="shared" si="53"/>
        <v>#DIV/0!</v>
      </c>
      <c r="CP15" s="79">
        <f t="array" ref="CP15">SUMIFS('Cắt lồng'!$AC$327:$AC$515,'Cắt lồng'!$AA$327:$AA$515,'Cắt lồng'!$AA15,'Cắt lồng'!$AE$327:$AE$515,'Cắt lồng'!CP$4:CP$4)</f>
        <v>0</v>
      </c>
      <c r="CQ15" s="79">
        <f t="array" ref="CQ15">SUMIFS('Cắt lồng'!$AH$327:$AH$515,'Cắt lồng'!$AA$327:$AA$515,'Cắt lồng'!$AA15,'Cắt lồng'!$AE$327:$AE$515,'Cắt lồng'!CQ$4:CQ$4)</f>
        <v>0</v>
      </c>
      <c r="CR15" s="78" t="e">
        <f t="shared" si="54"/>
        <v>#DIV/0!</v>
      </c>
      <c r="CS15" s="79">
        <f t="array" ref="CS15">SUMIFS('Cắt lồng'!$AC$327:$AC$515,'Cắt lồng'!$AA$327:$AA$515,'Cắt lồng'!$AA15,'Cắt lồng'!$AE$327:$AE$515,'Cắt lồng'!CS$4:CS$4)</f>
        <v>0</v>
      </c>
      <c r="CT15" s="79">
        <f t="array" ref="CT15">SUMIFS('Cắt lồng'!$AH$327:$AH$515,'Cắt lồng'!$AA$327:$AA$515,'Cắt lồng'!$AA15,'Cắt lồng'!$AE$327:$AE$515,'Cắt lồng'!CT$4:CT$4)</f>
        <v>0</v>
      </c>
      <c r="CU15" s="78" t="e">
        <f t="shared" si="55"/>
        <v>#DIV/0!</v>
      </c>
      <c r="CV15" s="79">
        <f t="array" ref="CV15">SUMIFS('Cắt lồng'!$AC$327:$AC$515,'Cắt lồng'!$AA$327:$AA$515,'Cắt lồng'!$AA15,'Cắt lồng'!$AE$327:$AE$515,'Cắt lồng'!CV$4:CV$4)</f>
        <v>0</v>
      </c>
      <c r="CW15" s="79">
        <f t="array" ref="CW15">SUMIFS('Cắt lồng'!$AH$327:$AH$515,'Cắt lồng'!$AA$327:$AA$515,'Cắt lồng'!$AA15,'Cắt lồng'!$AE$327:$AE$515,'Cắt lồng'!CW$4:CW$4)</f>
        <v>0</v>
      </c>
      <c r="CX15" s="78" t="e">
        <f t="shared" si="56"/>
        <v>#DIV/0!</v>
      </c>
      <c r="CY15" s="79">
        <f t="array" ref="CY15">SUMIFS('Cắt lồng'!$AC$327:$AC$515,'Cắt lồng'!$AA$327:$AA$515,'Cắt lồng'!$AA15,'Cắt lồng'!$AE$327:$AE$515,'Cắt lồng'!CY$4:CY$4)</f>
        <v>0</v>
      </c>
      <c r="CZ15" s="79">
        <f t="array" ref="CZ15">SUMIFS('Cắt lồng'!$AH$327:$AH$515,'Cắt lồng'!$AA$327:$AA$515,'Cắt lồng'!$AA15,'Cắt lồng'!$AE$327:$AE$515,'Cắt lồng'!CZ$4:CZ$4)</f>
        <v>0</v>
      </c>
      <c r="DA15" s="78" t="e">
        <f t="shared" si="57"/>
        <v>#DIV/0!</v>
      </c>
      <c r="DB15" s="79">
        <f t="array" ref="DB15">SUMIFS('Cắt lồng'!$AC$327:$AC$515,'Cắt lồng'!$AA$327:$AA$515,'Cắt lồng'!$AA15,'Cắt lồng'!$AE$327:$AE$515,'Cắt lồng'!DB$4:DB$4)</f>
        <v>0</v>
      </c>
      <c r="DC15" s="79">
        <f t="array" ref="DC15">SUMIFS('Cắt lồng'!$AH$327:$AH$515,'Cắt lồng'!$AA$327:$AA$515,'Cắt lồng'!$AA15,'Cắt lồng'!$AE$327:$AE$515,'Cắt lồng'!DC$4:DC$4)</f>
        <v>0</v>
      </c>
      <c r="DD15" s="78" t="e">
        <f t="shared" si="58"/>
        <v>#DIV/0!</v>
      </c>
      <c r="DE15" s="79">
        <f t="array" ref="DE15">SUMIFS('Cắt lồng'!$AC$327:$AC$515,'Cắt lồng'!$AA$327:$AA$515,'Cắt lồng'!$AA15,'Cắt lồng'!$AE$327:$AE$515,'Cắt lồng'!DE$4:DE$4)</f>
        <v>0</v>
      </c>
      <c r="DF15" s="79">
        <f t="array" ref="DF15">SUMIFS('Cắt lồng'!$AH$327:$AH$515,'Cắt lồng'!$AA$327:$AA$515,'Cắt lồng'!$AA15,'Cắt lồng'!$AE$327:$AE$515,'Cắt lồng'!DF$4:DF$4)</f>
        <v>0</v>
      </c>
      <c r="DG15" s="78" t="e">
        <f t="shared" si="59"/>
        <v>#DIV/0!</v>
      </c>
      <c r="DH15" s="79">
        <f t="array" ref="DH15">SUMIFS('Cắt lồng'!$AC$327:$AC$515,'Cắt lồng'!$AA$327:$AA$515,'Cắt lồng'!$AA15,'Cắt lồng'!$AE$327:$AE$515,'Cắt lồng'!DH$4:DH$4)</f>
        <v>0</v>
      </c>
      <c r="DI15" s="79">
        <f t="array" ref="DI15">SUMIFS('Cắt lồng'!$AH$327:$AH$515,'Cắt lồng'!$AA$327:$AA$515,'Cắt lồng'!$AA15,'Cắt lồng'!$AE$327:$AE$515,'Cắt lồng'!DI$4:DI$4)</f>
        <v>0</v>
      </c>
      <c r="DJ15" s="78" t="e">
        <f t="shared" si="60"/>
        <v>#DIV/0!</v>
      </c>
      <c r="DK15" s="79">
        <f t="array" ref="DK15">SUMIFS('Cắt lồng'!$AC$327:$AC$515,'Cắt lồng'!$AA$327:$AA$515,'Cắt lồng'!$AA15,'Cắt lồng'!$AE$327:$AE$515,'Cắt lồng'!DK$4:DK$4)</f>
        <v>0</v>
      </c>
      <c r="DL15" s="79">
        <f t="array" ref="DL15">SUMIFS('Cắt lồng'!$AH$327:$AH$515,'Cắt lồng'!$AA$327:$AA$515,'Cắt lồng'!$AA15,'Cắt lồng'!$AE$327:$AE$515,'Cắt lồng'!DL$4:DL$4)</f>
        <v>0</v>
      </c>
      <c r="DM15" s="78" t="e">
        <f t="shared" si="61"/>
        <v>#DIV/0!</v>
      </c>
      <c r="DN15" s="79">
        <f>SUMIFS('Cắt lồng'!$AC$327:$AC$515,'Cắt lồng'!$AA$327:$AA$515,'Cắt lồng'!$AA15,'Cắt lồng'!$AE$327:$AE$515,'Cắt lồng'!DN$4:DN$4)</f>
        <v>0</v>
      </c>
      <c r="DO15" s="79">
        <f t="array" ref="DO15">SUMIFS('Cắt lồng'!$AH$327:$AH$515,'Cắt lồng'!$AA$327:$AA$515,'Cắt lồng'!$AA15,'Cắt lồng'!$AE$327:$AE$515,'Cắt lồng'!DO$4:DO$4)</f>
        <v>0</v>
      </c>
      <c r="DP15" s="78" t="e">
        <f t="shared" si="62"/>
        <v>#DIV/0!</v>
      </c>
      <c r="DQ15" s="79">
        <f t="array" ref="DQ15">SUMIFS('Cắt lồng'!$AC$327:$AC$515,'Cắt lồng'!$AA$327:$AA$515,'Cắt lồng'!$AA15,'Cắt lồng'!$AE$327:$AE$515,'Cắt lồng'!DQ$4:DQ$4)</f>
        <v>0</v>
      </c>
      <c r="DR15" s="79">
        <f t="array" ref="DR15">SUMIFS('Cắt lồng'!$AH$327:$AH$515,'Cắt lồng'!$AA$327:$AA$515,'Cắt lồng'!$AA15,'Cắt lồng'!$AE$327:$AE$515,'Cắt lồng'!DR$4:DR$4)</f>
        <v>0</v>
      </c>
      <c r="DS15" s="78" t="e">
        <f t="shared" si="63"/>
        <v>#DIV/0!</v>
      </c>
      <c r="DT15" s="79">
        <f t="array" ref="DT15">SUMIFS('Cắt lồng'!$AC$327:$AC$515,'Cắt lồng'!$AA$327:$AA$515,'Cắt lồng'!$AA15,'Cắt lồng'!$AE$327:$AE$515,'Cắt lồng'!DT$4:DT$4)</f>
        <v>0</v>
      </c>
      <c r="DU15" s="79">
        <f t="array" ref="DU15">SUMIFS('Cắt lồng'!$AH$327:$AH$515,'Cắt lồng'!$AA$327:$AA$515,'Cắt lồng'!$AA15,'Cắt lồng'!$AE$327:$AE$515,'Cắt lồng'!DU$4:DU$4)</f>
        <v>0</v>
      </c>
      <c r="DV15" s="78" t="e">
        <f t="shared" si="64"/>
        <v>#DIV/0!</v>
      </c>
      <c r="DW15" s="79">
        <f t="array" ref="DW15">SUMIFS('Cắt lồng'!$AC$327:$AC$515,'Cắt lồng'!$AA$327:$AA$515,'Cắt lồng'!$AA15,'Cắt lồng'!$AE$327:$AE$515,'Cắt lồng'!DW$4:DW$4)</f>
        <v>0</v>
      </c>
      <c r="DX15" s="79">
        <f t="array" ref="DX15">SUMIFS('Cắt lồng'!$AH$327:$AH$515,'Cắt lồng'!$AA$327:$AA$515,'Cắt lồng'!$AA15,'Cắt lồng'!$AE$327:$AE$515,'Cắt lồng'!DX$4:DX$4)</f>
        <v>0</v>
      </c>
      <c r="DY15" s="78" t="e">
        <f t="shared" si="65"/>
        <v>#DIV/0!</v>
      </c>
      <c r="DZ15" s="79">
        <f t="array" ref="DZ15">SUMIFS('Cắt lồng'!$AC$327:$AC$515,'Cắt lồng'!$AA$327:$AA$515,'Cắt lồng'!$AA15,'Cắt lồng'!$AE$327:$AE$515,'Cắt lồng'!DZ$4:DZ$4)</f>
        <v>0</v>
      </c>
      <c r="EA15" s="79">
        <f t="array" ref="EA15">SUMIFS('Cắt lồng'!$AH$327:$AH$515,'Cắt lồng'!$AA$327:$AA$515,'Cắt lồng'!$AA15,'Cắt lồng'!$AE$327:$AE$515,'Cắt lồng'!EA$4:EA$4)</f>
        <v>0</v>
      </c>
      <c r="EB15" s="78" t="e">
        <f t="shared" si="66"/>
        <v>#DIV/0!</v>
      </c>
      <c r="EC15" s="79">
        <f t="array" ref="EC15">SUMIFS('Cắt lồng'!$AC$327:$AC$515,'Cắt lồng'!$AA$327:$AA$515,'Cắt lồng'!$AA15,'Cắt lồng'!$AE$327:$AE$515,'Cắt lồng'!EC$4:EC$4)</f>
        <v>0</v>
      </c>
      <c r="ED15" s="79">
        <f t="array" ref="ED15">SUMIFS('Cắt lồng'!$AH$327:$AH$515,'Cắt lồng'!$AA$327:$AA$515,'Cắt lồng'!$AA15,'Cắt lồng'!$AE$327:$AE$515,'Cắt lồng'!ED$4:ED$4)</f>
        <v>0</v>
      </c>
      <c r="EE15" s="78" t="e">
        <f t="shared" si="67"/>
        <v>#DIV/0!</v>
      </c>
      <c r="EF15" s="79">
        <f t="array" ref="EF15">SUMIFS('Cắt lồng'!$AC$327:$AC$515,'Cắt lồng'!$AA$327:$AA$515,'Cắt lồng'!$AA15,'Cắt lồng'!$AE$327:$AE$515,'Cắt lồng'!EF$4:EF$4)</f>
        <v>0</v>
      </c>
      <c r="EG15" s="79">
        <f t="array" ref="EG15">SUMIFS('Cắt lồng'!$AH$327:$AH$515,'Cắt lồng'!$AA$327:$AA$515,'Cắt lồng'!$AA15,'Cắt lồng'!$AE$327:$AE$515,'Cắt lồng'!EG$4:EG$4)</f>
        <v>0</v>
      </c>
      <c r="EH15" s="78" t="e">
        <f t="shared" si="68"/>
        <v>#DIV/0!</v>
      </c>
      <c r="EI15" s="79">
        <f t="array" ref="EI15">SUMIFS('Cắt lồng'!$AC$327:$AC$515,'Cắt lồng'!$AA$327:$AA$515,'Cắt lồng'!$AA15,'Cắt lồng'!$AE$327:$AE$515,'Cắt lồng'!EI$4:EI$4)</f>
        <v>0</v>
      </c>
      <c r="EJ15" s="79">
        <f t="array" ref="EJ15">SUMIFS('Cắt lồng'!$AH$327:$AH$515,'Cắt lồng'!$AA$327:$AA$515,'Cắt lồng'!$AA15,'Cắt lồng'!$AE$327:$AE$515,'Cắt lồng'!EJ$4:EJ$4)</f>
        <v>0</v>
      </c>
      <c r="EK15" s="78" t="e">
        <f t="shared" si="69"/>
        <v>#DIV/0!</v>
      </c>
    </row>
    <row r="16" spans="1:141" s="12" customFormat="1" ht="14.25" hidden="1" customHeight="1">
      <c r="A16" s="25">
        <v>11</v>
      </c>
      <c r="B16" s="26">
        <v>9149</v>
      </c>
      <c r="C16" s="202" t="s">
        <v>273</v>
      </c>
      <c r="D16" s="201">
        <f>+AB14+AB15</f>
        <v>0</v>
      </c>
      <c r="E16" s="200">
        <f>+AC14+AC15</f>
        <v>0</v>
      </c>
      <c r="F16" s="199"/>
      <c r="G16" s="82">
        <f t="shared" si="1"/>
        <v>0</v>
      </c>
      <c r="H16" s="81">
        <f t="shared" si="2"/>
        <v>10</v>
      </c>
      <c r="I16" s="19">
        <f t="shared" si="3"/>
        <v>2</v>
      </c>
      <c r="J16" s="11">
        <f t="shared" si="4"/>
        <v>2</v>
      </c>
      <c r="K16" s="19">
        <f t="shared" si="5"/>
        <v>0</v>
      </c>
      <c r="L16" s="19">
        <f t="shared" si="6"/>
        <v>0</v>
      </c>
      <c r="M16" s="19">
        <f t="shared" si="7"/>
        <v>0</v>
      </c>
      <c r="N16" s="19">
        <f t="shared" si="8"/>
        <v>0.5</v>
      </c>
      <c r="O16" s="19">
        <f t="shared" si="9"/>
        <v>0</v>
      </c>
      <c r="P16" s="19">
        <f t="shared" si="10"/>
        <v>0</v>
      </c>
      <c r="Q16" s="19">
        <f t="shared" si="11"/>
        <v>0</v>
      </c>
      <c r="R16" s="19">
        <f t="shared" si="12"/>
        <v>0</v>
      </c>
      <c r="S16" s="19">
        <f t="shared" si="13"/>
        <v>0</v>
      </c>
      <c r="T16" s="19">
        <f t="shared" si="14"/>
        <v>1.33</v>
      </c>
      <c r="U16" s="19">
        <f t="shared" si="15"/>
        <v>0</v>
      </c>
      <c r="V16" s="19">
        <f t="shared" si="16"/>
        <v>0</v>
      </c>
      <c r="W16" s="19">
        <f t="shared" si="17"/>
        <v>0</v>
      </c>
      <c r="X16" s="19">
        <f t="shared" si="18"/>
        <v>0.17</v>
      </c>
      <c r="Y16" s="19">
        <f t="shared" si="19"/>
        <v>0</v>
      </c>
      <c r="Z16" s="19">
        <f t="shared" si="20"/>
        <v>0</v>
      </c>
      <c r="AA16" s="20" t="s">
        <v>14</v>
      </c>
      <c r="AB16" s="129" t="e">
        <f t="shared" si="21"/>
        <v>#VALUE!</v>
      </c>
      <c r="AC16" s="129">
        <f t="shared" si="22"/>
        <v>55816</v>
      </c>
      <c r="AD16" s="128" t="e">
        <f t="shared" si="23"/>
        <v>#VALUE!</v>
      </c>
      <c r="AE16" s="42"/>
      <c r="AF16" s="127">
        <f t="shared" si="24"/>
        <v>5581.6</v>
      </c>
      <c r="AG16" s="127"/>
      <c r="AH16" s="127">
        <f t="shared" si="25"/>
        <v>184</v>
      </c>
      <c r="AI16" s="54">
        <f t="shared" si="26"/>
        <v>3.2965457933209117E-3</v>
      </c>
      <c r="AJ16" s="25">
        <f t="shared" si="27"/>
        <v>0</v>
      </c>
      <c r="AK16" s="25">
        <f t="shared" si="28"/>
        <v>0</v>
      </c>
      <c r="AL16" s="25">
        <f t="shared" si="29"/>
        <v>0</v>
      </c>
      <c r="AM16" s="20">
        <f t="shared" si="30"/>
        <v>64</v>
      </c>
      <c r="AN16" s="20">
        <f t="shared" si="31"/>
        <v>120</v>
      </c>
      <c r="AO16" s="20">
        <f t="shared" si="32"/>
        <v>0</v>
      </c>
      <c r="AP16" s="20">
        <f t="shared" si="33"/>
        <v>0</v>
      </c>
      <c r="AQ16" s="20">
        <f t="shared" si="34"/>
        <v>0</v>
      </c>
      <c r="AR16" s="20">
        <f t="shared" si="35"/>
        <v>0</v>
      </c>
      <c r="AS16" s="20">
        <f t="shared" si="36"/>
        <v>0</v>
      </c>
      <c r="AT16" s="20">
        <f t="shared" si="37"/>
        <v>0</v>
      </c>
      <c r="AV16" s="79">
        <f t="shared" si="38"/>
        <v>10</v>
      </c>
      <c r="AW16" s="79">
        <f t="array" ref="AW16">SUMIFS('Cắt lồng'!$AC$327:$AC$515,'Cắt lồng'!$AA$327:$AA$515,'Cắt lồng'!$AA16,'Cắt lồng'!$AE$327:$AE$515,'Cắt lồng'!AW$4:AW$4)</f>
        <v>55816</v>
      </c>
      <c r="AX16" s="79">
        <f t="array" ref="AX16">SUMIFS('Cắt lồng'!$AH$327:$AH$515,'Cắt lồng'!$AA$327:$AA$515,'Cắt lồng'!$AA16,'Cắt lồng'!$AE$327:$AE$515,'Cắt lồng'!AX$4:AX$4)</f>
        <v>0</v>
      </c>
      <c r="AY16" s="78">
        <f t="shared" si="39"/>
        <v>0</v>
      </c>
      <c r="AZ16" s="79">
        <f t="array" ref="AZ16">SUMIFS('Cắt lồng'!$AC$327:$AC$515,'Cắt lồng'!$AA$327:$AA$515,'Cắt lồng'!$AA16,'Cắt lồng'!$AE$327:$AE$515,'Cắt lồng'!AZ$4:AZ$4)</f>
        <v>0</v>
      </c>
      <c r="BA16" s="79">
        <f t="array" ref="BA16">SUMIFS('Cắt lồng'!$AH$327:$AH$515,'Cắt lồng'!$AA$327:$AA$515,'Cắt lồng'!$AA16,'Cắt lồng'!$AE$327:$AE$515,'Cắt lồng'!BA$4:BA$4)</f>
        <v>0</v>
      </c>
      <c r="BB16" s="78" t="e">
        <f t="shared" si="40"/>
        <v>#DIV/0!</v>
      </c>
      <c r="BC16" s="79">
        <f t="array" ref="BC16">SUMIFS('Cắt lồng'!$AC$327:$AC$515,'Cắt lồng'!$AA$327:$AA$515,'Cắt lồng'!$AA16,'Cắt lồng'!$AE$327:$AE$515,'Cắt lồng'!BC$4:BC$4)</f>
        <v>0</v>
      </c>
      <c r="BD16" s="79">
        <f t="array" ref="BD16">SUMIFS('Cắt lồng'!$AH$327:$AH$515,'Cắt lồng'!$AA$327:$AA$515,'Cắt lồng'!$AA16,'Cắt lồng'!$AE$327:$AE$515,'Cắt lồng'!BD$4:BD$4)</f>
        <v>0</v>
      </c>
      <c r="BE16" s="78" t="e">
        <f t="shared" si="41"/>
        <v>#DIV/0!</v>
      </c>
      <c r="BF16" s="79">
        <f t="array" ref="BF16">SUMIFS('Cắt lồng'!$AC$327:$AC$515,'Cắt lồng'!$AA$327:$AA$515,'Cắt lồng'!$AA16,'Cắt lồng'!$AE$327:$AE$515,'Cắt lồng'!BF$4:BF$4)</f>
        <v>0</v>
      </c>
      <c r="BG16" s="79">
        <f t="array" ref="BG16">SUMIFS('Cắt lồng'!$AH$327:$AH$515,'Cắt lồng'!$AA$327:$AA$515,'Cắt lồng'!$AA16,'Cắt lồng'!$AE$327:$AE$515,'Cắt lồng'!BG$4:BG$4)</f>
        <v>0</v>
      </c>
      <c r="BH16" s="78" t="e">
        <f t="shared" si="42"/>
        <v>#DIV/0!</v>
      </c>
      <c r="BI16" s="79">
        <f t="array" ref="BI16">SUMIFS('Cắt lồng'!$AC$327:$AC$515,'Cắt lồng'!$AA$327:$AA$515,'Cắt lồng'!$AA16,'Cắt lồng'!$AE$327:$AE$515,'Cắt lồng'!BI$4:BI$4)</f>
        <v>0</v>
      </c>
      <c r="BJ16" s="79">
        <f t="array" ref="BJ16">SUMIFS('Cắt lồng'!$AH$327:$AH$515,'Cắt lồng'!$AA$327:$AA$515,'Cắt lồng'!$AA16,'Cắt lồng'!$AE$327:$AE$515,'Cắt lồng'!BJ$4:BJ$4)</f>
        <v>0</v>
      </c>
      <c r="BK16" s="78" t="e">
        <f t="shared" si="43"/>
        <v>#DIV/0!</v>
      </c>
      <c r="BL16" s="79">
        <f t="array" ref="BL16">SUMIFS('Cắt lồng'!$AC$327:$AC$515,'Cắt lồng'!$AA$327:$AA$515,'Cắt lồng'!$AA16,'Cắt lồng'!$AE$327:$AE$515,'Cắt lồng'!BL$4:BL$4)</f>
        <v>0</v>
      </c>
      <c r="BM16" s="79">
        <f t="array" ref="BM16">SUMIFS('Cắt lồng'!$AH$327:$AH$515,'Cắt lồng'!$AA$327:$AA$515,'Cắt lồng'!$AA16,'Cắt lồng'!$AE$327:$AE$515,'Cắt lồng'!BM$4:BM$4)</f>
        <v>0</v>
      </c>
      <c r="BN16" s="78" t="e">
        <f t="shared" si="44"/>
        <v>#DIV/0!</v>
      </c>
      <c r="BO16" s="79">
        <f t="array" ref="BO16">SUMIFS('Cắt lồng'!$AC$327:$AC$515,'Cắt lồng'!$AA$327:$AA$515,'Cắt lồng'!$AA16,'Cắt lồng'!$AE$327:$AE$515,'Cắt lồng'!BO$4:BO$4)</f>
        <v>0</v>
      </c>
      <c r="BP16" s="79">
        <f t="array" ref="BP16">SUMIFS('Cắt lồng'!$AH$327:$AH$515,'Cắt lồng'!$AA$327:$AA$515,'Cắt lồng'!$AA16,'Cắt lồng'!$AE$327:$AE$515,'Cắt lồng'!BP$4:BP$4)</f>
        <v>0</v>
      </c>
      <c r="BQ16" s="78" t="e">
        <f t="shared" si="45"/>
        <v>#DIV/0!</v>
      </c>
      <c r="BR16" s="79">
        <f t="array" ref="BR16">SUMIFS('Cắt lồng'!$AC$327:$AC$515,'Cắt lồng'!$AA$327:$AA$515,'Cắt lồng'!$AA16,'Cắt lồng'!$AE$327:$AE$515,'Cắt lồng'!BR$4:BR$4)</f>
        <v>0</v>
      </c>
      <c r="BS16" s="79">
        <f t="array" ref="BS16">SUMIFS('Cắt lồng'!$AH$327:$AH$515,'Cắt lồng'!$AA$327:$AA$515,'Cắt lồng'!$AA16,'Cắt lồng'!$AE$327:$AE$515,'Cắt lồng'!BS$4:BS$4)</f>
        <v>0</v>
      </c>
      <c r="BT16" s="78" t="e">
        <f t="shared" si="46"/>
        <v>#DIV/0!</v>
      </c>
      <c r="BU16" s="79">
        <f t="array" ref="BU16">SUMIFS('Cắt lồng'!$AC$327:$AC$515,'Cắt lồng'!$AA$327:$AA$515,'Cắt lồng'!$AA16,'Cắt lồng'!$AE$327:$AE$515,'Cắt lồng'!BU$4:BU$4)</f>
        <v>0</v>
      </c>
      <c r="BV16" s="79">
        <f t="array" ref="BV16">SUMIFS('Cắt lồng'!$AH$327:$AH$515,'Cắt lồng'!$AA$327:$AA$515,'Cắt lồng'!$AA16,'Cắt lồng'!$AE$327:$AE$515,'Cắt lồng'!BV$4:BV$4)</f>
        <v>0</v>
      </c>
      <c r="BW16" s="78" t="e">
        <f t="shared" si="47"/>
        <v>#DIV/0!</v>
      </c>
      <c r="BX16" s="79">
        <f t="array" ref="BX16">SUMIFS('Cắt lồng'!$AC$327:$AC$515,'Cắt lồng'!$AA$327:$AA$515,'Cắt lồng'!$AA16,'Cắt lồng'!$AE$327:$AE$515,'Cắt lồng'!BX$4:BX$4)</f>
        <v>0</v>
      </c>
      <c r="BY16" s="79">
        <f t="array" ref="BY16">SUMIFS('Cắt lồng'!$AH$327:$AH$515,'Cắt lồng'!$AA$327:$AA$515,'Cắt lồng'!$AA16,'Cắt lồng'!$AE$327:$AE$515,'Cắt lồng'!BY$4:BY$4)</f>
        <v>0</v>
      </c>
      <c r="BZ16" s="78" t="e">
        <f t="shared" si="48"/>
        <v>#DIV/0!</v>
      </c>
      <c r="CA16" s="79">
        <f t="array" ref="CA16">SUMIFS('Cắt lồng'!$AC$327:$AC$515,'Cắt lồng'!$AA$327:$AA$515,'Cắt lồng'!$AA16,'Cắt lồng'!$AE$327:$AE$515,'Cắt lồng'!CA$4:CA$4)</f>
        <v>0</v>
      </c>
      <c r="CB16" s="79">
        <f t="array" ref="CB16">SUMIFS('Cắt lồng'!$AH$327:$AH$515,'Cắt lồng'!$AA$327:$AA$515,'Cắt lồng'!$AA16,'Cắt lồng'!$AE$327:$AE$515,'Cắt lồng'!CB$4:CB$4)</f>
        <v>0</v>
      </c>
      <c r="CC16" s="78" t="e">
        <f t="shared" si="49"/>
        <v>#DIV/0!</v>
      </c>
      <c r="CD16" s="79">
        <f t="array" ref="CD16">SUMIFS('Cắt lồng'!$AC$327:$AC$515,'Cắt lồng'!$AA$327:$AA$515,'Cắt lồng'!$AA16,'Cắt lồng'!$AE$327:$AE$515,'Cắt lồng'!CD$4:CD$4)</f>
        <v>0</v>
      </c>
      <c r="CE16" s="79">
        <f t="array" ref="CE16">SUMIFS('Cắt lồng'!$AH$327:$AH$515,'Cắt lồng'!$AA$327:$AA$515,'Cắt lồng'!$AA16,'Cắt lồng'!$AE$327:$AE$515,'Cắt lồng'!CE$4:CE$4)</f>
        <v>0</v>
      </c>
      <c r="CF16" s="78" t="e">
        <f t="shared" si="50"/>
        <v>#DIV/0!</v>
      </c>
      <c r="CG16" s="79">
        <f t="array" ref="CG16">SUMIFS('Cắt lồng'!$AC$327:$AC$515,'Cắt lồng'!$AA$327:$AA$515,'Cắt lồng'!$AA16,'Cắt lồng'!$AE$327:$AE$515,'Cắt lồng'!CG$4:CG$4)</f>
        <v>0</v>
      </c>
      <c r="CH16" s="79">
        <f t="array" ref="CH16">SUMIFS('Cắt lồng'!$AH$327:$AH$515,'Cắt lồng'!$AA$327:$AA$515,'Cắt lồng'!$AA16,'Cắt lồng'!$AE$327:$AE$515,'Cắt lồng'!CH$4:CH$4)</f>
        <v>0</v>
      </c>
      <c r="CI16" s="78" t="e">
        <f t="shared" si="51"/>
        <v>#DIV/0!</v>
      </c>
      <c r="CJ16" s="79">
        <f t="array" ref="CJ16">SUMIFS('Cắt lồng'!$AC$327:$AC$515,'Cắt lồng'!$AA$327:$AA$515,'Cắt lồng'!$AA16,'Cắt lồng'!$AE$327:$AE$515,'Cắt lồng'!CJ$4:CJ$4)</f>
        <v>0</v>
      </c>
      <c r="CK16" s="79">
        <f t="array" ref="CK16">SUMIFS('Cắt lồng'!$AH$327:$AH$515,'Cắt lồng'!$AA$327:$AA$515,'Cắt lồng'!$AA16,'Cắt lồng'!$AE$327:$AE$515,'Cắt lồng'!CK$4:CK$4)</f>
        <v>0</v>
      </c>
      <c r="CL16" s="78" t="e">
        <f t="shared" si="52"/>
        <v>#DIV/0!</v>
      </c>
      <c r="CM16" s="79">
        <f t="array" ref="CM16">SUMIFS('Cắt lồng'!$AC$327:$AC$515,'Cắt lồng'!$AA$327:$AA$515,'Cắt lồng'!$AA16,'Cắt lồng'!$AE$327:$AE$515,'Cắt lồng'!CM$4:CM$4)</f>
        <v>0</v>
      </c>
      <c r="CN16" s="79">
        <f t="array" ref="CN16">SUMIFS('Cắt lồng'!$AH$327:$AH$515,'Cắt lồng'!$AA$327:$AA$515,'Cắt lồng'!$AA16,'Cắt lồng'!$AE$327:$AE$515,'Cắt lồng'!CN$4:CN$4)</f>
        <v>0</v>
      </c>
      <c r="CO16" s="78" t="e">
        <f t="shared" si="53"/>
        <v>#DIV/0!</v>
      </c>
      <c r="CP16" s="79">
        <f t="array" ref="CP16">SUMIFS('Cắt lồng'!$AC$327:$AC$515,'Cắt lồng'!$AA$327:$AA$515,'Cắt lồng'!$AA16,'Cắt lồng'!$AE$327:$AE$515,'Cắt lồng'!CP$4:CP$4)</f>
        <v>0</v>
      </c>
      <c r="CQ16" s="79">
        <f t="array" ref="CQ16">SUMIFS('Cắt lồng'!$AH$327:$AH$515,'Cắt lồng'!$AA$327:$AA$515,'Cắt lồng'!$AA16,'Cắt lồng'!$AE$327:$AE$515,'Cắt lồng'!CQ$4:CQ$4)</f>
        <v>0</v>
      </c>
      <c r="CR16" s="78" t="e">
        <f t="shared" si="54"/>
        <v>#DIV/0!</v>
      </c>
      <c r="CS16" s="79">
        <f t="array" ref="CS16">SUMIFS('Cắt lồng'!$AC$327:$AC$515,'Cắt lồng'!$AA$327:$AA$515,'Cắt lồng'!$AA16,'Cắt lồng'!$AE$327:$AE$515,'Cắt lồng'!CS$4:CS$4)</f>
        <v>0</v>
      </c>
      <c r="CT16" s="79">
        <f t="array" ref="CT16">SUMIFS('Cắt lồng'!$AH$327:$AH$515,'Cắt lồng'!$AA$327:$AA$515,'Cắt lồng'!$AA16,'Cắt lồng'!$AE$327:$AE$515,'Cắt lồng'!CT$4:CT$4)</f>
        <v>0</v>
      </c>
      <c r="CU16" s="78" t="e">
        <f t="shared" si="55"/>
        <v>#DIV/0!</v>
      </c>
      <c r="CV16" s="79">
        <f t="array" ref="CV16">SUMIFS('Cắt lồng'!$AC$327:$AC$515,'Cắt lồng'!$AA$327:$AA$515,'Cắt lồng'!$AA16,'Cắt lồng'!$AE$327:$AE$515,'Cắt lồng'!CV$4:CV$4)</f>
        <v>0</v>
      </c>
      <c r="CW16" s="79">
        <f t="array" ref="CW16">SUMIFS('Cắt lồng'!$AH$327:$AH$515,'Cắt lồng'!$AA$327:$AA$515,'Cắt lồng'!$AA16,'Cắt lồng'!$AE$327:$AE$515,'Cắt lồng'!CW$4:CW$4)</f>
        <v>0</v>
      </c>
      <c r="CX16" s="78" t="e">
        <f t="shared" si="56"/>
        <v>#DIV/0!</v>
      </c>
      <c r="CY16" s="79">
        <f t="array" ref="CY16">SUMIFS('Cắt lồng'!$AC$327:$AC$515,'Cắt lồng'!$AA$327:$AA$515,'Cắt lồng'!$AA16,'Cắt lồng'!$AE$327:$AE$515,'Cắt lồng'!CY$4:CY$4)</f>
        <v>0</v>
      </c>
      <c r="CZ16" s="79">
        <f t="array" ref="CZ16">SUMIFS('Cắt lồng'!$AH$327:$AH$515,'Cắt lồng'!$AA$327:$AA$515,'Cắt lồng'!$AA16,'Cắt lồng'!$AE$327:$AE$515,'Cắt lồng'!CZ$4:CZ$4)</f>
        <v>0</v>
      </c>
      <c r="DA16" s="78" t="e">
        <f t="shared" si="57"/>
        <v>#DIV/0!</v>
      </c>
      <c r="DB16" s="79">
        <f t="array" ref="DB16">SUMIFS('Cắt lồng'!$AC$327:$AC$515,'Cắt lồng'!$AA$327:$AA$515,'Cắt lồng'!$AA16,'Cắt lồng'!$AE$327:$AE$515,'Cắt lồng'!DB$4:DB$4)</f>
        <v>0</v>
      </c>
      <c r="DC16" s="79">
        <f t="array" ref="DC16">SUMIFS('Cắt lồng'!$AH$327:$AH$515,'Cắt lồng'!$AA$327:$AA$515,'Cắt lồng'!$AA16,'Cắt lồng'!$AE$327:$AE$515,'Cắt lồng'!DC$4:DC$4)</f>
        <v>0</v>
      </c>
      <c r="DD16" s="78" t="e">
        <f t="shared" si="58"/>
        <v>#DIV/0!</v>
      </c>
      <c r="DE16" s="79">
        <f t="array" ref="DE16">SUMIFS('Cắt lồng'!$AC$327:$AC$515,'Cắt lồng'!$AA$327:$AA$515,'Cắt lồng'!$AA16,'Cắt lồng'!$AE$327:$AE$515,'Cắt lồng'!DE$4:DE$4)</f>
        <v>0</v>
      </c>
      <c r="DF16" s="79">
        <f t="array" ref="DF16">SUMIFS('Cắt lồng'!$AH$327:$AH$515,'Cắt lồng'!$AA$327:$AA$515,'Cắt lồng'!$AA16,'Cắt lồng'!$AE$327:$AE$515,'Cắt lồng'!DF$4:DF$4)</f>
        <v>0</v>
      </c>
      <c r="DG16" s="78" t="e">
        <f t="shared" si="59"/>
        <v>#DIV/0!</v>
      </c>
      <c r="DH16" s="79">
        <f t="array" ref="DH16">SUMIFS('Cắt lồng'!$AC$327:$AC$515,'Cắt lồng'!$AA$327:$AA$515,'Cắt lồng'!$AA16,'Cắt lồng'!$AE$327:$AE$515,'Cắt lồng'!DH$4:DH$4)</f>
        <v>0</v>
      </c>
      <c r="DI16" s="79">
        <f t="array" ref="DI16">SUMIFS('Cắt lồng'!$AH$327:$AH$515,'Cắt lồng'!$AA$327:$AA$515,'Cắt lồng'!$AA16,'Cắt lồng'!$AE$327:$AE$515,'Cắt lồng'!DI$4:DI$4)</f>
        <v>0</v>
      </c>
      <c r="DJ16" s="78" t="e">
        <f t="shared" si="60"/>
        <v>#DIV/0!</v>
      </c>
      <c r="DK16" s="79">
        <f t="array" ref="DK16">SUMIFS('Cắt lồng'!$AC$327:$AC$515,'Cắt lồng'!$AA$327:$AA$515,'Cắt lồng'!$AA16,'Cắt lồng'!$AE$327:$AE$515,'Cắt lồng'!DK$4:DK$4)</f>
        <v>0</v>
      </c>
      <c r="DL16" s="79">
        <f t="array" ref="DL16">SUMIFS('Cắt lồng'!$AH$327:$AH$515,'Cắt lồng'!$AA$327:$AA$515,'Cắt lồng'!$AA16,'Cắt lồng'!$AE$327:$AE$515,'Cắt lồng'!DL$4:DL$4)</f>
        <v>0</v>
      </c>
      <c r="DM16" s="78" t="e">
        <f t="shared" si="61"/>
        <v>#DIV/0!</v>
      </c>
      <c r="DN16" s="79">
        <f>SUMIFS('Cắt lồng'!$AC$327:$AC$515,'Cắt lồng'!$AA$327:$AA$515,'Cắt lồng'!$AA16,'Cắt lồng'!$AE$327:$AE$515,'Cắt lồng'!DN$4:DN$4)</f>
        <v>0</v>
      </c>
      <c r="DO16" s="79">
        <f t="array" ref="DO16">SUMIFS('Cắt lồng'!$AH$327:$AH$515,'Cắt lồng'!$AA$327:$AA$515,'Cắt lồng'!$AA16,'Cắt lồng'!$AE$327:$AE$515,'Cắt lồng'!DO$4:DO$4)</f>
        <v>0</v>
      </c>
      <c r="DP16" s="78" t="e">
        <f t="shared" si="62"/>
        <v>#DIV/0!</v>
      </c>
      <c r="DQ16" s="79">
        <f t="array" ref="DQ16">SUMIFS('Cắt lồng'!$AC$327:$AC$515,'Cắt lồng'!$AA$327:$AA$515,'Cắt lồng'!$AA16,'Cắt lồng'!$AE$327:$AE$515,'Cắt lồng'!DQ$4:DQ$4)</f>
        <v>0</v>
      </c>
      <c r="DR16" s="79">
        <f t="array" ref="DR16">SUMIFS('Cắt lồng'!$AH$327:$AH$515,'Cắt lồng'!$AA$327:$AA$515,'Cắt lồng'!$AA16,'Cắt lồng'!$AE$327:$AE$515,'Cắt lồng'!DR$4:DR$4)</f>
        <v>0</v>
      </c>
      <c r="DS16" s="78" t="e">
        <f t="shared" si="63"/>
        <v>#DIV/0!</v>
      </c>
      <c r="DT16" s="79">
        <f t="array" ref="DT16">SUMIFS('Cắt lồng'!$AC$327:$AC$515,'Cắt lồng'!$AA$327:$AA$515,'Cắt lồng'!$AA16,'Cắt lồng'!$AE$327:$AE$515,'Cắt lồng'!DT$4:DT$4)</f>
        <v>0</v>
      </c>
      <c r="DU16" s="79">
        <f t="array" ref="DU16">SUMIFS('Cắt lồng'!$AH$327:$AH$515,'Cắt lồng'!$AA$327:$AA$515,'Cắt lồng'!$AA16,'Cắt lồng'!$AE$327:$AE$515,'Cắt lồng'!DU$4:DU$4)</f>
        <v>0</v>
      </c>
      <c r="DV16" s="78" t="e">
        <f t="shared" si="64"/>
        <v>#DIV/0!</v>
      </c>
      <c r="DW16" s="79">
        <f t="array" ref="DW16">SUMIFS('Cắt lồng'!$AC$327:$AC$515,'Cắt lồng'!$AA$327:$AA$515,'Cắt lồng'!$AA16,'Cắt lồng'!$AE$327:$AE$515,'Cắt lồng'!DW$4:DW$4)</f>
        <v>0</v>
      </c>
      <c r="DX16" s="79">
        <f t="array" ref="DX16">SUMIFS('Cắt lồng'!$AH$327:$AH$515,'Cắt lồng'!$AA$327:$AA$515,'Cắt lồng'!$AA16,'Cắt lồng'!$AE$327:$AE$515,'Cắt lồng'!DX$4:DX$4)</f>
        <v>0</v>
      </c>
      <c r="DY16" s="78" t="e">
        <f t="shared" si="65"/>
        <v>#DIV/0!</v>
      </c>
      <c r="DZ16" s="79">
        <f t="array" ref="DZ16">SUMIFS('Cắt lồng'!$AC$327:$AC$515,'Cắt lồng'!$AA$327:$AA$515,'Cắt lồng'!$AA16,'Cắt lồng'!$AE$327:$AE$515,'Cắt lồng'!DZ$4:DZ$4)</f>
        <v>0</v>
      </c>
      <c r="EA16" s="79">
        <f t="array" ref="EA16">SUMIFS('Cắt lồng'!$AH$327:$AH$515,'Cắt lồng'!$AA$327:$AA$515,'Cắt lồng'!$AA16,'Cắt lồng'!$AE$327:$AE$515,'Cắt lồng'!EA$4:EA$4)</f>
        <v>0</v>
      </c>
      <c r="EB16" s="78" t="e">
        <f t="shared" si="66"/>
        <v>#DIV/0!</v>
      </c>
      <c r="EC16" s="79">
        <f t="array" ref="EC16">SUMIFS('Cắt lồng'!$AC$327:$AC$515,'Cắt lồng'!$AA$327:$AA$515,'Cắt lồng'!$AA16,'Cắt lồng'!$AE$327:$AE$515,'Cắt lồng'!EC$4:EC$4)</f>
        <v>0</v>
      </c>
      <c r="ED16" s="79">
        <f t="array" ref="ED16">SUMIFS('Cắt lồng'!$AH$327:$AH$515,'Cắt lồng'!$AA$327:$AA$515,'Cắt lồng'!$AA16,'Cắt lồng'!$AE$327:$AE$515,'Cắt lồng'!ED$4:ED$4)</f>
        <v>0</v>
      </c>
      <c r="EE16" s="78" t="e">
        <f t="shared" si="67"/>
        <v>#DIV/0!</v>
      </c>
      <c r="EF16" s="79">
        <f t="array" ref="EF16">SUMIFS('Cắt lồng'!$AC$327:$AC$515,'Cắt lồng'!$AA$327:$AA$515,'Cắt lồng'!$AA16,'Cắt lồng'!$AE$327:$AE$515,'Cắt lồng'!EF$4:EF$4)</f>
        <v>0</v>
      </c>
      <c r="EG16" s="79">
        <f t="array" ref="EG16">SUMIFS('Cắt lồng'!$AH$327:$AH$515,'Cắt lồng'!$AA$327:$AA$515,'Cắt lồng'!$AA16,'Cắt lồng'!$AE$327:$AE$515,'Cắt lồng'!EG$4:EG$4)</f>
        <v>0</v>
      </c>
      <c r="EH16" s="78" t="e">
        <f t="shared" si="68"/>
        <v>#DIV/0!</v>
      </c>
      <c r="EI16" s="79">
        <f t="array" ref="EI16">SUMIFS('Cắt lồng'!$AC$327:$AC$515,'Cắt lồng'!$AA$327:$AA$515,'Cắt lồng'!$AA16,'Cắt lồng'!$AE$327:$AE$515,'Cắt lồng'!EI$4:EI$4)</f>
        <v>0</v>
      </c>
      <c r="EJ16" s="79">
        <f t="array" ref="EJ16">SUMIFS('Cắt lồng'!$AH$327:$AH$515,'Cắt lồng'!$AA$327:$AA$515,'Cắt lồng'!$AA16,'Cắt lồng'!$AE$327:$AE$515,'Cắt lồng'!EJ$4:EJ$4)</f>
        <v>0</v>
      </c>
      <c r="EK16" s="78" t="e">
        <f t="shared" si="69"/>
        <v>#DIV/0!</v>
      </c>
    </row>
    <row r="17" spans="1:141" s="12" customFormat="1" ht="14.25" hidden="1" customHeight="1">
      <c r="A17" s="25">
        <v>12</v>
      </c>
      <c r="B17" s="26">
        <v>575</v>
      </c>
      <c r="C17" s="202" t="s">
        <v>14</v>
      </c>
      <c r="D17" s="201" t="e">
        <f t="shared" ref="D17:E23" si="71">+AB16</f>
        <v>#VALUE!</v>
      </c>
      <c r="E17" s="200">
        <f t="shared" si="71"/>
        <v>55816</v>
      </c>
      <c r="F17" s="199"/>
      <c r="G17" s="82">
        <f t="shared" si="1"/>
        <v>0</v>
      </c>
      <c r="H17" s="81">
        <f t="shared" si="2"/>
        <v>0</v>
      </c>
      <c r="I17" s="19">
        <f t="shared" si="3"/>
        <v>0</v>
      </c>
      <c r="J17" s="11">
        <f t="shared" si="4"/>
        <v>0</v>
      </c>
      <c r="K17" s="19">
        <f t="shared" si="5"/>
        <v>0</v>
      </c>
      <c r="L17" s="19">
        <f t="shared" si="6"/>
        <v>0</v>
      </c>
      <c r="M17" s="19">
        <f t="shared" si="7"/>
        <v>0</v>
      </c>
      <c r="N17" s="19">
        <f t="shared" si="8"/>
        <v>0</v>
      </c>
      <c r="O17" s="19">
        <f t="shared" si="9"/>
        <v>0</v>
      </c>
      <c r="P17" s="19">
        <f t="shared" si="10"/>
        <v>0</v>
      </c>
      <c r="Q17" s="19">
        <f t="shared" si="11"/>
        <v>0</v>
      </c>
      <c r="R17" s="19">
        <f t="shared" si="12"/>
        <v>0</v>
      </c>
      <c r="S17" s="19">
        <f t="shared" si="13"/>
        <v>0</v>
      </c>
      <c r="T17" s="19">
        <f t="shared" si="14"/>
        <v>0</v>
      </c>
      <c r="U17" s="19">
        <f t="shared" si="15"/>
        <v>0</v>
      </c>
      <c r="V17" s="19">
        <f t="shared" si="16"/>
        <v>0</v>
      </c>
      <c r="W17" s="19">
        <f t="shared" si="17"/>
        <v>0</v>
      </c>
      <c r="X17" s="19">
        <f t="shared" si="18"/>
        <v>0</v>
      </c>
      <c r="Y17" s="19">
        <f t="shared" si="19"/>
        <v>0</v>
      </c>
      <c r="Z17" s="19">
        <f t="shared" si="20"/>
        <v>0</v>
      </c>
      <c r="AA17" s="20" t="s">
        <v>272</v>
      </c>
      <c r="AB17" s="129">
        <f t="shared" si="21"/>
        <v>0</v>
      </c>
      <c r="AC17" s="129">
        <f t="shared" si="22"/>
        <v>0</v>
      </c>
      <c r="AD17" s="128" t="e">
        <f t="shared" si="23"/>
        <v>#DIV/0!</v>
      </c>
      <c r="AE17" s="42"/>
      <c r="AF17" s="127" t="e">
        <f t="shared" si="24"/>
        <v>#DIV/0!</v>
      </c>
      <c r="AG17" s="127"/>
      <c r="AH17" s="127">
        <f t="shared" si="25"/>
        <v>0</v>
      </c>
      <c r="AI17" s="54" t="e">
        <f t="shared" si="26"/>
        <v>#DIV/0!</v>
      </c>
      <c r="AJ17" s="25">
        <f t="shared" si="27"/>
        <v>0</v>
      </c>
      <c r="AK17" s="25">
        <f t="shared" si="28"/>
        <v>0</v>
      </c>
      <c r="AL17" s="25">
        <f t="shared" si="29"/>
        <v>0</v>
      </c>
      <c r="AM17" s="20">
        <f t="shared" si="30"/>
        <v>0</v>
      </c>
      <c r="AN17" s="20">
        <f t="shared" si="31"/>
        <v>0</v>
      </c>
      <c r="AO17" s="20">
        <f t="shared" si="32"/>
        <v>0</v>
      </c>
      <c r="AP17" s="20">
        <f t="shared" si="33"/>
        <v>0</v>
      </c>
      <c r="AQ17" s="20">
        <f t="shared" si="34"/>
        <v>0</v>
      </c>
      <c r="AR17" s="20">
        <f t="shared" si="35"/>
        <v>0</v>
      </c>
      <c r="AS17" s="20">
        <f t="shared" si="36"/>
        <v>0</v>
      </c>
      <c r="AT17" s="20">
        <f t="shared" si="37"/>
        <v>0</v>
      </c>
      <c r="AV17" s="79">
        <f t="shared" si="38"/>
        <v>0</v>
      </c>
      <c r="AW17" s="79">
        <f t="array" ref="AW17">SUMIFS('Cắt lồng'!$AC$327:$AC$515,'Cắt lồng'!$AA$327:$AA$515,'Cắt lồng'!$AA17,'Cắt lồng'!$AE$327:$AE$515,'Cắt lồng'!AW$4:AW$4)</f>
        <v>0</v>
      </c>
      <c r="AX17" s="79">
        <f t="array" ref="AX17">SUMIFS('Cắt lồng'!$AH$327:$AH$515,'Cắt lồng'!$AA$327:$AA$515,'Cắt lồng'!$AA17,'Cắt lồng'!$AE$327:$AE$515,'Cắt lồng'!AX$4:AX$4)</f>
        <v>0</v>
      </c>
      <c r="AY17" s="78" t="e">
        <f t="shared" si="39"/>
        <v>#DIV/0!</v>
      </c>
      <c r="AZ17" s="79">
        <f t="array" ref="AZ17">SUMIFS('Cắt lồng'!$AC$327:$AC$515,'Cắt lồng'!$AA$327:$AA$515,'Cắt lồng'!$AA17,'Cắt lồng'!$AE$327:$AE$515,'Cắt lồng'!AZ$4:AZ$4)</f>
        <v>0</v>
      </c>
      <c r="BA17" s="79">
        <f t="array" ref="BA17">SUMIFS('Cắt lồng'!$AH$327:$AH$515,'Cắt lồng'!$AA$327:$AA$515,'Cắt lồng'!$AA17,'Cắt lồng'!$AE$327:$AE$515,'Cắt lồng'!BA$4:BA$4)</f>
        <v>0</v>
      </c>
      <c r="BB17" s="78" t="e">
        <f t="shared" si="40"/>
        <v>#DIV/0!</v>
      </c>
      <c r="BC17" s="79">
        <f t="array" ref="BC17">SUMIFS('Cắt lồng'!$AC$327:$AC$515,'Cắt lồng'!$AA$327:$AA$515,'Cắt lồng'!$AA17,'Cắt lồng'!$AE$327:$AE$515,'Cắt lồng'!BC$4:BC$4)</f>
        <v>0</v>
      </c>
      <c r="BD17" s="79">
        <f t="array" ref="BD17">SUMIFS('Cắt lồng'!$AH$327:$AH$515,'Cắt lồng'!$AA$327:$AA$515,'Cắt lồng'!$AA17,'Cắt lồng'!$AE$327:$AE$515,'Cắt lồng'!BD$4:BD$4)</f>
        <v>0</v>
      </c>
      <c r="BE17" s="78" t="e">
        <f t="shared" si="41"/>
        <v>#DIV/0!</v>
      </c>
      <c r="BF17" s="79">
        <f t="array" ref="BF17">SUMIFS('Cắt lồng'!$AC$327:$AC$515,'Cắt lồng'!$AA$327:$AA$515,'Cắt lồng'!$AA17,'Cắt lồng'!$AE$327:$AE$515,'Cắt lồng'!BF$4:BF$4)</f>
        <v>0</v>
      </c>
      <c r="BG17" s="79">
        <f t="array" ref="BG17">SUMIFS('Cắt lồng'!$AH$327:$AH$515,'Cắt lồng'!$AA$327:$AA$515,'Cắt lồng'!$AA17,'Cắt lồng'!$AE$327:$AE$515,'Cắt lồng'!BG$4:BG$4)</f>
        <v>0</v>
      </c>
      <c r="BH17" s="78" t="e">
        <f t="shared" si="42"/>
        <v>#DIV/0!</v>
      </c>
      <c r="BI17" s="79">
        <f t="array" ref="BI17">SUMIFS('Cắt lồng'!$AC$327:$AC$515,'Cắt lồng'!$AA$327:$AA$515,'Cắt lồng'!$AA17,'Cắt lồng'!$AE$327:$AE$515,'Cắt lồng'!BI$4:BI$4)</f>
        <v>0</v>
      </c>
      <c r="BJ17" s="79">
        <f t="array" ref="BJ17">SUMIFS('Cắt lồng'!$AH$327:$AH$515,'Cắt lồng'!$AA$327:$AA$515,'Cắt lồng'!$AA17,'Cắt lồng'!$AE$327:$AE$515,'Cắt lồng'!BJ$4:BJ$4)</f>
        <v>0</v>
      </c>
      <c r="BK17" s="78" t="e">
        <f t="shared" si="43"/>
        <v>#DIV/0!</v>
      </c>
      <c r="BL17" s="79">
        <f t="array" ref="BL17">SUMIFS('Cắt lồng'!$AC$327:$AC$515,'Cắt lồng'!$AA$327:$AA$515,'Cắt lồng'!$AA17,'Cắt lồng'!$AE$327:$AE$515,'Cắt lồng'!BL$4:BL$4)</f>
        <v>0</v>
      </c>
      <c r="BM17" s="79">
        <f t="array" ref="BM17">SUMIFS('Cắt lồng'!$AH$327:$AH$515,'Cắt lồng'!$AA$327:$AA$515,'Cắt lồng'!$AA17,'Cắt lồng'!$AE$327:$AE$515,'Cắt lồng'!BM$4:BM$4)</f>
        <v>0</v>
      </c>
      <c r="BN17" s="78" t="e">
        <f t="shared" si="44"/>
        <v>#DIV/0!</v>
      </c>
      <c r="BO17" s="79">
        <f t="array" ref="BO17">SUMIFS('Cắt lồng'!$AC$327:$AC$515,'Cắt lồng'!$AA$327:$AA$515,'Cắt lồng'!$AA17,'Cắt lồng'!$AE$327:$AE$515,'Cắt lồng'!BO$4:BO$4)</f>
        <v>0</v>
      </c>
      <c r="BP17" s="79">
        <f t="array" ref="BP17">SUMIFS('Cắt lồng'!$AH$327:$AH$515,'Cắt lồng'!$AA$327:$AA$515,'Cắt lồng'!$AA17,'Cắt lồng'!$AE$327:$AE$515,'Cắt lồng'!BP$4:BP$4)</f>
        <v>0</v>
      </c>
      <c r="BQ17" s="78" t="e">
        <f t="shared" si="45"/>
        <v>#DIV/0!</v>
      </c>
      <c r="BR17" s="79">
        <f t="array" ref="BR17">SUMIFS('Cắt lồng'!$AC$327:$AC$515,'Cắt lồng'!$AA$327:$AA$515,'Cắt lồng'!$AA17,'Cắt lồng'!$AE$327:$AE$515,'Cắt lồng'!BR$4:BR$4)</f>
        <v>0</v>
      </c>
      <c r="BS17" s="79">
        <f t="array" ref="BS17">SUMIFS('Cắt lồng'!$AH$327:$AH$515,'Cắt lồng'!$AA$327:$AA$515,'Cắt lồng'!$AA17,'Cắt lồng'!$AE$327:$AE$515,'Cắt lồng'!BS$4:BS$4)</f>
        <v>0</v>
      </c>
      <c r="BT17" s="78" t="e">
        <f t="shared" si="46"/>
        <v>#DIV/0!</v>
      </c>
      <c r="BU17" s="79">
        <f t="array" ref="BU17">SUMIFS('Cắt lồng'!$AC$327:$AC$515,'Cắt lồng'!$AA$327:$AA$515,'Cắt lồng'!$AA17,'Cắt lồng'!$AE$327:$AE$515,'Cắt lồng'!BU$4:BU$4)</f>
        <v>0</v>
      </c>
      <c r="BV17" s="79">
        <f t="array" ref="BV17">SUMIFS('Cắt lồng'!$AH$327:$AH$515,'Cắt lồng'!$AA$327:$AA$515,'Cắt lồng'!$AA17,'Cắt lồng'!$AE$327:$AE$515,'Cắt lồng'!BV$4:BV$4)</f>
        <v>0</v>
      </c>
      <c r="BW17" s="78" t="e">
        <f t="shared" si="47"/>
        <v>#DIV/0!</v>
      </c>
      <c r="BX17" s="79">
        <f t="array" ref="BX17">SUMIFS('Cắt lồng'!$AC$327:$AC$515,'Cắt lồng'!$AA$327:$AA$515,'Cắt lồng'!$AA17,'Cắt lồng'!$AE$327:$AE$515,'Cắt lồng'!BX$4:BX$4)</f>
        <v>0</v>
      </c>
      <c r="BY17" s="79">
        <f t="array" ref="BY17">SUMIFS('Cắt lồng'!$AH$327:$AH$515,'Cắt lồng'!$AA$327:$AA$515,'Cắt lồng'!$AA17,'Cắt lồng'!$AE$327:$AE$515,'Cắt lồng'!BY$4:BY$4)</f>
        <v>0</v>
      </c>
      <c r="BZ17" s="78" t="e">
        <f t="shared" si="48"/>
        <v>#DIV/0!</v>
      </c>
      <c r="CA17" s="79">
        <f t="array" ref="CA17">SUMIFS('Cắt lồng'!$AC$327:$AC$515,'Cắt lồng'!$AA$327:$AA$515,'Cắt lồng'!$AA17,'Cắt lồng'!$AE$327:$AE$515,'Cắt lồng'!CA$4:CA$4)</f>
        <v>0</v>
      </c>
      <c r="CB17" s="79">
        <f t="array" ref="CB17">SUMIFS('Cắt lồng'!$AH$327:$AH$515,'Cắt lồng'!$AA$327:$AA$515,'Cắt lồng'!$AA17,'Cắt lồng'!$AE$327:$AE$515,'Cắt lồng'!CB$4:CB$4)</f>
        <v>0</v>
      </c>
      <c r="CC17" s="78" t="e">
        <f t="shared" si="49"/>
        <v>#DIV/0!</v>
      </c>
      <c r="CD17" s="79">
        <f t="array" ref="CD17">SUMIFS('Cắt lồng'!$AC$327:$AC$515,'Cắt lồng'!$AA$327:$AA$515,'Cắt lồng'!$AA17,'Cắt lồng'!$AE$327:$AE$515,'Cắt lồng'!CD$4:CD$4)</f>
        <v>0</v>
      </c>
      <c r="CE17" s="79">
        <f t="array" ref="CE17">SUMIFS('Cắt lồng'!$AH$327:$AH$515,'Cắt lồng'!$AA$327:$AA$515,'Cắt lồng'!$AA17,'Cắt lồng'!$AE$327:$AE$515,'Cắt lồng'!CE$4:CE$4)</f>
        <v>0</v>
      </c>
      <c r="CF17" s="78" t="e">
        <f t="shared" si="50"/>
        <v>#DIV/0!</v>
      </c>
      <c r="CG17" s="79">
        <f t="array" ref="CG17">SUMIFS('Cắt lồng'!$AC$327:$AC$515,'Cắt lồng'!$AA$327:$AA$515,'Cắt lồng'!$AA17,'Cắt lồng'!$AE$327:$AE$515,'Cắt lồng'!CG$4:CG$4)</f>
        <v>0</v>
      </c>
      <c r="CH17" s="79">
        <f t="array" ref="CH17">SUMIFS('Cắt lồng'!$AH$327:$AH$515,'Cắt lồng'!$AA$327:$AA$515,'Cắt lồng'!$AA17,'Cắt lồng'!$AE$327:$AE$515,'Cắt lồng'!CH$4:CH$4)</f>
        <v>0</v>
      </c>
      <c r="CI17" s="78" t="e">
        <f t="shared" si="51"/>
        <v>#DIV/0!</v>
      </c>
      <c r="CJ17" s="79">
        <f t="array" ref="CJ17">SUMIFS('Cắt lồng'!$AC$327:$AC$515,'Cắt lồng'!$AA$327:$AA$515,'Cắt lồng'!$AA17,'Cắt lồng'!$AE$327:$AE$515,'Cắt lồng'!CJ$4:CJ$4)</f>
        <v>0</v>
      </c>
      <c r="CK17" s="79">
        <f t="array" ref="CK17">SUMIFS('Cắt lồng'!$AH$327:$AH$515,'Cắt lồng'!$AA$327:$AA$515,'Cắt lồng'!$AA17,'Cắt lồng'!$AE$327:$AE$515,'Cắt lồng'!CK$4:CK$4)</f>
        <v>0</v>
      </c>
      <c r="CL17" s="78" t="e">
        <f t="shared" si="52"/>
        <v>#DIV/0!</v>
      </c>
      <c r="CM17" s="79">
        <f t="array" ref="CM17">SUMIFS('Cắt lồng'!$AC$327:$AC$515,'Cắt lồng'!$AA$327:$AA$515,'Cắt lồng'!$AA17,'Cắt lồng'!$AE$327:$AE$515,'Cắt lồng'!CM$4:CM$4)</f>
        <v>0</v>
      </c>
      <c r="CN17" s="79">
        <f t="array" ref="CN17">SUMIFS('Cắt lồng'!$AH$327:$AH$515,'Cắt lồng'!$AA$327:$AA$515,'Cắt lồng'!$AA17,'Cắt lồng'!$AE$327:$AE$515,'Cắt lồng'!CN$4:CN$4)</f>
        <v>0</v>
      </c>
      <c r="CO17" s="78" t="e">
        <f t="shared" si="53"/>
        <v>#DIV/0!</v>
      </c>
      <c r="CP17" s="79">
        <f t="array" ref="CP17">SUMIFS('Cắt lồng'!$AC$327:$AC$515,'Cắt lồng'!$AA$327:$AA$515,'Cắt lồng'!$AA17,'Cắt lồng'!$AE$327:$AE$515,'Cắt lồng'!CP$4:CP$4)</f>
        <v>0</v>
      </c>
      <c r="CQ17" s="79">
        <f t="array" ref="CQ17">SUMIFS('Cắt lồng'!$AH$327:$AH$515,'Cắt lồng'!$AA$327:$AA$515,'Cắt lồng'!$AA17,'Cắt lồng'!$AE$327:$AE$515,'Cắt lồng'!CQ$4:CQ$4)</f>
        <v>0</v>
      </c>
      <c r="CR17" s="78" t="e">
        <f t="shared" si="54"/>
        <v>#DIV/0!</v>
      </c>
      <c r="CS17" s="79">
        <f t="array" ref="CS17">SUMIFS('Cắt lồng'!$AC$327:$AC$515,'Cắt lồng'!$AA$327:$AA$515,'Cắt lồng'!$AA17,'Cắt lồng'!$AE$327:$AE$515,'Cắt lồng'!CS$4:CS$4)</f>
        <v>0</v>
      </c>
      <c r="CT17" s="79">
        <f t="array" ref="CT17">SUMIFS('Cắt lồng'!$AH$327:$AH$515,'Cắt lồng'!$AA$327:$AA$515,'Cắt lồng'!$AA17,'Cắt lồng'!$AE$327:$AE$515,'Cắt lồng'!CT$4:CT$4)</f>
        <v>0</v>
      </c>
      <c r="CU17" s="78" t="e">
        <f t="shared" si="55"/>
        <v>#DIV/0!</v>
      </c>
      <c r="CV17" s="79">
        <f t="array" ref="CV17">SUMIFS('Cắt lồng'!$AC$327:$AC$515,'Cắt lồng'!$AA$327:$AA$515,'Cắt lồng'!$AA17,'Cắt lồng'!$AE$327:$AE$515,'Cắt lồng'!CV$4:CV$4)</f>
        <v>0</v>
      </c>
      <c r="CW17" s="79">
        <f t="array" ref="CW17">SUMIFS('Cắt lồng'!$AH$327:$AH$515,'Cắt lồng'!$AA$327:$AA$515,'Cắt lồng'!$AA17,'Cắt lồng'!$AE$327:$AE$515,'Cắt lồng'!CW$4:CW$4)</f>
        <v>0</v>
      </c>
      <c r="CX17" s="78" t="e">
        <f t="shared" si="56"/>
        <v>#DIV/0!</v>
      </c>
      <c r="CY17" s="79">
        <f t="array" ref="CY17">SUMIFS('Cắt lồng'!$AC$327:$AC$515,'Cắt lồng'!$AA$327:$AA$515,'Cắt lồng'!$AA17,'Cắt lồng'!$AE$327:$AE$515,'Cắt lồng'!CY$4:CY$4)</f>
        <v>0</v>
      </c>
      <c r="CZ17" s="79">
        <f t="array" ref="CZ17">SUMIFS('Cắt lồng'!$AH$327:$AH$515,'Cắt lồng'!$AA$327:$AA$515,'Cắt lồng'!$AA17,'Cắt lồng'!$AE$327:$AE$515,'Cắt lồng'!CZ$4:CZ$4)</f>
        <v>0</v>
      </c>
      <c r="DA17" s="78" t="e">
        <f t="shared" si="57"/>
        <v>#DIV/0!</v>
      </c>
      <c r="DB17" s="79">
        <f t="array" ref="DB17">SUMIFS('Cắt lồng'!$AC$327:$AC$515,'Cắt lồng'!$AA$327:$AA$515,'Cắt lồng'!$AA17,'Cắt lồng'!$AE$327:$AE$515,'Cắt lồng'!DB$4:DB$4)</f>
        <v>0</v>
      </c>
      <c r="DC17" s="79">
        <f t="array" ref="DC17">SUMIFS('Cắt lồng'!$AH$327:$AH$515,'Cắt lồng'!$AA$327:$AA$515,'Cắt lồng'!$AA17,'Cắt lồng'!$AE$327:$AE$515,'Cắt lồng'!DC$4:DC$4)</f>
        <v>0</v>
      </c>
      <c r="DD17" s="78" t="e">
        <f t="shared" si="58"/>
        <v>#DIV/0!</v>
      </c>
      <c r="DE17" s="79">
        <f t="array" ref="DE17">SUMIFS('Cắt lồng'!$AC$327:$AC$515,'Cắt lồng'!$AA$327:$AA$515,'Cắt lồng'!$AA17,'Cắt lồng'!$AE$327:$AE$515,'Cắt lồng'!DE$4:DE$4)</f>
        <v>0</v>
      </c>
      <c r="DF17" s="79">
        <f t="array" ref="DF17">SUMIFS('Cắt lồng'!$AH$327:$AH$515,'Cắt lồng'!$AA$327:$AA$515,'Cắt lồng'!$AA17,'Cắt lồng'!$AE$327:$AE$515,'Cắt lồng'!DF$4:DF$4)</f>
        <v>0</v>
      </c>
      <c r="DG17" s="78" t="e">
        <f t="shared" si="59"/>
        <v>#DIV/0!</v>
      </c>
      <c r="DH17" s="79">
        <f t="array" ref="DH17">SUMIFS('Cắt lồng'!$AC$327:$AC$515,'Cắt lồng'!$AA$327:$AA$515,'Cắt lồng'!$AA17,'Cắt lồng'!$AE$327:$AE$515,'Cắt lồng'!DH$4:DH$4)</f>
        <v>0</v>
      </c>
      <c r="DI17" s="79">
        <f t="array" ref="DI17">SUMIFS('Cắt lồng'!$AH$327:$AH$515,'Cắt lồng'!$AA$327:$AA$515,'Cắt lồng'!$AA17,'Cắt lồng'!$AE$327:$AE$515,'Cắt lồng'!DI$4:DI$4)</f>
        <v>0</v>
      </c>
      <c r="DJ17" s="78" t="e">
        <f t="shared" si="60"/>
        <v>#DIV/0!</v>
      </c>
      <c r="DK17" s="79">
        <f t="array" ref="DK17">SUMIFS('Cắt lồng'!$AC$327:$AC$515,'Cắt lồng'!$AA$327:$AA$515,'Cắt lồng'!$AA17,'Cắt lồng'!$AE$327:$AE$515,'Cắt lồng'!DK$4:DK$4)</f>
        <v>0</v>
      </c>
      <c r="DL17" s="79">
        <f t="array" ref="DL17">SUMIFS('Cắt lồng'!$AH$327:$AH$515,'Cắt lồng'!$AA$327:$AA$515,'Cắt lồng'!$AA17,'Cắt lồng'!$AE$327:$AE$515,'Cắt lồng'!DL$4:DL$4)</f>
        <v>0</v>
      </c>
      <c r="DM17" s="78" t="e">
        <f t="shared" si="61"/>
        <v>#DIV/0!</v>
      </c>
      <c r="DN17" s="79">
        <f>SUMIFS('Cắt lồng'!$AC$327:$AC$515,'Cắt lồng'!$AA$327:$AA$515,'Cắt lồng'!$AA17,'Cắt lồng'!$AE$327:$AE$515,'Cắt lồng'!DN$4:DN$4)</f>
        <v>0</v>
      </c>
      <c r="DO17" s="79">
        <f t="array" ref="DO17">SUMIFS('Cắt lồng'!$AH$327:$AH$515,'Cắt lồng'!$AA$327:$AA$515,'Cắt lồng'!$AA17,'Cắt lồng'!$AE$327:$AE$515,'Cắt lồng'!DO$4:DO$4)</f>
        <v>0</v>
      </c>
      <c r="DP17" s="78" t="e">
        <f t="shared" si="62"/>
        <v>#DIV/0!</v>
      </c>
      <c r="DQ17" s="79">
        <f t="array" ref="DQ17">SUMIFS('Cắt lồng'!$AC$327:$AC$515,'Cắt lồng'!$AA$327:$AA$515,'Cắt lồng'!$AA17,'Cắt lồng'!$AE$327:$AE$515,'Cắt lồng'!DQ$4:DQ$4)</f>
        <v>0</v>
      </c>
      <c r="DR17" s="79">
        <f t="array" ref="DR17">SUMIFS('Cắt lồng'!$AH$327:$AH$515,'Cắt lồng'!$AA$327:$AA$515,'Cắt lồng'!$AA17,'Cắt lồng'!$AE$327:$AE$515,'Cắt lồng'!DR$4:DR$4)</f>
        <v>0</v>
      </c>
      <c r="DS17" s="78" t="e">
        <f t="shared" si="63"/>
        <v>#DIV/0!</v>
      </c>
      <c r="DT17" s="79">
        <f t="array" ref="DT17">SUMIFS('Cắt lồng'!$AC$327:$AC$515,'Cắt lồng'!$AA$327:$AA$515,'Cắt lồng'!$AA17,'Cắt lồng'!$AE$327:$AE$515,'Cắt lồng'!DT$4:DT$4)</f>
        <v>0</v>
      </c>
      <c r="DU17" s="79">
        <f t="array" ref="DU17">SUMIFS('Cắt lồng'!$AH$327:$AH$515,'Cắt lồng'!$AA$327:$AA$515,'Cắt lồng'!$AA17,'Cắt lồng'!$AE$327:$AE$515,'Cắt lồng'!DU$4:DU$4)</f>
        <v>0</v>
      </c>
      <c r="DV17" s="78" t="e">
        <f t="shared" si="64"/>
        <v>#DIV/0!</v>
      </c>
      <c r="DW17" s="79">
        <f t="array" ref="DW17">SUMIFS('Cắt lồng'!$AC$327:$AC$515,'Cắt lồng'!$AA$327:$AA$515,'Cắt lồng'!$AA17,'Cắt lồng'!$AE$327:$AE$515,'Cắt lồng'!DW$4:DW$4)</f>
        <v>0</v>
      </c>
      <c r="DX17" s="79">
        <f t="array" ref="DX17">SUMIFS('Cắt lồng'!$AH$327:$AH$515,'Cắt lồng'!$AA$327:$AA$515,'Cắt lồng'!$AA17,'Cắt lồng'!$AE$327:$AE$515,'Cắt lồng'!DX$4:DX$4)</f>
        <v>0</v>
      </c>
      <c r="DY17" s="78" t="e">
        <f t="shared" si="65"/>
        <v>#DIV/0!</v>
      </c>
      <c r="DZ17" s="79">
        <f t="array" ref="DZ17">SUMIFS('Cắt lồng'!$AC$327:$AC$515,'Cắt lồng'!$AA$327:$AA$515,'Cắt lồng'!$AA17,'Cắt lồng'!$AE$327:$AE$515,'Cắt lồng'!DZ$4:DZ$4)</f>
        <v>0</v>
      </c>
      <c r="EA17" s="79">
        <f t="array" ref="EA17">SUMIFS('Cắt lồng'!$AH$327:$AH$515,'Cắt lồng'!$AA$327:$AA$515,'Cắt lồng'!$AA17,'Cắt lồng'!$AE$327:$AE$515,'Cắt lồng'!EA$4:EA$4)</f>
        <v>0</v>
      </c>
      <c r="EB17" s="78" t="e">
        <f t="shared" si="66"/>
        <v>#DIV/0!</v>
      </c>
      <c r="EC17" s="79">
        <f t="array" ref="EC17">SUMIFS('Cắt lồng'!$AC$327:$AC$515,'Cắt lồng'!$AA$327:$AA$515,'Cắt lồng'!$AA17,'Cắt lồng'!$AE$327:$AE$515,'Cắt lồng'!EC$4:EC$4)</f>
        <v>0</v>
      </c>
      <c r="ED17" s="79">
        <f t="array" ref="ED17">SUMIFS('Cắt lồng'!$AH$327:$AH$515,'Cắt lồng'!$AA$327:$AA$515,'Cắt lồng'!$AA17,'Cắt lồng'!$AE$327:$AE$515,'Cắt lồng'!ED$4:ED$4)</f>
        <v>0</v>
      </c>
      <c r="EE17" s="78" t="e">
        <f t="shared" si="67"/>
        <v>#DIV/0!</v>
      </c>
      <c r="EF17" s="79">
        <f t="array" ref="EF17">SUMIFS('Cắt lồng'!$AC$327:$AC$515,'Cắt lồng'!$AA$327:$AA$515,'Cắt lồng'!$AA17,'Cắt lồng'!$AE$327:$AE$515,'Cắt lồng'!EF$4:EF$4)</f>
        <v>0</v>
      </c>
      <c r="EG17" s="79">
        <f t="array" ref="EG17">SUMIFS('Cắt lồng'!$AH$327:$AH$515,'Cắt lồng'!$AA$327:$AA$515,'Cắt lồng'!$AA17,'Cắt lồng'!$AE$327:$AE$515,'Cắt lồng'!EG$4:EG$4)</f>
        <v>0</v>
      </c>
      <c r="EH17" s="78" t="e">
        <f t="shared" si="68"/>
        <v>#DIV/0!</v>
      </c>
      <c r="EI17" s="79">
        <f t="array" ref="EI17">SUMIFS('Cắt lồng'!$AC$327:$AC$515,'Cắt lồng'!$AA$327:$AA$515,'Cắt lồng'!$AA17,'Cắt lồng'!$AE$327:$AE$515,'Cắt lồng'!EI$4:EI$4)</f>
        <v>0</v>
      </c>
      <c r="EJ17" s="79">
        <f t="array" ref="EJ17">SUMIFS('Cắt lồng'!$AH$327:$AH$515,'Cắt lồng'!$AA$327:$AA$515,'Cắt lồng'!$AA17,'Cắt lồng'!$AE$327:$AE$515,'Cắt lồng'!EJ$4:EJ$4)</f>
        <v>0</v>
      </c>
      <c r="EK17" s="78" t="e">
        <f t="shared" si="69"/>
        <v>#DIV/0!</v>
      </c>
    </row>
    <row r="18" spans="1:141" s="12" customFormat="1" ht="14.25" hidden="1" customHeight="1">
      <c r="A18" s="25">
        <v>13</v>
      </c>
      <c r="B18" s="26">
        <v>3438</v>
      </c>
      <c r="C18" s="202" t="s">
        <v>272</v>
      </c>
      <c r="D18" s="201">
        <f t="shared" si="71"/>
        <v>0</v>
      </c>
      <c r="E18" s="200">
        <f t="shared" si="71"/>
        <v>0</v>
      </c>
      <c r="F18" s="199"/>
      <c r="G18" s="82">
        <f t="shared" si="1"/>
        <v>0</v>
      </c>
      <c r="H18" s="81">
        <f t="shared" si="2"/>
        <v>0</v>
      </c>
      <c r="I18" s="19">
        <f t="shared" si="3"/>
        <v>0</v>
      </c>
      <c r="J18" s="11">
        <f t="shared" si="4"/>
        <v>0</v>
      </c>
      <c r="K18" s="19">
        <f t="shared" si="5"/>
        <v>0</v>
      </c>
      <c r="L18" s="19">
        <f t="shared" si="6"/>
        <v>0</v>
      </c>
      <c r="M18" s="19">
        <f t="shared" si="7"/>
        <v>0</v>
      </c>
      <c r="N18" s="19">
        <f t="shared" si="8"/>
        <v>0</v>
      </c>
      <c r="O18" s="19">
        <f t="shared" si="9"/>
        <v>0</v>
      </c>
      <c r="P18" s="19">
        <f t="shared" si="10"/>
        <v>0</v>
      </c>
      <c r="Q18" s="19">
        <f t="shared" si="11"/>
        <v>0</v>
      </c>
      <c r="R18" s="19">
        <f t="shared" si="12"/>
        <v>0</v>
      </c>
      <c r="S18" s="19">
        <f t="shared" si="13"/>
        <v>0</v>
      </c>
      <c r="T18" s="19">
        <f t="shared" si="14"/>
        <v>0</v>
      </c>
      <c r="U18" s="19">
        <f t="shared" si="15"/>
        <v>0</v>
      </c>
      <c r="V18" s="19">
        <f t="shared" si="16"/>
        <v>0</v>
      </c>
      <c r="W18" s="19">
        <f t="shared" si="17"/>
        <v>0</v>
      </c>
      <c r="X18" s="19">
        <f t="shared" si="18"/>
        <v>0</v>
      </c>
      <c r="Y18" s="19">
        <f t="shared" si="19"/>
        <v>0</v>
      </c>
      <c r="Z18" s="19">
        <f t="shared" si="20"/>
        <v>0</v>
      </c>
      <c r="AA18" s="20" t="s">
        <v>271</v>
      </c>
      <c r="AB18" s="129">
        <f t="shared" si="21"/>
        <v>0</v>
      </c>
      <c r="AC18" s="129">
        <f t="shared" si="22"/>
        <v>0</v>
      </c>
      <c r="AD18" s="128" t="e">
        <f t="shared" si="23"/>
        <v>#DIV/0!</v>
      </c>
      <c r="AE18" s="42"/>
      <c r="AF18" s="127" t="e">
        <f t="shared" si="24"/>
        <v>#DIV/0!</v>
      </c>
      <c r="AG18" s="127"/>
      <c r="AH18" s="127">
        <f t="shared" si="25"/>
        <v>0</v>
      </c>
      <c r="AI18" s="54" t="e">
        <f t="shared" si="26"/>
        <v>#DIV/0!</v>
      </c>
      <c r="AJ18" s="25">
        <f t="shared" si="27"/>
        <v>0</v>
      </c>
      <c r="AK18" s="25">
        <f t="shared" si="28"/>
        <v>0</v>
      </c>
      <c r="AL18" s="25">
        <f t="shared" si="29"/>
        <v>0</v>
      </c>
      <c r="AM18" s="20">
        <f t="shared" si="30"/>
        <v>0</v>
      </c>
      <c r="AN18" s="20">
        <f t="shared" si="31"/>
        <v>0</v>
      </c>
      <c r="AO18" s="20">
        <f t="shared" si="32"/>
        <v>0</v>
      </c>
      <c r="AP18" s="20">
        <f t="shared" si="33"/>
        <v>0</v>
      </c>
      <c r="AQ18" s="20">
        <f t="shared" si="34"/>
        <v>0</v>
      </c>
      <c r="AR18" s="20">
        <f t="shared" si="35"/>
        <v>0</v>
      </c>
      <c r="AS18" s="20">
        <f t="shared" si="36"/>
        <v>0</v>
      </c>
      <c r="AT18" s="20">
        <f t="shared" si="37"/>
        <v>0</v>
      </c>
      <c r="AV18" s="79">
        <f t="shared" si="38"/>
        <v>0</v>
      </c>
      <c r="AW18" s="79">
        <f t="array" ref="AW18">SUMIFS('Cắt lồng'!$AC$327:$AC$515,'Cắt lồng'!$AA$327:$AA$515,'Cắt lồng'!$AA18,'Cắt lồng'!$AE$327:$AE$515,'Cắt lồng'!AW$4:AW$4)</f>
        <v>0</v>
      </c>
      <c r="AX18" s="79">
        <f t="array" ref="AX18">SUMIFS('Cắt lồng'!$AH$327:$AH$515,'Cắt lồng'!$AA$327:$AA$515,'Cắt lồng'!$AA18,'Cắt lồng'!$AE$327:$AE$515,'Cắt lồng'!AX$4:AX$4)</f>
        <v>0</v>
      </c>
      <c r="AY18" s="78" t="e">
        <f t="shared" si="39"/>
        <v>#DIV/0!</v>
      </c>
      <c r="AZ18" s="79">
        <f t="array" ref="AZ18">SUMIFS('Cắt lồng'!$AC$327:$AC$515,'Cắt lồng'!$AA$327:$AA$515,'Cắt lồng'!$AA18,'Cắt lồng'!$AE$327:$AE$515,'Cắt lồng'!AZ$4:AZ$4)</f>
        <v>0</v>
      </c>
      <c r="BA18" s="79">
        <f t="array" ref="BA18">SUMIFS('Cắt lồng'!$AH$327:$AH$515,'Cắt lồng'!$AA$327:$AA$515,'Cắt lồng'!$AA18,'Cắt lồng'!$AE$327:$AE$515,'Cắt lồng'!BA$4:BA$4)</f>
        <v>0</v>
      </c>
      <c r="BB18" s="78" t="e">
        <f t="shared" si="40"/>
        <v>#DIV/0!</v>
      </c>
      <c r="BC18" s="79">
        <f t="array" ref="BC18">SUMIFS('Cắt lồng'!$AC$327:$AC$515,'Cắt lồng'!$AA$327:$AA$515,'Cắt lồng'!$AA18,'Cắt lồng'!$AE$327:$AE$515,'Cắt lồng'!BC$4:BC$4)</f>
        <v>0</v>
      </c>
      <c r="BD18" s="79">
        <f t="array" ref="BD18">SUMIFS('Cắt lồng'!$AH$327:$AH$515,'Cắt lồng'!$AA$327:$AA$515,'Cắt lồng'!$AA18,'Cắt lồng'!$AE$327:$AE$515,'Cắt lồng'!BD$4:BD$4)</f>
        <v>0</v>
      </c>
      <c r="BE18" s="78" t="e">
        <f t="shared" si="41"/>
        <v>#DIV/0!</v>
      </c>
      <c r="BF18" s="79">
        <f t="array" ref="BF18">SUMIFS('Cắt lồng'!$AC$327:$AC$515,'Cắt lồng'!$AA$327:$AA$515,'Cắt lồng'!$AA18,'Cắt lồng'!$AE$327:$AE$515,'Cắt lồng'!BF$4:BF$4)</f>
        <v>0</v>
      </c>
      <c r="BG18" s="79">
        <f t="array" ref="BG18">SUMIFS('Cắt lồng'!$AH$327:$AH$515,'Cắt lồng'!$AA$327:$AA$515,'Cắt lồng'!$AA18,'Cắt lồng'!$AE$327:$AE$515,'Cắt lồng'!BG$4:BG$4)</f>
        <v>0</v>
      </c>
      <c r="BH18" s="78" t="e">
        <f t="shared" si="42"/>
        <v>#DIV/0!</v>
      </c>
      <c r="BI18" s="79">
        <f t="array" ref="BI18">SUMIFS('Cắt lồng'!$AC$327:$AC$515,'Cắt lồng'!$AA$327:$AA$515,'Cắt lồng'!$AA18,'Cắt lồng'!$AE$327:$AE$515,'Cắt lồng'!BI$4:BI$4)</f>
        <v>0</v>
      </c>
      <c r="BJ18" s="79">
        <f t="array" ref="BJ18">SUMIFS('Cắt lồng'!$AH$327:$AH$515,'Cắt lồng'!$AA$327:$AA$515,'Cắt lồng'!$AA18,'Cắt lồng'!$AE$327:$AE$515,'Cắt lồng'!BJ$4:BJ$4)</f>
        <v>0</v>
      </c>
      <c r="BK18" s="78" t="e">
        <f t="shared" si="43"/>
        <v>#DIV/0!</v>
      </c>
      <c r="BL18" s="79">
        <f t="array" ref="BL18">SUMIFS('Cắt lồng'!$AC$327:$AC$515,'Cắt lồng'!$AA$327:$AA$515,'Cắt lồng'!$AA18,'Cắt lồng'!$AE$327:$AE$515,'Cắt lồng'!BL$4:BL$4)</f>
        <v>0</v>
      </c>
      <c r="BM18" s="79">
        <f t="array" ref="BM18">SUMIFS('Cắt lồng'!$AH$327:$AH$515,'Cắt lồng'!$AA$327:$AA$515,'Cắt lồng'!$AA18,'Cắt lồng'!$AE$327:$AE$515,'Cắt lồng'!BM$4:BM$4)</f>
        <v>0</v>
      </c>
      <c r="BN18" s="78" t="e">
        <f t="shared" si="44"/>
        <v>#DIV/0!</v>
      </c>
      <c r="BO18" s="79">
        <f t="array" ref="BO18">SUMIFS('Cắt lồng'!$AC$327:$AC$515,'Cắt lồng'!$AA$327:$AA$515,'Cắt lồng'!$AA18,'Cắt lồng'!$AE$327:$AE$515,'Cắt lồng'!BO$4:BO$4)</f>
        <v>0</v>
      </c>
      <c r="BP18" s="79">
        <f t="array" ref="BP18">SUMIFS('Cắt lồng'!$AH$327:$AH$515,'Cắt lồng'!$AA$327:$AA$515,'Cắt lồng'!$AA18,'Cắt lồng'!$AE$327:$AE$515,'Cắt lồng'!BP$4:BP$4)</f>
        <v>0</v>
      </c>
      <c r="BQ18" s="78" t="e">
        <f t="shared" si="45"/>
        <v>#DIV/0!</v>
      </c>
      <c r="BR18" s="79">
        <f t="array" ref="BR18">SUMIFS('Cắt lồng'!$AC$327:$AC$515,'Cắt lồng'!$AA$327:$AA$515,'Cắt lồng'!$AA18,'Cắt lồng'!$AE$327:$AE$515,'Cắt lồng'!BR$4:BR$4)</f>
        <v>0</v>
      </c>
      <c r="BS18" s="79">
        <f t="array" ref="BS18">SUMIFS('Cắt lồng'!$AH$327:$AH$515,'Cắt lồng'!$AA$327:$AA$515,'Cắt lồng'!$AA18,'Cắt lồng'!$AE$327:$AE$515,'Cắt lồng'!BS$4:BS$4)</f>
        <v>0</v>
      </c>
      <c r="BT18" s="78" t="e">
        <f t="shared" si="46"/>
        <v>#DIV/0!</v>
      </c>
      <c r="BU18" s="79">
        <f t="array" ref="BU18">SUMIFS('Cắt lồng'!$AC$327:$AC$515,'Cắt lồng'!$AA$327:$AA$515,'Cắt lồng'!$AA18,'Cắt lồng'!$AE$327:$AE$515,'Cắt lồng'!BU$4:BU$4)</f>
        <v>0</v>
      </c>
      <c r="BV18" s="79">
        <f t="array" ref="BV18">SUMIFS('Cắt lồng'!$AH$327:$AH$515,'Cắt lồng'!$AA$327:$AA$515,'Cắt lồng'!$AA18,'Cắt lồng'!$AE$327:$AE$515,'Cắt lồng'!BV$4:BV$4)</f>
        <v>0</v>
      </c>
      <c r="BW18" s="78" t="e">
        <f t="shared" si="47"/>
        <v>#DIV/0!</v>
      </c>
      <c r="BX18" s="79">
        <f t="array" ref="BX18">SUMIFS('Cắt lồng'!$AC$327:$AC$515,'Cắt lồng'!$AA$327:$AA$515,'Cắt lồng'!$AA18,'Cắt lồng'!$AE$327:$AE$515,'Cắt lồng'!BX$4:BX$4)</f>
        <v>0</v>
      </c>
      <c r="BY18" s="79">
        <f t="array" ref="BY18">SUMIFS('Cắt lồng'!$AH$327:$AH$515,'Cắt lồng'!$AA$327:$AA$515,'Cắt lồng'!$AA18,'Cắt lồng'!$AE$327:$AE$515,'Cắt lồng'!BY$4:BY$4)</f>
        <v>0</v>
      </c>
      <c r="BZ18" s="78" t="e">
        <f t="shared" si="48"/>
        <v>#DIV/0!</v>
      </c>
      <c r="CA18" s="79">
        <f t="array" ref="CA18">SUMIFS('Cắt lồng'!$AC$327:$AC$515,'Cắt lồng'!$AA$327:$AA$515,'Cắt lồng'!$AA18,'Cắt lồng'!$AE$327:$AE$515,'Cắt lồng'!CA$4:CA$4)</f>
        <v>0</v>
      </c>
      <c r="CB18" s="79">
        <f t="array" ref="CB18">SUMIFS('Cắt lồng'!$AH$327:$AH$515,'Cắt lồng'!$AA$327:$AA$515,'Cắt lồng'!$AA18,'Cắt lồng'!$AE$327:$AE$515,'Cắt lồng'!CB$4:CB$4)</f>
        <v>0</v>
      </c>
      <c r="CC18" s="78" t="e">
        <f t="shared" si="49"/>
        <v>#DIV/0!</v>
      </c>
      <c r="CD18" s="79">
        <f t="array" ref="CD18">SUMIFS('Cắt lồng'!$AC$327:$AC$515,'Cắt lồng'!$AA$327:$AA$515,'Cắt lồng'!$AA18,'Cắt lồng'!$AE$327:$AE$515,'Cắt lồng'!CD$4:CD$4)</f>
        <v>0</v>
      </c>
      <c r="CE18" s="79">
        <f t="array" ref="CE18">SUMIFS('Cắt lồng'!$AH$327:$AH$515,'Cắt lồng'!$AA$327:$AA$515,'Cắt lồng'!$AA18,'Cắt lồng'!$AE$327:$AE$515,'Cắt lồng'!CE$4:CE$4)</f>
        <v>0</v>
      </c>
      <c r="CF18" s="78" t="e">
        <f t="shared" si="50"/>
        <v>#DIV/0!</v>
      </c>
      <c r="CG18" s="79">
        <f t="array" ref="CG18">SUMIFS('Cắt lồng'!$AC$327:$AC$515,'Cắt lồng'!$AA$327:$AA$515,'Cắt lồng'!$AA18,'Cắt lồng'!$AE$327:$AE$515,'Cắt lồng'!CG$4:CG$4)</f>
        <v>0</v>
      </c>
      <c r="CH18" s="79">
        <f t="array" ref="CH18">SUMIFS('Cắt lồng'!$AH$327:$AH$515,'Cắt lồng'!$AA$327:$AA$515,'Cắt lồng'!$AA18,'Cắt lồng'!$AE$327:$AE$515,'Cắt lồng'!CH$4:CH$4)</f>
        <v>0</v>
      </c>
      <c r="CI18" s="78" t="e">
        <f t="shared" si="51"/>
        <v>#DIV/0!</v>
      </c>
      <c r="CJ18" s="79">
        <f t="array" ref="CJ18">SUMIFS('Cắt lồng'!$AC$327:$AC$515,'Cắt lồng'!$AA$327:$AA$515,'Cắt lồng'!$AA18,'Cắt lồng'!$AE$327:$AE$515,'Cắt lồng'!CJ$4:CJ$4)</f>
        <v>0</v>
      </c>
      <c r="CK18" s="79">
        <f t="array" ref="CK18">SUMIFS('Cắt lồng'!$AH$327:$AH$515,'Cắt lồng'!$AA$327:$AA$515,'Cắt lồng'!$AA18,'Cắt lồng'!$AE$327:$AE$515,'Cắt lồng'!CK$4:CK$4)</f>
        <v>0</v>
      </c>
      <c r="CL18" s="78" t="e">
        <f t="shared" si="52"/>
        <v>#DIV/0!</v>
      </c>
      <c r="CM18" s="79">
        <f t="array" ref="CM18">SUMIFS('Cắt lồng'!$AC$327:$AC$515,'Cắt lồng'!$AA$327:$AA$515,'Cắt lồng'!$AA18,'Cắt lồng'!$AE$327:$AE$515,'Cắt lồng'!CM$4:CM$4)</f>
        <v>0</v>
      </c>
      <c r="CN18" s="79">
        <f t="array" ref="CN18">SUMIFS('Cắt lồng'!$AH$327:$AH$515,'Cắt lồng'!$AA$327:$AA$515,'Cắt lồng'!$AA18,'Cắt lồng'!$AE$327:$AE$515,'Cắt lồng'!CN$4:CN$4)</f>
        <v>0</v>
      </c>
      <c r="CO18" s="78" t="e">
        <f t="shared" si="53"/>
        <v>#DIV/0!</v>
      </c>
      <c r="CP18" s="79">
        <f t="array" ref="CP18">SUMIFS('Cắt lồng'!$AC$327:$AC$515,'Cắt lồng'!$AA$327:$AA$515,'Cắt lồng'!$AA18,'Cắt lồng'!$AE$327:$AE$515,'Cắt lồng'!CP$4:CP$4)</f>
        <v>0</v>
      </c>
      <c r="CQ18" s="79">
        <f t="array" ref="CQ18">SUMIFS('Cắt lồng'!$AH$327:$AH$515,'Cắt lồng'!$AA$327:$AA$515,'Cắt lồng'!$AA18,'Cắt lồng'!$AE$327:$AE$515,'Cắt lồng'!CQ$4:CQ$4)</f>
        <v>0</v>
      </c>
      <c r="CR18" s="78" t="e">
        <f t="shared" si="54"/>
        <v>#DIV/0!</v>
      </c>
      <c r="CS18" s="79">
        <f t="array" ref="CS18">SUMIFS('Cắt lồng'!$AC$327:$AC$515,'Cắt lồng'!$AA$327:$AA$515,'Cắt lồng'!$AA18,'Cắt lồng'!$AE$327:$AE$515,'Cắt lồng'!CS$4:CS$4)</f>
        <v>0</v>
      </c>
      <c r="CT18" s="79">
        <f t="array" ref="CT18">SUMIFS('Cắt lồng'!$AH$327:$AH$515,'Cắt lồng'!$AA$327:$AA$515,'Cắt lồng'!$AA18,'Cắt lồng'!$AE$327:$AE$515,'Cắt lồng'!CT$4:CT$4)</f>
        <v>0</v>
      </c>
      <c r="CU18" s="78" t="e">
        <f t="shared" si="55"/>
        <v>#DIV/0!</v>
      </c>
      <c r="CV18" s="79">
        <f t="array" ref="CV18">SUMIFS('Cắt lồng'!$AC$327:$AC$515,'Cắt lồng'!$AA$327:$AA$515,'Cắt lồng'!$AA18,'Cắt lồng'!$AE$327:$AE$515,'Cắt lồng'!CV$4:CV$4)</f>
        <v>0</v>
      </c>
      <c r="CW18" s="79">
        <f t="array" ref="CW18">SUMIFS('Cắt lồng'!$AH$327:$AH$515,'Cắt lồng'!$AA$327:$AA$515,'Cắt lồng'!$AA18,'Cắt lồng'!$AE$327:$AE$515,'Cắt lồng'!CW$4:CW$4)</f>
        <v>0</v>
      </c>
      <c r="CX18" s="78" t="e">
        <f t="shared" si="56"/>
        <v>#DIV/0!</v>
      </c>
      <c r="CY18" s="79">
        <f t="array" ref="CY18">SUMIFS('Cắt lồng'!$AC$327:$AC$515,'Cắt lồng'!$AA$327:$AA$515,'Cắt lồng'!$AA18,'Cắt lồng'!$AE$327:$AE$515,'Cắt lồng'!CY$4:CY$4)</f>
        <v>0</v>
      </c>
      <c r="CZ18" s="79">
        <f t="array" ref="CZ18">SUMIFS('Cắt lồng'!$AH$327:$AH$515,'Cắt lồng'!$AA$327:$AA$515,'Cắt lồng'!$AA18,'Cắt lồng'!$AE$327:$AE$515,'Cắt lồng'!CZ$4:CZ$4)</f>
        <v>0</v>
      </c>
      <c r="DA18" s="78" t="e">
        <f t="shared" si="57"/>
        <v>#DIV/0!</v>
      </c>
      <c r="DB18" s="79">
        <f t="array" ref="DB18">SUMIFS('Cắt lồng'!$AC$327:$AC$515,'Cắt lồng'!$AA$327:$AA$515,'Cắt lồng'!$AA18,'Cắt lồng'!$AE$327:$AE$515,'Cắt lồng'!DB$4:DB$4)</f>
        <v>0</v>
      </c>
      <c r="DC18" s="79">
        <f t="array" ref="DC18">SUMIFS('Cắt lồng'!$AH$327:$AH$515,'Cắt lồng'!$AA$327:$AA$515,'Cắt lồng'!$AA18,'Cắt lồng'!$AE$327:$AE$515,'Cắt lồng'!DC$4:DC$4)</f>
        <v>0</v>
      </c>
      <c r="DD18" s="78" t="e">
        <f t="shared" si="58"/>
        <v>#DIV/0!</v>
      </c>
      <c r="DE18" s="79">
        <f t="array" ref="DE18">SUMIFS('Cắt lồng'!$AC$327:$AC$515,'Cắt lồng'!$AA$327:$AA$515,'Cắt lồng'!$AA18,'Cắt lồng'!$AE$327:$AE$515,'Cắt lồng'!DE$4:DE$4)</f>
        <v>0</v>
      </c>
      <c r="DF18" s="79">
        <f t="array" ref="DF18">SUMIFS('Cắt lồng'!$AH$327:$AH$515,'Cắt lồng'!$AA$327:$AA$515,'Cắt lồng'!$AA18,'Cắt lồng'!$AE$327:$AE$515,'Cắt lồng'!DF$4:DF$4)</f>
        <v>0</v>
      </c>
      <c r="DG18" s="78" t="e">
        <f t="shared" si="59"/>
        <v>#DIV/0!</v>
      </c>
      <c r="DH18" s="79">
        <f t="array" ref="DH18">SUMIFS('Cắt lồng'!$AC$327:$AC$515,'Cắt lồng'!$AA$327:$AA$515,'Cắt lồng'!$AA18,'Cắt lồng'!$AE$327:$AE$515,'Cắt lồng'!DH$4:DH$4)</f>
        <v>0</v>
      </c>
      <c r="DI18" s="79">
        <f t="array" ref="DI18">SUMIFS('Cắt lồng'!$AH$327:$AH$515,'Cắt lồng'!$AA$327:$AA$515,'Cắt lồng'!$AA18,'Cắt lồng'!$AE$327:$AE$515,'Cắt lồng'!DI$4:DI$4)</f>
        <v>0</v>
      </c>
      <c r="DJ18" s="78" t="e">
        <f t="shared" si="60"/>
        <v>#DIV/0!</v>
      </c>
      <c r="DK18" s="79">
        <f t="array" ref="DK18">SUMIFS('Cắt lồng'!$AC$327:$AC$515,'Cắt lồng'!$AA$327:$AA$515,'Cắt lồng'!$AA18,'Cắt lồng'!$AE$327:$AE$515,'Cắt lồng'!DK$4:DK$4)</f>
        <v>0</v>
      </c>
      <c r="DL18" s="79">
        <f t="array" ref="DL18">SUMIFS('Cắt lồng'!$AH$327:$AH$515,'Cắt lồng'!$AA$327:$AA$515,'Cắt lồng'!$AA18,'Cắt lồng'!$AE$327:$AE$515,'Cắt lồng'!DL$4:DL$4)</f>
        <v>0</v>
      </c>
      <c r="DM18" s="78" t="e">
        <f t="shared" si="61"/>
        <v>#DIV/0!</v>
      </c>
      <c r="DN18" s="79">
        <f>SUMIFS('Cắt lồng'!$AC$327:$AC$515,'Cắt lồng'!$AA$327:$AA$515,'Cắt lồng'!$AA18,'Cắt lồng'!$AE$327:$AE$515,'Cắt lồng'!DN$4:DN$4)</f>
        <v>0</v>
      </c>
      <c r="DO18" s="79">
        <f t="array" ref="DO18">SUMIFS('Cắt lồng'!$AH$327:$AH$515,'Cắt lồng'!$AA$327:$AA$515,'Cắt lồng'!$AA18,'Cắt lồng'!$AE$327:$AE$515,'Cắt lồng'!DO$4:DO$4)</f>
        <v>0</v>
      </c>
      <c r="DP18" s="78" t="e">
        <f t="shared" si="62"/>
        <v>#DIV/0!</v>
      </c>
      <c r="DQ18" s="79">
        <f t="array" ref="DQ18">SUMIFS('Cắt lồng'!$AC$327:$AC$515,'Cắt lồng'!$AA$327:$AA$515,'Cắt lồng'!$AA18,'Cắt lồng'!$AE$327:$AE$515,'Cắt lồng'!DQ$4:DQ$4)</f>
        <v>0</v>
      </c>
      <c r="DR18" s="79">
        <f t="array" ref="DR18">SUMIFS('Cắt lồng'!$AH$327:$AH$515,'Cắt lồng'!$AA$327:$AA$515,'Cắt lồng'!$AA18,'Cắt lồng'!$AE$327:$AE$515,'Cắt lồng'!DR$4:DR$4)</f>
        <v>0</v>
      </c>
      <c r="DS18" s="78" t="e">
        <f t="shared" si="63"/>
        <v>#DIV/0!</v>
      </c>
      <c r="DT18" s="79">
        <f t="array" ref="DT18">SUMIFS('Cắt lồng'!$AC$327:$AC$515,'Cắt lồng'!$AA$327:$AA$515,'Cắt lồng'!$AA18,'Cắt lồng'!$AE$327:$AE$515,'Cắt lồng'!DT$4:DT$4)</f>
        <v>0</v>
      </c>
      <c r="DU18" s="79">
        <f t="array" ref="DU18">SUMIFS('Cắt lồng'!$AH$327:$AH$515,'Cắt lồng'!$AA$327:$AA$515,'Cắt lồng'!$AA18,'Cắt lồng'!$AE$327:$AE$515,'Cắt lồng'!DU$4:DU$4)</f>
        <v>0</v>
      </c>
      <c r="DV18" s="78" t="e">
        <f t="shared" si="64"/>
        <v>#DIV/0!</v>
      </c>
      <c r="DW18" s="79">
        <f t="array" ref="DW18">SUMIFS('Cắt lồng'!$AC$327:$AC$515,'Cắt lồng'!$AA$327:$AA$515,'Cắt lồng'!$AA18,'Cắt lồng'!$AE$327:$AE$515,'Cắt lồng'!DW$4:DW$4)</f>
        <v>0</v>
      </c>
      <c r="DX18" s="79">
        <f t="array" ref="DX18">SUMIFS('Cắt lồng'!$AH$327:$AH$515,'Cắt lồng'!$AA$327:$AA$515,'Cắt lồng'!$AA18,'Cắt lồng'!$AE$327:$AE$515,'Cắt lồng'!DX$4:DX$4)</f>
        <v>0</v>
      </c>
      <c r="DY18" s="78" t="e">
        <f t="shared" si="65"/>
        <v>#DIV/0!</v>
      </c>
      <c r="DZ18" s="79">
        <f t="array" ref="DZ18">SUMIFS('Cắt lồng'!$AC$327:$AC$515,'Cắt lồng'!$AA$327:$AA$515,'Cắt lồng'!$AA18,'Cắt lồng'!$AE$327:$AE$515,'Cắt lồng'!DZ$4:DZ$4)</f>
        <v>0</v>
      </c>
      <c r="EA18" s="79">
        <f t="array" ref="EA18">SUMIFS('Cắt lồng'!$AH$327:$AH$515,'Cắt lồng'!$AA$327:$AA$515,'Cắt lồng'!$AA18,'Cắt lồng'!$AE$327:$AE$515,'Cắt lồng'!EA$4:EA$4)</f>
        <v>0</v>
      </c>
      <c r="EB18" s="78" t="e">
        <f t="shared" si="66"/>
        <v>#DIV/0!</v>
      </c>
      <c r="EC18" s="79">
        <f t="array" ref="EC18">SUMIFS('Cắt lồng'!$AC$327:$AC$515,'Cắt lồng'!$AA$327:$AA$515,'Cắt lồng'!$AA18,'Cắt lồng'!$AE$327:$AE$515,'Cắt lồng'!EC$4:EC$4)</f>
        <v>0</v>
      </c>
      <c r="ED18" s="79">
        <f t="array" ref="ED18">SUMIFS('Cắt lồng'!$AH$327:$AH$515,'Cắt lồng'!$AA$327:$AA$515,'Cắt lồng'!$AA18,'Cắt lồng'!$AE$327:$AE$515,'Cắt lồng'!ED$4:ED$4)</f>
        <v>0</v>
      </c>
      <c r="EE18" s="78" t="e">
        <f t="shared" si="67"/>
        <v>#DIV/0!</v>
      </c>
      <c r="EF18" s="79">
        <f t="array" ref="EF18">SUMIFS('Cắt lồng'!$AC$327:$AC$515,'Cắt lồng'!$AA$327:$AA$515,'Cắt lồng'!$AA18,'Cắt lồng'!$AE$327:$AE$515,'Cắt lồng'!EF$4:EF$4)</f>
        <v>0</v>
      </c>
      <c r="EG18" s="79">
        <f t="array" ref="EG18">SUMIFS('Cắt lồng'!$AH$327:$AH$515,'Cắt lồng'!$AA$327:$AA$515,'Cắt lồng'!$AA18,'Cắt lồng'!$AE$327:$AE$515,'Cắt lồng'!EG$4:EG$4)</f>
        <v>0</v>
      </c>
      <c r="EH18" s="78" t="e">
        <f t="shared" si="68"/>
        <v>#DIV/0!</v>
      </c>
      <c r="EI18" s="79">
        <f t="array" ref="EI18">SUMIFS('Cắt lồng'!$AC$327:$AC$515,'Cắt lồng'!$AA$327:$AA$515,'Cắt lồng'!$AA18,'Cắt lồng'!$AE$327:$AE$515,'Cắt lồng'!EI$4:EI$4)</f>
        <v>0</v>
      </c>
      <c r="EJ18" s="79">
        <f t="array" ref="EJ18">SUMIFS('Cắt lồng'!$AH$327:$AH$515,'Cắt lồng'!$AA$327:$AA$515,'Cắt lồng'!$AA18,'Cắt lồng'!$AE$327:$AE$515,'Cắt lồng'!EJ$4:EJ$4)</f>
        <v>0</v>
      </c>
      <c r="EK18" s="78" t="e">
        <f t="shared" si="69"/>
        <v>#DIV/0!</v>
      </c>
    </row>
    <row r="19" spans="1:141" s="12" customFormat="1" ht="14.25" hidden="1" customHeight="1">
      <c r="A19" s="25">
        <v>14</v>
      </c>
      <c r="B19" s="26">
        <v>1080</v>
      </c>
      <c r="C19" s="202" t="s">
        <v>271</v>
      </c>
      <c r="D19" s="201">
        <f t="shared" si="71"/>
        <v>0</v>
      </c>
      <c r="E19" s="200">
        <f t="shared" si="71"/>
        <v>0</v>
      </c>
      <c r="F19" s="199"/>
      <c r="G19" s="82">
        <f t="shared" si="1"/>
        <v>0</v>
      </c>
      <c r="H19" s="81">
        <f t="shared" si="2"/>
        <v>0</v>
      </c>
      <c r="I19" s="19">
        <f t="shared" si="3"/>
        <v>0</v>
      </c>
      <c r="J19" s="11">
        <f t="shared" si="4"/>
        <v>0</v>
      </c>
      <c r="K19" s="19">
        <f t="shared" si="5"/>
        <v>0</v>
      </c>
      <c r="L19" s="19">
        <f t="shared" si="6"/>
        <v>0</v>
      </c>
      <c r="M19" s="19">
        <f t="shared" si="7"/>
        <v>0</v>
      </c>
      <c r="N19" s="19">
        <f t="shared" si="8"/>
        <v>0</v>
      </c>
      <c r="O19" s="19">
        <f t="shared" si="9"/>
        <v>0</v>
      </c>
      <c r="P19" s="19">
        <f t="shared" si="10"/>
        <v>0</v>
      </c>
      <c r="Q19" s="19">
        <f t="shared" si="11"/>
        <v>0</v>
      </c>
      <c r="R19" s="19">
        <f t="shared" si="12"/>
        <v>0</v>
      </c>
      <c r="S19" s="19">
        <f t="shared" si="13"/>
        <v>0</v>
      </c>
      <c r="T19" s="19">
        <f t="shared" si="14"/>
        <v>0</v>
      </c>
      <c r="U19" s="19">
        <f t="shared" si="15"/>
        <v>0</v>
      </c>
      <c r="V19" s="19">
        <f t="shared" si="16"/>
        <v>0</v>
      </c>
      <c r="W19" s="19">
        <f t="shared" si="17"/>
        <v>0</v>
      </c>
      <c r="X19" s="19">
        <f t="shared" si="18"/>
        <v>0</v>
      </c>
      <c r="Y19" s="19">
        <f t="shared" si="19"/>
        <v>0</v>
      </c>
      <c r="Z19" s="19">
        <f t="shared" si="20"/>
        <v>0</v>
      </c>
      <c r="AA19" s="20" t="s">
        <v>270</v>
      </c>
      <c r="AB19" s="129">
        <f t="shared" si="21"/>
        <v>0</v>
      </c>
      <c r="AC19" s="129">
        <f t="shared" si="22"/>
        <v>0</v>
      </c>
      <c r="AD19" s="128" t="e">
        <f t="shared" si="23"/>
        <v>#DIV/0!</v>
      </c>
      <c r="AE19" s="42"/>
      <c r="AF19" s="127" t="e">
        <f t="shared" si="24"/>
        <v>#DIV/0!</v>
      </c>
      <c r="AG19" s="127"/>
      <c r="AH19" s="127">
        <f t="shared" si="25"/>
        <v>0</v>
      </c>
      <c r="AI19" s="54" t="e">
        <f t="shared" si="26"/>
        <v>#DIV/0!</v>
      </c>
      <c r="AJ19" s="25">
        <f t="shared" si="27"/>
        <v>0</v>
      </c>
      <c r="AK19" s="25">
        <f t="shared" si="28"/>
        <v>0</v>
      </c>
      <c r="AL19" s="25">
        <f t="shared" si="29"/>
        <v>0</v>
      </c>
      <c r="AM19" s="20">
        <f t="shared" si="30"/>
        <v>0</v>
      </c>
      <c r="AN19" s="20">
        <f t="shared" si="31"/>
        <v>0</v>
      </c>
      <c r="AO19" s="20">
        <f t="shared" si="32"/>
        <v>0</v>
      </c>
      <c r="AP19" s="20">
        <f t="shared" si="33"/>
        <v>0</v>
      </c>
      <c r="AQ19" s="20">
        <f t="shared" si="34"/>
        <v>0</v>
      </c>
      <c r="AR19" s="20">
        <f t="shared" si="35"/>
        <v>0</v>
      </c>
      <c r="AS19" s="20">
        <f t="shared" si="36"/>
        <v>0</v>
      </c>
      <c r="AT19" s="20">
        <f t="shared" si="37"/>
        <v>0</v>
      </c>
      <c r="AV19" s="79">
        <f t="shared" si="38"/>
        <v>0</v>
      </c>
      <c r="AW19" s="79">
        <f t="array" ref="AW19">SUMIFS('Cắt lồng'!$AC$327:$AC$515,'Cắt lồng'!$AA$327:$AA$515,'Cắt lồng'!$AA19,'Cắt lồng'!$AE$327:$AE$515,'Cắt lồng'!AW$4:AW$4)</f>
        <v>0</v>
      </c>
      <c r="AX19" s="79">
        <f t="array" ref="AX19">SUMIFS('Cắt lồng'!$AH$327:$AH$515,'Cắt lồng'!$AA$327:$AA$515,'Cắt lồng'!$AA19,'Cắt lồng'!$AE$327:$AE$515,'Cắt lồng'!AX$4:AX$4)</f>
        <v>0</v>
      </c>
      <c r="AY19" s="78" t="e">
        <f t="shared" si="39"/>
        <v>#DIV/0!</v>
      </c>
      <c r="AZ19" s="79">
        <f t="array" ref="AZ19">SUMIFS('Cắt lồng'!$AC$327:$AC$515,'Cắt lồng'!$AA$327:$AA$515,'Cắt lồng'!$AA19,'Cắt lồng'!$AE$327:$AE$515,'Cắt lồng'!AZ$4:AZ$4)</f>
        <v>0</v>
      </c>
      <c r="BA19" s="79">
        <f t="array" ref="BA19">SUMIFS('Cắt lồng'!$AH$327:$AH$515,'Cắt lồng'!$AA$327:$AA$515,'Cắt lồng'!$AA19,'Cắt lồng'!$AE$327:$AE$515,'Cắt lồng'!BA$4:BA$4)</f>
        <v>0</v>
      </c>
      <c r="BB19" s="78" t="e">
        <f t="shared" si="40"/>
        <v>#DIV/0!</v>
      </c>
      <c r="BC19" s="79">
        <f t="array" ref="BC19">SUMIFS('Cắt lồng'!$AC$327:$AC$515,'Cắt lồng'!$AA$327:$AA$515,'Cắt lồng'!$AA19,'Cắt lồng'!$AE$327:$AE$515,'Cắt lồng'!BC$4:BC$4)</f>
        <v>0</v>
      </c>
      <c r="BD19" s="79">
        <f t="array" ref="BD19">SUMIFS('Cắt lồng'!$AH$327:$AH$515,'Cắt lồng'!$AA$327:$AA$515,'Cắt lồng'!$AA19,'Cắt lồng'!$AE$327:$AE$515,'Cắt lồng'!BD$4:BD$4)</f>
        <v>0</v>
      </c>
      <c r="BE19" s="78" t="e">
        <f t="shared" si="41"/>
        <v>#DIV/0!</v>
      </c>
      <c r="BF19" s="79">
        <f t="array" ref="BF19">SUMIFS('Cắt lồng'!$AC$327:$AC$515,'Cắt lồng'!$AA$327:$AA$515,'Cắt lồng'!$AA19,'Cắt lồng'!$AE$327:$AE$515,'Cắt lồng'!BF$4:BF$4)</f>
        <v>0</v>
      </c>
      <c r="BG19" s="79">
        <f t="array" ref="BG19">SUMIFS('Cắt lồng'!$AH$327:$AH$515,'Cắt lồng'!$AA$327:$AA$515,'Cắt lồng'!$AA19,'Cắt lồng'!$AE$327:$AE$515,'Cắt lồng'!BG$4:BG$4)</f>
        <v>0</v>
      </c>
      <c r="BH19" s="78" t="e">
        <f t="shared" si="42"/>
        <v>#DIV/0!</v>
      </c>
      <c r="BI19" s="79">
        <f t="array" ref="BI19">SUMIFS('Cắt lồng'!$AC$327:$AC$515,'Cắt lồng'!$AA$327:$AA$515,'Cắt lồng'!$AA19,'Cắt lồng'!$AE$327:$AE$515,'Cắt lồng'!BI$4:BI$4)</f>
        <v>0</v>
      </c>
      <c r="BJ19" s="79">
        <f t="array" ref="BJ19">SUMIFS('Cắt lồng'!$AH$327:$AH$515,'Cắt lồng'!$AA$327:$AA$515,'Cắt lồng'!$AA19,'Cắt lồng'!$AE$327:$AE$515,'Cắt lồng'!BJ$4:BJ$4)</f>
        <v>0</v>
      </c>
      <c r="BK19" s="78" t="e">
        <f t="shared" si="43"/>
        <v>#DIV/0!</v>
      </c>
      <c r="BL19" s="79">
        <f t="array" ref="BL19">SUMIFS('Cắt lồng'!$AC$327:$AC$515,'Cắt lồng'!$AA$327:$AA$515,'Cắt lồng'!$AA19,'Cắt lồng'!$AE$327:$AE$515,'Cắt lồng'!BL$4:BL$4)</f>
        <v>0</v>
      </c>
      <c r="BM19" s="79">
        <f t="array" ref="BM19">SUMIFS('Cắt lồng'!$AH$327:$AH$515,'Cắt lồng'!$AA$327:$AA$515,'Cắt lồng'!$AA19,'Cắt lồng'!$AE$327:$AE$515,'Cắt lồng'!BM$4:BM$4)</f>
        <v>0</v>
      </c>
      <c r="BN19" s="78" t="e">
        <f t="shared" si="44"/>
        <v>#DIV/0!</v>
      </c>
      <c r="BO19" s="79">
        <f t="array" ref="BO19">SUMIFS('Cắt lồng'!$AC$327:$AC$515,'Cắt lồng'!$AA$327:$AA$515,'Cắt lồng'!$AA19,'Cắt lồng'!$AE$327:$AE$515,'Cắt lồng'!BO$4:BO$4)</f>
        <v>0</v>
      </c>
      <c r="BP19" s="79">
        <f t="array" ref="BP19">SUMIFS('Cắt lồng'!$AH$327:$AH$515,'Cắt lồng'!$AA$327:$AA$515,'Cắt lồng'!$AA19,'Cắt lồng'!$AE$327:$AE$515,'Cắt lồng'!BP$4:BP$4)</f>
        <v>0</v>
      </c>
      <c r="BQ19" s="78" t="e">
        <f t="shared" si="45"/>
        <v>#DIV/0!</v>
      </c>
      <c r="BR19" s="79">
        <f t="array" ref="BR19">SUMIFS('Cắt lồng'!$AC$327:$AC$515,'Cắt lồng'!$AA$327:$AA$515,'Cắt lồng'!$AA19,'Cắt lồng'!$AE$327:$AE$515,'Cắt lồng'!BR$4:BR$4)</f>
        <v>0</v>
      </c>
      <c r="BS19" s="79">
        <f t="array" ref="BS19">SUMIFS('Cắt lồng'!$AH$327:$AH$515,'Cắt lồng'!$AA$327:$AA$515,'Cắt lồng'!$AA19,'Cắt lồng'!$AE$327:$AE$515,'Cắt lồng'!BS$4:BS$4)</f>
        <v>0</v>
      </c>
      <c r="BT19" s="78" t="e">
        <f t="shared" si="46"/>
        <v>#DIV/0!</v>
      </c>
      <c r="BU19" s="79">
        <f t="array" ref="BU19">SUMIFS('Cắt lồng'!$AC$327:$AC$515,'Cắt lồng'!$AA$327:$AA$515,'Cắt lồng'!$AA19,'Cắt lồng'!$AE$327:$AE$515,'Cắt lồng'!BU$4:BU$4)</f>
        <v>0</v>
      </c>
      <c r="BV19" s="79">
        <f t="array" ref="BV19">SUMIFS('Cắt lồng'!$AH$327:$AH$515,'Cắt lồng'!$AA$327:$AA$515,'Cắt lồng'!$AA19,'Cắt lồng'!$AE$327:$AE$515,'Cắt lồng'!BV$4:BV$4)</f>
        <v>0</v>
      </c>
      <c r="BW19" s="78" t="e">
        <f t="shared" si="47"/>
        <v>#DIV/0!</v>
      </c>
      <c r="BX19" s="79">
        <f t="array" ref="BX19">SUMIFS('Cắt lồng'!$AC$327:$AC$515,'Cắt lồng'!$AA$327:$AA$515,'Cắt lồng'!$AA19,'Cắt lồng'!$AE$327:$AE$515,'Cắt lồng'!BX$4:BX$4)</f>
        <v>0</v>
      </c>
      <c r="BY19" s="79">
        <f t="array" ref="BY19">SUMIFS('Cắt lồng'!$AH$327:$AH$515,'Cắt lồng'!$AA$327:$AA$515,'Cắt lồng'!$AA19,'Cắt lồng'!$AE$327:$AE$515,'Cắt lồng'!BY$4:BY$4)</f>
        <v>0</v>
      </c>
      <c r="BZ19" s="78" t="e">
        <f t="shared" si="48"/>
        <v>#DIV/0!</v>
      </c>
      <c r="CA19" s="79">
        <f t="array" ref="CA19">SUMIFS('Cắt lồng'!$AC$327:$AC$515,'Cắt lồng'!$AA$327:$AA$515,'Cắt lồng'!$AA19,'Cắt lồng'!$AE$327:$AE$515,'Cắt lồng'!CA$4:CA$4)</f>
        <v>0</v>
      </c>
      <c r="CB19" s="79">
        <f t="array" ref="CB19">SUMIFS('Cắt lồng'!$AH$327:$AH$515,'Cắt lồng'!$AA$327:$AA$515,'Cắt lồng'!$AA19,'Cắt lồng'!$AE$327:$AE$515,'Cắt lồng'!CB$4:CB$4)</f>
        <v>0</v>
      </c>
      <c r="CC19" s="78" t="e">
        <f t="shared" si="49"/>
        <v>#DIV/0!</v>
      </c>
      <c r="CD19" s="79">
        <f t="array" ref="CD19">SUMIFS('Cắt lồng'!$AC$327:$AC$515,'Cắt lồng'!$AA$327:$AA$515,'Cắt lồng'!$AA19,'Cắt lồng'!$AE$327:$AE$515,'Cắt lồng'!CD$4:CD$4)</f>
        <v>0</v>
      </c>
      <c r="CE19" s="79">
        <f t="array" ref="CE19">SUMIFS('Cắt lồng'!$AH$327:$AH$515,'Cắt lồng'!$AA$327:$AA$515,'Cắt lồng'!$AA19,'Cắt lồng'!$AE$327:$AE$515,'Cắt lồng'!CE$4:CE$4)</f>
        <v>0</v>
      </c>
      <c r="CF19" s="78" t="e">
        <f t="shared" si="50"/>
        <v>#DIV/0!</v>
      </c>
      <c r="CG19" s="79">
        <f>SUMIFS('Cắt lồng'!$AC$327:$AC$515,'Cắt lồng'!$AA$327:$AA$515,'Cắt lồng'!$AA19,'Cắt lồng'!$AE$327:$AE$515,'Cắt lồng'!CG$4:CG$4)</f>
        <v>0</v>
      </c>
      <c r="CH19" s="79">
        <f t="array" ref="CH19">SUMIFS('Cắt lồng'!$AH$327:$AH$515,'Cắt lồng'!$AA$327:$AA$515,'Cắt lồng'!$AA19,'Cắt lồng'!$AE$327:$AE$515,'Cắt lồng'!CH$4:CH$4)</f>
        <v>0</v>
      </c>
      <c r="CI19" s="78" t="e">
        <f t="shared" si="51"/>
        <v>#DIV/0!</v>
      </c>
      <c r="CJ19" s="79">
        <f t="array" ref="CJ19">SUMIFS('Cắt lồng'!$AC$327:$AC$515,'Cắt lồng'!$AA$327:$AA$515,'Cắt lồng'!$AA19,'Cắt lồng'!$AE$327:$AE$515,'Cắt lồng'!CJ$4:CJ$4)</f>
        <v>0</v>
      </c>
      <c r="CK19" s="79">
        <f t="array" ref="CK19">SUMIFS('Cắt lồng'!$AH$327:$AH$515,'Cắt lồng'!$AA$327:$AA$515,'Cắt lồng'!$AA19,'Cắt lồng'!$AE$327:$AE$515,'Cắt lồng'!CK$4:CK$4)</f>
        <v>0</v>
      </c>
      <c r="CL19" s="78" t="e">
        <f t="shared" si="52"/>
        <v>#DIV/0!</v>
      </c>
      <c r="CM19" s="79">
        <f t="array" ref="CM19">SUMIFS('Cắt lồng'!$AC$327:$AC$515,'Cắt lồng'!$AA$327:$AA$515,'Cắt lồng'!$AA19,'Cắt lồng'!$AE$327:$AE$515,'Cắt lồng'!CM$4:CM$4)</f>
        <v>0</v>
      </c>
      <c r="CN19" s="79">
        <f t="array" ref="CN19">SUMIFS('Cắt lồng'!$AH$327:$AH$515,'Cắt lồng'!$AA$327:$AA$515,'Cắt lồng'!$AA19,'Cắt lồng'!$AE$327:$AE$515,'Cắt lồng'!CN$4:CN$4)</f>
        <v>0</v>
      </c>
      <c r="CO19" s="78" t="e">
        <f t="shared" si="53"/>
        <v>#DIV/0!</v>
      </c>
      <c r="CP19" s="79">
        <f t="array" ref="CP19">SUMIFS('Cắt lồng'!$AC$327:$AC$515,'Cắt lồng'!$AA$327:$AA$515,'Cắt lồng'!$AA19,'Cắt lồng'!$AE$327:$AE$515,'Cắt lồng'!CP$4:CP$4)</f>
        <v>0</v>
      </c>
      <c r="CQ19" s="79">
        <f t="array" ref="CQ19">SUMIFS('Cắt lồng'!$AH$327:$AH$515,'Cắt lồng'!$AA$327:$AA$515,'Cắt lồng'!$AA19,'Cắt lồng'!$AE$327:$AE$515,'Cắt lồng'!CQ$4:CQ$4)</f>
        <v>0</v>
      </c>
      <c r="CR19" s="78" t="e">
        <f t="shared" si="54"/>
        <v>#DIV/0!</v>
      </c>
      <c r="CS19" s="79">
        <f t="array" ref="CS19">SUMIFS('Cắt lồng'!$AC$327:$AC$515,'Cắt lồng'!$AA$327:$AA$515,'Cắt lồng'!$AA19,'Cắt lồng'!$AE$327:$AE$515,'Cắt lồng'!CS$4:CS$4)</f>
        <v>0</v>
      </c>
      <c r="CT19" s="79">
        <f t="array" ref="CT19">SUMIFS('Cắt lồng'!$AH$327:$AH$515,'Cắt lồng'!$AA$327:$AA$515,'Cắt lồng'!$AA19,'Cắt lồng'!$AE$327:$AE$515,'Cắt lồng'!CT$4:CT$4)</f>
        <v>0</v>
      </c>
      <c r="CU19" s="78" t="e">
        <f t="shared" si="55"/>
        <v>#DIV/0!</v>
      </c>
      <c r="CV19" s="79">
        <f t="array" ref="CV19">SUMIFS('Cắt lồng'!$AC$327:$AC$515,'Cắt lồng'!$AA$327:$AA$515,'Cắt lồng'!$AA19,'Cắt lồng'!$AE$327:$AE$515,'Cắt lồng'!CV$4:CV$4)</f>
        <v>0</v>
      </c>
      <c r="CW19" s="79">
        <f t="array" ref="CW19">SUMIFS('Cắt lồng'!$AH$327:$AH$515,'Cắt lồng'!$AA$327:$AA$515,'Cắt lồng'!$AA19,'Cắt lồng'!$AE$327:$AE$515,'Cắt lồng'!CW$4:CW$4)</f>
        <v>0</v>
      </c>
      <c r="CX19" s="78" t="e">
        <f t="shared" si="56"/>
        <v>#DIV/0!</v>
      </c>
      <c r="CY19" s="79">
        <f t="array" ref="CY19">SUMIFS('Cắt lồng'!$AC$327:$AC$515,'Cắt lồng'!$AA$327:$AA$515,'Cắt lồng'!$AA19,'Cắt lồng'!$AE$327:$AE$515,'Cắt lồng'!CY$4:CY$4)</f>
        <v>0</v>
      </c>
      <c r="CZ19" s="79">
        <f t="array" ref="CZ19">SUMIFS('Cắt lồng'!$AH$327:$AH$515,'Cắt lồng'!$AA$327:$AA$515,'Cắt lồng'!$AA19,'Cắt lồng'!$AE$327:$AE$515,'Cắt lồng'!CZ$4:CZ$4)</f>
        <v>0</v>
      </c>
      <c r="DA19" s="78" t="e">
        <f t="shared" si="57"/>
        <v>#DIV/0!</v>
      </c>
      <c r="DB19" s="79">
        <f t="array" ref="DB19">SUMIFS('Cắt lồng'!$AC$327:$AC$515,'Cắt lồng'!$AA$327:$AA$515,'Cắt lồng'!$AA19,'Cắt lồng'!$AE$327:$AE$515,'Cắt lồng'!DB$4:DB$4)</f>
        <v>0</v>
      </c>
      <c r="DC19" s="79">
        <f t="array" ref="DC19">SUMIFS('Cắt lồng'!$AH$327:$AH$515,'Cắt lồng'!$AA$327:$AA$515,'Cắt lồng'!$AA19,'Cắt lồng'!$AE$327:$AE$515,'Cắt lồng'!DC$4:DC$4)</f>
        <v>0</v>
      </c>
      <c r="DD19" s="78" t="e">
        <f t="shared" si="58"/>
        <v>#DIV/0!</v>
      </c>
      <c r="DE19" s="79">
        <f t="array" ref="DE19">SUMIFS('Cắt lồng'!$AC$327:$AC$515,'Cắt lồng'!$AA$327:$AA$515,'Cắt lồng'!$AA19,'Cắt lồng'!$AE$327:$AE$515,'Cắt lồng'!DE$4:DE$4)</f>
        <v>0</v>
      </c>
      <c r="DF19" s="79">
        <f t="array" ref="DF19">SUMIFS('Cắt lồng'!$AH$327:$AH$515,'Cắt lồng'!$AA$327:$AA$515,'Cắt lồng'!$AA19,'Cắt lồng'!$AE$327:$AE$515,'Cắt lồng'!DF$4:DF$4)</f>
        <v>0</v>
      </c>
      <c r="DG19" s="78" t="e">
        <f t="shared" si="59"/>
        <v>#DIV/0!</v>
      </c>
      <c r="DH19" s="79">
        <f t="array" ref="DH19">SUMIFS('Cắt lồng'!$AC$327:$AC$515,'Cắt lồng'!$AA$327:$AA$515,'Cắt lồng'!$AA19,'Cắt lồng'!$AE$327:$AE$515,'Cắt lồng'!DH$4:DH$4)</f>
        <v>0</v>
      </c>
      <c r="DI19" s="79">
        <f t="array" ref="DI19">SUMIFS('Cắt lồng'!$AH$327:$AH$515,'Cắt lồng'!$AA$327:$AA$515,'Cắt lồng'!$AA19,'Cắt lồng'!$AE$327:$AE$515,'Cắt lồng'!DI$4:DI$4)</f>
        <v>0</v>
      </c>
      <c r="DJ19" s="78" t="e">
        <f t="shared" si="60"/>
        <v>#DIV/0!</v>
      </c>
      <c r="DK19" s="79">
        <f t="array" ref="DK19">SUMIFS('Cắt lồng'!$AC$327:$AC$515,'Cắt lồng'!$AA$327:$AA$515,'Cắt lồng'!$AA19,'Cắt lồng'!$AE$327:$AE$515,'Cắt lồng'!DK$4:DK$4)</f>
        <v>0</v>
      </c>
      <c r="DL19" s="79">
        <f t="array" ref="DL19">SUMIFS('Cắt lồng'!$AH$327:$AH$515,'Cắt lồng'!$AA$327:$AA$515,'Cắt lồng'!$AA19,'Cắt lồng'!$AE$327:$AE$515,'Cắt lồng'!DL$4:DL$4)</f>
        <v>0</v>
      </c>
      <c r="DM19" s="78" t="e">
        <f t="shared" si="61"/>
        <v>#DIV/0!</v>
      </c>
      <c r="DN19" s="79">
        <f>SUMIFS('Cắt lồng'!$AC$327:$AC$515,'Cắt lồng'!$AA$327:$AA$515,'Cắt lồng'!$AA19,'Cắt lồng'!$AE$327:$AE$515,'Cắt lồng'!DN$4:DN$4)</f>
        <v>0</v>
      </c>
      <c r="DO19" s="79">
        <f t="array" ref="DO19">SUMIFS('Cắt lồng'!$AH$327:$AH$515,'Cắt lồng'!$AA$327:$AA$515,'Cắt lồng'!$AA19,'Cắt lồng'!$AE$327:$AE$515,'Cắt lồng'!DO$4:DO$4)</f>
        <v>0</v>
      </c>
      <c r="DP19" s="78" t="e">
        <f t="shared" si="62"/>
        <v>#DIV/0!</v>
      </c>
      <c r="DQ19" s="79">
        <f t="array" ref="DQ19">SUMIFS('Cắt lồng'!$AC$327:$AC$515,'Cắt lồng'!$AA$327:$AA$515,'Cắt lồng'!$AA19,'Cắt lồng'!$AE$327:$AE$515,'Cắt lồng'!DQ$4:DQ$4)</f>
        <v>0</v>
      </c>
      <c r="DR19" s="79">
        <f t="array" ref="DR19">SUMIFS('Cắt lồng'!$AH$327:$AH$515,'Cắt lồng'!$AA$327:$AA$515,'Cắt lồng'!$AA19,'Cắt lồng'!$AE$327:$AE$515,'Cắt lồng'!DR$4:DR$4)</f>
        <v>0</v>
      </c>
      <c r="DS19" s="78" t="e">
        <f t="shared" si="63"/>
        <v>#DIV/0!</v>
      </c>
      <c r="DT19" s="79">
        <f t="array" ref="DT19">SUMIFS('Cắt lồng'!$AC$327:$AC$515,'Cắt lồng'!$AA$327:$AA$515,'Cắt lồng'!$AA19,'Cắt lồng'!$AE$327:$AE$515,'Cắt lồng'!DT$4:DT$4)</f>
        <v>0</v>
      </c>
      <c r="DU19" s="79">
        <f t="array" ref="DU19">SUMIFS('Cắt lồng'!$AH$327:$AH$515,'Cắt lồng'!$AA$327:$AA$515,'Cắt lồng'!$AA19,'Cắt lồng'!$AE$327:$AE$515,'Cắt lồng'!DU$4:DU$4)</f>
        <v>0</v>
      </c>
      <c r="DV19" s="78" t="e">
        <f t="shared" si="64"/>
        <v>#DIV/0!</v>
      </c>
      <c r="DW19" s="79">
        <f t="array" ref="DW19">SUMIFS('Cắt lồng'!$AC$327:$AC$515,'Cắt lồng'!$AA$327:$AA$515,'Cắt lồng'!$AA19,'Cắt lồng'!$AE$327:$AE$515,'Cắt lồng'!DW$4:DW$4)</f>
        <v>0</v>
      </c>
      <c r="DX19" s="79">
        <f t="array" ref="DX19">SUMIFS('Cắt lồng'!$AH$327:$AH$515,'Cắt lồng'!$AA$327:$AA$515,'Cắt lồng'!$AA19,'Cắt lồng'!$AE$327:$AE$515,'Cắt lồng'!DX$4:DX$4)</f>
        <v>0</v>
      </c>
      <c r="DY19" s="78" t="e">
        <f t="shared" si="65"/>
        <v>#DIV/0!</v>
      </c>
      <c r="DZ19" s="79">
        <f t="array" ref="DZ19">SUMIFS('Cắt lồng'!$AC$327:$AC$515,'Cắt lồng'!$AA$327:$AA$515,'Cắt lồng'!$AA19,'Cắt lồng'!$AE$327:$AE$515,'Cắt lồng'!DZ$4:DZ$4)</f>
        <v>0</v>
      </c>
      <c r="EA19" s="79">
        <f t="array" ref="EA19">SUMIFS('Cắt lồng'!$AH$327:$AH$515,'Cắt lồng'!$AA$327:$AA$515,'Cắt lồng'!$AA19,'Cắt lồng'!$AE$327:$AE$515,'Cắt lồng'!EA$4:EA$4)</f>
        <v>0</v>
      </c>
      <c r="EB19" s="78" t="e">
        <f t="shared" si="66"/>
        <v>#DIV/0!</v>
      </c>
      <c r="EC19" s="79">
        <f t="array" ref="EC19">SUMIFS('Cắt lồng'!$AC$327:$AC$515,'Cắt lồng'!$AA$327:$AA$515,'Cắt lồng'!$AA19,'Cắt lồng'!$AE$327:$AE$515,'Cắt lồng'!EC$4:EC$4)</f>
        <v>0</v>
      </c>
      <c r="ED19" s="79">
        <f t="array" ref="ED19">SUMIFS('Cắt lồng'!$AH$327:$AH$515,'Cắt lồng'!$AA$327:$AA$515,'Cắt lồng'!$AA19,'Cắt lồng'!$AE$327:$AE$515,'Cắt lồng'!ED$4:ED$4)</f>
        <v>0</v>
      </c>
      <c r="EE19" s="78" t="e">
        <f t="shared" si="67"/>
        <v>#DIV/0!</v>
      </c>
      <c r="EF19" s="79">
        <f t="array" ref="EF19">SUMIFS('Cắt lồng'!$AC$327:$AC$515,'Cắt lồng'!$AA$327:$AA$515,'Cắt lồng'!$AA19,'Cắt lồng'!$AE$327:$AE$515,'Cắt lồng'!EF$4:EF$4)</f>
        <v>0</v>
      </c>
      <c r="EG19" s="79">
        <f t="array" ref="EG19">SUMIFS('Cắt lồng'!$AH$327:$AH$515,'Cắt lồng'!$AA$327:$AA$515,'Cắt lồng'!$AA19,'Cắt lồng'!$AE$327:$AE$515,'Cắt lồng'!EG$4:EG$4)</f>
        <v>0</v>
      </c>
      <c r="EH19" s="78" t="e">
        <f t="shared" si="68"/>
        <v>#DIV/0!</v>
      </c>
      <c r="EI19" s="79">
        <f t="array" ref="EI19">SUMIFS('Cắt lồng'!$AC$327:$AC$515,'Cắt lồng'!$AA$327:$AA$515,'Cắt lồng'!$AA19,'Cắt lồng'!$AE$327:$AE$515,'Cắt lồng'!EI$4:EI$4)</f>
        <v>0</v>
      </c>
      <c r="EJ19" s="79">
        <f t="array" ref="EJ19">SUMIFS('Cắt lồng'!$AH$327:$AH$515,'Cắt lồng'!$AA$327:$AA$515,'Cắt lồng'!$AA19,'Cắt lồng'!$AE$327:$AE$515,'Cắt lồng'!EJ$4:EJ$4)</f>
        <v>0</v>
      </c>
      <c r="EK19" s="78" t="e">
        <f t="shared" si="69"/>
        <v>#DIV/0!</v>
      </c>
    </row>
    <row r="20" spans="1:141" s="12" customFormat="1" ht="14.25" hidden="1" customHeight="1">
      <c r="A20" s="25">
        <v>15</v>
      </c>
      <c r="B20" s="26">
        <v>1090</v>
      </c>
      <c r="C20" s="202" t="s">
        <v>270</v>
      </c>
      <c r="D20" s="201">
        <f t="shared" si="71"/>
        <v>0</v>
      </c>
      <c r="E20" s="200">
        <f t="shared" si="71"/>
        <v>0</v>
      </c>
      <c r="F20" s="199"/>
      <c r="G20" s="82">
        <f t="shared" si="1"/>
        <v>0</v>
      </c>
      <c r="H20" s="81">
        <f t="shared" si="2"/>
        <v>0</v>
      </c>
      <c r="I20" s="19">
        <f t="shared" si="3"/>
        <v>0</v>
      </c>
      <c r="J20" s="11">
        <f t="shared" si="4"/>
        <v>0</v>
      </c>
      <c r="K20" s="19">
        <f t="shared" si="5"/>
        <v>0</v>
      </c>
      <c r="L20" s="19">
        <f t="shared" si="6"/>
        <v>0</v>
      </c>
      <c r="M20" s="19">
        <f t="shared" si="7"/>
        <v>0</v>
      </c>
      <c r="N20" s="19">
        <f t="shared" si="8"/>
        <v>0</v>
      </c>
      <c r="O20" s="19">
        <f t="shared" si="9"/>
        <v>0</v>
      </c>
      <c r="P20" s="19">
        <f t="shared" si="10"/>
        <v>0</v>
      </c>
      <c r="Q20" s="19">
        <f t="shared" si="11"/>
        <v>0</v>
      </c>
      <c r="R20" s="19">
        <f t="shared" si="12"/>
        <v>0</v>
      </c>
      <c r="S20" s="19">
        <f t="shared" si="13"/>
        <v>0</v>
      </c>
      <c r="T20" s="19">
        <f t="shared" si="14"/>
        <v>0</v>
      </c>
      <c r="U20" s="19">
        <f t="shared" si="15"/>
        <v>0</v>
      </c>
      <c r="V20" s="19">
        <f t="shared" si="16"/>
        <v>0</v>
      </c>
      <c r="W20" s="19">
        <f t="shared" si="17"/>
        <v>0</v>
      </c>
      <c r="X20" s="19">
        <f t="shared" si="18"/>
        <v>0</v>
      </c>
      <c r="Y20" s="19">
        <f t="shared" si="19"/>
        <v>0</v>
      </c>
      <c r="Z20" s="19">
        <f t="shared" si="20"/>
        <v>0</v>
      </c>
      <c r="AA20" s="203" t="s">
        <v>269</v>
      </c>
      <c r="AB20" s="129">
        <f t="shared" si="21"/>
        <v>0</v>
      </c>
      <c r="AC20" s="129">
        <f t="shared" si="22"/>
        <v>0</v>
      </c>
      <c r="AD20" s="128" t="e">
        <f t="shared" si="23"/>
        <v>#DIV/0!</v>
      </c>
      <c r="AE20" s="42"/>
      <c r="AF20" s="127" t="e">
        <f t="shared" si="24"/>
        <v>#DIV/0!</v>
      </c>
      <c r="AG20" s="127"/>
      <c r="AH20" s="127">
        <f t="shared" si="25"/>
        <v>0</v>
      </c>
      <c r="AI20" s="54" t="e">
        <f t="shared" si="26"/>
        <v>#DIV/0!</v>
      </c>
      <c r="AJ20" s="25">
        <f t="shared" si="27"/>
        <v>0</v>
      </c>
      <c r="AK20" s="25">
        <f t="shared" si="28"/>
        <v>0</v>
      </c>
      <c r="AL20" s="25">
        <f t="shared" si="29"/>
        <v>0</v>
      </c>
      <c r="AM20" s="20">
        <f t="shared" si="30"/>
        <v>0</v>
      </c>
      <c r="AN20" s="20">
        <f t="shared" si="31"/>
        <v>0</v>
      </c>
      <c r="AO20" s="20">
        <f t="shared" si="32"/>
        <v>0</v>
      </c>
      <c r="AP20" s="20">
        <f t="shared" si="33"/>
        <v>0</v>
      </c>
      <c r="AQ20" s="20">
        <f t="shared" si="34"/>
        <v>0</v>
      </c>
      <c r="AR20" s="20">
        <f t="shared" si="35"/>
        <v>0</v>
      </c>
      <c r="AS20" s="20">
        <f t="shared" si="36"/>
        <v>0</v>
      </c>
      <c r="AT20" s="20">
        <f t="shared" si="37"/>
        <v>0</v>
      </c>
      <c r="AV20" s="79">
        <f t="shared" si="38"/>
        <v>0</v>
      </c>
      <c r="AW20" s="79">
        <f t="array" ref="AW20">SUMIFS('Cắt lồng'!$AC$327:$AC$515,'Cắt lồng'!$AA$327:$AA$515,'Cắt lồng'!$AA20,'Cắt lồng'!$AE$327:$AE$515,'Cắt lồng'!AW$4:AW$4)</f>
        <v>0</v>
      </c>
      <c r="AX20" s="79">
        <f t="array" ref="AX20">SUMIFS('Cắt lồng'!$AH$327:$AH$515,'Cắt lồng'!$AA$327:$AA$515,'Cắt lồng'!$AA20,'Cắt lồng'!$AE$327:$AE$515,'Cắt lồng'!AX$4:AX$4)</f>
        <v>0</v>
      </c>
      <c r="AY20" s="78" t="e">
        <f t="shared" si="39"/>
        <v>#DIV/0!</v>
      </c>
      <c r="AZ20" s="79">
        <f t="array" ref="AZ20">SUMIFS('Cắt lồng'!$AC$327:$AC$515,'Cắt lồng'!$AA$327:$AA$515,'Cắt lồng'!$AA20,'Cắt lồng'!$AE$327:$AE$515,'Cắt lồng'!AZ$4:AZ$4)</f>
        <v>0</v>
      </c>
      <c r="BA20" s="79">
        <f t="array" ref="BA20">SUMIFS('Cắt lồng'!$AH$327:$AH$515,'Cắt lồng'!$AA$327:$AA$515,'Cắt lồng'!$AA20,'Cắt lồng'!$AE$327:$AE$515,'Cắt lồng'!BA$4:BA$4)</f>
        <v>0</v>
      </c>
      <c r="BB20" s="78" t="e">
        <f t="shared" si="40"/>
        <v>#DIV/0!</v>
      </c>
      <c r="BC20" s="79">
        <f t="array" ref="BC20">SUMIFS('Cắt lồng'!$AC$327:$AC$515,'Cắt lồng'!$AA$327:$AA$515,'Cắt lồng'!$AA20,'Cắt lồng'!$AE$327:$AE$515,'Cắt lồng'!BC$4:BC$4)</f>
        <v>0</v>
      </c>
      <c r="BD20" s="79">
        <f t="array" ref="BD20">SUMIFS('Cắt lồng'!$AH$327:$AH$515,'Cắt lồng'!$AA$327:$AA$515,'Cắt lồng'!$AA20,'Cắt lồng'!$AE$327:$AE$515,'Cắt lồng'!BD$4:BD$4)</f>
        <v>0</v>
      </c>
      <c r="BE20" s="78" t="e">
        <f t="shared" si="41"/>
        <v>#DIV/0!</v>
      </c>
      <c r="BF20" s="79">
        <f t="array" ref="BF20">SUMIFS('Cắt lồng'!$AC$327:$AC$515,'Cắt lồng'!$AA$327:$AA$515,'Cắt lồng'!$AA20,'Cắt lồng'!$AE$327:$AE$515,'Cắt lồng'!BF$4:BF$4)</f>
        <v>0</v>
      </c>
      <c r="BG20" s="79">
        <f t="array" ref="BG20">SUMIFS('Cắt lồng'!$AH$327:$AH$515,'Cắt lồng'!$AA$327:$AA$515,'Cắt lồng'!$AA20,'Cắt lồng'!$AE$327:$AE$515,'Cắt lồng'!BG$4:BG$4)</f>
        <v>0</v>
      </c>
      <c r="BH20" s="78" t="e">
        <f t="shared" si="42"/>
        <v>#DIV/0!</v>
      </c>
      <c r="BI20" s="79">
        <f t="array" ref="BI20">SUMIFS('Cắt lồng'!$AC$327:$AC$515,'Cắt lồng'!$AA$327:$AA$515,'Cắt lồng'!$AA20,'Cắt lồng'!$AE$327:$AE$515,'Cắt lồng'!BI$4:BI$4)</f>
        <v>0</v>
      </c>
      <c r="BJ20" s="79">
        <f t="array" ref="BJ20">SUMIFS('Cắt lồng'!$AH$327:$AH$515,'Cắt lồng'!$AA$327:$AA$515,'Cắt lồng'!$AA20,'Cắt lồng'!$AE$327:$AE$515,'Cắt lồng'!BJ$4:BJ$4)</f>
        <v>0</v>
      </c>
      <c r="BK20" s="78" t="e">
        <f t="shared" si="43"/>
        <v>#DIV/0!</v>
      </c>
      <c r="BL20" s="79">
        <f t="array" ref="BL20">SUMIFS('Cắt lồng'!$AC$327:$AC$515,'Cắt lồng'!$AA$327:$AA$515,'Cắt lồng'!$AA20,'Cắt lồng'!$AE$327:$AE$515,'Cắt lồng'!BL$4:BL$4)</f>
        <v>0</v>
      </c>
      <c r="BM20" s="79">
        <f t="array" ref="BM20">SUMIFS('Cắt lồng'!$AH$327:$AH$515,'Cắt lồng'!$AA$327:$AA$515,'Cắt lồng'!$AA20,'Cắt lồng'!$AE$327:$AE$515,'Cắt lồng'!BM$4:BM$4)</f>
        <v>0</v>
      </c>
      <c r="BN20" s="78" t="e">
        <f t="shared" si="44"/>
        <v>#DIV/0!</v>
      </c>
      <c r="BO20" s="79">
        <f t="array" ref="BO20">SUMIFS('Cắt lồng'!$AC$327:$AC$515,'Cắt lồng'!$AA$327:$AA$515,'Cắt lồng'!$AA20,'Cắt lồng'!$AE$327:$AE$515,'Cắt lồng'!BO$4:BO$4)</f>
        <v>0</v>
      </c>
      <c r="BP20" s="79">
        <f t="array" ref="BP20">SUMIFS('Cắt lồng'!$AH$327:$AH$515,'Cắt lồng'!$AA$327:$AA$515,'Cắt lồng'!$AA20,'Cắt lồng'!$AE$327:$AE$515,'Cắt lồng'!BP$4:BP$4)</f>
        <v>0</v>
      </c>
      <c r="BQ20" s="78" t="e">
        <f t="shared" si="45"/>
        <v>#DIV/0!</v>
      </c>
      <c r="BR20" s="79">
        <f t="array" ref="BR20">SUMIFS('Cắt lồng'!$AC$327:$AC$515,'Cắt lồng'!$AA$327:$AA$515,'Cắt lồng'!$AA20,'Cắt lồng'!$AE$327:$AE$515,'Cắt lồng'!BR$4:BR$4)</f>
        <v>0</v>
      </c>
      <c r="BS20" s="79">
        <f t="array" ref="BS20">SUMIFS('Cắt lồng'!$AH$327:$AH$515,'Cắt lồng'!$AA$327:$AA$515,'Cắt lồng'!$AA20,'Cắt lồng'!$AE$327:$AE$515,'Cắt lồng'!BS$4:BS$4)</f>
        <v>0</v>
      </c>
      <c r="BT20" s="78" t="e">
        <f t="shared" si="46"/>
        <v>#DIV/0!</v>
      </c>
      <c r="BU20" s="79">
        <f t="array" ref="BU20">SUMIFS('Cắt lồng'!$AC$327:$AC$515,'Cắt lồng'!$AA$327:$AA$515,'Cắt lồng'!$AA20,'Cắt lồng'!$AE$327:$AE$515,'Cắt lồng'!BU$4:BU$4)</f>
        <v>0</v>
      </c>
      <c r="BV20" s="79">
        <f t="array" ref="BV20">SUMIFS('Cắt lồng'!$AH$327:$AH$515,'Cắt lồng'!$AA$327:$AA$515,'Cắt lồng'!$AA20,'Cắt lồng'!$AE$327:$AE$515,'Cắt lồng'!BV$4:BV$4)</f>
        <v>0</v>
      </c>
      <c r="BW20" s="78" t="e">
        <f t="shared" si="47"/>
        <v>#DIV/0!</v>
      </c>
      <c r="BX20" s="79">
        <f t="array" ref="BX20">SUMIFS('Cắt lồng'!$AC$327:$AC$515,'Cắt lồng'!$AA$327:$AA$515,'Cắt lồng'!$AA20,'Cắt lồng'!$AE$327:$AE$515,'Cắt lồng'!BX$4:BX$4)</f>
        <v>0</v>
      </c>
      <c r="BY20" s="79">
        <f t="array" ref="BY20">SUMIFS('Cắt lồng'!$AH$327:$AH$515,'Cắt lồng'!$AA$327:$AA$515,'Cắt lồng'!$AA20,'Cắt lồng'!$AE$327:$AE$515,'Cắt lồng'!BY$4:BY$4)</f>
        <v>0</v>
      </c>
      <c r="BZ20" s="78" t="e">
        <f t="shared" si="48"/>
        <v>#DIV/0!</v>
      </c>
      <c r="CA20" s="79">
        <f t="array" ref="CA20">SUMIFS('Cắt lồng'!$AC$327:$AC$515,'Cắt lồng'!$AA$327:$AA$515,'Cắt lồng'!$AA20,'Cắt lồng'!$AE$327:$AE$515,'Cắt lồng'!CA$4:CA$4)</f>
        <v>0</v>
      </c>
      <c r="CB20" s="79">
        <f t="array" ref="CB20">SUMIFS('Cắt lồng'!$AH$327:$AH$515,'Cắt lồng'!$AA$327:$AA$515,'Cắt lồng'!$AA20,'Cắt lồng'!$AE$327:$AE$515,'Cắt lồng'!CB$4:CB$4)</f>
        <v>0</v>
      </c>
      <c r="CC20" s="78" t="e">
        <f t="shared" si="49"/>
        <v>#DIV/0!</v>
      </c>
      <c r="CD20" s="79">
        <f t="array" ref="CD20">SUMIFS('Cắt lồng'!$AC$327:$AC$515,'Cắt lồng'!$AA$327:$AA$515,'Cắt lồng'!$AA20,'Cắt lồng'!$AE$327:$AE$515,'Cắt lồng'!CD$4:CD$4)</f>
        <v>0</v>
      </c>
      <c r="CE20" s="79">
        <f t="array" ref="CE20">SUMIFS('Cắt lồng'!$AH$327:$AH$515,'Cắt lồng'!$AA$327:$AA$515,'Cắt lồng'!$AA20,'Cắt lồng'!$AE$327:$AE$515,'Cắt lồng'!CE$4:CE$4)</f>
        <v>0</v>
      </c>
      <c r="CF20" s="78" t="e">
        <f t="shared" si="50"/>
        <v>#DIV/0!</v>
      </c>
      <c r="CG20" s="79">
        <f t="array" ref="CG20">SUMIFS('Cắt lồng'!$AC$327:$AC$515,'Cắt lồng'!$AA$327:$AA$515,'Cắt lồng'!$AA20,'Cắt lồng'!$AE$327:$AE$515,'Cắt lồng'!CG$4:CG$4)</f>
        <v>0</v>
      </c>
      <c r="CH20" s="79">
        <f t="array" ref="CH20">SUMIFS('Cắt lồng'!$AH$327:$AH$515,'Cắt lồng'!$AA$327:$AA$515,'Cắt lồng'!$AA20,'Cắt lồng'!$AE$327:$AE$515,'Cắt lồng'!CH$4:CH$4)</f>
        <v>0</v>
      </c>
      <c r="CI20" s="78" t="e">
        <f t="shared" si="51"/>
        <v>#DIV/0!</v>
      </c>
      <c r="CJ20" s="79">
        <f t="array" ref="CJ20">SUMIFS('Cắt lồng'!$AC$327:$AC$515,'Cắt lồng'!$AA$327:$AA$515,'Cắt lồng'!$AA20,'Cắt lồng'!$AE$327:$AE$515,'Cắt lồng'!CJ$4:CJ$4)</f>
        <v>0</v>
      </c>
      <c r="CK20" s="79">
        <f t="array" ref="CK20">SUMIFS('Cắt lồng'!$AH$327:$AH$515,'Cắt lồng'!$AA$327:$AA$515,'Cắt lồng'!$AA20,'Cắt lồng'!$AE$327:$AE$515,'Cắt lồng'!CK$4:CK$4)</f>
        <v>0</v>
      </c>
      <c r="CL20" s="78" t="e">
        <f t="shared" si="52"/>
        <v>#DIV/0!</v>
      </c>
      <c r="CM20" s="79">
        <f t="array" ref="CM20">SUMIFS('Cắt lồng'!$AC$327:$AC$515,'Cắt lồng'!$AA$327:$AA$515,'Cắt lồng'!$AA20,'Cắt lồng'!$AE$327:$AE$515,'Cắt lồng'!CM$4:CM$4)</f>
        <v>0</v>
      </c>
      <c r="CN20" s="79">
        <f t="array" ref="CN20">SUMIFS('Cắt lồng'!$AH$327:$AH$515,'Cắt lồng'!$AA$327:$AA$515,'Cắt lồng'!$AA20,'Cắt lồng'!$AE$327:$AE$515,'Cắt lồng'!CN$4:CN$4)</f>
        <v>0</v>
      </c>
      <c r="CO20" s="78" t="e">
        <f t="shared" si="53"/>
        <v>#DIV/0!</v>
      </c>
      <c r="CP20" s="79">
        <f t="array" ref="CP20">SUMIFS('Cắt lồng'!$AC$327:$AC$515,'Cắt lồng'!$AA$327:$AA$515,'Cắt lồng'!$AA20,'Cắt lồng'!$AE$327:$AE$515,'Cắt lồng'!CP$4:CP$4)</f>
        <v>0</v>
      </c>
      <c r="CQ20" s="79">
        <f t="array" ref="CQ20">SUMIFS('Cắt lồng'!$AH$327:$AH$515,'Cắt lồng'!$AA$327:$AA$515,'Cắt lồng'!$AA20,'Cắt lồng'!$AE$327:$AE$515,'Cắt lồng'!CQ$4:CQ$4)</f>
        <v>0</v>
      </c>
      <c r="CR20" s="78" t="e">
        <f t="shared" si="54"/>
        <v>#DIV/0!</v>
      </c>
      <c r="CS20" s="79">
        <f t="array" ref="CS20">SUMIFS('Cắt lồng'!$AC$327:$AC$515,'Cắt lồng'!$AA$327:$AA$515,'Cắt lồng'!$AA20,'Cắt lồng'!$AE$327:$AE$515,'Cắt lồng'!CS$4:CS$4)</f>
        <v>0</v>
      </c>
      <c r="CT20" s="79">
        <f t="array" ref="CT20">SUMIFS('Cắt lồng'!$AH$327:$AH$515,'Cắt lồng'!$AA$327:$AA$515,'Cắt lồng'!$AA20,'Cắt lồng'!$AE$327:$AE$515,'Cắt lồng'!CT$4:CT$4)</f>
        <v>0</v>
      </c>
      <c r="CU20" s="78" t="e">
        <f t="shared" si="55"/>
        <v>#DIV/0!</v>
      </c>
      <c r="CV20" s="79">
        <f t="array" ref="CV20">SUMIFS('Cắt lồng'!$AC$327:$AC$515,'Cắt lồng'!$AA$327:$AA$515,'Cắt lồng'!$AA20,'Cắt lồng'!$AE$327:$AE$515,'Cắt lồng'!CV$4:CV$4)</f>
        <v>0</v>
      </c>
      <c r="CW20" s="79">
        <f t="array" ref="CW20">SUMIFS('Cắt lồng'!$AH$327:$AH$515,'Cắt lồng'!$AA$327:$AA$515,'Cắt lồng'!$AA20,'Cắt lồng'!$AE$327:$AE$515,'Cắt lồng'!CW$4:CW$4)</f>
        <v>0</v>
      </c>
      <c r="CX20" s="78" t="e">
        <f t="shared" si="56"/>
        <v>#DIV/0!</v>
      </c>
      <c r="CY20" s="79">
        <f t="array" ref="CY20">SUMIFS('Cắt lồng'!$AC$327:$AC$515,'Cắt lồng'!$AA$327:$AA$515,'Cắt lồng'!$AA20,'Cắt lồng'!$AE$327:$AE$515,'Cắt lồng'!CY$4:CY$4)</f>
        <v>0</v>
      </c>
      <c r="CZ20" s="79">
        <f t="array" ref="CZ20">SUMIFS('Cắt lồng'!$AH$327:$AH$515,'Cắt lồng'!$AA$327:$AA$515,'Cắt lồng'!$AA20,'Cắt lồng'!$AE$327:$AE$515,'Cắt lồng'!CZ$4:CZ$4)</f>
        <v>0</v>
      </c>
      <c r="DA20" s="78" t="e">
        <f t="shared" si="57"/>
        <v>#DIV/0!</v>
      </c>
      <c r="DB20" s="79">
        <f t="array" ref="DB20">SUMIFS('Cắt lồng'!$AC$327:$AC$515,'Cắt lồng'!$AA$327:$AA$515,'Cắt lồng'!$AA20,'Cắt lồng'!$AE$327:$AE$515,'Cắt lồng'!DB$4:DB$4)</f>
        <v>0</v>
      </c>
      <c r="DC20" s="79">
        <f t="array" ref="DC20">SUMIFS('Cắt lồng'!$AH$327:$AH$515,'Cắt lồng'!$AA$327:$AA$515,'Cắt lồng'!$AA20,'Cắt lồng'!$AE$327:$AE$515,'Cắt lồng'!DC$4:DC$4)</f>
        <v>0</v>
      </c>
      <c r="DD20" s="78" t="e">
        <f t="shared" si="58"/>
        <v>#DIV/0!</v>
      </c>
      <c r="DE20" s="79">
        <f t="array" ref="DE20">SUMIFS('Cắt lồng'!$AC$327:$AC$515,'Cắt lồng'!$AA$327:$AA$515,'Cắt lồng'!$AA20,'Cắt lồng'!$AE$327:$AE$515,'Cắt lồng'!DE$4:DE$4)</f>
        <v>0</v>
      </c>
      <c r="DF20" s="79">
        <f t="array" ref="DF20">SUMIFS('Cắt lồng'!$AH$327:$AH$515,'Cắt lồng'!$AA$327:$AA$515,'Cắt lồng'!$AA20,'Cắt lồng'!$AE$327:$AE$515,'Cắt lồng'!DF$4:DF$4)</f>
        <v>0</v>
      </c>
      <c r="DG20" s="78" t="e">
        <f t="shared" si="59"/>
        <v>#DIV/0!</v>
      </c>
      <c r="DH20" s="79">
        <f t="array" ref="DH20">SUMIFS('Cắt lồng'!$AC$327:$AC$515,'Cắt lồng'!$AA$327:$AA$515,'Cắt lồng'!$AA20,'Cắt lồng'!$AE$327:$AE$515,'Cắt lồng'!DH$4:DH$4)</f>
        <v>0</v>
      </c>
      <c r="DI20" s="79">
        <f t="array" ref="DI20">SUMIFS('Cắt lồng'!$AH$327:$AH$515,'Cắt lồng'!$AA$327:$AA$515,'Cắt lồng'!$AA20,'Cắt lồng'!$AE$327:$AE$515,'Cắt lồng'!DI$4:DI$4)</f>
        <v>0</v>
      </c>
      <c r="DJ20" s="78" t="e">
        <f t="shared" si="60"/>
        <v>#DIV/0!</v>
      </c>
      <c r="DK20" s="79">
        <f t="array" ref="DK20">SUMIFS('Cắt lồng'!$AC$327:$AC$515,'Cắt lồng'!$AA$327:$AA$515,'Cắt lồng'!$AA20,'Cắt lồng'!$AE$327:$AE$515,'Cắt lồng'!DK$4:DK$4)</f>
        <v>0</v>
      </c>
      <c r="DL20" s="79">
        <f t="array" ref="DL20">SUMIFS('Cắt lồng'!$AH$327:$AH$515,'Cắt lồng'!$AA$327:$AA$515,'Cắt lồng'!$AA20,'Cắt lồng'!$AE$327:$AE$515,'Cắt lồng'!DL$4:DL$4)</f>
        <v>0</v>
      </c>
      <c r="DM20" s="78" t="e">
        <f t="shared" si="61"/>
        <v>#DIV/0!</v>
      </c>
      <c r="DN20" s="79">
        <f>SUMIFS('Cắt lồng'!$AC$327:$AC$515,'Cắt lồng'!$AA$327:$AA$515,'Cắt lồng'!$AA20,'Cắt lồng'!$AE$327:$AE$515,'Cắt lồng'!DN$4:DN$4)</f>
        <v>0</v>
      </c>
      <c r="DO20" s="79">
        <f t="array" ref="DO20">SUMIFS('Cắt lồng'!$AH$327:$AH$515,'Cắt lồng'!$AA$327:$AA$515,'Cắt lồng'!$AA20,'Cắt lồng'!$AE$327:$AE$515,'Cắt lồng'!DO$4:DO$4)</f>
        <v>0</v>
      </c>
      <c r="DP20" s="78" t="e">
        <f t="shared" si="62"/>
        <v>#DIV/0!</v>
      </c>
      <c r="DQ20" s="79">
        <f t="array" ref="DQ20">SUMIFS('Cắt lồng'!$AC$327:$AC$515,'Cắt lồng'!$AA$327:$AA$515,'Cắt lồng'!$AA20,'Cắt lồng'!$AE$327:$AE$515,'Cắt lồng'!DQ$4:DQ$4)</f>
        <v>0</v>
      </c>
      <c r="DR20" s="79">
        <f t="array" ref="DR20">SUMIFS('Cắt lồng'!$AH$327:$AH$515,'Cắt lồng'!$AA$327:$AA$515,'Cắt lồng'!$AA20,'Cắt lồng'!$AE$327:$AE$515,'Cắt lồng'!DR$4:DR$4)</f>
        <v>0</v>
      </c>
      <c r="DS20" s="78" t="e">
        <f t="shared" si="63"/>
        <v>#DIV/0!</v>
      </c>
      <c r="DT20" s="79">
        <f t="array" ref="DT20">SUMIFS('Cắt lồng'!$AC$327:$AC$515,'Cắt lồng'!$AA$327:$AA$515,'Cắt lồng'!$AA20,'Cắt lồng'!$AE$327:$AE$515,'Cắt lồng'!DT$4:DT$4)</f>
        <v>0</v>
      </c>
      <c r="DU20" s="79">
        <f t="array" ref="DU20">SUMIFS('Cắt lồng'!$AH$327:$AH$515,'Cắt lồng'!$AA$327:$AA$515,'Cắt lồng'!$AA20,'Cắt lồng'!$AE$327:$AE$515,'Cắt lồng'!DU$4:DU$4)</f>
        <v>0</v>
      </c>
      <c r="DV20" s="78" t="e">
        <f t="shared" si="64"/>
        <v>#DIV/0!</v>
      </c>
      <c r="DW20" s="79">
        <f t="array" ref="DW20">SUMIFS('Cắt lồng'!$AC$327:$AC$515,'Cắt lồng'!$AA$327:$AA$515,'Cắt lồng'!$AA20,'Cắt lồng'!$AE$327:$AE$515,'Cắt lồng'!DW$4:DW$4)</f>
        <v>0</v>
      </c>
      <c r="DX20" s="79">
        <f t="array" ref="DX20">SUMIFS('Cắt lồng'!$AH$327:$AH$515,'Cắt lồng'!$AA$327:$AA$515,'Cắt lồng'!$AA20,'Cắt lồng'!$AE$327:$AE$515,'Cắt lồng'!DX$4:DX$4)</f>
        <v>0</v>
      </c>
      <c r="DY20" s="78" t="e">
        <f t="shared" si="65"/>
        <v>#DIV/0!</v>
      </c>
      <c r="DZ20" s="79">
        <f t="array" ref="DZ20">SUMIFS('Cắt lồng'!$AC$327:$AC$515,'Cắt lồng'!$AA$327:$AA$515,'Cắt lồng'!$AA20,'Cắt lồng'!$AE$327:$AE$515,'Cắt lồng'!DZ$4:DZ$4)</f>
        <v>0</v>
      </c>
      <c r="EA20" s="79">
        <f t="array" ref="EA20">SUMIFS('Cắt lồng'!$AH$327:$AH$515,'Cắt lồng'!$AA$327:$AA$515,'Cắt lồng'!$AA20,'Cắt lồng'!$AE$327:$AE$515,'Cắt lồng'!EA$4:EA$4)</f>
        <v>0</v>
      </c>
      <c r="EB20" s="78" t="e">
        <f t="shared" si="66"/>
        <v>#DIV/0!</v>
      </c>
      <c r="EC20" s="79">
        <f t="array" ref="EC20">SUMIFS('Cắt lồng'!$AC$327:$AC$515,'Cắt lồng'!$AA$327:$AA$515,'Cắt lồng'!$AA20,'Cắt lồng'!$AE$327:$AE$515,'Cắt lồng'!EC$4:EC$4)</f>
        <v>0</v>
      </c>
      <c r="ED20" s="79">
        <f t="array" ref="ED20">SUMIFS('Cắt lồng'!$AH$327:$AH$515,'Cắt lồng'!$AA$327:$AA$515,'Cắt lồng'!$AA20,'Cắt lồng'!$AE$327:$AE$515,'Cắt lồng'!ED$4:ED$4)</f>
        <v>0</v>
      </c>
      <c r="EE20" s="78" t="e">
        <f t="shared" si="67"/>
        <v>#DIV/0!</v>
      </c>
      <c r="EF20" s="79">
        <f t="array" ref="EF20">SUMIFS('Cắt lồng'!$AC$327:$AC$515,'Cắt lồng'!$AA$327:$AA$515,'Cắt lồng'!$AA20,'Cắt lồng'!$AE$327:$AE$515,'Cắt lồng'!EF$4:EF$4)</f>
        <v>0</v>
      </c>
      <c r="EG20" s="79">
        <f t="array" ref="EG20">SUMIFS('Cắt lồng'!$AH$327:$AH$515,'Cắt lồng'!$AA$327:$AA$515,'Cắt lồng'!$AA20,'Cắt lồng'!$AE$327:$AE$515,'Cắt lồng'!EG$4:EG$4)</f>
        <v>0</v>
      </c>
      <c r="EH20" s="78" t="e">
        <f t="shared" si="68"/>
        <v>#DIV/0!</v>
      </c>
      <c r="EI20" s="79">
        <f t="array" ref="EI20">SUMIFS('Cắt lồng'!$AC$327:$AC$515,'Cắt lồng'!$AA$327:$AA$515,'Cắt lồng'!$AA20,'Cắt lồng'!$AE$327:$AE$515,'Cắt lồng'!EI$4:EI$4)</f>
        <v>0</v>
      </c>
      <c r="EJ20" s="79">
        <f t="array" ref="EJ20">SUMIFS('Cắt lồng'!$AH$327:$AH$515,'Cắt lồng'!$AA$327:$AA$515,'Cắt lồng'!$AA20,'Cắt lồng'!$AE$327:$AE$515,'Cắt lồng'!EJ$4:EJ$4)</f>
        <v>0</v>
      </c>
      <c r="EK20" s="78" t="e">
        <f t="shared" si="69"/>
        <v>#DIV/0!</v>
      </c>
    </row>
    <row r="21" spans="1:141" s="12" customFormat="1" ht="14.25" hidden="1" customHeight="1">
      <c r="A21" s="25">
        <v>16</v>
      </c>
      <c r="B21" s="26">
        <v>1657</v>
      </c>
      <c r="C21" s="202" t="s">
        <v>269</v>
      </c>
      <c r="D21" s="201">
        <f t="shared" si="71"/>
        <v>0</v>
      </c>
      <c r="E21" s="200">
        <f t="shared" si="71"/>
        <v>0</v>
      </c>
      <c r="F21" s="199"/>
      <c r="G21" s="82">
        <f t="shared" si="1"/>
        <v>0</v>
      </c>
      <c r="H21" s="81">
        <f t="shared" si="2"/>
        <v>0</v>
      </c>
      <c r="I21" s="19">
        <f t="shared" si="3"/>
        <v>0</v>
      </c>
      <c r="J21" s="11">
        <f t="shared" si="4"/>
        <v>0</v>
      </c>
      <c r="K21" s="19">
        <f t="shared" si="5"/>
        <v>0</v>
      </c>
      <c r="L21" s="19">
        <f t="shared" si="6"/>
        <v>0</v>
      </c>
      <c r="M21" s="19">
        <f t="shared" si="7"/>
        <v>0</v>
      </c>
      <c r="N21" s="19">
        <f t="shared" si="8"/>
        <v>0</v>
      </c>
      <c r="O21" s="19">
        <f t="shared" si="9"/>
        <v>0</v>
      </c>
      <c r="P21" s="19">
        <f t="shared" si="10"/>
        <v>0</v>
      </c>
      <c r="Q21" s="19">
        <f t="shared" si="11"/>
        <v>0</v>
      </c>
      <c r="R21" s="19">
        <f t="shared" si="12"/>
        <v>0</v>
      </c>
      <c r="S21" s="19">
        <f t="shared" si="13"/>
        <v>0</v>
      </c>
      <c r="T21" s="19">
        <f t="shared" si="14"/>
        <v>0</v>
      </c>
      <c r="U21" s="19">
        <f t="shared" si="15"/>
        <v>0</v>
      </c>
      <c r="V21" s="19">
        <f t="shared" si="16"/>
        <v>0</v>
      </c>
      <c r="W21" s="19">
        <f t="shared" si="17"/>
        <v>0</v>
      </c>
      <c r="X21" s="19">
        <f t="shared" si="18"/>
        <v>0</v>
      </c>
      <c r="Y21" s="19">
        <f t="shared" si="19"/>
        <v>0</v>
      </c>
      <c r="Z21" s="19">
        <f t="shared" si="20"/>
        <v>0</v>
      </c>
      <c r="AA21" s="20" t="s">
        <v>268</v>
      </c>
      <c r="AB21" s="129">
        <f t="shared" si="21"/>
        <v>0</v>
      </c>
      <c r="AC21" s="129">
        <f t="shared" si="22"/>
        <v>0</v>
      </c>
      <c r="AD21" s="128" t="e">
        <f t="shared" si="23"/>
        <v>#DIV/0!</v>
      </c>
      <c r="AE21" s="42"/>
      <c r="AF21" s="127" t="e">
        <f t="shared" si="24"/>
        <v>#DIV/0!</v>
      </c>
      <c r="AG21" s="127"/>
      <c r="AH21" s="127">
        <f t="shared" si="25"/>
        <v>0</v>
      </c>
      <c r="AI21" s="54" t="e">
        <f t="shared" si="26"/>
        <v>#DIV/0!</v>
      </c>
      <c r="AJ21" s="25">
        <f t="shared" si="27"/>
        <v>0</v>
      </c>
      <c r="AK21" s="25">
        <f t="shared" si="28"/>
        <v>0</v>
      </c>
      <c r="AL21" s="25">
        <f t="shared" si="29"/>
        <v>0</v>
      </c>
      <c r="AM21" s="20">
        <f t="shared" si="30"/>
        <v>0</v>
      </c>
      <c r="AN21" s="20">
        <f t="shared" si="31"/>
        <v>0</v>
      </c>
      <c r="AO21" s="20">
        <f t="shared" si="32"/>
        <v>0</v>
      </c>
      <c r="AP21" s="20">
        <f t="shared" si="33"/>
        <v>0</v>
      </c>
      <c r="AQ21" s="20">
        <f t="shared" si="34"/>
        <v>0</v>
      </c>
      <c r="AR21" s="20">
        <f t="shared" si="35"/>
        <v>0</v>
      </c>
      <c r="AS21" s="20">
        <f t="shared" si="36"/>
        <v>0</v>
      </c>
      <c r="AT21" s="20">
        <f t="shared" si="37"/>
        <v>0</v>
      </c>
      <c r="AV21" s="79">
        <f t="shared" si="38"/>
        <v>0</v>
      </c>
      <c r="AW21" s="79">
        <f t="array" ref="AW21">SUMIFS('Cắt lồng'!$AC$327:$AC$515,'Cắt lồng'!$AA$327:$AA$515,'Cắt lồng'!$AA21,'Cắt lồng'!$AE$327:$AE$515,'Cắt lồng'!AW$4:AW$4)</f>
        <v>0</v>
      </c>
      <c r="AX21" s="79">
        <f t="array" ref="AX21">SUMIFS('Cắt lồng'!$AH$327:$AH$515,'Cắt lồng'!$AA$327:$AA$515,'Cắt lồng'!$AA21,'Cắt lồng'!$AE$327:$AE$515,'Cắt lồng'!AX$4:AX$4)</f>
        <v>0</v>
      </c>
      <c r="AY21" s="78" t="e">
        <f t="shared" si="39"/>
        <v>#DIV/0!</v>
      </c>
      <c r="AZ21" s="79">
        <f t="array" ref="AZ21">SUMIFS('Cắt lồng'!$AC$327:$AC$515,'Cắt lồng'!$AA$327:$AA$515,'Cắt lồng'!$AA21,'Cắt lồng'!$AE$327:$AE$515,'Cắt lồng'!AZ$4:AZ$4)</f>
        <v>0</v>
      </c>
      <c r="BA21" s="79">
        <f t="array" ref="BA21">SUMIFS('Cắt lồng'!$AH$327:$AH$515,'Cắt lồng'!$AA$327:$AA$515,'Cắt lồng'!$AA21,'Cắt lồng'!$AE$327:$AE$515,'Cắt lồng'!BA$4:BA$4)</f>
        <v>0</v>
      </c>
      <c r="BB21" s="78" t="e">
        <f t="shared" si="40"/>
        <v>#DIV/0!</v>
      </c>
      <c r="BC21" s="79">
        <f t="array" ref="BC21">SUMIFS('Cắt lồng'!$AC$327:$AC$515,'Cắt lồng'!$AA$327:$AA$515,'Cắt lồng'!$AA21,'Cắt lồng'!$AE$327:$AE$515,'Cắt lồng'!BC$4:BC$4)</f>
        <v>0</v>
      </c>
      <c r="BD21" s="79">
        <f t="array" ref="BD21">SUMIFS('Cắt lồng'!$AH$327:$AH$515,'Cắt lồng'!$AA$327:$AA$515,'Cắt lồng'!$AA21,'Cắt lồng'!$AE$327:$AE$515,'Cắt lồng'!BD$4:BD$4)</f>
        <v>0</v>
      </c>
      <c r="BE21" s="78" t="e">
        <f t="shared" si="41"/>
        <v>#DIV/0!</v>
      </c>
      <c r="BF21" s="79">
        <f t="array" ref="BF21">SUMIFS('Cắt lồng'!$AC$327:$AC$515,'Cắt lồng'!$AA$327:$AA$515,'Cắt lồng'!$AA21,'Cắt lồng'!$AE$327:$AE$515,'Cắt lồng'!BF$4:BF$4)</f>
        <v>0</v>
      </c>
      <c r="BG21" s="79">
        <f t="array" ref="BG21">SUMIFS('Cắt lồng'!$AH$327:$AH$515,'Cắt lồng'!$AA$327:$AA$515,'Cắt lồng'!$AA21,'Cắt lồng'!$AE$327:$AE$515,'Cắt lồng'!BG$4:BG$4)</f>
        <v>0</v>
      </c>
      <c r="BH21" s="78" t="e">
        <f t="shared" si="42"/>
        <v>#DIV/0!</v>
      </c>
      <c r="BI21" s="79">
        <f t="array" ref="BI21">SUMIFS('Cắt lồng'!$AC$327:$AC$515,'Cắt lồng'!$AA$327:$AA$515,'Cắt lồng'!$AA21,'Cắt lồng'!$AE$327:$AE$515,'Cắt lồng'!BI$4:BI$4)</f>
        <v>0</v>
      </c>
      <c r="BJ21" s="79">
        <f t="array" ref="BJ21">SUMIFS('Cắt lồng'!$AH$327:$AH$515,'Cắt lồng'!$AA$327:$AA$515,'Cắt lồng'!$AA21,'Cắt lồng'!$AE$327:$AE$515,'Cắt lồng'!BJ$4:BJ$4)</f>
        <v>0</v>
      </c>
      <c r="BK21" s="78" t="e">
        <f t="shared" si="43"/>
        <v>#DIV/0!</v>
      </c>
      <c r="BL21" s="79">
        <f t="array" ref="BL21">SUMIFS('Cắt lồng'!$AC$327:$AC$515,'Cắt lồng'!$AA$327:$AA$515,'Cắt lồng'!$AA21,'Cắt lồng'!$AE$327:$AE$515,'Cắt lồng'!BL$4:BL$4)</f>
        <v>0</v>
      </c>
      <c r="BM21" s="79">
        <f t="array" ref="BM21">SUMIFS('Cắt lồng'!$AH$327:$AH$515,'Cắt lồng'!$AA$327:$AA$515,'Cắt lồng'!$AA21,'Cắt lồng'!$AE$327:$AE$515,'Cắt lồng'!BM$4:BM$4)</f>
        <v>0</v>
      </c>
      <c r="BN21" s="78" t="e">
        <f t="shared" si="44"/>
        <v>#DIV/0!</v>
      </c>
      <c r="BO21" s="79">
        <f t="array" ref="BO21">SUMIFS('Cắt lồng'!$AC$327:$AC$515,'Cắt lồng'!$AA$327:$AA$515,'Cắt lồng'!$AA21,'Cắt lồng'!$AE$327:$AE$515,'Cắt lồng'!BO$4:BO$4)</f>
        <v>0</v>
      </c>
      <c r="BP21" s="79">
        <f t="array" ref="BP21">SUMIFS('Cắt lồng'!$AH$327:$AH$515,'Cắt lồng'!$AA$327:$AA$515,'Cắt lồng'!$AA21,'Cắt lồng'!$AE$327:$AE$515,'Cắt lồng'!BP$4:BP$4)</f>
        <v>0</v>
      </c>
      <c r="BQ21" s="78" t="e">
        <f t="shared" si="45"/>
        <v>#DIV/0!</v>
      </c>
      <c r="BR21" s="79">
        <f t="array" ref="BR21">SUMIFS('Cắt lồng'!$AC$327:$AC$515,'Cắt lồng'!$AA$327:$AA$515,'Cắt lồng'!$AA21,'Cắt lồng'!$AE$327:$AE$515,'Cắt lồng'!BR$4:BR$4)</f>
        <v>0</v>
      </c>
      <c r="BS21" s="79">
        <f t="array" ref="BS21">SUMIFS('Cắt lồng'!$AH$327:$AH$515,'Cắt lồng'!$AA$327:$AA$515,'Cắt lồng'!$AA21,'Cắt lồng'!$AE$327:$AE$515,'Cắt lồng'!BS$4:BS$4)</f>
        <v>0</v>
      </c>
      <c r="BT21" s="78" t="e">
        <f t="shared" si="46"/>
        <v>#DIV/0!</v>
      </c>
      <c r="BU21" s="79">
        <f t="array" ref="BU21">SUMIFS('Cắt lồng'!$AC$327:$AC$515,'Cắt lồng'!$AA$327:$AA$515,'Cắt lồng'!$AA21,'Cắt lồng'!$AE$327:$AE$515,'Cắt lồng'!BU$4:BU$4)</f>
        <v>0</v>
      </c>
      <c r="BV21" s="79">
        <f t="array" ref="BV21">SUMIFS('Cắt lồng'!$AH$327:$AH$515,'Cắt lồng'!$AA$327:$AA$515,'Cắt lồng'!$AA21,'Cắt lồng'!$AE$327:$AE$515,'Cắt lồng'!BV$4:BV$4)</f>
        <v>0</v>
      </c>
      <c r="BW21" s="78" t="e">
        <f t="shared" si="47"/>
        <v>#DIV/0!</v>
      </c>
      <c r="BX21" s="79">
        <f t="array" ref="BX21">SUMIFS('Cắt lồng'!$AC$327:$AC$515,'Cắt lồng'!$AA$327:$AA$515,'Cắt lồng'!$AA21,'Cắt lồng'!$AE$327:$AE$515,'Cắt lồng'!BX$4:BX$4)</f>
        <v>0</v>
      </c>
      <c r="BY21" s="79">
        <f t="array" ref="BY21">SUMIFS('Cắt lồng'!$AH$327:$AH$515,'Cắt lồng'!$AA$327:$AA$515,'Cắt lồng'!$AA21,'Cắt lồng'!$AE$327:$AE$515,'Cắt lồng'!BY$4:BY$4)</f>
        <v>0</v>
      </c>
      <c r="BZ21" s="78" t="e">
        <f t="shared" si="48"/>
        <v>#DIV/0!</v>
      </c>
      <c r="CA21" s="79">
        <f t="array" ref="CA21">SUMIFS('Cắt lồng'!$AC$327:$AC$515,'Cắt lồng'!$AA$327:$AA$515,'Cắt lồng'!$AA21,'Cắt lồng'!$AE$327:$AE$515,'Cắt lồng'!CA$4:CA$4)</f>
        <v>0</v>
      </c>
      <c r="CB21" s="79">
        <f t="array" ref="CB21">SUMIFS('Cắt lồng'!$AH$327:$AH$515,'Cắt lồng'!$AA$327:$AA$515,'Cắt lồng'!$AA21,'Cắt lồng'!$AE$327:$AE$515,'Cắt lồng'!CB$4:CB$4)</f>
        <v>0</v>
      </c>
      <c r="CC21" s="78" t="e">
        <f t="shared" si="49"/>
        <v>#DIV/0!</v>
      </c>
      <c r="CD21" s="79">
        <f t="array" ref="CD21">SUMIFS('Cắt lồng'!$AC$327:$AC$515,'Cắt lồng'!$AA$327:$AA$515,'Cắt lồng'!$AA21,'Cắt lồng'!$AE$327:$AE$515,'Cắt lồng'!CD$4:CD$4)</f>
        <v>0</v>
      </c>
      <c r="CE21" s="79">
        <f t="array" ref="CE21">SUMIFS('Cắt lồng'!$AH$327:$AH$515,'Cắt lồng'!$AA$327:$AA$515,'Cắt lồng'!$AA21,'Cắt lồng'!$AE$327:$AE$515,'Cắt lồng'!CE$4:CE$4)</f>
        <v>0</v>
      </c>
      <c r="CF21" s="78" t="e">
        <f t="shared" si="50"/>
        <v>#DIV/0!</v>
      </c>
      <c r="CG21" s="79">
        <f t="array" ref="CG21">SUMIFS('Cắt lồng'!$AC$327:$AC$515,'Cắt lồng'!$AA$327:$AA$515,'Cắt lồng'!$AA21,'Cắt lồng'!$AE$327:$AE$515,'Cắt lồng'!CG$4:CG$4)</f>
        <v>0</v>
      </c>
      <c r="CH21" s="79">
        <f t="array" ref="CH21">SUMIFS('Cắt lồng'!$AH$327:$AH$515,'Cắt lồng'!$AA$327:$AA$515,'Cắt lồng'!$AA21,'Cắt lồng'!$AE$327:$AE$515,'Cắt lồng'!CH$4:CH$4)</f>
        <v>0</v>
      </c>
      <c r="CI21" s="78" t="e">
        <f t="shared" si="51"/>
        <v>#DIV/0!</v>
      </c>
      <c r="CJ21" s="79">
        <f t="array" ref="CJ21">SUMIFS('Cắt lồng'!$AC$327:$AC$515,'Cắt lồng'!$AA$327:$AA$515,'Cắt lồng'!$AA21,'Cắt lồng'!$AE$327:$AE$515,'Cắt lồng'!CJ$4:CJ$4)</f>
        <v>0</v>
      </c>
      <c r="CK21" s="79">
        <f t="array" ref="CK21">SUMIFS('Cắt lồng'!$AH$327:$AH$515,'Cắt lồng'!$AA$327:$AA$515,'Cắt lồng'!$AA21,'Cắt lồng'!$AE$327:$AE$515,'Cắt lồng'!CK$4:CK$4)</f>
        <v>0</v>
      </c>
      <c r="CL21" s="78" t="e">
        <f t="shared" si="52"/>
        <v>#DIV/0!</v>
      </c>
      <c r="CM21" s="79">
        <f t="array" ref="CM21">SUMIFS('Cắt lồng'!$AC$327:$AC$515,'Cắt lồng'!$AA$327:$AA$515,'Cắt lồng'!$AA21,'Cắt lồng'!$AE$327:$AE$515,'Cắt lồng'!CM$4:CM$4)</f>
        <v>0</v>
      </c>
      <c r="CN21" s="79">
        <f t="array" ref="CN21">SUMIFS('Cắt lồng'!$AH$327:$AH$515,'Cắt lồng'!$AA$327:$AA$515,'Cắt lồng'!$AA21,'Cắt lồng'!$AE$327:$AE$515,'Cắt lồng'!CN$4:CN$4)</f>
        <v>0</v>
      </c>
      <c r="CO21" s="78" t="e">
        <f t="shared" si="53"/>
        <v>#DIV/0!</v>
      </c>
      <c r="CP21" s="79">
        <f t="array" ref="CP21">SUMIFS('Cắt lồng'!$AC$327:$AC$515,'Cắt lồng'!$AA$327:$AA$515,'Cắt lồng'!$AA21,'Cắt lồng'!$AE$327:$AE$515,'Cắt lồng'!CP$4:CP$4)</f>
        <v>0</v>
      </c>
      <c r="CQ21" s="79">
        <f t="array" ref="CQ21">SUMIFS('Cắt lồng'!$AH$327:$AH$515,'Cắt lồng'!$AA$327:$AA$515,'Cắt lồng'!$AA21,'Cắt lồng'!$AE$327:$AE$515,'Cắt lồng'!CQ$4:CQ$4)</f>
        <v>0</v>
      </c>
      <c r="CR21" s="78" t="e">
        <f t="shared" si="54"/>
        <v>#DIV/0!</v>
      </c>
      <c r="CS21" s="79">
        <f t="array" ref="CS21">SUMIFS('Cắt lồng'!$AC$327:$AC$515,'Cắt lồng'!$AA$327:$AA$515,'Cắt lồng'!$AA21,'Cắt lồng'!$AE$327:$AE$515,'Cắt lồng'!CS$4:CS$4)</f>
        <v>0</v>
      </c>
      <c r="CT21" s="79">
        <f t="array" ref="CT21">SUMIFS('Cắt lồng'!$AH$327:$AH$515,'Cắt lồng'!$AA$327:$AA$515,'Cắt lồng'!$AA21,'Cắt lồng'!$AE$327:$AE$515,'Cắt lồng'!CT$4:CT$4)</f>
        <v>0</v>
      </c>
      <c r="CU21" s="78" t="e">
        <f t="shared" si="55"/>
        <v>#DIV/0!</v>
      </c>
      <c r="CV21" s="79">
        <f t="array" ref="CV21">SUMIFS('Cắt lồng'!$AC$327:$AC$515,'Cắt lồng'!$AA$327:$AA$515,'Cắt lồng'!$AA21,'Cắt lồng'!$AE$327:$AE$515,'Cắt lồng'!CV$4:CV$4)</f>
        <v>0</v>
      </c>
      <c r="CW21" s="79">
        <f t="array" ref="CW21">SUMIFS('Cắt lồng'!$AH$327:$AH$515,'Cắt lồng'!$AA$327:$AA$515,'Cắt lồng'!$AA21,'Cắt lồng'!$AE$327:$AE$515,'Cắt lồng'!CW$4:CW$4)</f>
        <v>0</v>
      </c>
      <c r="CX21" s="78" t="e">
        <f t="shared" si="56"/>
        <v>#DIV/0!</v>
      </c>
      <c r="CY21" s="79">
        <f t="array" ref="CY21">SUMIFS('Cắt lồng'!$AC$327:$AC$515,'Cắt lồng'!$AA$327:$AA$515,'Cắt lồng'!$AA21,'Cắt lồng'!$AE$327:$AE$515,'Cắt lồng'!CY$4:CY$4)</f>
        <v>0</v>
      </c>
      <c r="CZ21" s="79">
        <f t="array" ref="CZ21">SUMIFS('Cắt lồng'!$AH$327:$AH$515,'Cắt lồng'!$AA$327:$AA$515,'Cắt lồng'!$AA21,'Cắt lồng'!$AE$327:$AE$515,'Cắt lồng'!CZ$4:CZ$4)</f>
        <v>0</v>
      </c>
      <c r="DA21" s="78" t="e">
        <f t="shared" si="57"/>
        <v>#DIV/0!</v>
      </c>
      <c r="DB21" s="79">
        <f t="array" ref="DB21">SUMIFS('Cắt lồng'!$AC$327:$AC$515,'Cắt lồng'!$AA$327:$AA$515,'Cắt lồng'!$AA21,'Cắt lồng'!$AE$327:$AE$515,'Cắt lồng'!DB$4:DB$4)</f>
        <v>0</v>
      </c>
      <c r="DC21" s="79">
        <f t="array" ref="DC21">SUMIFS('Cắt lồng'!$AH$327:$AH$515,'Cắt lồng'!$AA$327:$AA$515,'Cắt lồng'!$AA21,'Cắt lồng'!$AE$327:$AE$515,'Cắt lồng'!DC$4:DC$4)</f>
        <v>0</v>
      </c>
      <c r="DD21" s="78" t="e">
        <f t="shared" si="58"/>
        <v>#DIV/0!</v>
      </c>
      <c r="DE21" s="79">
        <f t="array" ref="DE21">SUMIFS('Cắt lồng'!$AC$327:$AC$515,'Cắt lồng'!$AA$327:$AA$515,'Cắt lồng'!$AA21,'Cắt lồng'!$AE$327:$AE$515,'Cắt lồng'!DE$4:DE$4)</f>
        <v>0</v>
      </c>
      <c r="DF21" s="79">
        <f t="array" ref="DF21">SUMIFS('Cắt lồng'!$AH$327:$AH$515,'Cắt lồng'!$AA$327:$AA$515,'Cắt lồng'!$AA21,'Cắt lồng'!$AE$327:$AE$515,'Cắt lồng'!DF$4:DF$4)</f>
        <v>0</v>
      </c>
      <c r="DG21" s="78" t="e">
        <f t="shared" si="59"/>
        <v>#DIV/0!</v>
      </c>
      <c r="DH21" s="79">
        <f t="array" ref="DH21">SUMIFS('Cắt lồng'!$AC$327:$AC$515,'Cắt lồng'!$AA$327:$AA$515,'Cắt lồng'!$AA21,'Cắt lồng'!$AE$327:$AE$515,'Cắt lồng'!DH$4:DH$4)</f>
        <v>0</v>
      </c>
      <c r="DI21" s="79">
        <f t="array" ref="DI21">SUMIFS('Cắt lồng'!$AH$327:$AH$515,'Cắt lồng'!$AA$327:$AA$515,'Cắt lồng'!$AA21,'Cắt lồng'!$AE$327:$AE$515,'Cắt lồng'!DI$4:DI$4)</f>
        <v>0</v>
      </c>
      <c r="DJ21" s="78" t="e">
        <f t="shared" si="60"/>
        <v>#DIV/0!</v>
      </c>
      <c r="DK21" s="79">
        <f t="array" ref="DK21">SUMIFS('Cắt lồng'!$AC$327:$AC$515,'Cắt lồng'!$AA$327:$AA$515,'Cắt lồng'!$AA21,'Cắt lồng'!$AE$327:$AE$515,'Cắt lồng'!DK$4:DK$4)</f>
        <v>0</v>
      </c>
      <c r="DL21" s="79">
        <f t="array" ref="DL21">SUMIFS('Cắt lồng'!$AH$327:$AH$515,'Cắt lồng'!$AA$327:$AA$515,'Cắt lồng'!$AA21,'Cắt lồng'!$AE$327:$AE$515,'Cắt lồng'!DL$4:DL$4)</f>
        <v>0</v>
      </c>
      <c r="DM21" s="78" t="e">
        <f t="shared" si="61"/>
        <v>#DIV/0!</v>
      </c>
      <c r="DN21" s="79">
        <f>SUMIFS('Cắt lồng'!$AC$327:$AC$515,'Cắt lồng'!$AA$327:$AA$515,'Cắt lồng'!$AA21,'Cắt lồng'!$AE$327:$AE$515,'Cắt lồng'!DN$4:DN$4)</f>
        <v>0</v>
      </c>
      <c r="DO21" s="79">
        <f t="array" ref="DO21">SUMIFS('Cắt lồng'!$AH$327:$AH$515,'Cắt lồng'!$AA$327:$AA$515,'Cắt lồng'!$AA21,'Cắt lồng'!$AE$327:$AE$515,'Cắt lồng'!DO$4:DO$4)</f>
        <v>0</v>
      </c>
      <c r="DP21" s="78" t="e">
        <f t="shared" si="62"/>
        <v>#DIV/0!</v>
      </c>
      <c r="DQ21" s="79">
        <f t="array" ref="DQ21">SUMIFS('Cắt lồng'!$AC$327:$AC$515,'Cắt lồng'!$AA$327:$AA$515,'Cắt lồng'!$AA21,'Cắt lồng'!$AE$327:$AE$515,'Cắt lồng'!DQ$4:DQ$4)</f>
        <v>0</v>
      </c>
      <c r="DR21" s="79">
        <f t="array" ref="DR21">SUMIFS('Cắt lồng'!$AH$327:$AH$515,'Cắt lồng'!$AA$327:$AA$515,'Cắt lồng'!$AA21,'Cắt lồng'!$AE$327:$AE$515,'Cắt lồng'!DR$4:DR$4)</f>
        <v>0</v>
      </c>
      <c r="DS21" s="78" t="e">
        <f t="shared" si="63"/>
        <v>#DIV/0!</v>
      </c>
      <c r="DT21" s="79">
        <f t="array" ref="DT21">SUMIFS('Cắt lồng'!$AC$327:$AC$515,'Cắt lồng'!$AA$327:$AA$515,'Cắt lồng'!$AA21,'Cắt lồng'!$AE$327:$AE$515,'Cắt lồng'!DT$4:DT$4)</f>
        <v>0</v>
      </c>
      <c r="DU21" s="79">
        <f t="array" ref="DU21">SUMIFS('Cắt lồng'!$AH$327:$AH$515,'Cắt lồng'!$AA$327:$AA$515,'Cắt lồng'!$AA21,'Cắt lồng'!$AE$327:$AE$515,'Cắt lồng'!DU$4:DU$4)</f>
        <v>0</v>
      </c>
      <c r="DV21" s="78" t="e">
        <f t="shared" si="64"/>
        <v>#DIV/0!</v>
      </c>
      <c r="DW21" s="79">
        <f t="array" ref="DW21">SUMIFS('Cắt lồng'!$AC$327:$AC$515,'Cắt lồng'!$AA$327:$AA$515,'Cắt lồng'!$AA21,'Cắt lồng'!$AE$327:$AE$515,'Cắt lồng'!DW$4:DW$4)</f>
        <v>0</v>
      </c>
      <c r="DX21" s="79">
        <f t="array" ref="DX21">SUMIFS('Cắt lồng'!$AH$327:$AH$515,'Cắt lồng'!$AA$327:$AA$515,'Cắt lồng'!$AA21,'Cắt lồng'!$AE$327:$AE$515,'Cắt lồng'!DX$4:DX$4)</f>
        <v>0</v>
      </c>
      <c r="DY21" s="78" t="e">
        <f t="shared" si="65"/>
        <v>#DIV/0!</v>
      </c>
      <c r="DZ21" s="79">
        <f t="array" ref="DZ21">SUMIFS('Cắt lồng'!$AC$327:$AC$515,'Cắt lồng'!$AA$327:$AA$515,'Cắt lồng'!$AA21,'Cắt lồng'!$AE$327:$AE$515,'Cắt lồng'!DZ$4:DZ$4)</f>
        <v>0</v>
      </c>
      <c r="EA21" s="79">
        <f t="array" ref="EA21">SUMIFS('Cắt lồng'!$AH$327:$AH$515,'Cắt lồng'!$AA$327:$AA$515,'Cắt lồng'!$AA21,'Cắt lồng'!$AE$327:$AE$515,'Cắt lồng'!EA$4:EA$4)</f>
        <v>0</v>
      </c>
      <c r="EB21" s="78" t="e">
        <f t="shared" si="66"/>
        <v>#DIV/0!</v>
      </c>
      <c r="EC21" s="79">
        <f t="array" ref="EC21">SUMIFS('Cắt lồng'!$AC$327:$AC$515,'Cắt lồng'!$AA$327:$AA$515,'Cắt lồng'!$AA21,'Cắt lồng'!$AE$327:$AE$515,'Cắt lồng'!EC$4:EC$4)</f>
        <v>0</v>
      </c>
      <c r="ED21" s="79">
        <f t="array" ref="ED21">SUMIFS('Cắt lồng'!$AH$327:$AH$515,'Cắt lồng'!$AA$327:$AA$515,'Cắt lồng'!$AA21,'Cắt lồng'!$AE$327:$AE$515,'Cắt lồng'!ED$4:ED$4)</f>
        <v>0</v>
      </c>
      <c r="EE21" s="78" t="e">
        <f t="shared" si="67"/>
        <v>#DIV/0!</v>
      </c>
      <c r="EF21" s="79">
        <f t="array" ref="EF21">SUMIFS('Cắt lồng'!$AC$327:$AC$515,'Cắt lồng'!$AA$327:$AA$515,'Cắt lồng'!$AA21,'Cắt lồng'!$AE$327:$AE$515,'Cắt lồng'!EF$4:EF$4)</f>
        <v>0</v>
      </c>
      <c r="EG21" s="79">
        <f t="array" ref="EG21">SUMIFS('Cắt lồng'!$AH$327:$AH$515,'Cắt lồng'!$AA$327:$AA$515,'Cắt lồng'!$AA21,'Cắt lồng'!$AE$327:$AE$515,'Cắt lồng'!EG$4:EG$4)</f>
        <v>0</v>
      </c>
      <c r="EH21" s="78" t="e">
        <f t="shared" si="68"/>
        <v>#DIV/0!</v>
      </c>
      <c r="EI21" s="79">
        <f t="array" ref="EI21">SUMIFS('Cắt lồng'!$AC$327:$AC$515,'Cắt lồng'!$AA$327:$AA$515,'Cắt lồng'!$AA21,'Cắt lồng'!$AE$327:$AE$515,'Cắt lồng'!EI$4:EI$4)</f>
        <v>0</v>
      </c>
      <c r="EJ21" s="79">
        <f t="array" ref="EJ21">SUMIFS('Cắt lồng'!$AH$327:$AH$515,'Cắt lồng'!$AA$327:$AA$515,'Cắt lồng'!$AA21,'Cắt lồng'!$AE$327:$AE$515,'Cắt lồng'!EJ$4:EJ$4)</f>
        <v>0</v>
      </c>
      <c r="EK21" s="78" t="e">
        <f t="shared" si="69"/>
        <v>#DIV/0!</v>
      </c>
    </row>
    <row r="22" spans="1:141" s="12" customFormat="1" ht="14.25" hidden="1" customHeight="1">
      <c r="A22" s="25">
        <v>17</v>
      </c>
      <c r="B22" s="198"/>
      <c r="C22" s="198" t="s">
        <v>268</v>
      </c>
      <c r="D22" s="201">
        <f t="shared" si="71"/>
        <v>0</v>
      </c>
      <c r="E22" s="200">
        <f t="shared" si="71"/>
        <v>0</v>
      </c>
      <c r="F22" s="199"/>
      <c r="G22" s="82">
        <f t="shared" si="1"/>
        <v>0</v>
      </c>
      <c r="H22" s="81">
        <f t="shared" si="2"/>
        <v>0</v>
      </c>
      <c r="I22" s="19">
        <f t="shared" si="3"/>
        <v>0</v>
      </c>
      <c r="J22" s="11">
        <f t="shared" si="4"/>
        <v>0</v>
      </c>
      <c r="K22" s="19">
        <f t="shared" si="5"/>
        <v>0</v>
      </c>
      <c r="L22" s="19">
        <f t="shared" si="6"/>
        <v>0</v>
      </c>
      <c r="M22" s="19">
        <f t="shared" si="7"/>
        <v>0</v>
      </c>
      <c r="N22" s="19">
        <f t="shared" si="8"/>
        <v>0</v>
      </c>
      <c r="O22" s="19">
        <f t="shared" si="9"/>
        <v>0</v>
      </c>
      <c r="P22" s="19">
        <f t="shared" si="10"/>
        <v>0</v>
      </c>
      <c r="Q22" s="19">
        <f t="shared" si="11"/>
        <v>0</v>
      </c>
      <c r="R22" s="19">
        <f t="shared" si="12"/>
        <v>0</v>
      </c>
      <c r="S22" s="19">
        <f t="shared" si="13"/>
        <v>0</v>
      </c>
      <c r="T22" s="19">
        <f t="shared" si="14"/>
        <v>0</v>
      </c>
      <c r="U22" s="19">
        <f t="shared" si="15"/>
        <v>0</v>
      </c>
      <c r="V22" s="19">
        <f t="shared" si="16"/>
        <v>0</v>
      </c>
      <c r="W22" s="19">
        <f t="shared" si="17"/>
        <v>0</v>
      </c>
      <c r="X22" s="19">
        <f t="shared" si="18"/>
        <v>0</v>
      </c>
      <c r="Y22" s="19">
        <f t="shared" si="19"/>
        <v>0</v>
      </c>
      <c r="Z22" s="19">
        <f t="shared" si="20"/>
        <v>0</v>
      </c>
      <c r="AA22" s="20" t="s">
        <v>267</v>
      </c>
      <c r="AB22" s="129">
        <f t="shared" si="21"/>
        <v>0</v>
      </c>
      <c r="AC22" s="129">
        <f t="shared" si="22"/>
        <v>0</v>
      </c>
      <c r="AD22" s="128" t="e">
        <f t="shared" si="23"/>
        <v>#DIV/0!</v>
      </c>
      <c r="AE22" s="42"/>
      <c r="AF22" s="127" t="e">
        <f t="shared" si="24"/>
        <v>#DIV/0!</v>
      </c>
      <c r="AG22" s="127"/>
      <c r="AH22" s="127">
        <f t="shared" si="25"/>
        <v>0</v>
      </c>
      <c r="AI22" s="54" t="e">
        <f t="shared" si="26"/>
        <v>#DIV/0!</v>
      </c>
      <c r="AJ22" s="25">
        <f t="shared" si="27"/>
        <v>0</v>
      </c>
      <c r="AK22" s="25">
        <f t="shared" si="28"/>
        <v>0</v>
      </c>
      <c r="AL22" s="25">
        <f t="shared" si="29"/>
        <v>0</v>
      </c>
      <c r="AM22" s="20">
        <f t="shared" si="30"/>
        <v>0</v>
      </c>
      <c r="AN22" s="20">
        <f t="shared" si="31"/>
        <v>0</v>
      </c>
      <c r="AO22" s="20">
        <f t="shared" si="32"/>
        <v>0</v>
      </c>
      <c r="AP22" s="20">
        <f t="shared" si="33"/>
        <v>0</v>
      </c>
      <c r="AQ22" s="20">
        <f t="shared" si="34"/>
        <v>0</v>
      </c>
      <c r="AR22" s="20">
        <f t="shared" si="35"/>
        <v>0</v>
      </c>
      <c r="AS22" s="20">
        <f t="shared" si="36"/>
        <v>0</v>
      </c>
      <c r="AT22" s="20">
        <f t="shared" si="37"/>
        <v>0</v>
      </c>
      <c r="AV22" s="79">
        <f t="shared" si="38"/>
        <v>0</v>
      </c>
      <c r="AW22" s="79">
        <f t="array" ref="AW22">SUMIFS('Cắt lồng'!$AC$327:$AC$515,'Cắt lồng'!$AA$327:$AA$515,'Cắt lồng'!$AA22,'Cắt lồng'!$AE$327:$AE$515,'Cắt lồng'!AW$4:AW$4)</f>
        <v>0</v>
      </c>
      <c r="AX22" s="79">
        <f t="array" ref="AX22">SUMIFS('Cắt lồng'!$AH$327:$AH$515,'Cắt lồng'!$AA$327:$AA$515,'Cắt lồng'!$AA22,'Cắt lồng'!$AE$327:$AE$515,'Cắt lồng'!AX$4:AX$4)</f>
        <v>0</v>
      </c>
      <c r="AY22" s="78" t="e">
        <f t="shared" si="39"/>
        <v>#DIV/0!</v>
      </c>
      <c r="AZ22" s="79">
        <f t="array" ref="AZ22">SUMIFS('Cắt lồng'!$AC$327:$AC$515,'Cắt lồng'!$AA$327:$AA$515,'Cắt lồng'!$AA22,'Cắt lồng'!$AE$327:$AE$515,'Cắt lồng'!AZ$4:AZ$4)</f>
        <v>0</v>
      </c>
      <c r="BA22" s="79">
        <f t="array" ref="BA22">SUMIFS('Cắt lồng'!$AH$327:$AH$515,'Cắt lồng'!$AA$327:$AA$515,'Cắt lồng'!$AA22,'Cắt lồng'!$AE$327:$AE$515,'Cắt lồng'!BA$4:BA$4)</f>
        <v>0</v>
      </c>
      <c r="BB22" s="78" t="e">
        <f t="shared" si="40"/>
        <v>#DIV/0!</v>
      </c>
      <c r="BC22" s="79">
        <f t="array" ref="BC22">SUMIFS('Cắt lồng'!$AC$327:$AC$515,'Cắt lồng'!$AA$327:$AA$515,'Cắt lồng'!$AA22,'Cắt lồng'!$AE$327:$AE$515,'Cắt lồng'!BC$4:BC$4)</f>
        <v>0</v>
      </c>
      <c r="BD22" s="79">
        <f t="array" ref="BD22">SUMIFS('Cắt lồng'!$AH$327:$AH$515,'Cắt lồng'!$AA$327:$AA$515,'Cắt lồng'!$AA22,'Cắt lồng'!$AE$327:$AE$515,'Cắt lồng'!BD$4:BD$4)</f>
        <v>0</v>
      </c>
      <c r="BE22" s="78" t="e">
        <f t="shared" si="41"/>
        <v>#DIV/0!</v>
      </c>
      <c r="BF22" s="79">
        <f t="array" ref="BF22">SUMIFS('Cắt lồng'!$AC$327:$AC$515,'Cắt lồng'!$AA$327:$AA$515,'Cắt lồng'!$AA22,'Cắt lồng'!$AE$327:$AE$515,'Cắt lồng'!BF$4:BF$4)</f>
        <v>0</v>
      </c>
      <c r="BG22" s="79">
        <f t="array" ref="BG22">SUMIFS('Cắt lồng'!$AH$327:$AH$515,'Cắt lồng'!$AA$327:$AA$515,'Cắt lồng'!$AA22,'Cắt lồng'!$AE$327:$AE$515,'Cắt lồng'!BG$4:BG$4)</f>
        <v>0</v>
      </c>
      <c r="BH22" s="78" t="e">
        <f t="shared" si="42"/>
        <v>#DIV/0!</v>
      </c>
      <c r="BI22" s="79">
        <f t="array" ref="BI22">SUMIFS('Cắt lồng'!$AC$327:$AC$515,'Cắt lồng'!$AA$327:$AA$515,'Cắt lồng'!$AA22,'Cắt lồng'!$AE$327:$AE$515,'Cắt lồng'!BI$4:BI$4)</f>
        <v>0</v>
      </c>
      <c r="BJ22" s="79">
        <f t="array" ref="BJ22">SUMIFS('Cắt lồng'!$AH$327:$AH$515,'Cắt lồng'!$AA$327:$AA$515,'Cắt lồng'!$AA22,'Cắt lồng'!$AE$327:$AE$515,'Cắt lồng'!BJ$4:BJ$4)</f>
        <v>0</v>
      </c>
      <c r="BK22" s="78" t="e">
        <f t="shared" si="43"/>
        <v>#DIV/0!</v>
      </c>
      <c r="BL22" s="79">
        <f t="array" ref="BL22">SUMIFS('Cắt lồng'!$AC$327:$AC$515,'Cắt lồng'!$AA$327:$AA$515,'Cắt lồng'!$AA22,'Cắt lồng'!$AE$327:$AE$515,'Cắt lồng'!BL$4:BL$4)</f>
        <v>0</v>
      </c>
      <c r="BM22" s="79">
        <f t="array" ref="BM22">SUMIFS('Cắt lồng'!$AH$327:$AH$515,'Cắt lồng'!$AA$327:$AA$515,'Cắt lồng'!$AA22,'Cắt lồng'!$AE$327:$AE$515,'Cắt lồng'!BM$4:BM$4)</f>
        <v>0</v>
      </c>
      <c r="BN22" s="78" t="e">
        <f t="shared" si="44"/>
        <v>#DIV/0!</v>
      </c>
      <c r="BO22" s="79">
        <f t="array" ref="BO22">SUMIFS('Cắt lồng'!$AC$327:$AC$515,'Cắt lồng'!$AA$327:$AA$515,'Cắt lồng'!$AA22,'Cắt lồng'!$AE$327:$AE$515,'Cắt lồng'!BO$4:BO$4)</f>
        <v>0</v>
      </c>
      <c r="BP22" s="79">
        <f t="array" ref="BP22">SUMIFS('Cắt lồng'!$AH$327:$AH$515,'Cắt lồng'!$AA$327:$AA$515,'Cắt lồng'!$AA22,'Cắt lồng'!$AE$327:$AE$515,'Cắt lồng'!BP$4:BP$4)</f>
        <v>0</v>
      </c>
      <c r="BQ22" s="78" t="e">
        <f t="shared" si="45"/>
        <v>#DIV/0!</v>
      </c>
      <c r="BR22" s="79">
        <f t="array" ref="BR22">SUMIFS('Cắt lồng'!$AC$327:$AC$515,'Cắt lồng'!$AA$327:$AA$515,'Cắt lồng'!$AA22,'Cắt lồng'!$AE$327:$AE$515,'Cắt lồng'!BR$4:BR$4)</f>
        <v>0</v>
      </c>
      <c r="BS22" s="79">
        <f t="array" ref="BS22">SUMIFS('Cắt lồng'!$AH$327:$AH$515,'Cắt lồng'!$AA$327:$AA$515,'Cắt lồng'!$AA22,'Cắt lồng'!$AE$327:$AE$515,'Cắt lồng'!BS$4:BS$4)</f>
        <v>0</v>
      </c>
      <c r="BT22" s="78" t="e">
        <f t="shared" si="46"/>
        <v>#DIV/0!</v>
      </c>
      <c r="BU22" s="79">
        <f t="array" ref="BU22">SUMIFS('Cắt lồng'!$AC$327:$AC$515,'Cắt lồng'!$AA$327:$AA$515,'Cắt lồng'!$AA22,'Cắt lồng'!$AE$327:$AE$515,'Cắt lồng'!BU$4:BU$4)</f>
        <v>0</v>
      </c>
      <c r="BV22" s="79">
        <f t="array" ref="BV22">SUMIFS('Cắt lồng'!$AH$327:$AH$515,'Cắt lồng'!$AA$327:$AA$515,'Cắt lồng'!$AA22,'Cắt lồng'!$AE$327:$AE$515,'Cắt lồng'!BV$4:BV$4)</f>
        <v>0</v>
      </c>
      <c r="BW22" s="78" t="e">
        <f t="shared" si="47"/>
        <v>#DIV/0!</v>
      </c>
      <c r="BX22" s="79">
        <f t="array" ref="BX22">SUMIFS('Cắt lồng'!$AC$327:$AC$515,'Cắt lồng'!$AA$327:$AA$515,'Cắt lồng'!$AA22,'Cắt lồng'!$AE$327:$AE$515,'Cắt lồng'!BX$4:BX$4)</f>
        <v>0</v>
      </c>
      <c r="BY22" s="79">
        <f t="array" ref="BY22">SUMIFS('Cắt lồng'!$AH$327:$AH$515,'Cắt lồng'!$AA$327:$AA$515,'Cắt lồng'!$AA22,'Cắt lồng'!$AE$327:$AE$515,'Cắt lồng'!BY$4:BY$4)</f>
        <v>0</v>
      </c>
      <c r="BZ22" s="78" t="e">
        <f t="shared" si="48"/>
        <v>#DIV/0!</v>
      </c>
      <c r="CA22" s="79">
        <f t="array" ref="CA22">SUMIFS('Cắt lồng'!$AC$327:$AC$515,'Cắt lồng'!$AA$327:$AA$515,'Cắt lồng'!$AA22,'Cắt lồng'!$AE$327:$AE$515,'Cắt lồng'!CA$4:CA$4)</f>
        <v>0</v>
      </c>
      <c r="CB22" s="79">
        <f t="array" ref="CB22">SUMIFS('Cắt lồng'!$AH$327:$AH$515,'Cắt lồng'!$AA$327:$AA$515,'Cắt lồng'!$AA22,'Cắt lồng'!$AE$327:$AE$515,'Cắt lồng'!CB$4:CB$4)</f>
        <v>0</v>
      </c>
      <c r="CC22" s="78" t="e">
        <f t="shared" si="49"/>
        <v>#DIV/0!</v>
      </c>
      <c r="CD22" s="79">
        <f t="array" ref="CD22">SUMIFS('Cắt lồng'!$AC$327:$AC$515,'Cắt lồng'!$AA$327:$AA$515,'Cắt lồng'!$AA22,'Cắt lồng'!$AE$327:$AE$515,'Cắt lồng'!CD$4:CD$4)</f>
        <v>0</v>
      </c>
      <c r="CE22" s="79">
        <f t="array" ref="CE22">SUMIFS('Cắt lồng'!$AH$327:$AH$515,'Cắt lồng'!$AA$327:$AA$515,'Cắt lồng'!$AA22,'Cắt lồng'!$AE$327:$AE$515,'Cắt lồng'!CE$4:CE$4)</f>
        <v>0</v>
      </c>
      <c r="CF22" s="78" t="e">
        <f t="shared" si="50"/>
        <v>#DIV/0!</v>
      </c>
      <c r="CG22" s="79">
        <f t="array" ref="CG22">SUMIFS('Cắt lồng'!$AC$327:$AC$515,'Cắt lồng'!$AA$327:$AA$515,'Cắt lồng'!$AA22,'Cắt lồng'!$AE$327:$AE$515,'Cắt lồng'!CG$4:CG$4)</f>
        <v>0</v>
      </c>
      <c r="CH22" s="79">
        <f t="array" ref="CH22">SUMIFS('Cắt lồng'!$AH$327:$AH$515,'Cắt lồng'!$AA$327:$AA$515,'Cắt lồng'!$AA22,'Cắt lồng'!$AE$327:$AE$515,'Cắt lồng'!CH$4:CH$4)</f>
        <v>0</v>
      </c>
      <c r="CI22" s="78" t="e">
        <f t="shared" si="51"/>
        <v>#DIV/0!</v>
      </c>
      <c r="CJ22" s="79">
        <f t="array" ref="CJ22">SUMIFS('Cắt lồng'!$AC$327:$AC$515,'Cắt lồng'!$AA$327:$AA$515,'Cắt lồng'!$AA22,'Cắt lồng'!$AE$327:$AE$515,'Cắt lồng'!CJ$4:CJ$4)</f>
        <v>0</v>
      </c>
      <c r="CK22" s="79">
        <f t="array" ref="CK22">SUMIFS('Cắt lồng'!$AH$327:$AH$515,'Cắt lồng'!$AA$327:$AA$515,'Cắt lồng'!$AA22,'Cắt lồng'!$AE$327:$AE$515,'Cắt lồng'!CK$4:CK$4)</f>
        <v>0</v>
      </c>
      <c r="CL22" s="78" t="e">
        <f t="shared" si="52"/>
        <v>#DIV/0!</v>
      </c>
      <c r="CM22" s="79">
        <f t="array" ref="CM22">SUMIFS('Cắt lồng'!$AC$327:$AC$515,'Cắt lồng'!$AA$327:$AA$515,'Cắt lồng'!$AA22,'Cắt lồng'!$AE$327:$AE$515,'Cắt lồng'!CM$4:CM$4)</f>
        <v>0</v>
      </c>
      <c r="CN22" s="79">
        <f t="array" ref="CN22">SUMIFS('Cắt lồng'!$AH$327:$AH$515,'Cắt lồng'!$AA$327:$AA$515,'Cắt lồng'!$AA22,'Cắt lồng'!$AE$327:$AE$515,'Cắt lồng'!CN$4:CN$4)</f>
        <v>0</v>
      </c>
      <c r="CO22" s="78" t="e">
        <f t="shared" si="53"/>
        <v>#DIV/0!</v>
      </c>
      <c r="CP22" s="79">
        <f t="array" ref="CP22">SUMIFS('Cắt lồng'!$AC$327:$AC$515,'Cắt lồng'!$AA$327:$AA$515,'Cắt lồng'!$AA22,'Cắt lồng'!$AE$327:$AE$515,'Cắt lồng'!CP$4:CP$4)</f>
        <v>0</v>
      </c>
      <c r="CQ22" s="79">
        <f t="array" ref="CQ22">SUMIFS('Cắt lồng'!$AH$327:$AH$515,'Cắt lồng'!$AA$327:$AA$515,'Cắt lồng'!$AA22,'Cắt lồng'!$AE$327:$AE$515,'Cắt lồng'!CQ$4:CQ$4)</f>
        <v>0</v>
      </c>
      <c r="CR22" s="78" t="e">
        <f t="shared" si="54"/>
        <v>#DIV/0!</v>
      </c>
      <c r="CS22" s="79">
        <f t="array" ref="CS22">SUMIFS('Cắt lồng'!$AC$327:$AC$515,'Cắt lồng'!$AA$327:$AA$515,'Cắt lồng'!$AA22,'Cắt lồng'!$AE$327:$AE$515,'Cắt lồng'!CS$4:CS$4)</f>
        <v>0</v>
      </c>
      <c r="CT22" s="79">
        <f t="array" ref="CT22">SUMIFS('Cắt lồng'!$AH$327:$AH$515,'Cắt lồng'!$AA$327:$AA$515,'Cắt lồng'!$AA22,'Cắt lồng'!$AE$327:$AE$515,'Cắt lồng'!CT$4:CT$4)</f>
        <v>0</v>
      </c>
      <c r="CU22" s="78" t="e">
        <f t="shared" si="55"/>
        <v>#DIV/0!</v>
      </c>
      <c r="CV22" s="79">
        <f t="array" ref="CV22">SUMIFS('Cắt lồng'!$AC$327:$AC$515,'Cắt lồng'!$AA$327:$AA$515,'Cắt lồng'!$AA22,'Cắt lồng'!$AE$327:$AE$515,'Cắt lồng'!CV$4:CV$4)</f>
        <v>0</v>
      </c>
      <c r="CW22" s="79">
        <f t="array" ref="CW22">SUMIFS('Cắt lồng'!$AH$327:$AH$515,'Cắt lồng'!$AA$327:$AA$515,'Cắt lồng'!$AA22,'Cắt lồng'!$AE$327:$AE$515,'Cắt lồng'!CW$4:CW$4)</f>
        <v>0</v>
      </c>
      <c r="CX22" s="78" t="e">
        <f t="shared" si="56"/>
        <v>#DIV/0!</v>
      </c>
      <c r="CY22" s="79">
        <f t="array" ref="CY22">SUMIFS('Cắt lồng'!$AC$327:$AC$515,'Cắt lồng'!$AA$327:$AA$515,'Cắt lồng'!$AA22,'Cắt lồng'!$AE$327:$AE$515,'Cắt lồng'!CY$4:CY$4)</f>
        <v>0</v>
      </c>
      <c r="CZ22" s="79">
        <f t="array" ref="CZ22">SUMIFS('Cắt lồng'!$AH$327:$AH$515,'Cắt lồng'!$AA$327:$AA$515,'Cắt lồng'!$AA22,'Cắt lồng'!$AE$327:$AE$515,'Cắt lồng'!CZ$4:CZ$4)</f>
        <v>0</v>
      </c>
      <c r="DA22" s="78" t="e">
        <f t="shared" si="57"/>
        <v>#DIV/0!</v>
      </c>
      <c r="DB22" s="79">
        <f t="array" ref="DB22">SUMIFS('Cắt lồng'!$AC$327:$AC$515,'Cắt lồng'!$AA$327:$AA$515,'Cắt lồng'!$AA22,'Cắt lồng'!$AE$327:$AE$515,'Cắt lồng'!DB$4:DB$4)</f>
        <v>0</v>
      </c>
      <c r="DC22" s="79">
        <f t="array" ref="DC22">SUMIFS('Cắt lồng'!$AH$327:$AH$515,'Cắt lồng'!$AA$327:$AA$515,'Cắt lồng'!$AA22,'Cắt lồng'!$AE$327:$AE$515,'Cắt lồng'!DC$4:DC$4)</f>
        <v>0</v>
      </c>
      <c r="DD22" s="78" t="e">
        <f t="shared" si="58"/>
        <v>#DIV/0!</v>
      </c>
      <c r="DE22" s="79">
        <f t="array" ref="DE22">SUMIFS('Cắt lồng'!$AC$327:$AC$515,'Cắt lồng'!$AA$327:$AA$515,'Cắt lồng'!$AA22,'Cắt lồng'!$AE$327:$AE$515,'Cắt lồng'!DE$4:DE$4)</f>
        <v>0</v>
      </c>
      <c r="DF22" s="79">
        <f t="array" ref="DF22">SUMIFS('Cắt lồng'!$AH$327:$AH$515,'Cắt lồng'!$AA$327:$AA$515,'Cắt lồng'!$AA22,'Cắt lồng'!$AE$327:$AE$515,'Cắt lồng'!DF$4:DF$4)</f>
        <v>0</v>
      </c>
      <c r="DG22" s="78" t="e">
        <f t="shared" si="59"/>
        <v>#DIV/0!</v>
      </c>
      <c r="DH22" s="79">
        <f t="array" ref="DH22">SUMIFS('Cắt lồng'!$AC$327:$AC$515,'Cắt lồng'!$AA$327:$AA$515,'Cắt lồng'!$AA22,'Cắt lồng'!$AE$327:$AE$515,'Cắt lồng'!DH$4:DH$4)</f>
        <v>0</v>
      </c>
      <c r="DI22" s="79">
        <f t="array" ref="DI22">SUMIFS('Cắt lồng'!$AH$327:$AH$515,'Cắt lồng'!$AA$327:$AA$515,'Cắt lồng'!$AA22,'Cắt lồng'!$AE$327:$AE$515,'Cắt lồng'!DI$4:DI$4)</f>
        <v>0</v>
      </c>
      <c r="DJ22" s="78" t="e">
        <f t="shared" si="60"/>
        <v>#DIV/0!</v>
      </c>
      <c r="DK22" s="79">
        <f t="array" ref="DK22">SUMIFS('Cắt lồng'!$AC$327:$AC$515,'Cắt lồng'!$AA$327:$AA$515,'Cắt lồng'!$AA22,'Cắt lồng'!$AE$327:$AE$515,'Cắt lồng'!DK$4:DK$4)</f>
        <v>0</v>
      </c>
      <c r="DL22" s="79">
        <f t="array" ref="DL22">SUMIFS('Cắt lồng'!$AH$327:$AH$515,'Cắt lồng'!$AA$327:$AA$515,'Cắt lồng'!$AA22,'Cắt lồng'!$AE$327:$AE$515,'Cắt lồng'!DL$4:DL$4)</f>
        <v>0</v>
      </c>
      <c r="DM22" s="78" t="e">
        <f t="shared" si="61"/>
        <v>#DIV/0!</v>
      </c>
      <c r="DN22" s="79">
        <f>SUMIFS('Cắt lồng'!$AC$327:$AC$515,'Cắt lồng'!$AA$327:$AA$515,'Cắt lồng'!$AA22,'Cắt lồng'!$AE$327:$AE$515,'Cắt lồng'!DN$4:DN$4)</f>
        <v>0</v>
      </c>
      <c r="DO22" s="79">
        <f t="array" ref="DO22">SUMIFS('Cắt lồng'!$AH$327:$AH$515,'Cắt lồng'!$AA$327:$AA$515,'Cắt lồng'!$AA22,'Cắt lồng'!$AE$327:$AE$515,'Cắt lồng'!DO$4:DO$4)</f>
        <v>0</v>
      </c>
      <c r="DP22" s="78" t="e">
        <f t="shared" si="62"/>
        <v>#DIV/0!</v>
      </c>
      <c r="DQ22" s="79">
        <f t="array" ref="DQ22">SUMIFS('Cắt lồng'!$AC$327:$AC$515,'Cắt lồng'!$AA$327:$AA$515,'Cắt lồng'!$AA22,'Cắt lồng'!$AE$327:$AE$515,'Cắt lồng'!DQ$4:DQ$4)</f>
        <v>0</v>
      </c>
      <c r="DR22" s="79">
        <f t="array" ref="DR22">SUMIFS('Cắt lồng'!$AH$327:$AH$515,'Cắt lồng'!$AA$327:$AA$515,'Cắt lồng'!$AA22,'Cắt lồng'!$AE$327:$AE$515,'Cắt lồng'!DR$4:DR$4)</f>
        <v>0</v>
      </c>
      <c r="DS22" s="78" t="e">
        <f t="shared" si="63"/>
        <v>#DIV/0!</v>
      </c>
      <c r="DT22" s="79">
        <f t="array" ref="DT22">SUMIFS('Cắt lồng'!$AC$327:$AC$515,'Cắt lồng'!$AA$327:$AA$515,'Cắt lồng'!$AA22,'Cắt lồng'!$AE$327:$AE$515,'Cắt lồng'!DT$4:DT$4)</f>
        <v>0</v>
      </c>
      <c r="DU22" s="79">
        <f t="array" ref="DU22">SUMIFS('Cắt lồng'!$AH$327:$AH$515,'Cắt lồng'!$AA$327:$AA$515,'Cắt lồng'!$AA22,'Cắt lồng'!$AE$327:$AE$515,'Cắt lồng'!DU$4:DU$4)</f>
        <v>0</v>
      </c>
      <c r="DV22" s="78" t="e">
        <f t="shared" si="64"/>
        <v>#DIV/0!</v>
      </c>
      <c r="DW22" s="79">
        <f t="array" ref="DW22">SUMIFS('Cắt lồng'!$AC$327:$AC$515,'Cắt lồng'!$AA$327:$AA$515,'Cắt lồng'!$AA22,'Cắt lồng'!$AE$327:$AE$515,'Cắt lồng'!DW$4:DW$4)</f>
        <v>0</v>
      </c>
      <c r="DX22" s="79">
        <f t="array" ref="DX22">SUMIFS('Cắt lồng'!$AH$327:$AH$515,'Cắt lồng'!$AA$327:$AA$515,'Cắt lồng'!$AA22,'Cắt lồng'!$AE$327:$AE$515,'Cắt lồng'!DX$4:DX$4)</f>
        <v>0</v>
      </c>
      <c r="DY22" s="78" t="e">
        <f t="shared" si="65"/>
        <v>#DIV/0!</v>
      </c>
      <c r="DZ22" s="79">
        <f t="array" ref="DZ22">SUMIFS('Cắt lồng'!$AC$327:$AC$515,'Cắt lồng'!$AA$327:$AA$515,'Cắt lồng'!$AA22,'Cắt lồng'!$AE$327:$AE$515,'Cắt lồng'!DZ$4:DZ$4)</f>
        <v>0</v>
      </c>
      <c r="EA22" s="79">
        <f t="array" ref="EA22">SUMIFS('Cắt lồng'!$AH$327:$AH$515,'Cắt lồng'!$AA$327:$AA$515,'Cắt lồng'!$AA22,'Cắt lồng'!$AE$327:$AE$515,'Cắt lồng'!EA$4:EA$4)</f>
        <v>0</v>
      </c>
      <c r="EB22" s="78" t="e">
        <f t="shared" si="66"/>
        <v>#DIV/0!</v>
      </c>
      <c r="EC22" s="79">
        <f t="array" ref="EC22">SUMIFS('Cắt lồng'!$AC$327:$AC$515,'Cắt lồng'!$AA$327:$AA$515,'Cắt lồng'!$AA22,'Cắt lồng'!$AE$327:$AE$515,'Cắt lồng'!EC$4:EC$4)</f>
        <v>0</v>
      </c>
      <c r="ED22" s="79">
        <f t="array" ref="ED22">SUMIFS('Cắt lồng'!$AH$327:$AH$515,'Cắt lồng'!$AA$327:$AA$515,'Cắt lồng'!$AA22,'Cắt lồng'!$AE$327:$AE$515,'Cắt lồng'!ED$4:ED$4)</f>
        <v>0</v>
      </c>
      <c r="EE22" s="78" t="e">
        <f t="shared" si="67"/>
        <v>#DIV/0!</v>
      </c>
      <c r="EF22" s="79">
        <f t="array" ref="EF22">SUMIFS('Cắt lồng'!$AC$327:$AC$515,'Cắt lồng'!$AA$327:$AA$515,'Cắt lồng'!$AA22,'Cắt lồng'!$AE$327:$AE$515,'Cắt lồng'!EF$4:EF$4)</f>
        <v>0</v>
      </c>
      <c r="EG22" s="79">
        <f t="array" ref="EG22">SUMIFS('Cắt lồng'!$AH$327:$AH$515,'Cắt lồng'!$AA$327:$AA$515,'Cắt lồng'!$AA22,'Cắt lồng'!$AE$327:$AE$515,'Cắt lồng'!EG$4:EG$4)</f>
        <v>0</v>
      </c>
      <c r="EH22" s="78" t="e">
        <f t="shared" si="68"/>
        <v>#DIV/0!</v>
      </c>
      <c r="EI22" s="79">
        <f t="array" ref="EI22">SUMIFS('Cắt lồng'!$AC$327:$AC$515,'Cắt lồng'!$AA$327:$AA$515,'Cắt lồng'!$AA22,'Cắt lồng'!$AE$327:$AE$515,'Cắt lồng'!EI$4:EI$4)</f>
        <v>0</v>
      </c>
      <c r="EJ22" s="79">
        <f t="array" ref="EJ22">SUMIFS('Cắt lồng'!$AH$327:$AH$515,'Cắt lồng'!$AA$327:$AA$515,'Cắt lồng'!$AA22,'Cắt lồng'!$AE$327:$AE$515,'Cắt lồng'!EJ$4:EJ$4)</f>
        <v>0</v>
      </c>
      <c r="EK22" s="78" t="e">
        <f t="shared" si="69"/>
        <v>#DIV/0!</v>
      </c>
    </row>
    <row r="23" spans="1:141" s="12" customFormat="1" ht="14.25" hidden="1" customHeight="1">
      <c r="A23" s="25">
        <v>18</v>
      </c>
      <c r="B23" s="198"/>
      <c r="C23" s="198" t="s">
        <v>267</v>
      </c>
      <c r="D23" s="65">
        <f t="shared" si="71"/>
        <v>0</v>
      </c>
      <c r="E23" s="200">
        <f t="shared" si="71"/>
        <v>0</v>
      </c>
      <c r="F23" s="199"/>
      <c r="G23" s="82">
        <f t="shared" si="1"/>
        <v>0</v>
      </c>
      <c r="H23" s="81">
        <f t="shared" si="2"/>
        <v>0</v>
      </c>
      <c r="I23" s="19">
        <f t="shared" si="3"/>
        <v>0</v>
      </c>
      <c r="J23" s="11">
        <f t="shared" si="4"/>
        <v>0</v>
      </c>
      <c r="K23" s="19">
        <f t="shared" si="5"/>
        <v>0</v>
      </c>
      <c r="L23" s="19">
        <f t="shared" si="6"/>
        <v>0</v>
      </c>
      <c r="M23" s="19">
        <f t="shared" si="7"/>
        <v>0</v>
      </c>
      <c r="N23" s="19">
        <f t="shared" si="8"/>
        <v>0</v>
      </c>
      <c r="O23" s="19">
        <f t="shared" si="9"/>
        <v>0</v>
      </c>
      <c r="P23" s="19">
        <f t="shared" si="10"/>
        <v>0</v>
      </c>
      <c r="Q23" s="19">
        <f t="shared" si="11"/>
        <v>0</v>
      </c>
      <c r="R23" s="19">
        <f t="shared" si="12"/>
        <v>0</v>
      </c>
      <c r="S23" s="19">
        <f t="shared" si="13"/>
        <v>0</v>
      </c>
      <c r="T23" s="19">
        <f t="shared" si="14"/>
        <v>0</v>
      </c>
      <c r="U23" s="19">
        <f t="shared" si="15"/>
        <v>0</v>
      </c>
      <c r="V23" s="19">
        <f t="shared" si="16"/>
        <v>0</v>
      </c>
      <c r="W23" s="19">
        <f t="shared" si="17"/>
        <v>0</v>
      </c>
      <c r="X23" s="19">
        <f t="shared" si="18"/>
        <v>0</v>
      </c>
      <c r="Y23" s="19">
        <f t="shared" si="19"/>
        <v>0</v>
      </c>
      <c r="Z23" s="19">
        <f t="shared" si="20"/>
        <v>0</v>
      </c>
      <c r="AA23" s="20" t="s">
        <v>266</v>
      </c>
      <c r="AB23" s="129">
        <f t="shared" si="21"/>
        <v>0</v>
      </c>
      <c r="AC23" s="129">
        <f t="shared" si="22"/>
        <v>0</v>
      </c>
      <c r="AD23" s="128" t="e">
        <f t="shared" si="23"/>
        <v>#DIV/0!</v>
      </c>
      <c r="AE23" s="42"/>
      <c r="AF23" s="127" t="e">
        <f t="shared" si="24"/>
        <v>#DIV/0!</v>
      </c>
      <c r="AG23" s="127"/>
      <c r="AH23" s="127">
        <f t="shared" si="25"/>
        <v>0</v>
      </c>
      <c r="AI23" s="54" t="e">
        <f t="shared" si="26"/>
        <v>#DIV/0!</v>
      </c>
      <c r="AJ23" s="25">
        <f t="shared" si="27"/>
        <v>0</v>
      </c>
      <c r="AK23" s="25">
        <f t="shared" si="28"/>
        <v>0</v>
      </c>
      <c r="AL23" s="25">
        <f t="shared" si="29"/>
        <v>0</v>
      </c>
      <c r="AM23" s="20">
        <f t="shared" si="30"/>
        <v>0</v>
      </c>
      <c r="AN23" s="20">
        <f t="shared" si="31"/>
        <v>0</v>
      </c>
      <c r="AO23" s="20">
        <f t="shared" si="32"/>
        <v>0</v>
      </c>
      <c r="AP23" s="20">
        <f t="shared" si="33"/>
        <v>0</v>
      </c>
      <c r="AQ23" s="20">
        <f t="shared" si="34"/>
        <v>0</v>
      </c>
      <c r="AR23" s="20">
        <f t="shared" si="35"/>
        <v>0</v>
      </c>
      <c r="AS23" s="20">
        <f t="shared" si="36"/>
        <v>0</v>
      </c>
      <c r="AT23" s="20">
        <f t="shared" si="37"/>
        <v>0</v>
      </c>
      <c r="AV23" s="79">
        <f t="shared" si="38"/>
        <v>0</v>
      </c>
      <c r="AW23" s="79">
        <f t="array" ref="AW23">SUMIFS('Cắt lồng'!$AC$327:$AC$515,'Cắt lồng'!$AA$327:$AA$515,'Cắt lồng'!$AA23,'Cắt lồng'!$AE$327:$AE$515,'Cắt lồng'!AW$4:AW$4)</f>
        <v>0</v>
      </c>
      <c r="AX23" s="79">
        <f t="array" ref="AX23">SUMIFS('Cắt lồng'!$AH$327:$AH$515,'Cắt lồng'!$AA$327:$AA$515,'Cắt lồng'!$AA23,'Cắt lồng'!$AE$327:$AE$515,'Cắt lồng'!AX$4:AX$4)</f>
        <v>0</v>
      </c>
      <c r="AY23" s="78" t="e">
        <f t="shared" si="39"/>
        <v>#DIV/0!</v>
      </c>
      <c r="AZ23" s="79">
        <f t="array" ref="AZ23">SUMIFS('Cắt lồng'!$AC$327:$AC$515,'Cắt lồng'!$AA$327:$AA$515,'Cắt lồng'!$AA23,'Cắt lồng'!$AE$327:$AE$515,'Cắt lồng'!AZ$4:AZ$4)</f>
        <v>0</v>
      </c>
      <c r="BA23" s="79">
        <f t="array" ref="BA23">SUMIFS('Cắt lồng'!$AH$327:$AH$515,'Cắt lồng'!$AA$327:$AA$515,'Cắt lồng'!$AA23,'Cắt lồng'!$AE$327:$AE$515,'Cắt lồng'!BA$4:BA$4)</f>
        <v>0</v>
      </c>
      <c r="BB23" s="78" t="e">
        <f t="shared" si="40"/>
        <v>#DIV/0!</v>
      </c>
      <c r="BC23" s="79">
        <f t="array" ref="BC23">SUMIFS('Cắt lồng'!$AC$327:$AC$515,'Cắt lồng'!$AA$327:$AA$515,'Cắt lồng'!$AA23,'Cắt lồng'!$AE$327:$AE$515,'Cắt lồng'!BC$4:BC$4)</f>
        <v>0</v>
      </c>
      <c r="BD23" s="79">
        <f t="array" ref="BD23">SUMIFS('Cắt lồng'!$AH$327:$AH$515,'Cắt lồng'!$AA$327:$AA$515,'Cắt lồng'!$AA23,'Cắt lồng'!$AE$327:$AE$515,'Cắt lồng'!BD$4:BD$4)</f>
        <v>0</v>
      </c>
      <c r="BE23" s="78" t="e">
        <f t="shared" si="41"/>
        <v>#DIV/0!</v>
      </c>
      <c r="BF23" s="79">
        <f t="array" ref="BF23">SUMIFS('Cắt lồng'!$AC$327:$AC$515,'Cắt lồng'!$AA$327:$AA$515,'Cắt lồng'!$AA23,'Cắt lồng'!$AE$327:$AE$515,'Cắt lồng'!BF$4:BF$4)</f>
        <v>0</v>
      </c>
      <c r="BG23" s="79">
        <f t="array" ref="BG23">SUMIFS('Cắt lồng'!$AH$327:$AH$515,'Cắt lồng'!$AA$327:$AA$515,'Cắt lồng'!$AA23,'Cắt lồng'!$AE$327:$AE$515,'Cắt lồng'!BG$4:BG$4)</f>
        <v>0</v>
      </c>
      <c r="BH23" s="78" t="e">
        <f t="shared" si="42"/>
        <v>#DIV/0!</v>
      </c>
      <c r="BI23" s="79">
        <f t="array" ref="BI23">SUMIFS('Cắt lồng'!$AC$327:$AC$515,'Cắt lồng'!$AA$327:$AA$515,'Cắt lồng'!$AA23,'Cắt lồng'!$AE$327:$AE$515,'Cắt lồng'!BI$4:BI$4)</f>
        <v>0</v>
      </c>
      <c r="BJ23" s="79">
        <f t="array" ref="BJ23">SUMIFS('Cắt lồng'!$AH$327:$AH$515,'Cắt lồng'!$AA$327:$AA$515,'Cắt lồng'!$AA23,'Cắt lồng'!$AE$327:$AE$515,'Cắt lồng'!BJ$4:BJ$4)</f>
        <v>0</v>
      </c>
      <c r="BK23" s="78" t="e">
        <f t="shared" si="43"/>
        <v>#DIV/0!</v>
      </c>
      <c r="BL23" s="79">
        <f t="array" ref="BL23">SUMIFS('Cắt lồng'!$AC$327:$AC$515,'Cắt lồng'!$AA$327:$AA$515,'Cắt lồng'!$AA23,'Cắt lồng'!$AE$327:$AE$515,'Cắt lồng'!BL$4:BL$4)</f>
        <v>0</v>
      </c>
      <c r="BM23" s="79">
        <f t="array" ref="BM23">SUMIFS('Cắt lồng'!$AH$327:$AH$515,'Cắt lồng'!$AA$327:$AA$515,'Cắt lồng'!$AA23,'Cắt lồng'!$AE$327:$AE$515,'Cắt lồng'!BM$4:BM$4)</f>
        <v>0</v>
      </c>
      <c r="BN23" s="78" t="e">
        <f t="shared" si="44"/>
        <v>#DIV/0!</v>
      </c>
      <c r="BO23" s="79">
        <f t="array" ref="BO23">SUMIFS('Cắt lồng'!$AC$327:$AC$515,'Cắt lồng'!$AA$327:$AA$515,'Cắt lồng'!$AA23,'Cắt lồng'!$AE$327:$AE$515,'Cắt lồng'!BO$4:BO$4)</f>
        <v>0</v>
      </c>
      <c r="BP23" s="79">
        <f t="array" ref="BP23">SUMIFS('Cắt lồng'!$AH$327:$AH$515,'Cắt lồng'!$AA$327:$AA$515,'Cắt lồng'!$AA23,'Cắt lồng'!$AE$327:$AE$515,'Cắt lồng'!BP$4:BP$4)</f>
        <v>0</v>
      </c>
      <c r="BQ23" s="78" t="e">
        <f t="shared" si="45"/>
        <v>#DIV/0!</v>
      </c>
      <c r="BR23" s="79">
        <f t="array" ref="BR23">SUMIFS('Cắt lồng'!$AC$327:$AC$515,'Cắt lồng'!$AA$327:$AA$515,'Cắt lồng'!$AA23,'Cắt lồng'!$AE$327:$AE$515,'Cắt lồng'!BR$4:BR$4)</f>
        <v>0</v>
      </c>
      <c r="BS23" s="79">
        <f t="array" ref="BS23">SUMIFS('Cắt lồng'!$AH$327:$AH$515,'Cắt lồng'!$AA$327:$AA$515,'Cắt lồng'!$AA23,'Cắt lồng'!$AE$327:$AE$515,'Cắt lồng'!BS$4:BS$4)</f>
        <v>0</v>
      </c>
      <c r="BT23" s="78" t="e">
        <f t="shared" si="46"/>
        <v>#DIV/0!</v>
      </c>
      <c r="BU23" s="79">
        <f t="array" ref="BU23">SUMIFS('Cắt lồng'!$AC$327:$AC$515,'Cắt lồng'!$AA$327:$AA$515,'Cắt lồng'!$AA23,'Cắt lồng'!$AE$327:$AE$515,'Cắt lồng'!BU$4:BU$4)</f>
        <v>0</v>
      </c>
      <c r="BV23" s="79">
        <f t="array" ref="BV23">SUMIFS('Cắt lồng'!$AH$327:$AH$515,'Cắt lồng'!$AA$327:$AA$515,'Cắt lồng'!$AA23,'Cắt lồng'!$AE$327:$AE$515,'Cắt lồng'!BV$4:BV$4)</f>
        <v>0</v>
      </c>
      <c r="BW23" s="78" t="e">
        <f t="shared" si="47"/>
        <v>#DIV/0!</v>
      </c>
      <c r="BX23" s="79">
        <f t="array" ref="BX23">SUMIFS('Cắt lồng'!$AC$327:$AC$515,'Cắt lồng'!$AA$327:$AA$515,'Cắt lồng'!$AA23,'Cắt lồng'!$AE$327:$AE$515,'Cắt lồng'!BX$4:BX$4)</f>
        <v>0</v>
      </c>
      <c r="BY23" s="79">
        <f t="array" ref="BY23">SUMIFS('Cắt lồng'!$AH$327:$AH$515,'Cắt lồng'!$AA$327:$AA$515,'Cắt lồng'!$AA23,'Cắt lồng'!$AE$327:$AE$515,'Cắt lồng'!BY$4:BY$4)</f>
        <v>0</v>
      </c>
      <c r="BZ23" s="78" t="e">
        <f t="shared" si="48"/>
        <v>#DIV/0!</v>
      </c>
      <c r="CA23" s="79">
        <f t="array" ref="CA23">SUMIFS('Cắt lồng'!$AC$327:$AC$515,'Cắt lồng'!$AA$327:$AA$515,'Cắt lồng'!$AA23,'Cắt lồng'!$AE$327:$AE$515,'Cắt lồng'!CA$4:CA$4)</f>
        <v>0</v>
      </c>
      <c r="CB23" s="79">
        <f t="array" ref="CB23">SUMIFS('Cắt lồng'!$AH$327:$AH$515,'Cắt lồng'!$AA$327:$AA$515,'Cắt lồng'!$AA23,'Cắt lồng'!$AE$327:$AE$515,'Cắt lồng'!CB$4:CB$4)</f>
        <v>0</v>
      </c>
      <c r="CC23" s="78" t="e">
        <f t="shared" si="49"/>
        <v>#DIV/0!</v>
      </c>
      <c r="CD23" s="79">
        <f t="array" ref="CD23">SUMIFS('Cắt lồng'!$AC$327:$AC$515,'Cắt lồng'!$AA$327:$AA$515,'Cắt lồng'!$AA23,'Cắt lồng'!$AE$327:$AE$515,'Cắt lồng'!CD$4:CD$4)</f>
        <v>0</v>
      </c>
      <c r="CE23" s="79">
        <f t="array" ref="CE23">SUMIFS('Cắt lồng'!$AH$327:$AH$515,'Cắt lồng'!$AA$327:$AA$515,'Cắt lồng'!$AA23,'Cắt lồng'!$AE$327:$AE$515,'Cắt lồng'!CE$4:CE$4)</f>
        <v>0</v>
      </c>
      <c r="CF23" s="78" t="e">
        <f t="shared" si="50"/>
        <v>#DIV/0!</v>
      </c>
      <c r="CG23" s="79">
        <f t="array" ref="CG23">SUMIFS('Cắt lồng'!$AC$327:$AC$515,'Cắt lồng'!$AA$327:$AA$515,'Cắt lồng'!$AA23,'Cắt lồng'!$AE$327:$AE$515,'Cắt lồng'!CG$4:CG$4)</f>
        <v>0</v>
      </c>
      <c r="CH23" s="79">
        <f t="array" ref="CH23">SUMIFS('Cắt lồng'!$AH$327:$AH$515,'Cắt lồng'!$AA$327:$AA$515,'Cắt lồng'!$AA23,'Cắt lồng'!$AE$327:$AE$515,'Cắt lồng'!CH$4:CH$4)</f>
        <v>0</v>
      </c>
      <c r="CI23" s="78" t="e">
        <f t="shared" si="51"/>
        <v>#DIV/0!</v>
      </c>
      <c r="CJ23" s="79">
        <f t="array" ref="CJ23">SUMIFS('Cắt lồng'!$AC$327:$AC$515,'Cắt lồng'!$AA$327:$AA$515,'Cắt lồng'!$AA23,'Cắt lồng'!$AE$327:$AE$515,'Cắt lồng'!CJ$4:CJ$4)</f>
        <v>0</v>
      </c>
      <c r="CK23" s="79">
        <f t="array" ref="CK23">SUMIFS('Cắt lồng'!$AH$327:$AH$515,'Cắt lồng'!$AA$327:$AA$515,'Cắt lồng'!$AA23,'Cắt lồng'!$AE$327:$AE$515,'Cắt lồng'!CK$4:CK$4)</f>
        <v>0</v>
      </c>
      <c r="CL23" s="78" t="e">
        <f t="shared" si="52"/>
        <v>#DIV/0!</v>
      </c>
      <c r="CM23" s="79">
        <f t="array" ref="CM23">SUMIFS('Cắt lồng'!$AC$327:$AC$515,'Cắt lồng'!$AA$327:$AA$515,'Cắt lồng'!$AA23,'Cắt lồng'!$AE$327:$AE$515,'Cắt lồng'!CM$4:CM$4)</f>
        <v>0</v>
      </c>
      <c r="CN23" s="79">
        <f t="array" ref="CN23">SUMIFS('Cắt lồng'!$AH$327:$AH$515,'Cắt lồng'!$AA$327:$AA$515,'Cắt lồng'!$AA23,'Cắt lồng'!$AE$327:$AE$515,'Cắt lồng'!CN$4:CN$4)</f>
        <v>0</v>
      </c>
      <c r="CO23" s="78" t="e">
        <f t="shared" si="53"/>
        <v>#DIV/0!</v>
      </c>
      <c r="CP23" s="79">
        <f t="array" ref="CP23">SUMIFS('Cắt lồng'!$AC$327:$AC$515,'Cắt lồng'!$AA$327:$AA$515,'Cắt lồng'!$AA23,'Cắt lồng'!$AE$327:$AE$515,'Cắt lồng'!CP$4:CP$4)</f>
        <v>0</v>
      </c>
      <c r="CQ23" s="79">
        <f t="array" ref="CQ23">SUMIFS('Cắt lồng'!$AH$327:$AH$515,'Cắt lồng'!$AA$327:$AA$515,'Cắt lồng'!$AA23,'Cắt lồng'!$AE$327:$AE$515,'Cắt lồng'!CQ$4:CQ$4)</f>
        <v>0</v>
      </c>
      <c r="CR23" s="78" t="e">
        <f t="shared" si="54"/>
        <v>#DIV/0!</v>
      </c>
      <c r="CS23" s="79">
        <f t="array" ref="CS23">SUMIFS('Cắt lồng'!$AC$327:$AC$515,'Cắt lồng'!$AA$327:$AA$515,'Cắt lồng'!$AA23,'Cắt lồng'!$AE$327:$AE$515,'Cắt lồng'!CS$4:CS$4)</f>
        <v>0</v>
      </c>
      <c r="CT23" s="79">
        <f t="array" ref="CT23">SUMIFS('Cắt lồng'!$AH$327:$AH$515,'Cắt lồng'!$AA$327:$AA$515,'Cắt lồng'!$AA23,'Cắt lồng'!$AE$327:$AE$515,'Cắt lồng'!CT$4:CT$4)</f>
        <v>0</v>
      </c>
      <c r="CU23" s="78" t="e">
        <f t="shared" si="55"/>
        <v>#DIV/0!</v>
      </c>
      <c r="CV23" s="79">
        <f t="array" ref="CV23">SUMIFS('Cắt lồng'!$AC$327:$AC$515,'Cắt lồng'!$AA$327:$AA$515,'Cắt lồng'!$AA23,'Cắt lồng'!$AE$327:$AE$515,'Cắt lồng'!CV$4:CV$4)</f>
        <v>0</v>
      </c>
      <c r="CW23" s="79">
        <f t="array" ref="CW23">SUMIFS('Cắt lồng'!$AH$327:$AH$515,'Cắt lồng'!$AA$327:$AA$515,'Cắt lồng'!$AA23,'Cắt lồng'!$AE$327:$AE$515,'Cắt lồng'!CW$4:CW$4)</f>
        <v>0</v>
      </c>
      <c r="CX23" s="78" t="e">
        <f t="shared" si="56"/>
        <v>#DIV/0!</v>
      </c>
      <c r="CY23" s="79">
        <f t="array" ref="CY23">SUMIFS('Cắt lồng'!$AC$327:$AC$515,'Cắt lồng'!$AA$327:$AA$515,'Cắt lồng'!$AA23,'Cắt lồng'!$AE$327:$AE$515,'Cắt lồng'!CY$4:CY$4)</f>
        <v>0</v>
      </c>
      <c r="CZ23" s="79">
        <f t="array" ref="CZ23">SUMIFS('Cắt lồng'!$AH$327:$AH$515,'Cắt lồng'!$AA$327:$AA$515,'Cắt lồng'!$AA23,'Cắt lồng'!$AE$327:$AE$515,'Cắt lồng'!CZ$4:CZ$4)</f>
        <v>0</v>
      </c>
      <c r="DA23" s="78" t="e">
        <f t="shared" si="57"/>
        <v>#DIV/0!</v>
      </c>
      <c r="DB23" s="79">
        <f t="array" ref="DB23">SUMIFS('Cắt lồng'!$AC$327:$AC$515,'Cắt lồng'!$AA$327:$AA$515,'Cắt lồng'!$AA23,'Cắt lồng'!$AE$327:$AE$515,'Cắt lồng'!DB$4:DB$4)</f>
        <v>0</v>
      </c>
      <c r="DC23" s="79">
        <f t="array" ref="DC23">SUMIFS('Cắt lồng'!$AH$327:$AH$515,'Cắt lồng'!$AA$327:$AA$515,'Cắt lồng'!$AA23,'Cắt lồng'!$AE$327:$AE$515,'Cắt lồng'!DC$4:DC$4)</f>
        <v>0</v>
      </c>
      <c r="DD23" s="78" t="e">
        <f t="shared" si="58"/>
        <v>#DIV/0!</v>
      </c>
      <c r="DE23" s="79">
        <f t="array" ref="DE23">SUMIFS('Cắt lồng'!$AC$327:$AC$515,'Cắt lồng'!$AA$327:$AA$515,'Cắt lồng'!$AA23,'Cắt lồng'!$AE$327:$AE$515,'Cắt lồng'!DE$4:DE$4)</f>
        <v>0</v>
      </c>
      <c r="DF23" s="79">
        <f t="array" ref="DF23">SUMIFS('Cắt lồng'!$AH$327:$AH$515,'Cắt lồng'!$AA$327:$AA$515,'Cắt lồng'!$AA23,'Cắt lồng'!$AE$327:$AE$515,'Cắt lồng'!DF$4:DF$4)</f>
        <v>0</v>
      </c>
      <c r="DG23" s="78" t="e">
        <f t="shared" si="59"/>
        <v>#DIV/0!</v>
      </c>
      <c r="DH23" s="79">
        <f t="array" ref="DH23">SUMIFS('Cắt lồng'!$AC$327:$AC$515,'Cắt lồng'!$AA$327:$AA$515,'Cắt lồng'!$AA23,'Cắt lồng'!$AE$327:$AE$515,'Cắt lồng'!DH$4:DH$4)</f>
        <v>0</v>
      </c>
      <c r="DI23" s="79">
        <f t="array" ref="DI23">SUMIFS('Cắt lồng'!$AH$327:$AH$515,'Cắt lồng'!$AA$327:$AA$515,'Cắt lồng'!$AA23,'Cắt lồng'!$AE$327:$AE$515,'Cắt lồng'!DI$4:DI$4)</f>
        <v>0</v>
      </c>
      <c r="DJ23" s="78" t="e">
        <f t="shared" si="60"/>
        <v>#DIV/0!</v>
      </c>
      <c r="DK23" s="79">
        <f t="array" ref="DK23">SUMIFS('Cắt lồng'!$AC$327:$AC$515,'Cắt lồng'!$AA$327:$AA$515,'Cắt lồng'!$AA23,'Cắt lồng'!$AE$327:$AE$515,'Cắt lồng'!DK$4:DK$4)</f>
        <v>0</v>
      </c>
      <c r="DL23" s="79">
        <f t="array" ref="DL23">SUMIFS('Cắt lồng'!$AH$327:$AH$515,'Cắt lồng'!$AA$327:$AA$515,'Cắt lồng'!$AA23,'Cắt lồng'!$AE$327:$AE$515,'Cắt lồng'!DL$4:DL$4)</f>
        <v>0</v>
      </c>
      <c r="DM23" s="78" t="e">
        <f t="shared" si="61"/>
        <v>#DIV/0!</v>
      </c>
      <c r="DN23" s="79">
        <f>SUMIFS('Cắt lồng'!$AC$327:$AC$515,'Cắt lồng'!$AA$327:$AA$515,'Cắt lồng'!$AA23,'Cắt lồng'!$AE$327:$AE$515,'Cắt lồng'!DN$4:DN$4)</f>
        <v>0</v>
      </c>
      <c r="DO23" s="79">
        <f t="array" ref="DO23">SUMIFS('Cắt lồng'!$AH$327:$AH$515,'Cắt lồng'!$AA$327:$AA$515,'Cắt lồng'!$AA23,'Cắt lồng'!$AE$327:$AE$515,'Cắt lồng'!DO$4:DO$4)</f>
        <v>0</v>
      </c>
      <c r="DP23" s="78" t="e">
        <f t="shared" si="62"/>
        <v>#DIV/0!</v>
      </c>
      <c r="DQ23" s="79">
        <f t="array" ref="DQ23">SUMIFS('Cắt lồng'!$AC$327:$AC$515,'Cắt lồng'!$AA$327:$AA$515,'Cắt lồng'!$AA23,'Cắt lồng'!$AE$327:$AE$515,'Cắt lồng'!DQ$4:DQ$4)</f>
        <v>0</v>
      </c>
      <c r="DR23" s="79">
        <f t="array" ref="DR23">SUMIFS('Cắt lồng'!$AH$327:$AH$515,'Cắt lồng'!$AA$327:$AA$515,'Cắt lồng'!$AA23,'Cắt lồng'!$AE$327:$AE$515,'Cắt lồng'!DR$4:DR$4)</f>
        <v>0</v>
      </c>
      <c r="DS23" s="78" t="e">
        <f t="shared" si="63"/>
        <v>#DIV/0!</v>
      </c>
      <c r="DT23" s="79">
        <f t="array" ref="DT23">SUMIFS('Cắt lồng'!$AC$327:$AC$515,'Cắt lồng'!$AA$327:$AA$515,'Cắt lồng'!$AA23,'Cắt lồng'!$AE$327:$AE$515,'Cắt lồng'!DT$4:DT$4)</f>
        <v>0</v>
      </c>
      <c r="DU23" s="79">
        <f t="array" ref="DU23">SUMIFS('Cắt lồng'!$AH$327:$AH$515,'Cắt lồng'!$AA$327:$AA$515,'Cắt lồng'!$AA23,'Cắt lồng'!$AE$327:$AE$515,'Cắt lồng'!DU$4:DU$4)</f>
        <v>0</v>
      </c>
      <c r="DV23" s="78" t="e">
        <f t="shared" si="64"/>
        <v>#DIV/0!</v>
      </c>
      <c r="DW23" s="79">
        <f t="array" ref="DW23">SUMIFS('Cắt lồng'!$AC$327:$AC$515,'Cắt lồng'!$AA$327:$AA$515,'Cắt lồng'!$AA23,'Cắt lồng'!$AE$327:$AE$515,'Cắt lồng'!DW$4:DW$4)</f>
        <v>0</v>
      </c>
      <c r="DX23" s="79">
        <f t="array" ref="DX23">SUMIFS('Cắt lồng'!$AH$327:$AH$515,'Cắt lồng'!$AA$327:$AA$515,'Cắt lồng'!$AA23,'Cắt lồng'!$AE$327:$AE$515,'Cắt lồng'!DX$4:DX$4)</f>
        <v>0</v>
      </c>
      <c r="DY23" s="78" t="e">
        <f t="shared" si="65"/>
        <v>#DIV/0!</v>
      </c>
      <c r="DZ23" s="79">
        <f t="array" ref="DZ23">SUMIFS('Cắt lồng'!$AC$327:$AC$515,'Cắt lồng'!$AA$327:$AA$515,'Cắt lồng'!$AA23,'Cắt lồng'!$AE$327:$AE$515,'Cắt lồng'!DZ$4:DZ$4)</f>
        <v>0</v>
      </c>
      <c r="EA23" s="79">
        <f t="array" ref="EA23">SUMIFS('Cắt lồng'!$AH$327:$AH$515,'Cắt lồng'!$AA$327:$AA$515,'Cắt lồng'!$AA23,'Cắt lồng'!$AE$327:$AE$515,'Cắt lồng'!EA$4:EA$4)</f>
        <v>0</v>
      </c>
      <c r="EB23" s="78" t="e">
        <f t="shared" si="66"/>
        <v>#DIV/0!</v>
      </c>
      <c r="EC23" s="79">
        <f t="array" ref="EC23">SUMIFS('Cắt lồng'!$AC$327:$AC$515,'Cắt lồng'!$AA$327:$AA$515,'Cắt lồng'!$AA23,'Cắt lồng'!$AE$327:$AE$515,'Cắt lồng'!EC$4:EC$4)</f>
        <v>0</v>
      </c>
      <c r="ED23" s="79">
        <f t="array" ref="ED23">SUMIFS('Cắt lồng'!$AH$327:$AH$515,'Cắt lồng'!$AA$327:$AA$515,'Cắt lồng'!$AA23,'Cắt lồng'!$AE$327:$AE$515,'Cắt lồng'!ED$4:ED$4)</f>
        <v>0</v>
      </c>
      <c r="EE23" s="78" t="e">
        <f t="shared" si="67"/>
        <v>#DIV/0!</v>
      </c>
      <c r="EF23" s="79">
        <f t="array" ref="EF23">SUMIFS('Cắt lồng'!$AC$327:$AC$515,'Cắt lồng'!$AA$327:$AA$515,'Cắt lồng'!$AA23,'Cắt lồng'!$AE$327:$AE$515,'Cắt lồng'!EF$4:EF$4)</f>
        <v>0</v>
      </c>
      <c r="EG23" s="79">
        <f t="array" ref="EG23">SUMIFS('Cắt lồng'!$AH$327:$AH$515,'Cắt lồng'!$AA$327:$AA$515,'Cắt lồng'!$AA23,'Cắt lồng'!$AE$327:$AE$515,'Cắt lồng'!EG$4:EG$4)</f>
        <v>0</v>
      </c>
      <c r="EH23" s="78" t="e">
        <f t="shared" si="68"/>
        <v>#DIV/0!</v>
      </c>
      <c r="EI23" s="79">
        <f t="array" ref="EI23">SUMIFS('Cắt lồng'!$AC$327:$AC$515,'Cắt lồng'!$AA$327:$AA$515,'Cắt lồng'!$AA23,'Cắt lồng'!$AE$327:$AE$515,'Cắt lồng'!EI$4:EI$4)</f>
        <v>0</v>
      </c>
      <c r="EJ23" s="79">
        <f t="array" ref="EJ23">SUMIFS('Cắt lồng'!$AH$327:$AH$515,'Cắt lồng'!$AA$327:$AA$515,'Cắt lồng'!$AA23,'Cắt lồng'!$AE$327:$AE$515,'Cắt lồng'!EJ$4:EJ$4)</f>
        <v>0</v>
      </c>
      <c r="EK23" s="78" t="e">
        <f t="shared" si="69"/>
        <v>#DIV/0!</v>
      </c>
    </row>
    <row r="24" spans="1:141" s="12" customFormat="1" ht="14.25" hidden="1" customHeight="1">
      <c r="A24" s="25">
        <v>19</v>
      </c>
      <c r="B24" s="198"/>
      <c r="C24" s="198" t="s">
        <v>11</v>
      </c>
      <c r="D24" s="65" t="e">
        <f t="shared" ref="D24:E26" si="72">+AB24</f>
        <v>#VALUE!</v>
      </c>
      <c r="E24" s="200">
        <f t="shared" si="72"/>
        <v>16112</v>
      </c>
      <c r="F24" s="199"/>
      <c r="G24" s="82">
        <f t="shared" si="1"/>
        <v>0</v>
      </c>
      <c r="H24" s="81">
        <f t="shared" si="2"/>
        <v>9.17</v>
      </c>
      <c r="I24" s="19">
        <f t="shared" si="3"/>
        <v>2</v>
      </c>
      <c r="J24" s="11">
        <f t="shared" si="4"/>
        <v>2</v>
      </c>
      <c r="K24" s="19">
        <f t="shared" si="5"/>
        <v>0</v>
      </c>
      <c r="L24" s="19">
        <f t="shared" si="6"/>
        <v>0</v>
      </c>
      <c r="M24" s="19">
        <f t="shared" si="7"/>
        <v>0</v>
      </c>
      <c r="N24" s="19">
        <f t="shared" si="8"/>
        <v>0.5</v>
      </c>
      <c r="O24" s="19">
        <f t="shared" si="9"/>
        <v>0</v>
      </c>
      <c r="P24" s="19">
        <f t="shared" si="10"/>
        <v>0</v>
      </c>
      <c r="Q24" s="19">
        <f t="shared" si="11"/>
        <v>0</v>
      </c>
      <c r="R24" s="19">
        <f t="shared" si="12"/>
        <v>0</v>
      </c>
      <c r="S24" s="19">
        <f t="shared" si="13"/>
        <v>0</v>
      </c>
      <c r="T24" s="19">
        <f t="shared" si="14"/>
        <v>1.33</v>
      </c>
      <c r="U24" s="19">
        <f t="shared" si="15"/>
        <v>0</v>
      </c>
      <c r="V24" s="19">
        <f t="shared" si="16"/>
        <v>0</v>
      </c>
      <c r="W24" s="19">
        <f t="shared" si="17"/>
        <v>0</v>
      </c>
      <c r="X24" s="19">
        <f t="shared" si="18"/>
        <v>0.17</v>
      </c>
      <c r="Y24" s="19">
        <f t="shared" si="19"/>
        <v>0</v>
      </c>
      <c r="Z24" s="19">
        <f t="shared" si="20"/>
        <v>0</v>
      </c>
      <c r="AA24" s="20" t="s">
        <v>11</v>
      </c>
      <c r="AB24" s="129" t="e">
        <f t="shared" si="21"/>
        <v>#VALUE!</v>
      </c>
      <c r="AC24" s="129">
        <f t="shared" si="22"/>
        <v>16112</v>
      </c>
      <c r="AD24" s="128" t="e">
        <f t="shared" si="23"/>
        <v>#VALUE!</v>
      </c>
      <c r="AE24" s="42"/>
      <c r="AF24" s="127">
        <f t="shared" si="24"/>
        <v>1757.0338058887678</v>
      </c>
      <c r="AG24" s="127"/>
      <c r="AH24" s="127">
        <f t="shared" si="25"/>
        <v>0</v>
      </c>
      <c r="AI24" s="54">
        <f t="shared" si="26"/>
        <v>0</v>
      </c>
      <c r="AJ24" s="25">
        <f t="shared" si="27"/>
        <v>0</v>
      </c>
      <c r="AK24" s="25">
        <f t="shared" si="28"/>
        <v>0</v>
      </c>
      <c r="AL24" s="25">
        <f t="shared" si="29"/>
        <v>0</v>
      </c>
      <c r="AM24" s="20">
        <f t="shared" si="30"/>
        <v>0</v>
      </c>
      <c r="AN24" s="20">
        <f t="shared" si="31"/>
        <v>0</v>
      </c>
      <c r="AO24" s="20">
        <f t="shared" si="32"/>
        <v>0</v>
      </c>
      <c r="AP24" s="20">
        <f t="shared" si="33"/>
        <v>0</v>
      </c>
      <c r="AQ24" s="20">
        <f t="shared" si="34"/>
        <v>0</v>
      </c>
      <c r="AR24" s="20">
        <f t="shared" si="35"/>
        <v>0</v>
      </c>
      <c r="AS24" s="20">
        <f t="shared" si="36"/>
        <v>0</v>
      </c>
      <c r="AT24" s="20">
        <f t="shared" si="37"/>
        <v>0</v>
      </c>
      <c r="AV24" s="79">
        <f t="shared" si="38"/>
        <v>9.17</v>
      </c>
      <c r="AW24" s="79">
        <f t="array" ref="AW24">SUMIFS('Cắt lồng'!$AC$327:$AC$515,'Cắt lồng'!$AA$327:$AA$515,'Cắt lồng'!$AA24,'Cắt lồng'!$AE$327:$AE$515,'Cắt lồng'!AW$4:AW$4)</f>
        <v>16112</v>
      </c>
      <c r="AX24" s="79">
        <f t="array" ref="AX24">SUMIFS('Cắt lồng'!$AH$327:$AH$515,'Cắt lồng'!$AA$327:$AA$515,'Cắt lồng'!$AA24,'Cắt lồng'!$AE$327:$AE$515,'Cắt lồng'!AX$4:AX$4)</f>
        <v>0</v>
      </c>
      <c r="AY24" s="78">
        <f t="shared" si="39"/>
        <v>0</v>
      </c>
      <c r="AZ24" s="79">
        <f t="array" ref="AZ24">SUMIFS('Cắt lồng'!$AC$327:$AC$515,'Cắt lồng'!$AA$327:$AA$515,'Cắt lồng'!$AA24,'Cắt lồng'!$AE$327:$AE$515,'Cắt lồng'!AZ$4:AZ$4)</f>
        <v>0</v>
      </c>
      <c r="BA24" s="79">
        <f t="array" ref="BA24">SUMIFS('Cắt lồng'!$AH$327:$AH$515,'Cắt lồng'!$AA$327:$AA$515,'Cắt lồng'!$AA24,'Cắt lồng'!$AE$327:$AE$515,'Cắt lồng'!BA$4:BA$4)</f>
        <v>0</v>
      </c>
      <c r="BB24" s="78" t="e">
        <f t="shared" si="40"/>
        <v>#DIV/0!</v>
      </c>
      <c r="BC24" s="79">
        <f t="array" ref="BC24">SUMIFS('Cắt lồng'!$AC$327:$AC$515,'Cắt lồng'!$AA$327:$AA$515,'Cắt lồng'!$AA24,'Cắt lồng'!$AE$327:$AE$515,'Cắt lồng'!BC$4:BC$4)</f>
        <v>0</v>
      </c>
      <c r="BD24" s="79">
        <f t="array" ref="BD24">SUMIFS('Cắt lồng'!$AH$327:$AH$515,'Cắt lồng'!$AA$327:$AA$515,'Cắt lồng'!$AA24,'Cắt lồng'!$AE$327:$AE$515,'Cắt lồng'!BD$4:BD$4)</f>
        <v>0</v>
      </c>
      <c r="BE24" s="78" t="e">
        <f t="shared" si="41"/>
        <v>#DIV/0!</v>
      </c>
      <c r="BF24" s="79">
        <f t="array" ref="BF24">SUMIFS('Cắt lồng'!$AC$327:$AC$515,'Cắt lồng'!$AA$327:$AA$515,'Cắt lồng'!$AA24,'Cắt lồng'!$AE$327:$AE$515,'Cắt lồng'!BF$4:BF$4)</f>
        <v>0</v>
      </c>
      <c r="BG24" s="79">
        <f t="array" ref="BG24">SUMIFS('Cắt lồng'!$AH$327:$AH$515,'Cắt lồng'!$AA$327:$AA$515,'Cắt lồng'!$AA24,'Cắt lồng'!$AE$327:$AE$515,'Cắt lồng'!BG$4:BG$4)</f>
        <v>0</v>
      </c>
      <c r="BH24" s="78" t="e">
        <f t="shared" si="42"/>
        <v>#DIV/0!</v>
      </c>
      <c r="BI24" s="79">
        <f t="array" ref="BI24">SUMIFS('Cắt lồng'!$AC$327:$AC$515,'Cắt lồng'!$AA$327:$AA$515,'Cắt lồng'!$AA24,'Cắt lồng'!$AE$327:$AE$515,'Cắt lồng'!BI$4:BI$4)</f>
        <v>0</v>
      </c>
      <c r="BJ24" s="79">
        <f t="array" ref="BJ24">SUMIFS('Cắt lồng'!$AH$327:$AH$515,'Cắt lồng'!$AA$327:$AA$515,'Cắt lồng'!$AA24,'Cắt lồng'!$AE$327:$AE$515,'Cắt lồng'!BJ$4:BJ$4)</f>
        <v>0</v>
      </c>
      <c r="BK24" s="78" t="e">
        <f t="shared" si="43"/>
        <v>#DIV/0!</v>
      </c>
      <c r="BL24" s="79">
        <f t="array" ref="BL24">SUMIFS('Cắt lồng'!$AC$327:$AC$515,'Cắt lồng'!$AA$327:$AA$515,'Cắt lồng'!$AA24,'Cắt lồng'!$AE$327:$AE$515,'Cắt lồng'!BL$4:BL$4)</f>
        <v>0</v>
      </c>
      <c r="BM24" s="79">
        <f t="array" ref="BM24">SUMIFS('Cắt lồng'!$AH$327:$AH$515,'Cắt lồng'!$AA$327:$AA$515,'Cắt lồng'!$AA24,'Cắt lồng'!$AE$327:$AE$515,'Cắt lồng'!BM$4:BM$4)</f>
        <v>0</v>
      </c>
      <c r="BN24" s="78" t="e">
        <f t="shared" si="44"/>
        <v>#DIV/0!</v>
      </c>
      <c r="BO24" s="79">
        <f t="array" ref="BO24">SUMIFS('Cắt lồng'!$AC$327:$AC$515,'Cắt lồng'!$AA$327:$AA$515,'Cắt lồng'!$AA24,'Cắt lồng'!$AE$327:$AE$515,'Cắt lồng'!BO$4:BO$4)</f>
        <v>0</v>
      </c>
      <c r="BP24" s="79">
        <f t="array" ref="BP24">SUMIFS('Cắt lồng'!$AH$327:$AH$515,'Cắt lồng'!$AA$327:$AA$515,'Cắt lồng'!$AA24,'Cắt lồng'!$AE$327:$AE$515,'Cắt lồng'!BP$4:BP$4)</f>
        <v>0</v>
      </c>
      <c r="BQ24" s="78" t="e">
        <f t="shared" si="45"/>
        <v>#DIV/0!</v>
      </c>
      <c r="BR24" s="79">
        <f t="array" ref="BR24">SUMIFS('Cắt lồng'!$AC$327:$AC$515,'Cắt lồng'!$AA$327:$AA$515,'Cắt lồng'!$AA24,'Cắt lồng'!$AE$327:$AE$515,'Cắt lồng'!BR$4:BR$4)</f>
        <v>0</v>
      </c>
      <c r="BS24" s="79">
        <f t="array" ref="BS24">SUMIFS('Cắt lồng'!$AH$327:$AH$515,'Cắt lồng'!$AA$327:$AA$515,'Cắt lồng'!$AA24,'Cắt lồng'!$AE$327:$AE$515,'Cắt lồng'!BS$4:BS$4)</f>
        <v>0</v>
      </c>
      <c r="BT24" s="78" t="e">
        <f t="shared" si="46"/>
        <v>#DIV/0!</v>
      </c>
      <c r="BU24" s="79">
        <f t="array" ref="BU24">SUMIFS('Cắt lồng'!$AC$327:$AC$515,'Cắt lồng'!$AA$327:$AA$515,'Cắt lồng'!$AA24,'Cắt lồng'!$AE$327:$AE$515,'Cắt lồng'!BU$4:BU$4)</f>
        <v>0</v>
      </c>
      <c r="BV24" s="79">
        <f t="array" ref="BV24">SUMIFS('Cắt lồng'!$AH$327:$AH$515,'Cắt lồng'!$AA$327:$AA$515,'Cắt lồng'!$AA24,'Cắt lồng'!$AE$327:$AE$515,'Cắt lồng'!BV$4:BV$4)</f>
        <v>0</v>
      </c>
      <c r="BW24" s="78" t="e">
        <f t="shared" si="47"/>
        <v>#DIV/0!</v>
      </c>
      <c r="BX24" s="79">
        <f t="array" ref="BX24">SUMIFS('Cắt lồng'!$AC$327:$AC$515,'Cắt lồng'!$AA$327:$AA$515,'Cắt lồng'!$AA24,'Cắt lồng'!$AE$327:$AE$515,'Cắt lồng'!BX$4:BX$4)</f>
        <v>0</v>
      </c>
      <c r="BY24" s="79">
        <f t="array" ref="BY24">SUMIFS('Cắt lồng'!$AH$327:$AH$515,'Cắt lồng'!$AA$327:$AA$515,'Cắt lồng'!$AA24,'Cắt lồng'!$AE$327:$AE$515,'Cắt lồng'!BY$4:BY$4)</f>
        <v>0</v>
      </c>
      <c r="BZ24" s="78" t="e">
        <f t="shared" si="48"/>
        <v>#DIV/0!</v>
      </c>
      <c r="CA24" s="79">
        <f t="array" ref="CA24">SUMIFS('Cắt lồng'!$AC$327:$AC$515,'Cắt lồng'!$AA$327:$AA$515,'Cắt lồng'!$AA24,'Cắt lồng'!$AE$327:$AE$515,'Cắt lồng'!CA$4:CA$4)</f>
        <v>0</v>
      </c>
      <c r="CB24" s="79">
        <f t="array" ref="CB24">SUMIFS('Cắt lồng'!$AH$327:$AH$515,'Cắt lồng'!$AA$327:$AA$515,'Cắt lồng'!$AA24,'Cắt lồng'!$AE$327:$AE$515,'Cắt lồng'!CB$4:CB$4)</f>
        <v>0</v>
      </c>
      <c r="CC24" s="78" t="e">
        <f t="shared" si="49"/>
        <v>#DIV/0!</v>
      </c>
      <c r="CD24" s="79">
        <f t="array" ref="CD24">SUMIFS('Cắt lồng'!$AC$327:$AC$515,'Cắt lồng'!$AA$327:$AA$515,'Cắt lồng'!$AA24,'Cắt lồng'!$AE$327:$AE$515,'Cắt lồng'!CD$4:CD$4)</f>
        <v>0</v>
      </c>
      <c r="CE24" s="79">
        <f t="array" ref="CE24">SUMIFS('Cắt lồng'!$AH$327:$AH$515,'Cắt lồng'!$AA$327:$AA$515,'Cắt lồng'!$AA24,'Cắt lồng'!$AE$327:$AE$515,'Cắt lồng'!CE$4:CE$4)</f>
        <v>0</v>
      </c>
      <c r="CF24" s="78" t="e">
        <f t="shared" si="50"/>
        <v>#DIV/0!</v>
      </c>
      <c r="CG24" s="79">
        <f t="array" ref="CG24">SUMIFS('Cắt lồng'!$AC$327:$AC$515,'Cắt lồng'!$AA$327:$AA$515,'Cắt lồng'!$AA24,'Cắt lồng'!$AE$327:$AE$515,'Cắt lồng'!CG$4:CG$4)</f>
        <v>0</v>
      </c>
      <c r="CH24" s="79">
        <f t="array" ref="CH24">SUMIFS('Cắt lồng'!$AH$327:$AH$515,'Cắt lồng'!$AA$327:$AA$515,'Cắt lồng'!$AA24,'Cắt lồng'!$AE$327:$AE$515,'Cắt lồng'!CH$4:CH$4)</f>
        <v>0</v>
      </c>
      <c r="CI24" s="78" t="e">
        <f t="shared" si="51"/>
        <v>#DIV/0!</v>
      </c>
      <c r="CJ24" s="79">
        <f t="array" ref="CJ24">SUMIFS('Cắt lồng'!$AC$327:$AC$515,'Cắt lồng'!$AA$327:$AA$515,'Cắt lồng'!$AA24,'Cắt lồng'!$AE$327:$AE$515,'Cắt lồng'!CJ$4:CJ$4)</f>
        <v>0</v>
      </c>
      <c r="CK24" s="79">
        <f t="array" ref="CK24">SUMIFS('Cắt lồng'!$AH$327:$AH$515,'Cắt lồng'!$AA$327:$AA$515,'Cắt lồng'!$AA24,'Cắt lồng'!$AE$327:$AE$515,'Cắt lồng'!CK$4:CK$4)</f>
        <v>0</v>
      </c>
      <c r="CL24" s="78" t="e">
        <f t="shared" si="52"/>
        <v>#DIV/0!</v>
      </c>
      <c r="CM24" s="79">
        <f t="array" ref="CM24">SUMIFS('Cắt lồng'!$AC$327:$AC$515,'Cắt lồng'!$AA$327:$AA$515,'Cắt lồng'!$AA24,'Cắt lồng'!$AE$327:$AE$515,'Cắt lồng'!CM$4:CM$4)</f>
        <v>0</v>
      </c>
      <c r="CN24" s="79">
        <f t="array" ref="CN24">SUMIFS('Cắt lồng'!$AH$327:$AH$515,'Cắt lồng'!$AA$327:$AA$515,'Cắt lồng'!$AA24,'Cắt lồng'!$AE$327:$AE$515,'Cắt lồng'!CN$4:CN$4)</f>
        <v>0</v>
      </c>
      <c r="CO24" s="78" t="e">
        <f t="shared" si="53"/>
        <v>#DIV/0!</v>
      </c>
      <c r="CP24" s="79">
        <f t="array" ref="CP24">SUMIFS('Cắt lồng'!$AC$327:$AC$515,'Cắt lồng'!$AA$327:$AA$515,'Cắt lồng'!$AA24,'Cắt lồng'!$AE$327:$AE$515,'Cắt lồng'!CP$4:CP$4)</f>
        <v>0</v>
      </c>
      <c r="CQ24" s="79">
        <f t="array" ref="CQ24">SUMIFS('Cắt lồng'!$AH$327:$AH$515,'Cắt lồng'!$AA$327:$AA$515,'Cắt lồng'!$AA24,'Cắt lồng'!$AE$327:$AE$515,'Cắt lồng'!CQ$4:CQ$4)</f>
        <v>0</v>
      </c>
      <c r="CR24" s="78" t="e">
        <f t="shared" si="54"/>
        <v>#DIV/0!</v>
      </c>
      <c r="CS24" s="79">
        <f t="array" ref="CS24">SUMIFS('Cắt lồng'!$AC$327:$AC$515,'Cắt lồng'!$AA$327:$AA$515,'Cắt lồng'!$AA24,'Cắt lồng'!$AE$327:$AE$515,'Cắt lồng'!CS$4:CS$4)</f>
        <v>0</v>
      </c>
      <c r="CT24" s="79">
        <f t="array" ref="CT24">SUMIFS('Cắt lồng'!$AH$327:$AH$515,'Cắt lồng'!$AA$327:$AA$515,'Cắt lồng'!$AA24,'Cắt lồng'!$AE$327:$AE$515,'Cắt lồng'!CT$4:CT$4)</f>
        <v>0</v>
      </c>
      <c r="CU24" s="78" t="e">
        <f t="shared" si="55"/>
        <v>#DIV/0!</v>
      </c>
      <c r="CV24" s="79">
        <f t="array" ref="CV24">SUMIFS('Cắt lồng'!$AC$327:$AC$515,'Cắt lồng'!$AA$327:$AA$515,'Cắt lồng'!$AA24,'Cắt lồng'!$AE$327:$AE$515,'Cắt lồng'!CV$4:CV$4)</f>
        <v>0</v>
      </c>
      <c r="CW24" s="79">
        <f t="array" ref="CW24">SUMIFS('Cắt lồng'!$AH$327:$AH$515,'Cắt lồng'!$AA$327:$AA$515,'Cắt lồng'!$AA24,'Cắt lồng'!$AE$327:$AE$515,'Cắt lồng'!CW$4:CW$4)</f>
        <v>0</v>
      </c>
      <c r="CX24" s="78" t="e">
        <f t="shared" si="56"/>
        <v>#DIV/0!</v>
      </c>
      <c r="CY24" s="79">
        <f t="array" ref="CY24">SUMIFS('Cắt lồng'!$AC$327:$AC$515,'Cắt lồng'!$AA$327:$AA$515,'Cắt lồng'!$AA24,'Cắt lồng'!$AE$327:$AE$515,'Cắt lồng'!CY$4:CY$4)</f>
        <v>0</v>
      </c>
      <c r="CZ24" s="79">
        <f t="array" ref="CZ24">SUMIFS('Cắt lồng'!$AH$327:$AH$515,'Cắt lồng'!$AA$327:$AA$515,'Cắt lồng'!$AA24,'Cắt lồng'!$AE$327:$AE$515,'Cắt lồng'!CZ$4:CZ$4)</f>
        <v>0</v>
      </c>
      <c r="DA24" s="78" t="e">
        <f t="shared" si="57"/>
        <v>#DIV/0!</v>
      </c>
      <c r="DB24" s="79">
        <f t="array" ref="DB24">SUMIFS('Cắt lồng'!$AC$327:$AC$515,'Cắt lồng'!$AA$327:$AA$515,'Cắt lồng'!$AA24,'Cắt lồng'!$AE$327:$AE$515,'Cắt lồng'!DB$4:DB$4)</f>
        <v>0</v>
      </c>
      <c r="DC24" s="79">
        <f t="array" ref="DC24">SUMIFS('Cắt lồng'!$AH$327:$AH$515,'Cắt lồng'!$AA$327:$AA$515,'Cắt lồng'!$AA24,'Cắt lồng'!$AE$327:$AE$515,'Cắt lồng'!DC$4:DC$4)</f>
        <v>0</v>
      </c>
      <c r="DD24" s="78" t="e">
        <f t="shared" si="58"/>
        <v>#DIV/0!</v>
      </c>
      <c r="DE24" s="79">
        <f t="array" ref="DE24">SUMIFS('Cắt lồng'!$AC$327:$AC$515,'Cắt lồng'!$AA$327:$AA$515,'Cắt lồng'!$AA24,'Cắt lồng'!$AE$327:$AE$515,'Cắt lồng'!DE$4:DE$4)</f>
        <v>0</v>
      </c>
      <c r="DF24" s="79">
        <f t="array" ref="DF24">SUMIFS('Cắt lồng'!$AH$327:$AH$515,'Cắt lồng'!$AA$327:$AA$515,'Cắt lồng'!$AA24,'Cắt lồng'!$AE$327:$AE$515,'Cắt lồng'!DF$4:DF$4)</f>
        <v>0</v>
      </c>
      <c r="DG24" s="78" t="e">
        <f t="shared" si="59"/>
        <v>#DIV/0!</v>
      </c>
      <c r="DH24" s="79">
        <f t="array" ref="DH24">SUMIFS('Cắt lồng'!$AC$327:$AC$515,'Cắt lồng'!$AA$327:$AA$515,'Cắt lồng'!$AA24,'Cắt lồng'!$AE$327:$AE$515,'Cắt lồng'!DH$4:DH$4)</f>
        <v>0</v>
      </c>
      <c r="DI24" s="79">
        <f t="array" ref="DI24">SUMIFS('Cắt lồng'!$AH$327:$AH$515,'Cắt lồng'!$AA$327:$AA$515,'Cắt lồng'!$AA24,'Cắt lồng'!$AE$327:$AE$515,'Cắt lồng'!DI$4:DI$4)</f>
        <v>0</v>
      </c>
      <c r="DJ24" s="78" t="e">
        <f t="shared" si="60"/>
        <v>#DIV/0!</v>
      </c>
      <c r="DK24" s="79">
        <f t="array" ref="DK24">SUMIFS('Cắt lồng'!$AC$327:$AC$515,'Cắt lồng'!$AA$327:$AA$515,'Cắt lồng'!$AA24,'Cắt lồng'!$AE$327:$AE$515,'Cắt lồng'!DK$4:DK$4)</f>
        <v>0</v>
      </c>
      <c r="DL24" s="79">
        <f t="array" ref="DL24">SUMIFS('Cắt lồng'!$AH$327:$AH$515,'Cắt lồng'!$AA$327:$AA$515,'Cắt lồng'!$AA24,'Cắt lồng'!$AE$327:$AE$515,'Cắt lồng'!DL$4:DL$4)</f>
        <v>0</v>
      </c>
      <c r="DM24" s="78" t="e">
        <f t="shared" si="61"/>
        <v>#DIV/0!</v>
      </c>
      <c r="DN24" s="79">
        <f>SUMIFS('Cắt lồng'!$AC$327:$AC$515,'Cắt lồng'!$AA$327:$AA$515,'Cắt lồng'!$AA24,'Cắt lồng'!$AE$327:$AE$515,'Cắt lồng'!DN$4:DN$4)</f>
        <v>0</v>
      </c>
      <c r="DO24" s="79">
        <f t="array" ref="DO24">SUMIFS('Cắt lồng'!$AH$327:$AH$515,'Cắt lồng'!$AA$327:$AA$515,'Cắt lồng'!$AA24,'Cắt lồng'!$AE$327:$AE$515,'Cắt lồng'!DO$4:DO$4)</f>
        <v>0</v>
      </c>
      <c r="DP24" s="78" t="e">
        <f t="shared" si="62"/>
        <v>#DIV/0!</v>
      </c>
      <c r="DQ24" s="79">
        <f t="array" ref="DQ24">SUMIFS('Cắt lồng'!$AC$327:$AC$515,'Cắt lồng'!$AA$327:$AA$515,'Cắt lồng'!$AA24,'Cắt lồng'!$AE$327:$AE$515,'Cắt lồng'!DQ$4:DQ$4)</f>
        <v>0</v>
      </c>
      <c r="DR24" s="79">
        <f t="array" ref="DR24">SUMIFS('Cắt lồng'!$AH$327:$AH$515,'Cắt lồng'!$AA$327:$AA$515,'Cắt lồng'!$AA24,'Cắt lồng'!$AE$327:$AE$515,'Cắt lồng'!DR$4:DR$4)</f>
        <v>0</v>
      </c>
      <c r="DS24" s="78" t="e">
        <f t="shared" si="63"/>
        <v>#DIV/0!</v>
      </c>
      <c r="DT24" s="79">
        <f t="array" ref="DT24">SUMIFS('Cắt lồng'!$AC$327:$AC$515,'Cắt lồng'!$AA$327:$AA$515,'Cắt lồng'!$AA24,'Cắt lồng'!$AE$327:$AE$515,'Cắt lồng'!DT$4:DT$4)</f>
        <v>0</v>
      </c>
      <c r="DU24" s="79">
        <f t="array" ref="DU24">SUMIFS('Cắt lồng'!$AH$327:$AH$515,'Cắt lồng'!$AA$327:$AA$515,'Cắt lồng'!$AA24,'Cắt lồng'!$AE$327:$AE$515,'Cắt lồng'!DU$4:DU$4)</f>
        <v>0</v>
      </c>
      <c r="DV24" s="78" t="e">
        <f t="shared" si="64"/>
        <v>#DIV/0!</v>
      </c>
      <c r="DW24" s="79">
        <f t="array" ref="DW24">SUMIFS('Cắt lồng'!$AC$327:$AC$515,'Cắt lồng'!$AA$327:$AA$515,'Cắt lồng'!$AA24,'Cắt lồng'!$AE$327:$AE$515,'Cắt lồng'!DW$4:DW$4)</f>
        <v>0</v>
      </c>
      <c r="DX24" s="79">
        <f t="array" ref="DX24">SUMIFS('Cắt lồng'!$AH$327:$AH$515,'Cắt lồng'!$AA$327:$AA$515,'Cắt lồng'!$AA24,'Cắt lồng'!$AE$327:$AE$515,'Cắt lồng'!DX$4:DX$4)</f>
        <v>0</v>
      </c>
      <c r="DY24" s="78" t="e">
        <f t="shared" si="65"/>
        <v>#DIV/0!</v>
      </c>
      <c r="DZ24" s="79">
        <f t="array" ref="DZ24">SUMIFS('Cắt lồng'!$AC$327:$AC$515,'Cắt lồng'!$AA$327:$AA$515,'Cắt lồng'!$AA24,'Cắt lồng'!$AE$327:$AE$515,'Cắt lồng'!DZ$4:DZ$4)</f>
        <v>0</v>
      </c>
      <c r="EA24" s="79">
        <f t="array" ref="EA24">SUMIFS('Cắt lồng'!$AH$327:$AH$515,'Cắt lồng'!$AA$327:$AA$515,'Cắt lồng'!$AA24,'Cắt lồng'!$AE$327:$AE$515,'Cắt lồng'!EA$4:EA$4)</f>
        <v>0</v>
      </c>
      <c r="EB24" s="78" t="e">
        <f t="shared" si="66"/>
        <v>#DIV/0!</v>
      </c>
      <c r="EC24" s="79">
        <f t="array" ref="EC24">SUMIFS('Cắt lồng'!$AC$327:$AC$515,'Cắt lồng'!$AA$327:$AA$515,'Cắt lồng'!$AA24,'Cắt lồng'!$AE$327:$AE$515,'Cắt lồng'!EC$4:EC$4)</f>
        <v>0</v>
      </c>
      <c r="ED24" s="79">
        <f t="array" ref="ED24">SUMIFS('Cắt lồng'!$AH$327:$AH$515,'Cắt lồng'!$AA$327:$AA$515,'Cắt lồng'!$AA24,'Cắt lồng'!$AE$327:$AE$515,'Cắt lồng'!ED$4:ED$4)</f>
        <v>0</v>
      </c>
      <c r="EE24" s="78" t="e">
        <f t="shared" si="67"/>
        <v>#DIV/0!</v>
      </c>
      <c r="EF24" s="79">
        <f t="array" ref="EF24">SUMIFS('Cắt lồng'!$AC$327:$AC$515,'Cắt lồng'!$AA$327:$AA$515,'Cắt lồng'!$AA24,'Cắt lồng'!$AE$327:$AE$515,'Cắt lồng'!EF$4:EF$4)</f>
        <v>0</v>
      </c>
      <c r="EG24" s="79">
        <f t="array" ref="EG24">SUMIFS('Cắt lồng'!$AH$327:$AH$515,'Cắt lồng'!$AA$327:$AA$515,'Cắt lồng'!$AA24,'Cắt lồng'!$AE$327:$AE$515,'Cắt lồng'!EG$4:EG$4)</f>
        <v>0</v>
      </c>
      <c r="EH24" s="78" t="e">
        <f t="shared" si="68"/>
        <v>#DIV/0!</v>
      </c>
      <c r="EI24" s="79">
        <f t="array" ref="EI24">SUMIFS('Cắt lồng'!$AC$327:$AC$515,'Cắt lồng'!$AA$327:$AA$515,'Cắt lồng'!$AA24,'Cắt lồng'!$AE$327:$AE$515,'Cắt lồng'!EI$4:EI$4)</f>
        <v>0</v>
      </c>
      <c r="EJ24" s="79">
        <f t="array" ref="EJ24">SUMIFS('Cắt lồng'!$AH$327:$AH$515,'Cắt lồng'!$AA$327:$AA$515,'Cắt lồng'!$AA24,'Cắt lồng'!$AE$327:$AE$515,'Cắt lồng'!EJ$4:EJ$4)</f>
        <v>0</v>
      </c>
      <c r="EK24" s="78" t="e">
        <f t="shared" si="69"/>
        <v>#DIV/0!</v>
      </c>
    </row>
    <row r="25" spans="1:141" s="12" customFormat="1" ht="14.25" hidden="1" customHeight="1">
      <c r="A25" s="25">
        <v>20</v>
      </c>
      <c r="B25" s="198"/>
      <c r="C25" s="198" t="s">
        <v>265</v>
      </c>
      <c r="D25" s="65">
        <f t="shared" si="72"/>
        <v>0</v>
      </c>
      <c r="E25" s="200">
        <f t="shared" si="72"/>
        <v>0</v>
      </c>
      <c r="F25" s="199"/>
      <c r="G25" s="82">
        <f t="shared" si="1"/>
        <v>0</v>
      </c>
      <c r="H25" s="81">
        <f t="shared" si="2"/>
        <v>0</v>
      </c>
      <c r="I25" s="19">
        <f t="shared" si="3"/>
        <v>0</v>
      </c>
      <c r="J25" s="11">
        <f t="shared" si="4"/>
        <v>0</v>
      </c>
      <c r="K25" s="19">
        <f t="shared" si="5"/>
        <v>0</v>
      </c>
      <c r="L25" s="19">
        <f t="shared" si="6"/>
        <v>0</v>
      </c>
      <c r="M25" s="19">
        <f t="shared" si="7"/>
        <v>0</v>
      </c>
      <c r="N25" s="19">
        <f t="shared" si="8"/>
        <v>0</v>
      </c>
      <c r="O25" s="19">
        <f t="shared" si="9"/>
        <v>0</v>
      </c>
      <c r="P25" s="19">
        <f t="shared" si="10"/>
        <v>0</v>
      </c>
      <c r="Q25" s="19">
        <f t="shared" si="11"/>
        <v>0</v>
      </c>
      <c r="R25" s="19">
        <f t="shared" si="12"/>
        <v>0</v>
      </c>
      <c r="S25" s="19">
        <f t="shared" si="13"/>
        <v>0</v>
      </c>
      <c r="T25" s="19">
        <f t="shared" si="14"/>
        <v>0</v>
      </c>
      <c r="U25" s="19">
        <f t="shared" si="15"/>
        <v>0</v>
      </c>
      <c r="V25" s="19">
        <f t="shared" si="16"/>
        <v>0</v>
      </c>
      <c r="W25" s="19">
        <f t="shared" si="17"/>
        <v>0</v>
      </c>
      <c r="X25" s="19">
        <f t="shared" si="18"/>
        <v>0</v>
      </c>
      <c r="Y25" s="19">
        <f t="shared" si="19"/>
        <v>0</v>
      </c>
      <c r="Z25" s="19">
        <f t="shared" si="20"/>
        <v>0</v>
      </c>
      <c r="AA25" s="20" t="s">
        <v>265</v>
      </c>
      <c r="AB25" s="129">
        <f t="shared" si="21"/>
        <v>0</v>
      </c>
      <c r="AC25" s="129">
        <f t="shared" si="22"/>
        <v>0</v>
      </c>
      <c r="AD25" s="128" t="e">
        <f t="shared" si="23"/>
        <v>#DIV/0!</v>
      </c>
      <c r="AE25" s="42"/>
      <c r="AF25" s="127" t="e">
        <f t="shared" si="24"/>
        <v>#DIV/0!</v>
      </c>
      <c r="AG25" s="127"/>
      <c r="AH25" s="127">
        <f t="shared" si="25"/>
        <v>0</v>
      </c>
      <c r="AI25" s="54" t="e">
        <f t="shared" si="26"/>
        <v>#DIV/0!</v>
      </c>
      <c r="AJ25" s="25">
        <f t="shared" si="27"/>
        <v>0</v>
      </c>
      <c r="AK25" s="25">
        <f t="shared" si="28"/>
        <v>0</v>
      </c>
      <c r="AL25" s="25">
        <f t="shared" si="29"/>
        <v>0</v>
      </c>
      <c r="AM25" s="20">
        <f t="shared" si="30"/>
        <v>0</v>
      </c>
      <c r="AN25" s="20">
        <f t="shared" si="31"/>
        <v>0</v>
      </c>
      <c r="AO25" s="20">
        <f t="shared" si="32"/>
        <v>0</v>
      </c>
      <c r="AP25" s="20">
        <f t="shared" si="33"/>
        <v>0</v>
      </c>
      <c r="AQ25" s="20">
        <f t="shared" si="34"/>
        <v>0</v>
      </c>
      <c r="AR25" s="20">
        <f t="shared" si="35"/>
        <v>0</v>
      </c>
      <c r="AS25" s="20">
        <f t="shared" si="36"/>
        <v>0</v>
      </c>
      <c r="AT25" s="20">
        <f t="shared" si="37"/>
        <v>0</v>
      </c>
      <c r="AV25" s="79">
        <f t="shared" si="38"/>
        <v>0</v>
      </c>
      <c r="AW25" s="79">
        <f t="array" ref="AW25">SUMIFS('Cắt lồng'!$AC$327:$AC$515,'Cắt lồng'!$AA$327:$AA$515,'Cắt lồng'!$AA25,'Cắt lồng'!$AE$327:$AE$515,'Cắt lồng'!AW$4:AW$4)</f>
        <v>0</v>
      </c>
      <c r="AX25" s="79">
        <f t="array" ref="AX25">SUMIFS('Cắt lồng'!$AH$327:$AH$515,'Cắt lồng'!$AA$327:$AA$515,'Cắt lồng'!$AA25,'Cắt lồng'!$AE$327:$AE$515,'Cắt lồng'!AX$4:AX$4)</f>
        <v>0</v>
      </c>
      <c r="AY25" s="78" t="e">
        <f t="shared" si="39"/>
        <v>#DIV/0!</v>
      </c>
      <c r="AZ25" s="79">
        <f t="array" ref="AZ25">SUMIFS('Cắt lồng'!$AC$327:$AC$515,'Cắt lồng'!$AA$327:$AA$515,'Cắt lồng'!$AA25,'Cắt lồng'!$AE$327:$AE$515,'Cắt lồng'!AZ$4:AZ$4)</f>
        <v>0</v>
      </c>
      <c r="BA25" s="79">
        <f t="array" ref="BA25">SUMIFS('Cắt lồng'!$AH$327:$AH$515,'Cắt lồng'!$AA$327:$AA$515,'Cắt lồng'!$AA25,'Cắt lồng'!$AE$327:$AE$515,'Cắt lồng'!BA$4:BA$4)</f>
        <v>0</v>
      </c>
      <c r="BB25" s="78" t="e">
        <f t="shared" si="40"/>
        <v>#DIV/0!</v>
      </c>
      <c r="BC25" s="79">
        <f t="array" ref="BC25">SUMIFS('Cắt lồng'!$AC$327:$AC$515,'Cắt lồng'!$AA$327:$AA$515,'Cắt lồng'!$AA25,'Cắt lồng'!$AE$327:$AE$515,'Cắt lồng'!BC$4:BC$4)</f>
        <v>0</v>
      </c>
      <c r="BD25" s="79">
        <f t="array" ref="BD25">SUMIFS('Cắt lồng'!$AH$327:$AH$515,'Cắt lồng'!$AA$327:$AA$515,'Cắt lồng'!$AA25,'Cắt lồng'!$AE$327:$AE$515,'Cắt lồng'!BD$4:BD$4)</f>
        <v>0</v>
      </c>
      <c r="BE25" s="78" t="e">
        <f t="shared" si="41"/>
        <v>#DIV/0!</v>
      </c>
      <c r="BF25" s="79">
        <f t="array" ref="BF25">SUMIFS('Cắt lồng'!$AC$327:$AC$515,'Cắt lồng'!$AA$327:$AA$515,'Cắt lồng'!$AA25,'Cắt lồng'!$AE$327:$AE$515,'Cắt lồng'!BF$4:BF$4)</f>
        <v>0</v>
      </c>
      <c r="BG25" s="79">
        <f t="array" ref="BG25">SUMIFS('Cắt lồng'!$AH$327:$AH$515,'Cắt lồng'!$AA$327:$AA$515,'Cắt lồng'!$AA25,'Cắt lồng'!$AE$327:$AE$515,'Cắt lồng'!BG$4:BG$4)</f>
        <v>0</v>
      </c>
      <c r="BH25" s="78" t="e">
        <f t="shared" si="42"/>
        <v>#DIV/0!</v>
      </c>
      <c r="BI25" s="79">
        <f t="array" ref="BI25">SUMIFS('Cắt lồng'!$AC$327:$AC$515,'Cắt lồng'!$AA$327:$AA$515,'Cắt lồng'!$AA25,'Cắt lồng'!$AE$327:$AE$515,'Cắt lồng'!BI$4:BI$4)</f>
        <v>0</v>
      </c>
      <c r="BJ25" s="79">
        <f t="array" ref="BJ25">SUMIFS('Cắt lồng'!$AH$327:$AH$515,'Cắt lồng'!$AA$327:$AA$515,'Cắt lồng'!$AA25,'Cắt lồng'!$AE$327:$AE$515,'Cắt lồng'!BJ$4:BJ$4)</f>
        <v>0</v>
      </c>
      <c r="BK25" s="78" t="e">
        <f t="shared" si="43"/>
        <v>#DIV/0!</v>
      </c>
      <c r="BL25" s="79">
        <f t="array" ref="BL25">SUMIFS('Cắt lồng'!$AC$327:$AC$515,'Cắt lồng'!$AA$327:$AA$515,'Cắt lồng'!$AA25,'Cắt lồng'!$AE$327:$AE$515,'Cắt lồng'!BL$4:BL$4)</f>
        <v>0</v>
      </c>
      <c r="BM25" s="79">
        <f t="array" ref="BM25">SUMIFS('Cắt lồng'!$AH$327:$AH$515,'Cắt lồng'!$AA$327:$AA$515,'Cắt lồng'!$AA25,'Cắt lồng'!$AE$327:$AE$515,'Cắt lồng'!BM$4:BM$4)</f>
        <v>0</v>
      </c>
      <c r="BN25" s="78" t="e">
        <f t="shared" si="44"/>
        <v>#DIV/0!</v>
      </c>
      <c r="BO25" s="79">
        <f t="array" ref="BO25">SUMIFS('Cắt lồng'!$AC$327:$AC$515,'Cắt lồng'!$AA$327:$AA$515,'Cắt lồng'!$AA25,'Cắt lồng'!$AE$327:$AE$515,'Cắt lồng'!BO$4:BO$4)</f>
        <v>0</v>
      </c>
      <c r="BP25" s="79">
        <f t="array" ref="BP25">SUMIFS('Cắt lồng'!$AH$327:$AH$515,'Cắt lồng'!$AA$327:$AA$515,'Cắt lồng'!$AA25,'Cắt lồng'!$AE$327:$AE$515,'Cắt lồng'!BP$4:BP$4)</f>
        <v>0</v>
      </c>
      <c r="BQ25" s="78" t="e">
        <f t="shared" si="45"/>
        <v>#DIV/0!</v>
      </c>
      <c r="BR25" s="79">
        <f t="array" ref="BR25">SUMIFS('Cắt lồng'!$AC$327:$AC$515,'Cắt lồng'!$AA$327:$AA$515,'Cắt lồng'!$AA25,'Cắt lồng'!$AE$327:$AE$515,'Cắt lồng'!BR$4:BR$4)</f>
        <v>0</v>
      </c>
      <c r="BS25" s="79">
        <f t="array" ref="BS25">SUMIFS('Cắt lồng'!$AH$327:$AH$515,'Cắt lồng'!$AA$327:$AA$515,'Cắt lồng'!$AA25,'Cắt lồng'!$AE$327:$AE$515,'Cắt lồng'!BS$4:BS$4)</f>
        <v>0</v>
      </c>
      <c r="BT25" s="78" t="e">
        <f t="shared" si="46"/>
        <v>#DIV/0!</v>
      </c>
      <c r="BU25" s="79">
        <f t="array" ref="BU25">SUMIFS('Cắt lồng'!$AC$327:$AC$515,'Cắt lồng'!$AA$327:$AA$515,'Cắt lồng'!$AA25,'Cắt lồng'!$AE$327:$AE$515,'Cắt lồng'!BU$4:BU$4)</f>
        <v>0</v>
      </c>
      <c r="BV25" s="79">
        <f t="array" ref="BV25">SUMIFS('Cắt lồng'!$AH$327:$AH$515,'Cắt lồng'!$AA$327:$AA$515,'Cắt lồng'!$AA25,'Cắt lồng'!$AE$327:$AE$515,'Cắt lồng'!BV$4:BV$4)</f>
        <v>0</v>
      </c>
      <c r="BW25" s="78" t="e">
        <f t="shared" si="47"/>
        <v>#DIV/0!</v>
      </c>
      <c r="BX25" s="79">
        <f t="array" ref="BX25">SUMIFS('Cắt lồng'!$AC$327:$AC$515,'Cắt lồng'!$AA$327:$AA$515,'Cắt lồng'!$AA25,'Cắt lồng'!$AE$327:$AE$515,'Cắt lồng'!BX$4:BX$4)</f>
        <v>0</v>
      </c>
      <c r="BY25" s="79">
        <f t="array" ref="BY25">SUMIFS('Cắt lồng'!$AH$327:$AH$515,'Cắt lồng'!$AA$327:$AA$515,'Cắt lồng'!$AA25,'Cắt lồng'!$AE$327:$AE$515,'Cắt lồng'!BY$4:BY$4)</f>
        <v>0</v>
      </c>
      <c r="BZ25" s="78" t="e">
        <f t="shared" si="48"/>
        <v>#DIV/0!</v>
      </c>
      <c r="CA25" s="79">
        <f t="array" ref="CA25">SUMIFS('Cắt lồng'!$AC$327:$AC$515,'Cắt lồng'!$AA$327:$AA$515,'Cắt lồng'!$AA25,'Cắt lồng'!$AE$327:$AE$515,'Cắt lồng'!CA$4:CA$4)</f>
        <v>0</v>
      </c>
      <c r="CB25" s="79">
        <f t="array" ref="CB25">SUMIFS('Cắt lồng'!$AH$327:$AH$515,'Cắt lồng'!$AA$327:$AA$515,'Cắt lồng'!$AA25,'Cắt lồng'!$AE$327:$AE$515,'Cắt lồng'!CB$4:CB$4)</f>
        <v>0</v>
      </c>
      <c r="CC25" s="78" t="e">
        <f t="shared" si="49"/>
        <v>#DIV/0!</v>
      </c>
      <c r="CD25" s="79">
        <f t="array" ref="CD25">SUMIFS('Cắt lồng'!$AC$327:$AC$515,'Cắt lồng'!$AA$327:$AA$515,'Cắt lồng'!$AA25,'Cắt lồng'!$AE$327:$AE$515,'Cắt lồng'!CD$4:CD$4)</f>
        <v>0</v>
      </c>
      <c r="CE25" s="79">
        <f t="array" ref="CE25">SUMIFS('Cắt lồng'!$AH$327:$AH$515,'Cắt lồng'!$AA$327:$AA$515,'Cắt lồng'!$AA25,'Cắt lồng'!$AE$327:$AE$515,'Cắt lồng'!CE$4:CE$4)</f>
        <v>0</v>
      </c>
      <c r="CF25" s="78" t="e">
        <f t="shared" si="50"/>
        <v>#DIV/0!</v>
      </c>
      <c r="CG25" s="79">
        <f t="array" ref="CG25">SUMIFS('Cắt lồng'!$AC$327:$AC$515,'Cắt lồng'!$AA$327:$AA$515,'Cắt lồng'!$AA25,'Cắt lồng'!$AE$327:$AE$515,'Cắt lồng'!CG$4:CG$4)</f>
        <v>0</v>
      </c>
      <c r="CH25" s="79">
        <f t="array" ref="CH25">SUMIFS('Cắt lồng'!$AH$327:$AH$515,'Cắt lồng'!$AA$327:$AA$515,'Cắt lồng'!$AA25,'Cắt lồng'!$AE$327:$AE$515,'Cắt lồng'!CH$4:CH$4)</f>
        <v>0</v>
      </c>
      <c r="CI25" s="78" t="e">
        <f t="shared" si="51"/>
        <v>#DIV/0!</v>
      </c>
      <c r="CJ25" s="79">
        <f t="array" ref="CJ25">SUMIFS('Cắt lồng'!$AC$327:$AC$515,'Cắt lồng'!$AA$327:$AA$515,'Cắt lồng'!$AA25,'Cắt lồng'!$AE$327:$AE$515,'Cắt lồng'!CJ$4:CJ$4)</f>
        <v>0</v>
      </c>
      <c r="CK25" s="79">
        <f t="array" ref="CK25">SUMIFS('Cắt lồng'!$AH$327:$AH$515,'Cắt lồng'!$AA$327:$AA$515,'Cắt lồng'!$AA25,'Cắt lồng'!$AE$327:$AE$515,'Cắt lồng'!CK$4:CK$4)</f>
        <v>0</v>
      </c>
      <c r="CL25" s="78" t="e">
        <f t="shared" si="52"/>
        <v>#DIV/0!</v>
      </c>
      <c r="CM25" s="79">
        <f t="array" ref="CM25">SUMIFS('Cắt lồng'!$AC$327:$AC$515,'Cắt lồng'!$AA$327:$AA$515,'Cắt lồng'!$AA25,'Cắt lồng'!$AE$327:$AE$515,'Cắt lồng'!CM$4:CM$4)</f>
        <v>0</v>
      </c>
      <c r="CN25" s="79">
        <f t="array" ref="CN25">SUMIFS('Cắt lồng'!$AH$327:$AH$515,'Cắt lồng'!$AA$327:$AA$515,'Cắt lồng'!$AA25,'Cắt lồng'!$AE$327:$AE$515,'Cắt lồng'!CN$4:CN$4)</f>
        <v>0</v>
      </c>
      <c r="CO25" s="78" t="e">
        <f t="shared" si="53"/>
        <v>#DIV/0!</v>
      </c>
      <c r="CP25" s="79">
        <f t="array" ref="CP25">SUMIFS('Cắt lồng'!$AC$327:$AC$515,'Cắt lồng'!$AA$327:$AA$515,'Cắt lồng'!$AA25,'Cắt lồng'!$AE$327:$AE$515,'Cắt lồng'!CP$4:CP$4)</f>
        <v>0</v>
      </c>
      <c r="CQ25" s="79">
        <f t="array" ref="CQ25">SUMIFS('Cắt lồng'!$AH$327:$AH$515,'Cắt lồng'!$AA$327:$AA$515,'Cắt lồng'!$AA25,'Cắt lồng'!$AE$327:$AE$515,'Cắt lồng'!CQ$4:CQ$4)</f>
        <v>0</v>
      </c>
      <c r="CR25" s="78" t="e">
        <f t="shared" si="54"/>
        <v>#DIV/0!</v>
      </c>
      <c r="CS25" s="79">
        <f t="array" ref="CS25">SUMIFS('Cắt lồng'!$AC$327:$AC$515,'Cắt lồng'!$AA$327:$AA$515,'Cắt lồng'!$AA25,'Cắt lồng'!$AE$327:$AE$515,'Cắt lồng'!CS$4:CS$4)</f>
        <v>0</v>
      </c>
      <c r="CT25" s="79">
        <f t="array" ref="CT25">SUMIFS('Cắt lồng'!$AH$327:$AH$515,'Cắt lồng'!$AA$327:$AA$515,'Cắt lồng'!$AA25,'Cắt lồng'!$AE$327:$AE$515,'Cắt lồng'!CT$4:CT$4)</f>
        <v>0</v>
      </c>
      <c r="CU25" s="78" t="e">
        <f t="shared" si="55"/>
        <v>#DIV/0!</v>
      </c>
      <c r="CV25" s="79">
        <f t="array" ref="CV25">SUMIFS('Cắt lồng'!$AC$327:$AC$515,'Cắt lồng'!$AA$327:$AA$515,'Cắt lồng'!$AA25,'Cắt lồng'!$AE$327:$AE$515,'Cắt lồng'!CV$4:CV$4)</f>
        <v>0</v>
      </c>
      <c r="CW25" s="79">
        <f t="array" ref="CW25">SUMIFS('Cắt lồng'!$AH$327:$AH$515,'Cắt lồng'!$AA$327:$AA$515,'Cắt lồng'!$AA25,'Cắt lồng'!$AE$327:$AE$515,'Cắt lồng'!CW$4:CW$4)</f>
        <v>0</v>
      </c>
      <c r="CX25" s="78" t="e">
        <f t="shared" si="56"/>
        <v>#DIV/0!</v>
      </c>
      <c r="CY25" s="79">
        <f t="array" ref="CY25">SUMIFS('Cắt lồng'!$AC$327:$AC$515,'Cắt lồng'!$AA$327:$AA$515,'Cắt lồng'!$AA25,'Cắt lồng'!$AE$327:$AE$515,'Cắt lồng'!CY$4:CY$4)</f>
        <v>0</v>
      </c>
      <c r="CZ25" s="79">
        <f t="array" ref="CZ25">SUMIFS('Cắt lồng'!$AH$327:$AH$515,'Cắt lồng'!$AA$327:$AA$515,'Cắt lồng'!$AA25,'Cắt lồng'!$AE$327:$AE$515,'Cắt lồng'!CZ$4:CZ$4)</f>
        <v>0</v>
      </c>
      <c r="DA25" s="78" t="e">
        <f t="shared" si="57"/>
        <v>#DIV/0!</v>
      </c>
      <c r="DB25" s="79">
        <f t="array" ref="DB25">SUMIFS('Cắt lồng'!$AC$327:$AC$515,'Cắt lồng'!$AA$327:$AA$515,'Cắt lồng'!$AA25,'Cắt lồng'!$AE$327:$AE$515,'Cắt lồng'!DB$4:DB$4)</f>
        <v>0</v>
      </c>
      <c r="DC25" s="79">
        <f t="array" ref="DC25">SUMIFS('Cắt lồng'!$AH$327:$AH$515,'Cắt lồng'!$AA$327:$AA$515,'Cắt lồng'!$AA25,'Cắt lồng'!$AE$327:$AE$515,'Cắt lồng'!DC$4:DC$4)</f>
        <v>0</v>
      </c>
      <c r="DD25" s="78" t="e">
        <f t="shared" si="58"/>
        <v>#DIV/0!</v>
      </c>
      <c r="DE25" s="79">
        <f t="array" ref="DE25">SUMIFS('Cắt lồng'!$AC$327:$AC$515,'Cắt lồng'!$AA$327:$AA$515,'Cắt lồng'!$AA25,'Cắt lồng'!$AE$327:$AE$515,'Cắt lồng'!DE$4:DE$4)</f>
        <v>0</v>
      </c>
      <c r="DF25" s="79">
        <f t="array" ref="DF25">SUMIFS('Cắt lồng'!$AH$327:$AH$515,'Cắt lồng'!$AA$327:$AA$515,'Cắt lồng'!$AA25,'Cắt lồng'!$AE$327:$AE$515,'Cắt lồng'!DF$4:DF$4)</f>
        <v>0</v>
      </c>
      <c r="DG25" s="78" t="e">
        <f t="shared" si="59"/>
        <v>#DIV/0!</v>
      </c>
      <c r="DH25" s="79">
        <f t="array" ref="DH25">SUMIFS('Cắt lồng'!$AC$327:$AC$515,'Cắt lồng'!$AA$327:$AA$515,'Cắt lồng'!$AA25,'Cắt lồng'!$AE$327:$AE$515,'Cắt lồng'!DH$4:DH$4)</f>
        <v>0</v>
      </c>
      <c r="DI25" s="79">
        <f t="array" ref="DI25">SUMIFS('Cắt lồng'!$AH$327:$AH$515,'Cắt lồng'!$AA$327:$AA$515,'Cắt lồng'!$AA25,'Cắt lồng'!$AE$327:$AE$515,'Cắt lồng'!DI$4:DI$4)</f>
        <v>0</v>
      </c>
      <c r="DJ25" s="78" t="e">
        <f t="shared" si="60"/>
        <v>#DIV/0!</v>
      </c>
      <c r="DK25" s="79">
        <f t="array" ref="DK25">SUMIFS('Cắt lồng'!$AC$327:$AC$515,'Cắt lồng'!$AA$327:$AA$515,'Cắt lồng'!$AA25,'Cắt lồng'!$AE$327:$AE$515,'Cắt lồng'!DK$4:DK$4)</f>
        <v>0</v>
      </c>
      <c r="DL25" s="79">
        <f t="array" ref="DL25">SUMIFS('Cắt lồng'!$AH$327:$AH$515,'Cắt lồng'!$AA$327:$AA$515,'Cắt lồng'!$AA25,'Cắt lồng'!$AE$327:$AE$515,'Cắt lồng'!DL$4:DL$4)</f>
        <v>0</v>
      </c>
      <c r="DM25" s="78" t="e">
        <f t="shared" si="61"/>
        <v>#DIV/0!</v>
      </c>
      <c r="DN25" s="79">
        <f>SUMIFS('Cắt lồng'!$AC$327:$AC$515,'Cắt lồng'!$AA$327:$AA$515,'Cắt lồng'!$AA25,'Cắt lồng'!$AE$327:$AE$515,'Cắt lồng'!DN$4:DN$4)</f>
        <v>0</v>
      </c>
      <c r="DO25" s="79">
        <f t="array" ref="DO25">SUMIFS('Cắt lồng'!$AH$327:$AH$515,'Cắt lồng'!$AA$327:$AA$515,'Cắt lồng'!$AA25,'Cắt lồng'!$AE$327:$AE$515,'Cắt lồng'!DO$4:DO$4)</f>
        <v>0</v>
      </c>
      <c r="DP25" s="78" t="e">
        <f t="shared" si="62"/>
        <v>#DIV/0!</v>
      </c>
      <c r="DQ25" s="79">
        <f t="array" ref="DQ25">SUMIFS('Cắt lồng'!$AC$327:$AC$515,'Cắt lồng'!$AA$327:$AA$515,'Cắt lồng'!$AA25,'Cắt lồng'!$AE$327:$AE$515,'Cắt lồng'!DQ$4:DQ$4)</f>
        <v>0</v>
      </c>
      <c r="DR25" s="79">
        <f t="array" ref="DR25">SUMIFS('Cắt lồng'!$AH$327:$AH$515,'Cắt lồng'!$AA$327:$AA$515,'Cắt lồng'!$AA25,'Cắt lồng'!$AE$327:$AE$515,'Cắt lồng'!DR$4:DR$4)</f>
        <v>0</v>
      </c>
      <c r="DS25" s="78" t="e">
        <f t="shared" si="63"/>
        <v>#DIV/0!</v>
      </c>
      <c r="DT25" s="79">
        <f t="array" ref="DT25">SUMIFS('Cắt lồng'!$AC$327:$AC$515,'Cắt lồng'!$AA$327:$AA$515,'Cắt lồng'!$AA25,'Cắt lồng'!$AE$327:$AE$515,'Cắt lồng'!DT$4:DT$4)</f>
        <v>0</v>
      </c>
      <c r="DU25" s="79">
        <f t="array" ref="DU25">SUMIFS('Cắt lồng'!$AH$327:$AH$515,'Cắt lồng'!$AA$327:$AA$515,'Cắt lồng'!$AA25,'Cắt lồng'!$AE$327:$AE$515,'Cắt lồng'!DU$4:DU$4)</f>
        <v>0</v>
      </c>
      <c r="DV25" s="78" t="e">
        <f t="shared" si="64"/>
        <v>#DIV/0!</v>
      </c>
      <c r="DW25" s="79">
        <f t="array" ref="DW25">SUMIFS('Cắt lồng'!$AC$327:$AC$515,'Cắt lồng'!$AA$327:$AA$515,'Cắt lồng'!$AA25,'Cắt lồng'!$AE$327:$AE$515,'Cắt lồng'!DW$4:DW$4)</f>
        <v>0</v>
      </c>
      <c r="DX25" s="79">
        <f t="array" ref="DX25">SUMIFS('Cắt lồng'!$AH$327:$AH$515,'Cắt lồng'!$AA$327:$AA$515,'Cắt lồng'!$AA25,'Cắt lồng'!$AE$327:$AE$515,'Cắt lồng'!DX$4:DX$4)</f>
        <v>0</v>
      </c>
      <c r="DY25" s="78" t="e">
        <f t="shared" si="65"/>
        <v>#DIV/0!</v>
      </c>
      <c r="DZ25" s="79">
        <f t="array" ref="DZ25">SUMIFS('Cắt lồng'!$AC$327:$AC$515,'Cắt lồng'!$AA$327:$AA$515,'Cắt lồng'!$AA25,'Cắt lồng'!$AE$327:$AE$515,'Cắt lồng'!DZ$4:DZ$4)</f>
        <v>0</v>
      </c>
      <c r="EA25" s="79">
        <f t="array" ref="EA25">SUMIFS('Cắt lồng'!$AH$327:$AH$515,'Cắt lồng'!$AA$327:$AA$515,'Cắt lồng'!$AA25,'Cắt lồng'!$AE$327:$AE$515,'Cắt lồng'!EA$4:EA$4)</f>
        <v>0</v>
      </c>
      <c r="EB25" s="78" t="e">
        <f t="shared" si="66"/>
        <v>#DIV/0!</v>
      </c>
      <c r="EC25" s="79">
        <f t="array" ref="EC25">SUMIFS('Cắt lồng'!$AC$327:$AC$515,'Cắt lồng'!$AA$327:$AA$515,'Cắt lồng'!$AA25,'Cắt lồng'!$AE$327:$AE$515,'Cắt lồng'!EC$4:EC$4)</f>
        <v>0</v>
      </c>
      <c r="ED25" s="79">
        <f t="array" ref="ED25">SUMIFS('Cắt lồng'!$AH$327:$AH$515,'Cắt lồng'!$AA$327:$AA$515,'Cắt lồng'!$AA25,'Cắt lồng'!$AE$327:$AE$515,'Cắt lồng'!ED$4:ED$4)</f>
        <v>0</v>
      </c>
      <c r="EE25" s="78" t="e">
        <f t="shared" si="67"/>
        <v>#DIV/0!</v>
      </c>
      <c r="EF25" s="79">
        <f t="array" ref="EF25">SUMIFS('Cắt lồng'!$AC$327:$AC$515,'Cắt lồng'!$AA$327:$AA$515,'Cắt lồng'!$AA25,'Cắt lồng'!$AE$327:$AE$515,'Cắt lồng'!EF$4:EF$4)</f>
        <v>0</v>
      </c>
      <c r="EG25" s="79">
        <f t="array" ref="EG25">SUMIFS('Cắt lồng'!$AH$327:$AH$515,'Cắt lồng'!$AA$327:$AA$515,'Cắt lồng'!$AA25,'Cắt lồng'!$AE$327:$AE$515,'Cắt lồng'!EG$4:EG$4)</f>
        <v>0</v>
      </c>
      <c r="EH25" s="78" t="e">
        <f t="shared" si="68"/>
        <v>#DIV/0!</v>
      </c>
      <c r="EI25" s="79">
        <f t="array" ref="EI25">SUMIFS('Cắt lồng'!$AC$327:$AC$515,'Cắt lồng'!$AA$327:$AA$515,'Cắt lồng'!$AA25,'Cắt lồng'!$AE$327:$AE$515,'Cắt lồng'!EI$4:EI$4)</f>
        <v>0</v>
      </c>
      <c r="EJ25" s="79">
        <f t="array" ref="EJ25">SUMIFS('Cắt lồng'!$AH$327:$AH$515,'Cắt lồng'!$AA$327:$AA$515,'Cắt lồng'!$AA25,'Cắt lồng'!$AE$327:$AE$515,'Cắt lồng'!EJ$4:EJ$4)</f>
        <v>0</v>
      </c>
      <c r="EK25" s="78" t="e">
        <f t="shared" si="69"/>
        <v>#DIV/0!</v>
      </c>
    </row>
    <row r="26" spans="1:141" s="12" customFormat="1" ht="14.25" hidden="1" customHeight="1">
      <c r="A26" s="25">
        <v>21</v>
      </c>
      <c r="B26" s="198"/>
      <c r="C26" s="198" t="s">
        <v>13</v>
      </c>
      <c r="D26" s="65" t="e">
        <f t="shared" si="72"/>
        <v>#VALUE!</v>
      </c>
      <c r="E26" s="200">
        <f t="shared" si="72"/>
        <v>31248</v>
      </c>
      <c r="F26" s="199"/>
      <c r="G26" s="82">
        <f t="shared" si="1"/>
        <v>0</v>
      </c>
      <c r="H26" s="81">
        <f t="shared" si="2"/>
        <v>9.83</v>
      </c>
      <c r="I26" s="19">
        <f t="shared" si="3"/>
        <v>2</v>
      </c>
      <c r="J26" s="11">
        <f t="shared" si="4"/>
        <v>1.8399999999999999</v>
      </c>
      <c r="K26" s="19">
        <f t="shared" si="5"/>
        <v>0</v>
      </c>
      <c r="L26" s="19">
        <f t="shared" si="6"/>
        <v>0</v>
      </c>
      <c r="M26" s="19">
        <f t="shared" si="7"/>
        <v>0</v>
      </c>
      <c r="N26" s="19">
        <f t="shared" si="8"/>
        <v>0.5</v>
      </c>
      <c r="O26" s="19">
        <f t="shared" si="9"/>
        <v>0</v>
      </c>
      <c r="P26" s="19">
        <f t="shared" si="10"/>
        <v>0</v>
      </c>
      <c r="Q26" s="19">
        <f t="shared" si="11"/>
        <v>0</v>
      </c>
      <c r="R26" s="19">
        <f t="shared" si="12"/>
        <v>0</v>
      </c>
      <c r="S26" s="19">
        <f t="shared" si="13"/>
        <v>0</v>
      </c>
      <c r="T26" s="19">
        <f t="shared" si="14"/>
        <v>1.17</v>
      </c>
      <c r="U26" s="19">
        <f t="shared" si="15"/>
        <v>0</v>
      </c>
      <c r="V26" s="19">
        <f t="shared" si="16"/>
        <v>0</v>
      </c>
      <c r="W26" s="19">
        <f t="shared" si="17"/>
        <v>0</v>
      </c>
      <c r="X26" s="19">
        <f t="shared" si="18"/>
        <v>0.17</v>
      </c>
      <c r="Y26" s="19">
        <f t="shared" si="19"/>
        <v>0</v>
      </c>
      <c r="Z26" s="19">
        <f t="shared" si="20"/>
        <v>0</v>
      </c>
      <c r="AA26" s="20" t="s">
        <v>13</v>
      </c>
      <c r="AB26" s="129" t="e">
        <f t="shared" si="21"/>
        <v>#VALUE!</v>
      </c>
      <c r="AC26" s="129">
        <f t="shared" si="22"/>
        <v>31248</v>
      </c>
      <c r="AD26" s="128" t="e">
        <f t="shared" si="23"/>
        <v>#VALUE!</v>
      </c>
      <c r="AE26" s="42"/>
      <c r="AF26" s="127">
        <f t="shared" si="24"/>
        <v>3178.8402848423193</v>
      </c>
      <c r="AG26" s="127"/>
      <c r="AH26" s="127">
        <f t="shared" si="25"/>
        <v>32</v>
      </c>
      <c r="AI26" s="54">
        <f t="shared" si="26"/>
        <v>1.0240655401945725E-3</v>
      </c>
      <c r="AJ26" s="25">
        <f t="shared" si="27"/>
        <v>0</v>
      </c>
      <c r="AK26" s="25">
        <f t="shared" si="28"/>
        <v>0</v>
      </c>
      <c r="AL26" s="30">
        <f t="shared" si="29"/>
        <v>0</v>
      </c>
      <c r="AM26" s="30">
        <f t="shared" si="30"/>
        <v>32</v>
      </c>
      <c r="AN26" s="30">
        <f t="shared" si="31"/>
        <v>0</v>
      </c>
      <c r="AO26" s="30">
        <f t="shared" si="32"/>
        <v>0</v>
      </c>
      <c r="AP26" s="30">
        <f t="shared" si="33"/>
        <v>0</v>
      </c>
      <c r="AQ26" s="30">
        <f t="shared" si="34"/>
        <v>0</v>
      </c>
      <c r="AR26" s="30">
        <f t="shared" si="35"/>
        <v>0</v>
      </c>
      <c r="AS26" s="30">
        <f t="shared" si="36"/>
        <v>0</v>
      </c>
      <c r="AT26" s="30">
        <f t="shared" si="37"/>
        <v>0</v>
      </c>
      <c r="AU26" s="80"/>
      <c r="AV26" s="110">
        <f t="shared" si="38"/>
        <v>9.83</v>
      </c>
      <c r="AW26" s="79">
        <f t="array" ref="AW26">SUMIFS('Cắt lồng'!$AC$327:$AC$515,'Cắt lồng'!$AA$327:$AA$515,'Cắt lồng'!$AA26,'Cắt lồng'!$AE$327:$AE$515,'Cắt lồng'!AW$4:AW$4)</f>
        <v>31248</v>
      </c>
      <c r="AX26" s="79">
        <f t="array" ref="AX26">SUMIFS('Cắt lồng'!$AH$327:$AH$515,'Cắt lồng'!$AA$327:$AA$515,'Cắt lồng'!$AA26,'Cắt lồng'!$AE$327:$AE$515,'Cắt lồng'!AX$4:AX$4)</f>
        <v>0</v>
      </c>
      <c r="AY26" s="109">
        <f t="shared" si="39"/>
        <v>0</v>
      </c>
      <c r="AZ26" s="79">
        <f t="array" ref="AZ26">SUMIFS('Cắt lồng'!$AC$327:$AC$515,'Cắt lồng'!$AA$327:$AA$515,'Cắt lồng'!$AA26,'Cắt lồng'!$AE$327:$AE$515,'Cắt lồng'!AZ$4:AZ$4)</f>
        <v>0</v>
      </c>
      <c r="BA26" s="79">
        <f t="array" ref="BA26">SUMIFS('Cắt lồng'!$AH$327:$AH$515,'Cắt lồng'!$AA$327:$AA$515,'Cắt lồng'!$AA26,'Cắt lồng'!$AE$327:$AE$515,'Cắt lồng'!BA$4:BA$4)</f>
        <v>0</v>
      </c>
      <c r="BB26" s="109" t="e">
        <f t="shared" si="40"/>
        <v>#DIV/0!</v>
      </c>
      <c r="BC26" s="79">
        <f t="array" ref="BC26">SUMIFS('Cắt lồng'!$AC$327:$AC$515,'Cắt lồng'!$AA$327:$AA$515,'Cắt lồng'!$AA26,'Cắt lồng'!$AE$327:$AE$515,'Cắt lồng'!BC$4:BC$4)</f>
        <v>0</v>
      </c>
      <c r="BD26" s="79">
        <f t="array" ref="BD26">SUMIFS('Cắt lồng'!$AH$327:$AH$515,'Cắt lồng'!$AA$327:$AA$515,'Cắt lồng'!$AA26,'Cắt lồng'!$AE$327:$AE$515,'Cắt lồng'!BD$4:BD$4)</f>
        <v>0</v>
      </c>
      <c r="BE26" s="109" t="e">
        <f t="shared" si="41"/>
        <v>#DIV/0!</v>
      </c>
      <c r="BF26" s="79">
        <f t="array" ref="BF26">SUMIFS('Cắt lồng'!$AC$327:$AC$515,'Cắt lồng'!$AA$327:$AA$515,'Cắt lồng'!$AA26,'Cắt lồng'!$AE$327:$AE$515,'Cắt lồng'!BF$4:BF$4)</f>
        <v>0</v>
      </c>
      <c r="BG26" s="79">
        <f t="array" ref="BG26">SUMIFS('Cắt lồng'!$AH$327:$AH$515,'Cắt lồng'!$AA$327:$AA$515,'Cắt lồng'!$AA26,'Cắt lồng'!$AE$327:$AE$515,'Cắt lồng'!BG$4:BG$4)</f>
        <v>0</v>
      </c>
      <c r="BH26" s="109" t="e">
        <f t="shared" si="42"/>
        <v>#DIV/0!</v>
      </c>
      <c r="BI26" s="79">
        <f t="array" ref="BI26">SUMIFS('Cắt lồng'!$AC$327:$AC$515,'Cắt lồng'!$AA$327:$AA$515,'Cắt lồng'!$AA26,'Cắt lồng'!$AE$327:$AE$515,'Cắt lồng'!BI$4:BI$4)</f>
        <v>0</v>
      </c>
      <c r="BJ26" s="79">
        <f t="array" ref="BJ26">SUMIFS('Cắt lồng'!$AH$327:$AH$515,'Cắt lồng'!$AA$327:$AA$515,'Cắt lồng'!$AA26,'Cắt lồng'!$AE$327:$AE$515,'Cắt lồng'!BJ$4:BJ$4)</f>
        <v>0</v>
      </c>
      <c r="BK26" s="109" t="e">
        <f t="shared" si="43"/>
        <v>#DIV/0!</v>
      </c>
      <c r="BL26" s="79">
        <f t="array" ref="BL26">SUMIFS('Cắt lồng'!$AC$327:$AC$515,'Cắt lồng'!$AA$327:$AA$515,'Cắt lồng'!$AA26,'Cắt lồng'!$AE$327:$AE$515,'Cắt lồng'!BL$4:BL$4)</f>
        <v>0</v>
      </c>
      <c r="BM26" s="79">
        <f t="array" ref="BM26">SUMIFS('Cắt lồng'!$AH$327:$AH$515,'Cắt lồng'!$AA$327:$AA$515,'Cắt lồng'!$AA26,'Cắt lồng'!$AE$327:$AE$515,'Cắt lồng'!BM$4:BM$4)</f>
        <v>0</v>
      </c>
      <c r="BN26" s="109" t="e">
        <f t="shared" si="44"/>
        <v>#DIV/0!</v>
      </c>
      <c r="BO26" s="79">
        <f t="array" ref="BO26">SUMIFS('Cắt lồng'!$AC$327:$AC$515,'Cắt lồng'!$AA$327:$AA$515,'Cắt lồng'!$AA26,'Cắt lồng'!$AE$327:$AE$515,'Cắt lồng'!BO$4:BO$4)</f>
        <v>0</v>
      </c>
      <c r="BP26" s="79">
        <f t="array" ref="BP26">SUMIFS('Cắt lồng'!$AH$327:$AH$515,'Cắt lồng'!$AA$327:$AA$515,'Cắt lồng'!$AA26,'Cắt lồng'!$AE$327:$AE$515,'Cắt lồng'!BP$4:BP$4)</f>
        <v>0</v>
      </c>
      <c r="BQ26" s="109" t="e">
        <f t="shared" si="45"/>
        <v>#DIV/0!</v>
      </c>
      <c r="BR26" s="79">
        <f t="array" ref="BR26">SUMIFS('Cắt lồng'!$AC$327:$AC$515,'Cắt lồng'!$AA$327:$AA$515,'Cắt lồng'!$AA26,'Cắt lồng'!$AE$327:$AE$515,'Cắt lồng'!BR$4:BR$4)</f>
        <v>0</v>
      </c>
      <c r="BS26" s="79">
        <f t="array" ref="BS26">SUMIFS('Cắt lồng'!$AH$327:$AH$515,'Cắt lồng'!$AA$327:$AA$515,'Cắt lồng'!$AA26,'Cắt lồng'!$AE$327:$AE$515,'Cắt lồng'!BS$4:BS$4)</f>
        <v>0</v>
      </c>
      <c r="BT26" s="109" t="e">
        <f t="shared" si="46"/>
        <v>#DIV/0!</v>
      </c>
      <c r="BU26" s="79">
        <f t="array" ref="BU26">SUMIFS('Cắt lồng'!$AC$327:$AC$515,'Cắt lồng'!$AA$327:$AA$515,'Cắt lồng'!$AA26,'Cắt lồng'!$AE$327:$AE$515,'Cắt lồng'!BU$4:BU$4)</f>
        <v>0</v>
      </c>
      <c r="BV26" s="79">
        <f t="array" ref="BV26">SUMIFS('Cắt lồng'!$AH$327:$AH$515,'Cắt lồng'!$AA$327:$AA$515,'Cắt lồng'!$AA26,'Cắt lồng'!$AE$327:$AE$515,'Cắt lồng'!BV$4:BV$4)</f>
        <v>0</v>
      </c>
      <c r="BW26" s="109" t="e">
        <f t="shared" si="47"/>
        <v>#DIV/0!</v>
      </c>
      <c r="BX26" s="79">
        <f t="array" ref="BX26">SUMIFS('Cắt lồng'!$AC$327:$AC$515,'Cắt lồng'!$AA$327:$AA$515,'Cắt lồng'!$AA26,'Cắt lồng'!$AE$327:$AE$515,'Cắt lồng'!BX$4:BX$4)</f>
        <v>0</v>
      </c>
      <c r="BY26" s="79">
        <f t="array" ref="BY26">SUMIFS('Cắt lồng'!$AH$327:$AH$515,'Cắt lồng'!$AA$327:$AA$515,'Cắt lồng'!$AA26,'Cắt lồng'!$AE$327:$AE$515,'Cắt lồng'!BY$4:BY$4)</f>
        <v>0</v>
      </c>
      <c r="BZ26" s="109" t="e">
        <f t="shared" si="48"/>
        <v>#DIV/0!</v>
      </c>
      <c r="CA26" s="79">
        <f t="array" ref="CA26">SUMIFS('Cắt lồng'!$AC$327:$AC$515,'Cắt lồng'!$AA$327:$AA$515,'Cắt lồng'!$AA26,'Cắt lồng'!$AE$327:$AE$515,'Cắt lồng'!CA$4:CA$4)</f>
        <v>0</v>
      </c>
      <c r="CB26" s="79">
        <f t="array" ref="CB26">SUMIFS('Cắt lồng'!$AH$327:$AH$515,'Cắt lồng'!$AA$327:$AA$515,'Cắt lồng'!$AA26,'Cắt lồng'!$AE$327:$AE$515,'Cắt lồng'!CB$4:CB$4)</f>
        <v>0</v>
      </c>
      <c r="CC26" s="109" t="e">
        <f t="shared" si="49"/>
        <v>#DIV/0!</v>
      </c>
      <c r="CD26" s="79">
        <f t="array" ref="CD26">SUMIFS('Cắt lồng'!$AC$327:$AC$515,'Cắt lồng'!$AA$327:$AA$515,'Cắt lồng'!$AA26,'Cắt lồng'!$AE$327:$AE$515,'Cắt lồng'!CD$4:CD$4)</f>
        <v>0</v>
      </c>
      <c r="CE26" s="79">
        <f t="array" ref="CE26">SUMIFS('Cắt lồng'!$AH$327:$AH$515,'Cắt lồng'!$AA$327:$AA$515,'Cắt lồng'!$AA26,'Cắt lồng'!$AE$327:$AE$515,'Cắt lồng'!CE$4:CE$4)</f>
        <v>0</v>
      </c>
      <c r="CF26" s="109" t="e">
        <f t="shared" si="50"/>
        <v>#DIV/0!</v>
      </c>
      <c r="CG26" s="79">
        <f t="array" ref="CG26">SUMIFS('Cắt lồng'!$AC$327:$AC$515,'Cắt lồng'!$AA$327:$AA$515,'Cắt lồng'!$AA26,'Cắt lồng'!$AE$327:$AE$515,'Cắt lồng'!CG$4:CG$4)</f>
        <v>0</v>
      </c>
      <c r="CH26" s="79">
        <f t="array" ref="CH26">SUMIFS('Cắt lồng'!$AH$327:$AH$515,'Cắt lồng'!$AA$327:$AA$515,'Cắt lồng'!$AA26,'Cắt lồng'!$AE$327:$AE$515,'Cắt lồng'!CH$4:CH$4)</f>
        <v>0</v>
      </c>
      <c r="CI26" s="109" t="e">
        <f t="shared" si="51"/>
        <v>#DIV/0!</v>
      </c>
      <c r="CJ26" s="79">
        <f t="array" ref="CJ26">SUMIFS('Cắt lồng'!$AC$327:$AC$515,'Cắt lồng'!$AA$327:$AA$515,'Cắt lồng'!$AA26,'Cắt lồng'!$AE$327:$AE$515,'Cắt lồng'!CJ$4:CJ$4)</f>
        <v>0</v>
      </c>
      <c r="CK26" s="79">
        <f t="array" ref="CK26">SUMIFS('Cắt lồng'!$AH$327:$AH$515,'Cắt lồng'!$AA$327:$AA$515,'Cắt lồng'!$AA26,'Cắt lồng'!$AE$327:$AE$515,'Cắt lồng'!CK$4:CK$4)</f>
        <v>0</v>
      </c>
      <c r="CL26" s="109" t="e">
        <f t="shared" si="52"/>
        <v>#DIV/0!</v>
      </c>
      <c r="CM26" s="79">
        <f t="array" ref="CM26">SUMIFS('Cắt lồng'!$AC$327:$AC$515,'Cắt lồng'!$AA$327:$AA$515,'Cắt lồng'!$AA26,'Cắt lồng'!$AE$327:$AE$515,'Cắt lồng'!CM$4:CM$4)</f>
        <v>0</v>
      </c>
      <c r="CN26" s="79">
        <f t="array" ref="CN26">SUMIFS('Cắt lồng'!$AH$327:$AH$515,'Cắt lồng'!$AA$327:$AA$515,'Cắt lồng'!$AA26,'Cắt lồng'!$AE$327:$AE$515,'Cắt lồng'!CN$4:CN$4)</f>
        <v>0</v>
      </c>
      <c r="CO26" s="109" t="e">
        <f t="shared" si="53"/>
        <v>#DIV/0!</v>
      </c>
      <c r="CP26" s="79">
        <f t="array" ref="CP26">SUMIFS('Cắt lồng'!$AC$327:$AC$515,'Cắt lồng'!$AA$327:$AA$515,'Cắt lồng'!$AA26,'Cắt lồng'!$AE$327:$AE$515,'Cắt lồng'!CP$4:CP$4)</f>
        <v>0</v>
      </c>
      <c r="CQ26" s="79">
        <f t="array" ref="CQ26">SUMIFS('Cắt lồng'!$AH$327:$AH$515,'Cắt lồng'!$AA$327:$AA$515,'Cắt lồng'!$AA26,'Cắt lồng'!$AE$327:$AE$515,'Cắt lồng'!CQ$4:CQ$4)</f>
        <v>0</v>
      </c>
      <c r="CR26" s="109" t="e">
        <f t="shared" si="54"/>
        <v>#DIV/0!</v>
      </c>
      <c r="CS26" s="79">
        <f t="array" ref="CS26">SUMIFS('Cắt lồng'!$AC$327:$AC$515,'Cắt lồng'!$AA$327:$AA$515,'Cắt lồng'!$AA26,'Cắt lồng'!$AE$327:$AE$515,'Cắt lồng'!CS$4:CS$4)</f>
        <v>0</v>
      </c>
      <c r="CT26" s="79">
        <f t="array" ref="CT26">SUMIFS('Cắt lồng'!$AH$327:$AH$515,'Cắt lồng'!$AA$327:$AA$515,'Cắt lồng'!$AA26,'Cắt lồng'!$AE$327:$AE$515,'Cắt lồng'!CT$4:CT$4)</f>
        <v>0</v>
      </c>
      <c r="CU26" s="109" t="e">
        <f t="shared" si="55"/>
        <v>#DIV/0!</v>
      </c>
      <c r="CV26" s="79">
        <f t="array" ref="CV26">SUMIFS('Cắt lồng'!$AC$327:$AC$515,'Cắt lồng'!$AA$327:$AA$515,'Cắt lồng'!$AA26,'Cắt lồng'!$AE$327:$AE$515,'Cắt lồng'!CV$4:CV$4)</f>
        <v>0</v>
      </c>
      <c r="CW26" s="79">
        <f t="array" ref="CW26">SUMIFS('Cắt lồng'!$AH$327:$AH$515,'Cắt lồng'!$AA$327:$AA$515,'Cắt lồng'!$AA26,'Cắt lồng'!$AE$327:$AE$515,'Cắt lồng'!CW$4:CW$4)</f>
        <v>0</v>
      </c>
      <c r="CX26" s="109" t="e">
        <f t="shared" si="56"/>
        <v>#DIV/0!</v>
      </c>
      <c r="CY26" s="79">
        <f t="array" ref="CY26">SUMIFS('Cắt lồng'!$AC$327:$AC$515,'Cắt lồng'!$AA$327:$AA$515,'Cắt lồng'!$AA26,'Cắt lồng'!$AE$327:$AE$515,'Cắt lồng'!CY$4:CY$4)</f>
        <v>0</v>
      </c>
      <c r="CZ26" s="79">
        <f t="array" ref="CZ26">SUMIFS('Cắt lồng'!$AH$327:$AH$515,'Cắt lồng'!$AA$327:$AA$515,'Cắt lồng'!$AA26,'Cắt lồng'!$AE$327:$AE$515,'Cắt lồng'!CZ$4:CZ$4)</f>
        <v>0</v>
      </c>
      <c r="DA26" s="109" t="e">
        <f t="shared" si="57"/>
        <v>#DIV/0!</v>
      </c>
      <c r="DB26" s="79">
        <f t="array" ref="DB26">SUMIFS('Cắt lồng'!$AC$327:$AC$515,'Cắt lồng'!$AA$327:$AA$515,'Cắt lồng'!$AA26,'Cắt lồng'!$AE$327:$AE$515,'Cắt lồng'!DB$4:DB$4)</f>
        <v>0</v>
      </c>
      <c r="DC26" s="79">
        <f t="array" ref="DC26">SUMIFS('Cắt lồng'!$AH$327:$AH$515,'Cắt lồng'!$AA$327:$AA$515,'Cắt lồng'!$AA26,'Cắt lồng'!$AE$327:$AE$515,'Cắt lồng'!DC$4:DC$4)</f>
        <v>0</v>
      </c>
      <c r="DD26" s="109" t="e">
        <f t="shared" si="58"/>
        <v>#DIV/0!</v>
      </c>
      <c r="DE26" s="79">
        <f t="array" ref="DE26">SUMIFS('Cắt lồng'!$AC$327:$AC$515,'Cắt lồng'!$AA$327:$AA$515,'Cắt lồng'!$AA26,'Cắt lồng'!$AE$327:$AE$515,'Cắt lồng'!DE$4:DE$4)</f>
        <v>0</v>
      </c>
      <c r="DF26" s="79">
        <f t="array" ref="DF26">SUMIFS('Cắt lồng'!$AH$327:$AH$515,'Cắt lồng'!$AA$327:$AA$515,'Cắt lồng'!$AA26,'Cắt lồng'!$AE$327:$AE$515,'Cắt lồng'!DF$4:DF$4)</f>
        <v>0</v>
      </c>
      <c r="DG26" s="109" t="e">
        <f t="shared" si="59"/>
        <v>#DIV/0!</v>
      </c>
      <c r="DH26" s="79">
        <f t="array" ref="DH26">SUMIFS('Cắt lồng'!$AC$327:$AC$515,'Cắt lồng'!$AA$327:$AA$515,'Cắt lồng'!$AA26,'Cắt lồng'!$AE$327:$AE$515,'Cắt lồng'!DH$4:DH$4)</f>
        <v>0</v>
      </c>
      <c r="DI26" s="79">
        <f t="array" ref="DI26">SUMIFS('Cắt lồng'!$AH$327:$AH$515,'Cắt lồng'!$AA$327:$AA$515,'Cắt lồng'!$AA26,'Cắt lồng'!$AE$327:$AE$515,'Cắt lồng'!DI$4:DI$4)</f>
        <v>0</v>
      </c>
      <c r="DJ26" s="109" t="e">
        <f t="shared" si="60"/>
        <v>#DIV/0!</v>
      </c>
      <c r="DK26" s="79">
        <f t="array" ref="DK26">SUMIFS('Cắt lồng'!$AC$327:$AC$515,'Cắt lồng'!$AA$327:$AA$515,'Cắt lồng'!$AA26,'Cắt lồng'!$AE$327:$AE$515,'Cắt lồng'!DK$4:DK$4)</f>
        <v>0</v>
      </c>
      <c r="DL26" s="79">
        <f t="array" ref="DL26">SUMIFS('Cắt lồng'!$AH$327:$AH$515,'Cắt lồng'!$AA$327:$AA$515,'Cắt lồng'!$AA26,'Cắt lồng'!$AE$327:$AE$515,'Cắt lồng'!DL$4:DL$4)</f>
        <v>0</v>
      </c>
      <c r="DM26" s="109" t="e">
        <f t="shared" si="61"/>
        <v>#DIV/0!</v>
      </c>
      <c r="DN26" s="79">
        <f>SUMIFS('Cắt lồng'!$AC$327:$AC$515,'Cắt lồng'!$AA$327:$AA$515,'Cắt lồng'!$AA26,'Cắt lồng'!$AE$327:$AE$515,'Cắt lồng'!DN$4:DN$4)</f>
        <v>0</v>
      </c>
      <c r="DO26" s="79">
        <f t="array" ref="DO26">SUMIFS('Cắt lồng'!$AH$327:$AH$515,'Cắt lồng'!$AA$327:$AA$515,'Cắt lồng'!$AA26,'Cắt lồng'!$AE$327:$AE$515,'Cắt lồng'!DO$4:DO$4)</f>
        <v>0</v>
      </c>
      <c r="DP26" s="109" t="e">
        <f t="shared" si="62"/>
        <v>#DIV/0!</v>
      </c>
      <c r="DQ26" s="79">
        <f t="array" ref="DQ26">SUMIFS('Cắt lồng'!$AC$327:$AC$515,'Cắt lồng'!$AA$327:$AA$515,'Cắt lồng'!$AA26,'Cắt lồng'!$AE$327:$AE$515,'Cắt lồng'!DQ$4:DQ$4)</f>
        <v>0</v>
      </c>
      <c r="DR26" s="79">
        <f t="array" ref="DR26">SUMIFS('Cắt lồng'!$AH$327:$AH$515,'Cắt lồng'!$AA$327:$AA$515,'Cắt lồng'!$AA26,'Cắt lồng'!$AE$327:$AE$515,'Cắt lồng'!DR$4:DR$4)</f>
        <v>0</v>
      </c>
      <c r="DS26" s="109" t="e">
        <f t="shared" si="63"/>
        <v>#DIV/0!</v>
      </c>
      <c r="DT26" s="79">
        <f t="array" ref="DT26">SUMIFS('Cắt lồng'!$AC$327:$AC$515,'Cắt lồng'!$AA$327:$AA$515,'Cắt lồng'!$AA26,'Cắt lồng'!$AE$327:$AE$515,'Cắt lồng'!DT$4:DT$4)</f>
        <v>0</v>
      </c>
      <c r="DU26" s="79">
        <f t="array" ref="DU26">SUMIFS('Cắt lồng'!$AH$327:$AH$515,'Cắt lồng'!$AA$327:$AA$515,'Cắt lồng'!$AA26,'Cắt lồng'!$AE$327:$AE$515,'Cắt lồng'!DU$4:DU$4)</f>
        <v>0</v>
      </c>
      <c r="DV26" s="109" t="e">
        <f t="shared" si="64"/>
        <v>#DIV/0!</v>
      </c>
      <c r="DW26" s="79">
        <f t="array" ref="DW26">SUMIFS('Cắt lồng'!$AC$327:$AC$515,'Cắt lồng'!$AA$327:$AA$515,'Cắt lồng'!$AA26,'Cắt lồng'!$AE$327:$AE$515,'Cắt lồng'!DW$4:DW$4)</f>
        <v>0</v>
      </c>
      <c r="DX26" s="79">
        <f t="array" ref="DX26">SUMIFS('Cắt lồng'!$AH$327:$AH$515,'Cắt lồng'!$AA$327:$AA$515,'Cắt lồng'!$AA26,'Cắt lồng'!$AE$327:$AE$515,'Cắt lồng'!DX$4:DX$4)</f>
        <v>0</v>
      </c>
      <c r="DY26" s="109" t="e">
        <f t="shared" si="65"/>
        <v>#DIV/0!</v>
      </c>
      <c r="DZ26" s="79">
        <f t="array" ref="DZ26">SUMIFS('Cắt lồng'!$AC$327:$AC$515,'Cắt lồng'!$AA$327:$AA$515,'Cắt lồng'!$AA26,'Cắt lồng'!$AE$327:$AE$515,'Cắt lồng'!DZ$4:DZ$4)</f>
        <v>0</v>
      </c>
      <c r="EA26" s="79">
        <f t="array" ref="EA26">SUMIFS('Cắt lồng'!$AH$327:$AH$515,'Cắt lồng'!$AA$327:$AA$515,'Cắt lồng'!$AA26,'Cắt lồng'!$AE$327:$AE$515,'Cắt lồng'!EA$4:EA$4)</f>
        <v>0</v>
      </c>
      <c r="EB26" s="109" t="e">
        <f t="shared" si="66"/>
        <v>#DIV/0!</v>
      </c>
      <c r="EC26" s="79">
        <f t="array" ref="EC26">SUMIFS('Cắt lồng'!$AC$327:$AC$515,'Cắt lồng'!$AA$327:$AA$515,'Cắt lồng'!$AA26,'Cắt lồng'!$AE$327:$AE$515,'Cắt lồng'!EC$4:EC$4)</f>
        <v>0</v>
      </c>
      <c r="ED26" s="79">
        <f t="array" ref="ED26">SUMIFS('Cắt lồng'!$AH$327:$AH$515,'Cắt lồng'!$AA$327:$AA$515,'Cắt lồng'!$AA26,'Cắt lồng'!$AE$327:$AE$515,'Cắt lồng'!ED$4:ED$4)</f>
        <v>0</v>
      </c>
      <c r="EE26" s="109" t="e">
        <f t="shared" si="67"/>
        <v>#DIV/0!</v>
      </c>
      <c r="EF26" s="79">
        <f t="array" ref="EF26">SUMIFS('Cắt lồng'!$AC$327:$AC$515,'Cắt lồng'!$AA$327:$AA$515,'Cắt lồng'!$AA26,'Cắt lồng'!$AE$327:$AE$515,'Cắt lồng'!EF$4:EF$4)</f>
        <v>0</v>
      </c>
      <c r="EG26" s="79">
        <f t="array" ref="EG26">SUMIFS('Cắt lồng'!$AH$327:$AH$515,'Cắt lồng'!$AA$327:$AA$515,'Cắt lồng'!$AA26,'Cắt lồng'!$AE$327:$AE$515,'Cắt lồng'!EG$4:EG$4)</f>
        <v>0</v>
      </c>
      <c r="EH26" s="109" t="e">
        <f t="shared" si="68"/>
        <v>#DIV/0!</v>
      </c>
      <c r="EI26" s="79">
        <f t="array" ref="EI26">SUMIFS('Cắt lồng'!$AC$327:$AC$515,'Cắt lồng'!$AA$327:$AA$515,'Cắt lồng'!$AA26,'Cắt lồng'!$AE$327:$AE$515,'Cắt lồng'!EI$4:EI$4)</f>
        <v>0</v>
      </c>
      <c r="EJ26" s="79">
        <f t="array" ref="EJ26">SUMIFS('Cắt lồng'!$AH$327:$AH$515,'Cắt lồng'!$AA$327:$AA$515,'Cắt lồng'!$AA26,'Cắt lồng'!$AE$327:$AE$515,'Cắt lồng'!EJ$4:EJ$4)</f>
        <v>0</v>
      </c>
      <c r="EK26" s="109" t="e">
        <f t="shared" si="69"/>
        <v>#DIV/0!</v>
      </c>
    </row>
    <row r="27" spans="1:141" s="12" customFormat="1" ht="14.25" hidden="1" customHeight="1">
      <c r="A27" s="25">
        <v>22</v>
      </c>
      <c r="B27" s="198" t="s">
        <v>210</v>
      </c>
      <c r="C27" s="198" t="s">
        <v>210</v>
      </c>
      <c r="D27" s="65"/>
      <c r="E27" s="200"/>
      <c r="F27" s="199"/>
      <c r="G27" s="82">
        <f t="shared" si="1"/>
        <v>0</v>
      </c>
      <c r="H27" s="81">
        <f t="shared" si="2"/>
        <v>0</v>
      </c>
      <c r="I27" s="19">
        <f t="shared" si="3"/>
        <v>0</v>
      </c>
      <c r="J27" s="11">
        <f t="shared" si="4"/>
        <v>0</v>
      </c>
      <c r="K27" s="19">
        <f t="shared" si="5"/>
        <v>0</v>
      </c>
      <c r="L27" s="19">
        <f t="shared" si="6"/>
        <v>0</v>
      </c>
      <c r="M27" s="19">
        <f t="shared" si="7"/>
        <v>0</v>
      </c>
      <c r="N27" s="19">
        <f t="shared" si="8"/>
        <v>0</v>
      </c>
      <c r="O27" s="19">
        <f t="shared" si="9"/>
        <v>0</v>
      </c>
      <c r="P27" s="19">
        <f t="shared" si="10"/>
        <v>0</v>
      </c>
      <c r="Q27" s="19">
        <f t="shared" si="11"/>
        <v>0</v>
      </c>
      <c r="R27" s="19">
        <f t="shared" si="12"/>
        <v>0</v>
      </c>
      <c r="S27" s="19">
        <f t="shared" si="13"/>
        <v>0</v>
      </c>
      <c r="T27" s="19">
        <f t="shared" si="14"/>
        <v>0</v>
      </c>
      <c r="U27" s="19">
        <f t="shared" si="15"/>
        <v>0</v>
      </c>
      <c r="V27" s="19">
        <f t="shared" si="16"/>
        <v>0</v>
      </c>
      <c r="W27" s="19">
        <f t="shared" si="17"/>
        <v>0</v>
      </c>
      <c r="X27" s="19">
        <f t="shared" si="18"/>
        <v>0</v>
      </c>
      <c r="Y27" s="19">
        <f t="shared" si="19"/>
        <v>0</v>
      </c>
      <c r="Z27" s="19">
        <f t="shared" si="20"/>
        <v>0</v>
      </c>
      <c r="AA27" s="164" t="s">
        <v>264</v>
      </c>
      <c r="AB27" s="129">
        <f t="shared" si="21"/>
        <v>0</v>
      </c>
      <c r="AC27" s="16">
        <f t="shared" si="22"/>
        <v>0</v>
      </c>
      <c r="AD27" s="15" t="e">
        <f t="shared" si="23"/>
        <v>#DIV/0!</v>
      </c>
      <c r="AE27" s="42"/>
      <c r="AF27" s="10" t="e">
        <f t="shared" si="24"/>
        <v>#DIV/0!</v>
      </c>
      <c r="AG27" s="10"/>
      <c r="AH27" s="127">
        <f t="shared" si="25"/>
        <v>0</v>
      </c>
      <c r="AI27" s="54" t="e">
        <f t="shared" si="26"/>
        <v>#DIV/0!</v>
      </c>
      <c r="AJ27" s="25">
        <f t="shared" si="27"/>
        <v>0</v>
      </c>
      <c r="AK27" s="25">
        <f t="shared" si="28"/>
        <v>0</v>
      </c>
      <c r="AL27" s="30">
        <f t="shared" si="29"/>
        <v>0</v>
      </c>
      <c r="AM27" s="30">
        <f t="shared" si="30"/>
        <v>0</v>
      </c>
      <c r="AN27" s="30">
        <f t="shared" si="31"/>
        <v>0</v>
      </c>
      <c r="AO27" s="30">
        <f t="shared" si="32"/>
        <v>0</v>
      </c>
      <c r="AP27" s="30">
        <f t="shared" si="33"/>
        <v>0</v>
      </c>
      <c r="AQ27" s="30">
        <f t="shared" si="34"/>
        <v>0</v>
      </c>
      <c r="AR27" s="30">
        <f t="shared" si="35"/>
        <v>0</v>
      </c>
      <c r="AS27" s="30">
        <f t="shared" si="36"/>
        <v>0</v>
      </c>
      <c r="AT27" s="30">
        <f t="shared" si="37"/>
        <v>0</v>
      </c>
      <c r="AU27" s="80"/>
      <c r="AV27" s="110">
        <f t="shared" si="38"/>
        <v>0</v>
      </c>
      <c r="AW27" s="79">
        <f t="array" ref="AW27">SUMIFS('Cắt lồng'!$AC$327:$AC$515,'Cắt lồng'!$AA$327:$AA$515,'Cắt lồng'!$AA27,'Cắt lồng'!$AE$327:$AE$515,'Cắt lồng'!AW$4:AW$4)</f>
        <v>0</v>
      </c>
      <c r="AX27" s="79">
        <f t="array" ref="AX27">SUMIFS('Cắt lồng'!$AH$327:$AH$515,'Cắt lồng'!$AA$327:$AA$515,'Cắt lồng'!$AA27,'Cắt lồng'!$AE$327:$AE$515,'Cắt lồng'!AX$4:AX$4)</f>
        <v>0</v>
      </c>
      <c r="AY27" s="109" t="e">
        <f t="shared" si="39"/>
        <v>#DIV/0!</v>
      </c>
      <c r="AZ27" s="79">
        <f t="array" ref="AZ27">SUMIFS('Cắt lồng'!$AC$327:$AC$515,'Cắt lồng'!$AA$327:$AA$515,'Cắt lồng'!$AA27,'Cắt lồng'!$AE$327:$AE$515,'Cắt lồng'!AZ$4:AZ$4)</f>
        <v>0</v>
      </c>
      <c r="BA27" s="79">
        <f t="array" ref="BA27">SUMIFS('Cắt lồng'!$AH$327:$AH$515,'Cắt lồng'!$AA$327:$AA$515,'Cắt lồng'!$AA27,'Cắt lồng'!$AE$327:$AE$515,'Cắt lồng'!BA$4:BA$4)</f>
        <v>0</v>
      </c>
      <c r="BB27" s="109" t="e">
        <f t="shared" si="40"/>
        <v>#DIV/0!</v>
      </c>
      <c r="BC27" s="79">
        <f t="array" ref="BC27">SUMIFS('Cắt lồng'!$AC$327:$AC$515,'Cắt lồng'!$AA$327:$AA$515,'Cắt lồng'!$AA27,'Cắt lồng'!$AE$327:$AE$515,'Cắt lồng'!BC$4:BC$4)</f>
        <v>0</v>
      </c>
      <c r="BD27" s="79">
        <f t="array" ref="BD27">SUMIFS('Cắt lồng'!$AH$327:$AH$515,'Cắt lồng'!$AA$327:$AA$515,'Cắt lồng'!$AA27,'Cắt lồng'!$AE$327:$AE$515,'Cắt lồng'!BD$4:BD$4)</f>
        <v>0</v>
      </c>
      <c r="BE27" s="109" t="e">
        <f t="shared" si="41"/>
        <v>#DIV/0!</v>
      </c>
      <c r="BF27" s="79">
        <f t="array" ref="BF27">SUMIFS('Cắt lồng'!$AC$327:$AC$515,'Cắt lồng'!$AA$327:$AA$515,'Cắt lồng'!$AA27,'Cắt lồng'!$AE$327:$AE$515,'Cắt lồng'!BF$4:BF$4)</f>
        <v>0</v>
      </c>
      <c r="BG27" s="79">
        <f t="array" ref="BG27">SUMIFS('Cắt lồng'!$AH$327:$AH$515,'Cắt lồng'!$AA$327:$AA$515,'Cắt lồng'!$AA27,'Cắt lồng'!$AE$327:$AE$515,'Cắt lồng'!BG$4:BG$4)</f>
        <v>0</v>
      </c>
      <c r="BH27" s="109" t="e">
        <f t="shared" si="42"/>
        <v>#DIV/0!</v>
      </c>
      <c r="BI27" s="79">
        <f t="array" ref="BI27">SUMIFS('Cắt lồng'!$AC$327:$AC$515,'Cắt lồng'!$AA$327:$AA$515,'Cắt lồng'!$AA27,'Cắt lồng'!$AE$327:$AE$515,'Cắt lồng'!BI$4:BI$4)</f>
        <v>0</v>
      </c>
      <c r="BJ27" s="79">
        <f t="array" ref="BJ27">SUMIFS('Cắt lồng'!$AH$327:$AH$515,'Cắt lồng'!$AA$327:$AA$515,'Cắt lồng'!$AA27,'Cắt lồng'!$AE$327:$AE$515,'Cắt lồng'!BJ$4:BJ$4)</f>
        <v>0</v>
      </c>
      <c r="BK27" s="109" t="e">
        <f t="shared" si="43"/>
        <v>#DIV/0!</v>
      </c>
      <c r="BL27" s="79">
        <f t="array" ref="BL27">SUMIFS('Cắt lồng'!$AC$327:$AC$515,'Cắt lồng'!$AA$327:$AA$515,'Cắt lồng'!$AA27,'Cắt lồng'!$AE$327:$AE$515,'Cắt lồng'!BL$4:BL$4)</f>
        <v>0</v>
      </c>
      <c r="BM27" s="79">
        <f t="array" ref="BM27">SUMIFS('Cắt lồng'!$AH$327:$AH$515,'Cắt lồng'!$AA$327:$AA$515,'Cắt lồng'!$AA27,'Cắt lồng'!$AE$327:$AE$515,'Cắt lồng'!BM$4:BM$4)</f>
        <v>0</v>
      </c>
      <c r="BN27" s="109" t="e">
        <f t="shared" si="44"/>
        <v>#DIV/0!</v>
      </c>
      <c r="BO27" s="79">
        <f t="array" ref="BO27">SUMIFS('Cắt lồng'!$AC$327:$AC$515,'Cắt lồng'!$AA$327:$AA$515,'Cắt lồng'!$AA27,'Cắt lồng'!$AE$327:$AE$515,'Cắt lồng'!BO$4:BO$4)</f>
        <v>0</v>
      </c>
      <c r="BP27" s="79">
        <f t="array" ref="BP27">SUMIFS('Cắt lồng'!$AH$327:$AH$515,'Cắt lồng'!$AA$327:$AA$515,'Cắt lồng'!$AA27,'Cắt lồng'!$AE$327:$AE$515,'Cắt lồng'!BP$4:BP$4)</f>
        <v>0</v>
      </c>
      <c r="BQ27" s="109" t="e">
        <f t="shared" si="45"/>
        <v>#DIV/0!</v>
      </c>
      <c r="BR27" s="79">
        <f t="array" ref="BR27">SUMIFS('Cắt lồng'!$AC$327:$AC$515,'Cắt lồng'!$AA$327:$AA$515,'Cắt lồng'!$AA27,'Cắt lồng'!$AE$327:$AE$515,'Cắt lồng'!BR$4:BR$4)</f>
        <v>0</v>
      </c>
      <c r="BS27" s="79">
        <f t="array" ref="BS27">SUMIFS('Cắt lồng'!$AH$327:$AH$515,'Cắt lồng'!$AA$327:$AA$515,'Cắt lồng'!$AA27,'Cắt lồng'!$AE$327:$AE$515,'Cắt lồng'!BS$4:BS$4)</f>
        <v>0</v>
      </c>
      <c r="BT27" s="109" t="e">
        <f t="shared" si="46"/>
        <v>#DIV/0!</v>
      </c>
      <c r="BU27" s="79">
        <f t="array" ref="BU27">SUMIFS('Cắt lồng'!$AC$327:$AC$515,'Cắt lồng'!$AA$327:$AA$515,'Cắt lồng'!$AA27,'Cắt lồng'!$AE$327:$AE$515,'Cắt lồng'!BU$4:BU$4)</f>
        <v>0</v>
      </c>
      <c r="BV27" s="79">
        <f t="array" ref="BV27">SUMIFS('Cắt lồng'!$AH$327:$AH$515,'Cắt lồng'!$AA$327:$AA$515,'Cắt lồng'!$AA27,'Cắt lồng'!$AE$327:$AE$515,'Cắt lồng'!BV$4:BV$4)</f>
        <v>0</v>
      </c>
      <c r="BW27" s="109" t="e">
        <f t="shared" si="47"/>
        <v>#DIV/0!</v>
      </c>
      <c r="BX27" s="79">
        <f t="array" ref="BX27">SUMIFS('Cắt lồng'!$AC$327:$AC$515,'Cắt lồng'!$AA$327:$AA$515,'Cắt lồng'!$AA27,'Cắt lồng'!$AE$327:$AE$515,'Cắt lồng'!BX$4:BX$4)</f>
        <v>0</v>
      </c>
      <c r="BY27" s="79">
        <f t="array" ref="BY27">SUMIFS('Cắt lồng'!$AH$327:$AH$515,'Cắt lồng'!$AA$327:$AA$515,'Cắt lồng'!$AA27,'Cắt lồng'!$AE$327:$AE$515,'Cắt lồng'!BY$4:BY$4)</f>
        <v>0</v>
      </c>
      <c r="BZ27" s="109" t="e">
        <f t="shared" si="48"/>
        <v>#DIV/0!</v>
      </c>
      <c r="CA27" s="79">
        <f t="array" ref="CA27">SUMIFS('Cắt lồng'!$AC$327:$AC$515,'Cắt lồng'!$AA$327:$AA$515,'Cắt lồng'!$AA27,'Cắt lồng'!$AE$327:$AE$515,'Cắt lồng'!CA$4:CA$4)</f>
        <v>0</v>
      </c>
      <c r="CB27" s="79">
        <f t="array" ref="CB27">SUMIFS('Cắt lồng'!$AH$327:$AH$515,'Cắt lồng'!$AA$327:$AA$515,'Cắt lồng'!$AA27,'Cắt lồng'!$AE$327:$AE$515,'Cắt lồng'!CB$4:CB$4)</f>
        <v>0</v>
      </c>
      <c r="CC27" s="109" t="e">
        <f t="shared" si="49"/>
        <v>#DIV/0!</v>
      </c>
      <c r="CD27" s="79">
        <f t="array" ref="CD27">SUMIFS('Cắt lồng'!$AC$327:$AC$515,'Cắt lồng'!$AA$327:$AA$515,'Cắt lồng'!$AA27,'Cắt lồng'!$AE$327:$AE$515,'Cắt lồng'!CD$4:CD$4)</f>
        <v>0</v>
      </c>
      <c r="CE27" s="79">
        <f t="array" ref="CE27">SUMIFS('Cắt lồng'!$AH$327:$AH$515,'Cắt lồng'!$AA$327:$AA$515,'Cắt lồng'!$AA27,'Cắt lồng'!$AE$327:$AE$515,'Cắt lồng'!CE$4:CE$4)</f>
        <v>0</v>
      </c>
      <c r="CF27" s="109" t="e">
        <f t="shared" si="50"/>
        <v>#DIV/0!</v>
      </c>
      <c r="CG27" s="79">
        <f t="array" ref="CG27">SUMIFS('Cắt lồng'!$AC$327:$AC$515,'Cắt lồng'!$AA$327:$AA$515,'Cắt lồng'!$AA27,'Cắt lồng'!$AE$327:$AE$515,'Cắt lồng'!CG$4:CG$4)</f>
        <v>0</v>
      </c>
      <c r="CH27" s="79">
        <f t="array" ref="CH27">SUMIFS('Cắt lồng'!$AH$327:$AH$515,'Cắt lồng'!$AA$327:$AA$515,'Cắt lồng'!$AA27,'Cắt lồng'!$AE$327:$AE$515,'Cắt lồng'!CH$4:CH$4)</f>
        <v>0</v>
      </c>
      <c r="CI27" s="109" t="e">
        <f t="shared" si="51"/>
        <v>#DIV/0!</v>
      </c>
      <c r="CJ27" s="79">
        <f t="array" ref="CJ27">SUMIFS('Cắt lồng'!$AC$327:$AC$515,'Cắt lồng'!$AA$327:$AA$515,'Cắt lồng'!$AA27,'Cắt lồng'!$AE$327:$AE$515,'Cắt lồng'!CJ$4:CJ$4)</f>
        <v>0</v>
      </c>
      <c r="CK27" s="79">
        <f t="array" ref="CK27">SUMIFS('Cắt lồng'!$AH$327:$AH$515,'Cắt lồng'!$AA$327:$AA$515,'Cắt lồng'!$AA27,'Cắt lồng'!$AE$327:$AE$515,'Cắt lồng'!CK$4:CK$4)</f>
        <v>0</v>
      </c>
      <c r="CL27" s="109" t="e">
        <f t="shared" si="52"/>
        <v>#DIV/0!</v>
      </c>
      <c r="CM27" s="79">
        <f t="array" ref="CM27">SUMIFS('Cắt lồng'!$AC$327:$AC$515,'Cắt lồng'!$AA$327:$AA$515,'Cắt lồng'!$AA27,'Cắt lồng'!$AE$327:$AE$515,'Cắt lồng'!CM$4:CM$4)</f>
        <v>0</v>
      </c>
      <c r="CN27" s="79">
        <f t="array" ref="CN27">SUMIFS('Cắt lồng'!$AH$327:$AH$515,'Cắt lồng'!$AA$327:$AA$515,'Cắt lồng'!$AA27,'Cắt lồng'!$AE$327:$AE$515,'Cắt lồng'!CN$4:CN$4)</f>
        <v>0</v>
      </c>
      <c r="CO27" s="109" t="e">
        <f t="shared" si="53"/>
        <v>#DIV/0!</v>
      </c>
      <c r="CP27" s="79">
        <f t="array" ref="CP27">SUMIFS('Cắt lồng'!$AC$327:$AC$515,'Cắt lồng'!$AA$327:$AA$515,'Cắt lồng'!$AA27,'Cắt lồng'!$AE$327:$AE$515,'Cắt lồng'!CP$4:CP$4)</f>
        <v>0</v>
      </c>
      <c r="CQ27" s="79">
        <f t="array" ref="CQ27">SUMIFS('Cắt lồng'!$AH$327:$AH$515,'Cắt lồng'!$AA$327:$AA$515,'Cắt lồng'!$AA27,'Cắt lồng'!$AE$327:$AE$515,'Cắt lồng'!CQ$4:CQ$4)</f>
        <v>0</v>
      </c>
      <c r="CR27" s="109" t="e">
        <f t="shared" si="54"/>
        <v>#DIV/0!</v>
      </c>
      <c r="CS27" s="79">
        <f t="array" ref="CS27">SUMIFS('Cắt lồng'!$AC$327:$AC$515,'Cắt lồng'!$AA$327:$AA$515,'Cắt lồng'!$AA27,'Cắt lồng'!$AE$327:$AE$515,'Cắt lồng'!CS$4:CS$4)</f>
        <v>0</v>
      </c>
      <c r="CT27" s="79">
        <f t="array" ref="CT27">SUMIFS('Cắt lồng'!$AH$327:$AH$515,'Cắt lồng'!$AA$327:$AA$515,'Cắt lồng'!$AA27,'Cắt lồng'!$AE$327:$AE$515,'Cắt lồng'!CT$4:CT$4)</f>
        <v>0</v>
      </c>
      <c r="CU27" s="109" t="e">
        <f t="shared" si="55"/>
        <v>#DIV/0!</v>
      </c>
      <c r="CV27" s="79">
        <f t="array" ref="CV27">SUMIFS('Cắt lồng'!$AC$327:$AC$515,'Cắt lồng'!$AA$327:$AA$515,'Cắt lồng'!$AA27,'Cắt lồng'!$AE$327:$AE$515,'Cắt lồng'!CV$4:CV$4)</f>
        <v>0</v>
      </c>
      <c r="CW27" s="79">
        <f t="array" ref="CW27">SUMIFS('Cắt lồng'!$AH$327:$AH$515,'Cắt lồng'!$AA$327:$AA$515,'Cắt lồng'!$AA27,'Cắt lồng'!$AE$327:$AE$515,'Cắt lồng'!CW$4:CW$4)</f>
        <v>0</v>
      </c>
      <c r="CX27" s="109" t="e">
        <f t="shared" si="56"/>
        <v>#DIV/0!</v>
      </c>
      <c r="CY27" s="79">
        <f t="array" ref="CY27">SUMIFS('Cắt lồng'!$AC$327:$AC$515,'Cắt lồng'!$AA$327:$AA$515,'Cắt lồng'!$AA27,'Cắt lồng'!$AE$327:$AE$515,'Cắt lồng'!CY$4:CY$4)</f>
        <v>0</v>
      </c>
      <c r="CZ27" s="79">
        <f t="array" ref="CZ27">SUMIFS('Cắt lồng'!$AH$327:$AH$515,'Cắt lồng'!$AA$327:$AA$515,'Cắt lồng'!$AA27,'Cắt lồng'!$AE$327:$AE$515,'Cắt lồng'!CZ$4:CZ$4)</f>
        <v>0</v>
      </c>
      <c r="DA27" s="109" t="e">
        <f t="shared" si="57"/>
        <v>#DIV/0!</v>
      </c>
      <c r="DB27" s="79">
        <f t="array" ref="DB27">SUMIFS('Cắt lồng'!$AC$327:$AC$515,'Cắt lồng'!$AA$327:$AA$515,'Cắt lồng'!$AA27,'Cắt lồng'!$AE$327:$AE$515,'Cắt lồng'!DB$4:DB$4)</f>
        <v>0</v>
      </c>
      <c r="DC27" s="79">
        <f t="array" ref="DC27">SUMIFS('Cắt lồng'!$AH$327:$AH$515,'Cắt lồng'!$AA$327:$AA$515,'Cắt lồng'!$AA27,'Cắt lồng'!$AE$327:$AE$515,'Cắt lồng'!DC$4:DC$4)</f>
        <v>0</v>
      </c>
      <c r="DD27" s="109" t="e">
        <f t="shared" si="58"/>
        <v>#DIV/0!</v>
      </c>
      <c r="DE27" s="79">
        <f t="array" ref="DE27">SUMIFS('Cắt lồng'!$AC$327:$AC$515,'Cắt lồng'!$AA$327:$AA$515,'Cắt lồng'!$AA27,'Cắt lồng'!$AE$327:$AE$515,'Cắt lồng'!DE$4:DE$4)</f>
        <v>0</v>
      </c>
      <c r="DF27" s="79">
        <f t="array" ref="DF27">SUMIFS('Cắt lồng'!$AH$327:$AH$515,'Cắt lồng'!$AA$327:$AA$515,'Cắt lồng'!$AA27,'Cắt lồng'!$AE$327:$AE$515,'Cắt lồng'!DF$4:DF$4)</f>
        <v>0</v>
      </c>
      <c r="DG27" s="109" t="e">
        <f t="shared" si="59"/>
        <v>#DIV/0!</v>
      </c>
      <c r="DH27" s="79">
        <f t="array" ref="DH27">SUMIFS('Cắt lồng'!$AC$327:$AC$515,'Cắt lồng'!$AA$327:$AA$515,'Cắt lồng'!$AA27,'Cắt lồng'!$AE$327:$AE$515,'Cắt lồng'!DH$4:DH$4)</f>
        <v>0</v>
      </c>
      <c r="DI27" s="79">
        <f t="array" ref="DI27">SUMIFS('Cắt lồng'!$AH$327:$AH$515,'Cắt lồng'!$AA$327:$AA$515,'Cắt lồng'!$AA27,'Cắt lồng'!$AE$327:$AE$515,'Cắt lồng'!DI$4:DI$4)</f>
        <v>0</v>
      </c>
      <c r="DJ27" s="109" t="e">
        <f t="shared" si="60"/>
        <v>#DIV/0!</v>
      </c>
      <c r="DK27" s="79">
        <f t="array" ref="DK27">SUMIFS('Cắt lồng'!$AC$327:$AC$515,'Cắt lồng'!$AA$327:$AA$515,'Cắt lồng'!$AA27,'Cắt lồng'!$AE$327:$AE$515,'Cắt lồng'!DK$4:DK$4)</f>
        <v>0</v>
      </c>
      <c r="DL27" s="79">
        <f t="array" ref="DL27">SUMIFS('Cắt lồng'!$AH$327:$AH$515,'Cắt lồng'!$AA$327:$AA$515,'Cắt lồng'!$AA27,'Cắt lồng'!$AE$327:$AE$515,'Cắt lồng'!DL$4:DL$4)</f>
        <v>0</v>
      </c>
      <c r="DM27" s="109" t="e">
        <f t="shared" si="61"/>
        <v>#DIV/0!</v>
      </c>
      <c r="DN27" s="79">
        <f>SUMIFS('Cắt lồng'!$AC$327:$AC$515,'Cắt lồng'!$AA$327:$AA$515,'Cắt lồng'!$AA27,'Cắt lồng'!$AE$327:$AE$515,'Cắt lồng'!DN$4:DN$4)</f>
        <v>0</v>
      </c>
      <c r="DO27" s="79">
        <f t="array" ref="DO27">SUMIFS('Cắt lồng'!$AH$327:$AH$515,'Cắt lồng'!$AA$327:$AA$515,'Cắt lồng'!$AA27,'Cắt lồng'!$AE$327:$AE$515,'Cắt lồng'!DO$4:DO$4)</f>
        <v>0</v>
      </c>
      <c r="DP27" s="109" t="e">
        <f t="shared" si="62"/>
        <v>#DIV/0!</v>
      </c>
      <c r="DQ27" s="79">
        <f t="array" ref="DQ27">SUMIFS('Cắt lồng'!$AC$327:$AC$515,'Cắt lồng'!$AA$327:$AA$515,'Cắt lồng'!$AA27,'Cắt lồng'!$AE$327:$AE$515,'Cắt lồng'!DQ$4:DQ$4)</f>
        <v>0</v>
      </c>
      <c r="DR27" s="79">
        <f t="array" ref="DR27">SUMIFS('Cắt lồng'!$AH$327:$AH$515,'Cắt lồng'!$AA$327:$AA$515,'Cắt lồng'!$AA27,'Cắt lồng'!$AE$327:$AE$515,'Cắt lồng'!DR$4:DR$4)</f>
        <v>0</v>
      </c>
      <c r="DS27" s="109" t="e">
        <f t="shared" si="63"/>
        <v>#DIV/0!</v>
      </c>
      <c r="DT27" s="79">
        <f t="array" ref="DT27">SUMIFS('Cắt lồng'!$AC$327:$AC$515,'Cắt lồng'!$AA$327:$AA$515,'Cắt lồng'!$AA27,'Cắt lồng'!$AE$327:$AE$515,'Cắt lồng'!DT$4:DT$4)</f>
        <v>0</v>
      </c>
      <c r="DU27" s="79">
        <f t="array" ref="DU27">SUMIFS('Cắt lồng'!$AH$327:$AH$515,'Cắt lồng'!$AA$327:$AA$515,'Cắt lồng'!$AA27,'Cắt lồng'!$AE$327:$AE$515,'Cắt lồng'!DU$4:DU$4)</f>
        <v>0</v>
      </c>
      <c r="DV27" s="109" t="e">
        <f t="shared" si="64"/>
        <v>#DIV/0!</v>
      </c>
      <c r="DW27" s="79">
        <f t="array" ref="DW27">SUMIFS('Cắt lồng'!$AC$327:$AC$515,'Cắt lồng'!$AA$327:$AA$515,'Cắt lồng'!$AA27,'Cắt lồng'!$AE$327:$AE$515,'Cắt lồng'!DW$4:DW$4)</f>
        <v>0</v>
      </c>
      <c r="DX27" s="79">
        <f t="array" ref="DX27">SUMIFS('Cắt lồng'!$AH$327:$AH$515,'Cắt lồng'!$AA$327:$AA$515,'Cắt lồng'!$AA27,'Cắt lồng'!$AE$327:$AE$515,'Cắt lồng'!DX$4:DX$4)</f>
        <v>0</v>
      </c>
      <c r="DY27" s="109" t="e">
        <f t="shared" si="65"/>
        <v>#DIV/0!</v>
      </c>
      <c r="DZ27" s="79">
        <f t="array" ref="DZ27">SUMIFS('Cắt lồng'!$AC$327:$AC$515,'Cắt lồng'!$AA$327:$AA$515,'Cắt lồng'!$AA27,'Cắt lồng'!$AE$327:$AE$515,'Cắt lồng'!DZ$4:DZ$4)</f>
        <v>0</v>
      </c>
      <c r="EA27" s="79">
        <f t="array" ref="EA27">SUMIFS('Cắt lồng'!$AH$327:$AH$515,'Cắt lồng'!$AA$327:$AA$515,'Cắt lồng'!$AA27,'Cắt lồng'!$AE$327:$AE$515,'Cắt lồng'!EA$4:EA$4)</f>
        <v>0</v>
      </c>
      <c r="EB27" s="109" t="e">
        <f t="shared" si="66"/>
        <v>#DIV/0!</v>
      </c>
      <c r="EC27" s="79">
        <f t="array" ref="EC27">SUMIFS('Cắt lồng'!$AC$327:$AC$515,'Cắt lồng'!$AA$327:$AA$515,'Cắt lồng'!$AA27,'Cắt lồng'!$AE$327:$AE$515,'Cắt lồng'!EC$4:EC$4)</f>
        <v>0</v>
      </c>
      <c r="ED27" s="79">
        <f t="array" ref="ED27">SUMIFS('Cắt lồng'!$AH$327:$AH$515,'Cắt lồng'!$AA$327:$AA$515,'Cắt lồng'!$AA27,'Cắt lồng'!$AE$327:$AE$515,'Cắt lồng'!ED$4:ED$4)</f>
        <v>0</v>
      </c>
      <c r="EE27" s="109" t="e">
        <f t="shared" si="67"/>
        <v>#DIV/0!</v>
      </c>
      <c r="EF27" s="79">
        <f t="array" ref="EF27">SUMIFS('Cắt lồng'!$AC$327:$AC$515,'Cắt lồng'!$AA$327:$AA$515,'Cắt lồng'!$AA27,'Cắt lồng'!$AE$327:$AE$515,'Cắt lồng'!EF$4:EF$4)</f>
        <v>0</v>
      </c>
      <c r="EG27" s="79">
        <f t="array" ref="EG27">SUMIFS('Cắt lồng'!$AH$327:$AH$515,'Cắt lồng'!$AA$327:$AA$515,'Cắt lồng'!$AA27,'Cắt lồng'!$AE$327:$AE$515,'Cắt lồng'!EG$4:EG$4)</f>
        <v>0</v>
      </c>
      <c r="EH27" s="109" t="e">
        <f t="shared" si="68"/>
        <v>#DIV/0!</v>
      </c>
      <c r="EI27" s="79">
        <f t="array" ref="EI27">SUMIFS('Cắt lồng'!$AC$327:$AC$515,'Cắt lồng'!$AA$327:$AA$515,'Cắt lồng'!$AA27,'Cắt lồng'!$AE$327:$AE$515,'Cắt lồng'!EI$4:EI$4)</f>
        <v>0</v>
      </c>
      <c r="EJ27" s="79">
        <f t="array" ref="EJ27">SUMIFS('Cắt lồng'!$AH$327:$AH$515,'Cắt lồng'!$AA$327:$AA$515,'Cắt lồng'!$AA27,'Cắt lồng'!$AE$327:$AE$515,'Cắt lồng'!EJ$4:EJ$4)</f>
        <v>0</v>
      </c>
      <c r="EK27" s="109" t="e">
        <f t="shared" si="69"/>
        <v>#DIV/0!</v>
      </c>
    </row>
    <row r="28" spans="1:141" s="12" customFormat="1" ht="14.25" hidden="1" customHeight="1">
      <c r="A28" s="25">
        <v>23</v>
      </c>
      <c r="B28" s="198" t="s">
        <v>209</v>
      </c>
      <c r="C28" s="198" t="s">
        <v>209</v>
      </c>
      <c r="D28" s="185"/>
      <c r="E28" s="197"/>
      <c r="F28" s="56"/>
      <c r="G28" s="82">
        <f t="shared" si="1"/>
        <v>0</v>
      </c>
      <c r="H28" s="81">
        <f t="shared" si="2"/>
        <v>0</v>
      </c>
      <c r="I28" s="19">
        <f t="shared" si="3"/>
        <v>0</v>
      </c>
      <c r="J28" s="11">
        <f t="shared" si="4"/>
        <v>0</v>
      </c>
      <c r="K28" s="19">
        <f t="shared" si="5"/>
        <v>0</v>
      </c>
      <c r="L28" s="19">
        <f t="shared" si="6"/>
        <v>0</v>
      </c>
      <c r="M28" s="19">
        <f t="shared" si="7"/>
        <v>0</v>
      </c>
      <c r="N28" s="19">
        <f t="shared" si="8"/>
        <v>0</v>
      </c>
      <c r="O28" s="19">
        <f t="shared" si="9"/>
        <v>0</v>
      </c>
      <c r="P28" s="19">
        <f t="shared" si="10"/>
        <v>0</v>
      </c>
      <c r="Q28" s="19">
        <f t="shared" si="11"/>
        <v>0</v>
      </c>
      <c r="R28" s="19">
        <f t="shared" si="12"/>
        <v>0</v>
      </c>
      <c r="S28" s="19">
        <f t="shared" si="13"/>
        <v>0</v>
      </c>
      <c r="T28" s="19">
        <f t="shared" si="14"/>
        <v>0</v>
      </c>
      <c r="U28" s="19">
        <f t="shared" si="15"/>
        <v>0</v>
      </c>
      <c r="V28" s="19">
        <f t="shared" si="16"/>
        <v>0</v>
      </c>
      <c r="W28" s="19">
        <f t="shared" si="17"/>
        <v>0</v>
      </c>
      <c r="X28" s="19">
        <f t="shared" si="18"/>
        <v>0</v>
      </c>
      <c r="Y28" s="19">
        <f t="shared" si="19"/>
        <v>0</v>
      </c>
      <c r="Z28" s="19">
        <f t="shared" si="20"/>
        <v>0</v>
      </c>
      <c r="AA28" s="164" t="s">
        <v>263</v>
      </c>
      <c r="AB28" s="129">
        <f t="shared" si="21"/>
        <v>0</v>
      </c>
      <c r="AC28" s="16">
        <f t="shared" si="22"/>
        <v>0</v>
      </c>
      <c r="AD28" s="15" t="e">
        <f t="shared" si="23"/>
        <v>#DIV/0!</v>
      </c>
      <c r="AE28" s="42"/>
      <c r="AF28" s="10" t="e">
        <f t="shared" si="24"/>
        <v>#DIV/0!</v>
      </c>
      <c r="AG28" s="10"/>
      <c r="AH28" s="127">
        <f t="shared" si="25"/>
        <v>0</v>
      </c>
      <c r="AI28" s="54" t="e">
        <f t="shared" si="26"/>
        <v>#DIV/0!</v>
      </c>
      <c r="AJ28" s="25">
        <f t="shared" si="27"/>
        <v>0</v>
      </c>
      <c r="AK28" s="25">
        <f t="shared" si="28"/>
        <v>0</v>
      </c>
      <c r="AL28" s="30">
        <f t="shared" si="29"/>
        <v>0</v>
      </c>
      <c r="AM28" s="30">
        <f t="shared" si="30"/>
        <v>0</v>
      </c>
      <c r="AN28" s="30">
        <f t="shared" si="31"/>
        <v>0</v>
      </c>
      <c r="AO28" s="30">
        <f t="shared" si="32"/>
        <v>0</v>
      </c>
      <c r="AP28" s="30">
        <f t="shared" si="33"/>
        <v>0</v>
      </c>
      <c r="AQ28" s="30">
        <f t="shared" si="34"/>
        <v>0</v>
      </c>
      <c r="AR28" s="30">
        <f t="shared" si="35"/>
        <v>0</v>
      </c>
      <c r="AS28" s="30">
        <f t="shared" si="36"/>
        <v>0</v>
      </c>
      <c r="AT28" s="30">
        <f t="shared" si="37"/>
        <v>0</v>
      </c>
      <c r="AU28" s="80"/>
      <c r="AV28" s="110">
        <f t="shared" si="38"/>
        <v>0</v>
      </c>
      <c r="AW28" s="79">
        <f t="array" ref="AW28">SUMIFS('Cắt lồng'!$AC$327:$AC$515,'Cắt lồng'!$AA$327:$AA$515,'Cắt lồng'!$AA28,'Cắt lồng'!$AE$327:$AE$515,'Cắt lồng'!AW$4:AW$4)</f>
        <v>0</v>
      </c>
      <c r="AX28" s="79">
        <f t="array" ref="AX28">SUMIFS('Cắt lồng'!$AH$327:$AH$515,'Cắt lồng'!$AA$327:$AA$515,'Cắt lồng'!$AA28,'Cắt lồng'!$AE$327:$AE$515,'Cắt lồng'!AX$4:AX$4)</f>
        <v>0</v>
      </c>
      <c r="AY28" s="109" t="e">
        <f t="shared" si="39"/>
        <v>#DIV/0!</v>
      </c>
      <c r="AZ28" s="79">
        <f t="array" ref="AZ28">SUMIFS('Cắt lồng'!$AC$327:$AC$515,'Cắt lồng'!$AA$327:$AA$515,'Cắt lồng'!$AA28,'Cắt lồng'!$AE$327:$AE$515,'Cắt lồng'!AZ$4:AZ$4)</f>
        <v>0</v>
      </c>
      <c r="BA28" s="79">
        <f t="array" ref="BA28">SUMIFS('Cắt lồng'!$AH$327:$AH$515,'Cắt lồng'!$AA$327:$AA$515,'Cắt lồng'!$AA28,'Cắt lồng'!$AE$327:$AE$515,'Cắt lồng'!BA$4:BA$4)</f>
        <v>0</v>
      </c>
      <c r="BB28" s="109" t="e">
        <f t="shared" si="40"/>
        <v>#DIV/0!</v>
      </c>
      <c r="BC28" s="79">
        <f t="array" ref="BC28">SUMIFS('Cắt lồng'!$AC$327:$AC$515,'Cắt lồng'!$AA$327:$AA$515,'Cắt lồng'!$AA28,'Cắt lồng'!$AE$327:$AE$515,'Cắt lồng'!BC$4:BC$4)</f>
        <v>0</v>
      </c>
      <c r="BD28" s="79">
        <f t="array" ref="BD28">SUMIFS('Cắt lồng'!$AH$327:$AH$515,'Cắt lồng'!$AA$327:$AA$515,'Cắt lồng'!$AA28,'Cắt lồng'!$AE$327:$AE$515,'Cắt lồng'!BD$4:BD$4)</f>
        <v>0</v>
      </c>
      <c r="BE28" s="109" t="e">
        <f t="shared" si="41"/>
        <v>#DIV/0!</v>
      </c>
      <c r="BF28" s="79">
        <f t="array" ref="BF28">SUMIFS('Cắt lồng'!$AC$327:$AC$515,'Cắt lồng'!$AA$327:$AA$515,'Cắt lồng'!$AA28,'Cắt lồng'!$AE$327:$AE$515,'Cắt lồng'!BF$4:BF$4)</f>
        <v>0</v>
      </c>
      <c r="BG28" s="79">
        <f t="array" ref="BG28">SUMIFS('Cắt lồng'!$AH$327:$AH$515,'Cắt lồng'!$AA$327:$AA$515,'Cắt lồng'!$AA28,'Cắt lồng'!$AE$327:$AE$515,'Cắt lồng'!BG$4:BG$4)</f>
        <v>0</v>
      </c>
      <c r="BH28" s="109" t="e">
        <f t="shared" si="42"/>
        <v>#DIV/0!</v>
      </c>
      <c r="BI28" s="79">
        <f t="array" ref="BI28">SUMIFS('Cắt lồng'!$AC$327:$AC$515,'Cắt lồng'!$AA$327:$AA$515,'Cắt lồng'!$AA28,'Cắt lồng'!$AE$327:$AE$515,'Cắt lồng'!BI$4:BI$4)</f>
        <v>0</v>
      </c>
      <c r="BJ28" s="79">
        <f t="array" ref="BJ28">SUMIFS('Cắt lồng'!$AH$327:$AH$515,'Cắt lồng'!$AA$327:$AA$515,'Cắt lồng'!$AA28,'Cắt lồng'!$AE$327:$AE$515,'Cắt lồng'!BJ$4:BJ$4)</f>
        <v>0</v>
      </c>
      <c r="BK28" s="109" t="e">
        <f t="shared" si="43"/>
        <v>#DIV/0!</v>
      </c>
      <c r="BL28" s="79">
        <f t="array" ref="BL28">SUMIFS('Cắt lồng'!$AC$327:$AC$515,'Cắt lồng'!$AA$327:$AA$515,'Cắt lồng'!$AA28,'Cắt lồng'!$AE$327:$AE$515,'Cắt lồng'!BL$4:BL$4)</f>
        <v>0</v>
      </c>
      <c r="BM28" s="79">
        <f t="array" ref="BM28">SUMIFS('Cắt lồng'!$AH$327:$AH$515,'Cắt lồng'!$AA$327:$AA$515,'Cắt lồng'!$AA28,'Cắt lồng'!$AE$327:$AE$515,'Cắt lồng'!BM$4:BM$4)</f>
        <v>0</v>
      </c>
      <c r="BN28" s="109" t="e">
        <f t="shared" si="44"/>
        <v>#DIV/0!</v>
      </c>
      <c r="BO28" s="79">
        <f t="array" ref="BO28">SUMIFS('Cắt lồng'!$AC$327:$AC$515,'Cắt lồng'!$AA$327:$AA$515,'Cắt lồng'!$AA28,'Cắt lồng'!$AE$327:$AE$515,'Cắt lồng'!BO$4:BO$4)</f>
        <v>0</v>
      </c>
      <c r="BP28" s="79">
        <f t="array" ref="BP28">SUMIFS('Cắt lồng'!$AH$327:$AH$515,'Cắt lồng'!$AA$327:$AA$515,'Cắt lồng'!$AA28,'Cắt lồng'!$AE$327:$AE$515,'Cắt lồng'!BP$4:BP$4)</f>
        <v>0</v>
      </c>
      <c r="BQ28" s="109" t="e">
        <f t="shared" si="45"/>
        <v>#DIV/0!</v>
      </c>
      <c r="BR28" s="79">
        <f t="array" ref="BR28">SUMIFS('Cắt lồng'!$AC$327:$AC$515,'Cắt lồng'!$AA$327:$AA$515,'Cắt lồng'!$AA28,'Cắt lồng'!$AE$327:$AE$515,'Cắt lồng'!BR$4:BR$4)</f>
        <v>0</v>
      </c>
      <c r="BS28" s="79">
        <f t="array" ref="BS28">SUMIFS('Cắt lồng'!$AH$327:$AH$515,'Cắt lồng'!$AA$327:$AA$515,'Cắt lồng'!$AA28,'Cắt lồng'!$AE$327:$AE$515,'Cắt lồng'!BS$4:BS$4)</f>
        <v>0</v>
      </c>
      <c r="BT28" s="109" t="e">
        <f t="shared" si="46"/>
        <v>#DIV/0!</v>
      </c>
      <c r="BU28" s="79">
        <f t="array" ref="BU28">SUMIFS('Cắt lồng'!$AC$327:$AC$515,'Cắt lồng'!$AA$327:$AA$515,'Cắt lồng'!$AA28,'Cắt lồng'!$AE$327:$AE$515,'Cắt lồng'!BU$4:BU$4)</f>
        <v>0</v>
      </c>
      <c r="BV28" s="79">
        <f t="array" ref="BV28">SUMIFS('Cắt lồng'!$AH$327:$AH$515,'Cắt lồng'!$AA$327:$AA$515,'Cắt lồng'!$AA28,'Cắt lồng'!$AE$327:$AE$515,'Cắt lồng'!BV$4:BV$4)</f>
        <v>0</v>
      </c>
      <c r="BW28" s="109" t="e">
        <f t="shared" si="47"/>
        <v>#DIV/0!</v>
      </c>
      <c r="BX28" s="79">
        <f t="array" ref="BX28">SUMIFS('Cắt lồng'!$AC$327:$AC$515,'Cắt lồng'!$AA$327:$AA$515,'Cắt lồng'!$AA28,'Cắt lồng'!$AE$327:$AE$515,'Cắt lồng'!BX$4:BX$4)</f>
        <v>0</v>
      </c>
      <c r="BY28" s="79">
        <f t="array" ref="BY28">SUMIFS('Cắt lồng'!$AH$327:$AH$515,'Cắt lồng'!$AA$327:$AA$515,'Cắt lồng'!$AA28,'Cắt lồng'!$AE$327:$AE$515,'Cắt lồng'!BY$4:BY$4)</f>
        <v>0</v>
      </c>
      <c r="BZ28" s="109" t="e">
        <f t="shared" si="48"/>
        <v>#DIV/0!</v>
      </c>
      <c r="CA28" s="79">
        <f t="array" ref="CA28">SUMIFS('Cắt lồng'!$AC$327:$AC$515,'Cắt lồng'!$AA$327:$AA$515,'Cắt lồng'!$AA28,'Cắt lồng'!$AE$327:$AE$515,'Cắt lồng'!CA$4:CA$4)</f>
        <v>0</v>
      </c>
      <c r="CB28" s="79">
        <f t="array" ref="CB28">SUMIFS('Cắt lồng'!$AH$327:$AH$515,'Cắt lồng'!$AA$327:$AA$515,'Cắt lồng'!$AA28,'Cắt lồng'!$AE$327:$AE$515,'Cắt lồng'!CB$4:CB$4)</f>
        <v>0</v>
      </c>
      <c r="CC28" s="109" t="e">
        <f t="shared" si="49"/>
        <v>#DIV/0!</v>
      </c>
      <c r="CD28" s="79">
        <f t="array" ref="CD28">SUMIFS('Cắt lồng'!$AC$327:$AC$515,'Cắt lồng'!$AA$327:$AA$515,'Cắt lồng'!$AA28,'Cắt lồng'!$AE$327:$AE$515,'Cắt lồng'!CD$4:CD$4)</f>
        <v>0</v>
      </c>
      <c r="CE28" s="79">
        <f t="array" ref="CE28">SUMIFS('Cắt lồng'!$AH$327:$AH$515,'Cắt lồng'!$AA$327:$AA$515,'Cắt lồng'!$AA28,'Cắt lồng'!$AE$327:$AE$515,'Cắt lồng'!CE$4:CE$4)</f>
        <v>0</v>
      </c>
      <c r="CF28" s="109" t="e">
        <f t="shared" si="50"/>
        <v>#DIV/0!</v>
      </c>
      <c r="CG28" s="79">
        <f t="array" ref="CG28">SUMIFS('Cắt lồng'!$AC$327:$AC$515,'Cắt lồng'!$AA$327:$AA$515,'Cắt lồng'!$AA28,'Cắt lồng'!$AE$327:$AE$515,'Cắt lồng'!CG$4:CG$4)</f>
        <v>0</v>
      </c>
      <c r="CH28" s="79">
        <f t="array" ref="CH28">SUMIFS('Cắt lồng'!$AH$327:$AH$515,'Cắt lồng'!$AA$327:$AA$515,'Cắt lồng'!$AA28,'Cắt lồng'!$AE$327:$AE$515,'Cắt lồng'!CH$4:CH$4)</f>
        <v>0</v>
      </c>
      <c r="CI28" s="109" t="e">
        <f t="shared" si="51"/>
        <v>#DIV/0!</v>
      </c>
      <c r="CJ28" s="79">
        <f t="array" ref="CJ28">SUMIFS('Cắt lồng'!$AC$327:$AC$515,'Cắt lồng'!$AA$327:$AA$515,'Cắt lồng'!$AA28,'Cắt lồng'!$AE$327:$AE$515,'Cắt lồng'!CJ$4:CJ$4)</f>
        <v>0</v>
      </c>
      <c r="CK28" s="79">
        <f t="array" ref="CK28">SUMIFS('Cắt lồng'!$AH$327:$AH$515,'Cắt lồng'!$AA$327:$AA$515,'Cắt lồng'!$AA28,'Cắt lồng'!$AE$327:$AE$515,'Cắt lồng'!CK$4:CK$4)</f>
        <v>0</v>
      </c>
      <c r="CL28" s="109" t="e">
        <f t="shared" si="52"/>
        <v>#DIV/0!</v>
      </c>
      <c r="CM28" s="79">
        <f t="array" ref="CM28">SUMIFS('Cắt lồng'!$AC$327:$AC$515,'Cắt lồng'!$AA$327:$AA$515,'Cắt lồng'!$AA28,'Cắt lồng'!$AE$327:$AE$515,'Cắt lồng'!CM$4:CM$4)</f>
        <v>0</v>
      </c>
      <c r="CN28" s="79">
        <f t="array" ref="CN28">SUMIFS('Cắt lồng'!$AH$327:$AH$515,'Cắt lồng'!$AA$327:$AA$515,'Cắt lồng'!$AA28,'Cắt lồng'!$AE$327:$AE$515,'Cắt lồng'!CN$4:CN$4)</f>
        <v>0</v>
      </c>
      <c r="CO28" s="109" t="e">
        <f t="shared" si="53"/>
        <v>#DIV/0!</v>
      </c>
      <c r="CP28" s="79">
        <f t="array" ref="CP28">SUMIFS('Cắt lồng'!$AC$327:$AC$515,'Cắt lồng'!$AA$327:$AA$515,'Cắt lồng'!$AA28,'Cắt lồng'!$AE$327:$AE$515,'Cắt lồng'!CP$4:CP$4)</f>
        <v>0</v>
      </c>
      <c r="CQ28" s="79">
        <f t="array" ref="CQ28">SUMIFS('Cắt lồng'!$AH$327:$AH$515,'Cắt lồng'!$AA$327:$AA$515,'Cắt lồng'!$AA28,'Cắt lồng'!$AE$327:$AE$515,'Cắt lồng'!CQ$4:CQ$4)</f>
        <v>0</v>
      </c>
      <c r="CR28" s="109" t="e">
        <f t="shared" si="54"/>
        <v>#DIV/0!</v>
      </c>
      <c r="CS28" s="79">
        <f t="array" ref="CS28">SUMIFS('Cắt lồng'!$AC$327:$AC$515,'Cắt lồng'!$AA$327:$AA$515,'Cắt lồng'!$AA28,'Cắt lồng'!$AE$327:$AE$515,'Cắt lồng'!CS$4:CS$4)</f>
        <v>0</v>
      </c>
      <c r="CT28" s="79">
        <f t="array" ref="CT28">SUMIFS('Cắt lồng'!$AH$327:$AH$515,'Cắt lồng'!$AA$327:$AA$515,'Cắt lồng'!$AA28,'Cắt lồng'!$AE$327:$AE$515,'Cắt lồng'!CT$4:CT$4)</f>
        <v>0</v>
      </c>
      <c r="CU28" s="109" t="e">
        <f t="shared" si="55"/>
        <v>#DIV/0!</v>
      </c>
      <c r="CV28" s="79">
        <f t="array" ref="CV28">SUMIFS('Cắt lồng'!$AC$327:$AC$515,'Cắt lồng'!$AA$327:$AA$515,'Cắt lồng'!$AA28,'Cắt lồng'!$AE$327:$AE$515,'Cắt lồng'!CV$4:CV$4)</f>
        <v>0</v>
      </c>
      <c r="CW28" s="79">
        <f t="array" ref="CW28">SUMIFS('Cắt lồng'!$AH$327:$AH$515,'Cắt lồng'!$AA$327:$AA$515,'Cắt lồng'!$AA28,'Cắt lồng'!$AE$327:$AE$515,'Cắt lồng'!CW$4:CW$4)</f>
        <v>0</v>
      </c>
      <c r="CX28" s="109" t="e">
        <f t="shared" si="56"/>
        <v>#DIV/0!</v>
      </c>
      <c r="CY28" s="79">
        <f t="array" ref="CY28">SUMIFS('Cắt lồng'!$AC$327:$AC$515,'Cắt lồng'!$AA$327:$AA$515,'Cắt lồng'!$AA28,'Cắt lồng'!$AE$327:$AE$515,'Cắt lồng'!CY$4:CY$4)</f>
        <v>0</v>
      </c>
      <c r="CZ28" s="79">
        <f t="array" ref="CZ28">SUMIFS('Cắt lồng'!$AH$327:$AH$515,'Cắt lồng'!$AA$327:$AA$515,'Cắt lồng'!$AA28,'Cắt lồng'!$AE$327:$AE$515,'Cắt lồng'!CZ$4:CZ$4)</f>
        <v>0</v>
      </c>
      <c r="DA28" s="109" t="e">
        <f t="shared" si="57"/>
        <v>#DIV/0!</v>
      </c>
      <c r="DB28" s="79">
        <f t="array" ref="DB28">SUMIFS('Cắt lồng'!$AC$327:$AC$515,'Cắt lồng'!$AA$327:$AA$515,'Cắt lồng'!$AA28,'Cắt lồng'!$AE$327:$AE$515,'Cắt lồng'!DB$4:DB$4)</f>
        <v>0</v>
      </c>
      <c r="DC28" s="79">
        <f t="array" ref="DC28">SUMIFS('Cắt lồng'!$AH$327:$AH$515,'Cắt lồng'!$AA$327:$AA$515,'Cắt lồng'!$AA28,'Cắt lồng'!$AE$327:$AE$515,'Cắt lồng'!DC$4:DC$4)</f>
        <v>0</v>
      </c>
      <c r="DD28" s="109" t="e">
        <f t="shared" si="58"/>
        <v>#DIV/0!</v>
      </c>
      <c r="DE28" s="79">
        <f t="array" ref="DE28">SUMIFS('Cắt lồng'!$AC$327:$AC$515,'Cắt lồng'!$AA$327:$AA$515,'Cắt lồng'!$AA28,'Cắt lồng'!$AE$327:$AE$515,'Cắt lồng'!DE$4:DE$4)</f>
        <v>0</v>
      </c>
      <c r="DF28" s="79">
        <f t="array" ref="DF28">SUMIFS('Cắt lồng'!$AH$327:$AH$515,'Cắt lồng'!$AA$327:$AA$515,'Cắt lồng'!$AA28,'Cắt lồng'!$AE$327:$AE$515,'Cắt lồng'!DF$4:DF$4)</f>
        <v>0</v>
      </c>
      <c r="DG28" s="109" t="e">
        <f t="shared" si="59"/>
        <v>#DIV/0!</v>
      </c>
      <c r="DH28" s="79">
        <f t="array" ref="DH28">SUMIFS('Cắt lồng'!$AC$327:$AC$515,'Cắt lồng'!$AA$327:$AA$515,'Cắt lồng'!$AA28,'Cắt lồng'!$AE$327:$AE$515,'Cắt lồng'!DH$4:DH$4)</f>
        <v>0</v>
      </c>
      <c r="DI28" s="79">
        <f t="array" ref="DI28">SUMIFS('Cắt lồng'!$AH$327:$AH$515,'Cắt lồng'!$AA$327:$AA$515,'Cắt lồng'!$AA28,'Cắt lồng'!$AE$327:$AE$515,'Cắt lồng'!DI$4:DI$4)</f>
        <v>0</v>
      </c>
      <c r="DJ28" s="109" t="e">
        <f t="shared" si="60"/>
        <v>#DIV/0!</v>
      </c>
      <c r="DK28" s="79">
        <f t="array" ref="DK28">SUMIFS('Cắt lồng'!$AC$327:$AC$515,'Cắt lồng'!$AA$327:$AA$515,'Cắt lồng'!$AA28,'Cắt lồng'!$AE$327:$AE$515,'Cắt lồng'!DK$4:DK$4)</f>
        <v>0</v>
      </c>
      <c r="DL28" s="79">
        <f t="array" ref="DL28">SUMIFS('Cắt lồng'!$AH$327:$AH$515,'Cắt lồng'!$AA$327:$AA$515,'Cắt lồng'!$AA28,'Cắt lồng'!$AE$327:$AE$515,'Cắt lồng'!DL$4:DL$4)</f>
        <v>0</v>
      </c>
      <c r="DM28" s="109" t="e">
        <f t="shared" si="61"/>
        <v>#DIV/0!</v>
      </c>
      <c r="DN28" s="79">
        <f>SUMIFS('Cắt lồng'!$AC$327:$AC$515,'Cắt lồng'!$AA$327:$AA$515,'Cắt lồng'!$AA28,'Cắt lồng'!$AE$327:$AE$515,'Cắt lồng'!DN$4:DN$4)</f>
        <v>0</v>
      </c>
      <c r="DO28" s="79">
        <f t="array" ref="DO28">SUMIFS('Cắt lồng'!$AH$327:$AH$515,'Cắt lồng'!$AA$327:$AA$515,'Cắt lồng'!$AA28,'Cắt lồng'!$AE$327:$AE$515,'Cắt lồng'!DO$4:DO$4)</f>
        <v>0</v>
      </c>
      <c r="DP28" s="109" t="e">
        <f t="shared" si="62"/>
        <v>#DIV/0!</v>
      </c>
      <c r="DQ28" s="79">
        <f t="array" ref="DQ28">SUMIFS('Cắt lồng'!$AC$327:$AC$515,'Cắt lồng'!$AA$327:$AA$515,'Cắt lồng'!$AA28,'Cắt lồng'!$AE$327:$AE$515,'Cắt lồng'!DQ$4:DQ$4)</f>
        <v>0</v>
      </c>
      <c r="DR28" s="79">
        <f t="array" ref="DR28">SUMIFS('Cắt lồng'!$AH$327:$AH$515,'Cắt lồng'!$AA$327:$AA$515,'Cắt lồng'!$AA28,'Cắt lồng'!$AE$327:$AE$515,'Cắt lồng'!DR$4:DR$4)</f>
        <v>0</v>
      </c>
      <c r="DS28" s="109" t="e">
        <f t="shared" si="63"/>
        <v>#DIV/0!</v>
      </c>
      <c r="DT28" s="79">
        <f t="array" ref="DT28">SUMIFS('Cắt lồng'!$AC$327:$AC$515,'Cắt lồng'!$AA$327:$AA$515,'Cắt lồng'!$AA28,'Cắt lồng'!$AE$327:$AE$515,'Cắt lồng'!DT$4:DT$4)</f>
        <v>0</v>
      </c>
      <c r="DU28" s="79">
        <f t="array" ref="DU28">SUMIFS('Cắt lồng'!$AH$327:$AH$515,'Cắt lồng'!$AA$327:$AA$515,'Cắt lồng'!$AA28,'Cắt lồng'!$AE$327:$AE$515,'Cắt lồng'!DU$4:DU$4)</f>
        <v>0</v>
      </c>
      <c r="DV28" s="109" t="e">
        <f t="shared" si="64"/>
        <v>#DIV/0!</v>
      </c>
      <c r="DW28" s="79">
        <f t="array" ref="DW28">SUMIFS('Cắt lồng'!$AC$327:$AC$515,'Cắt lồng'!$AA$327:$AA$515,'Cắt lồng'!$AA28,'Cắt lồng'!$AE$327:$AE$515,'Cắt lồng'!DW$4:DW$4)</f>
        <v>0</v>
      </c>
      <c r="DX28" s="79">
        <f t="array" ref="DX28">SUMIFS('Cắt lồng'!$AH$327:$AH$515,'Cắt lồng'!$AA$327:$AA$515,'Cắt lồng'!$AA28,'Cắt lồng'!$AE$327:$AE$515,'Cắt lồng'!DX$4:DX$4)</f>
        <v>0</v>
      </c>
      <c r="DY28" s="109" t="e">
        <f t="shared" si="65"/>
        <v>#DIV/0!</v>
      </c>
      <c r="DZ28" s="79">
        <f t="array" ref="DZ28">SUMIFS('Cắt lồng'!$AC$327:$AC$515,'Cắt lồng'!$AA$327:$AA$515,'Cắt lồng'!$AA28,'Cắt lồng'!$AE$327:$AE$515,'Cắt lồng'!DZ$4:DZ$4)</f>
        <v>0</v>
      </c>
      <c r="EA28" s="79">
        <f t="array" ref="EA28">SUMIFS('Cắt lồng'!$AH$327:$AH$515,'Cắt lồng'!$AA$327:$AA$515,'Cắt lồng'!$AA28,'Cắt lồng'!$AE$327:$AE$515,'Cắt lồng'!EA$4:EA$4)</f>
        <v>0</v>
      </c>
      <c r="EB28" s="109" t="e">
        <f t="shared" si="66"/>
        <v>#DIV/0!</v>
      </c>
      <c r="EC28" s="79">
        <f t="array" ref="EC28">SUMIFS('Cắt lồng'!$AC$327:$AC$515,'Cắt lồng'!$AA$327:$AA$515,'Cắt lồng'!$AA28,'Cắt lồng'!$AE$327:$AE$515,'Cắt lồng'!EC$4:EC$4)</f>
        <v>0</v>
      </c>
      <c r="ED28" s="79">
        <f t="array" ref="ED28">SUMIFS('Cắt lồng'!$AH$327:$AH$515,'Cắt lồng'!$AA$327:$AA$515,'Cắt lồng'!$AA28,'Cắt lồng'!$AE$327:$AE$515,'Cắt lồng'!ED$4:ED$4)</f>
        <v>0</v>
      </c>
      <c r="EE28" s="109" t="e">
        <f t="shared" si="67"/>
        <v>#DIV/0!</v>
      </c>
      <c r="EF28" s="79">
        <f t="array" ref="EF28">SUMIFS('Cắt lồng'!$AC$327:$AC$515,'Cắt lồng'!$AA$327:$AA$515,'Cắt lồng'!$AA28,'Cắt lồng'!$AE$327:$AE$515,'Cắt lồng'!EF$4:EF$4)</f>
        <v>0</v>
      </c>
      <c r="EG28" s="79">
        <f t="array" ref="EG28">SUMIFS('Cắt lồng'!$AH$327:$AH$515,'Cắt lồng'!$AA$327:$AA$515,'Cắt lồng'!$AA28,'Cắt lồng'!$AE$327:$AE$515,'Cắt lồng'!EG$4:EG$4)</f>
        <v>0</v>
      </c>
      <c r="EH28" s="109" t="e">
        <f t="shared" si="68"/>
        <v>#DIV/0!</v>
      </c>
      <c r="EI28" s="79">
        <f t="array" ref="EI28">SUMIFS('Cắt lồng'!$AC$327:$AC$515,'Cắt lồng'!$AA$327:$AA$515,'Cắt lồng'!$AA28,'Cắt lồng'!$AE$327:$AE$515,'Cắt lồng'!EI$4:EI$4)</f>
        <v>0</v>
      </c>
      <c r="EJ28" s="79">
        <f t="array" ref="EJ28">SUMIFS('Cắt lồng'!$AH$327:$AH$515,'Cắt lồng'!$AA$327:$AA$515,'Cắt lồng'!$AA28,'Cắt lồng'!$AE$327:$AE$515,'Cắt lồng'!EJ$4:EJ$4)</f>
        <v>0</v>
      </c>
      <c r="EK28" s="109" t="e">
        <f t="shared" si="69"/>
        <v>#DIV/0!</v>
      </c>
    </row>
    <row r="29" spans="1:141" s="12" customFormat="1" ht="14.25" hidden="1" customHeight="1">
      <c r="A29" s="25">
        <v>24</v>
      </c>
      <c r="B29" s="198" t="s">
        <v>208</v>
      </c>
      <c r="C29" s="198" t="s">
        <v>208</v>
      </c>
      <c r="D29" s="185"/>
      <c r="E29" s="197"/>
      <c r="F29" s="56"/>
      <c r="G29" s="82">
        <f t="shared" si="1"/>
        <v>0</v>
      </c>
      <c r="H29" s="81">
        <f t="shared" si="2"/>
        <v>8.33</v>
      </c>
      <c r="I29" s="19">
        <f t="shared" si="3"/>
        <v>0</v>
      </c>
      <c r="J29" s="11">
        <f t="shared" si="4"/>
        <v>1.6700000000000002</v>
      </c>
      <c r="K29" s="19">
        <f t="shared" si="5"/>
        <v>0</v>
      </c>
      <c r="L29" s="19">
        <f t="shared" si="6"/>
        <v>0</v>
      </c>
      <c r="M29" s="19">
        <f t="shared" si="7"/>
        <v>0</v>
      </c>
      <c r="N29" s="19">
        <f t="shared" si="8"/>
        <v>0</v>
      </c>
      <c r="O29" s="19">
        <f t="shared" si="9"/>
        <v>0</v>
      </c>
      <c r="P29" s="19">
        <f t="shared" si="10"/>
        <v>0</v>
      </c>
      <c r="Q29" s="19">
        <f t="shared" si="11"/>
        <v>0</v>
      </c>
      <c r="R29" s="19">
        <f t="shared" si="12"/>
        <v>0</v>
      </c>
      <c r="S29" s="19">
        <f t="shared" si="13"/>
        <v>0</v>
      </c>
      <c r="T29" s="19">
        <f t="shared" si="14"/>
        <v>1.33</v>
      </c>
      <c r="U29" s="19">
        <f t="shared" si="15"/>
        <v>0</v>
      </c>
      <c r="V29" s="19">
        <f t="shared" si="16"/>
        <v>0</v>
      </c>
      <c r="W29" s="19">
        <f t="shared" si="17"/>
        <v>0</v>
      </c>
      <c r="X29" s="19">
        <f t="shared" si="18"/>
        <v>0.34</v>
      </c>
      <c r="Y29" s="19">
        <f t="shared" si="19"/>
        <v>0</v>
      </c>
      <c r="Z29" s="19">
        <f t="shared" si="20"/>
        <v>0</v>
      </c>
      <c r="AA29" s="164" t="s">
        <v>23</v>
      </c>
      <c r="AB29" s="129" t="e">
        <f t="shared" si="21"/>
        <v>#VALUE!</v>
      </c>
      <c r="AC29" s="16">
        <f t="shared" si="22"/>
        <v>34200</v>
      </c>
      <c r="AD29" s="15" t="e">
        <f t="shared" si="23"/>
        <v>#VALUE!</v>
      </c>
      <c r="AE29" s="42"/>
      <c r="AF29" s="10">
        <f t="shared" si="24"/>
        <v>4105.6422569027609</v>
      </c>
      <c r="AG29" s="10"/>
      <c r="AH29" s="127">
        <f t="shared" si="25"/>
        <v>0</v>
      </c>
      <c r="AI29" s="54">
        <f t="shared" si="26"/>
        <v>0</v>
      </c>
      <c r="AJ29" s="25">
        <f t="shared" si="27"/>
        <v>0</v>
      </c>
      <c r="AK29" s="25">
        <f t="shared" si="28"/>
        <v>0</v>
      </c>
      <c r="AL29" s="30">
        <f t="shared" si="29"/>
        <v>0</v>
      </c>
      <c r="AM29" s="30">
        <f t="shared" si="30"/>
        <v>0</v>
      </c>
      <c r="AN29" s="30">
        <f t="shared" si="31"/>
        <v>0</v>
      </c>
      <c r="AO29" s="30">
        <f t="shared" si="32"/>
        <v>0</v>
      </c>
      <c r="AP29" s="30">
        <f t="shared" si="33"/>
        <v>0</v>
      </c>
      <c r="AQ29" s="30">
        <f t="shared" si="34"/>
        <v>0</v>
      </c>
      <c r="AR29" s="30">
        <f t="shared" si="35"/>
        <v>0</v>
      </c>
      <c r="AS29" s="30">
        <f t="shared" si="36"/>
        <v>0</v>
      </c>
      <c r="AT29" s="30">
        <f t="shared" si="37"/>
        <v>0</v>
      </c>
      <c r="AU29" s="80"/>
      <c r="AV29" s="110">
        <f t="shared" si="38"/>
        <v>8.33</v>
      </c>
      <c r="AW29" s="79">
        <f t="array" ref="AW29">SUMIFS('Cắt lồng'!$AC$327:$AC$515,'Cắt lồng'!$AA$327:$AA$515,'Cắt lồng'!$AA29,'Cắt lồng'!$AE$327:$AE$515,'Cắt lồng'!AW$4:AW$4)</f>
        <v>34200</v>
      </c>
      <c r="AX29" s="79">
        <f t="array" ref="AX29">SUMIFS('Cắt lồng'!$AH$327:$AH$515,'Cắt lồng'!$AA$327:$AA$515,'Cắt lồng'!$AA29,'Cắt lồng'!$AE$327:$AE$515,'Cắt lồng'!AX$4:AX$4)</f>
        <v>0</v>
      </c>
      <c r="AY29" s="109">
        <f t="shared" si="39"/>
        <v>0</v>
      </c>
      <c r="AZ29" s="79">
        <f t="array" ref="AZ29">SUMIFS('Cắt lồng'!$AC$327:$AC$515,'Cắt lồng'!$AA$327:$AA$515,'Cắt lồng'!$AA29,'Cắt lồng'!$AE$327:$AE$515,'Cắt lồng'!AZ$4:AZ$4)</f>
        <v>0</v>
      </c>
      <c r="BA29" s="79">
        <f t="array" ref="BA29">SUMIFS('Cắt lồng'!$AH$327:$AH$515,'Cắt lồng'!$AA$327:$AA$515,'Cắt lồng'!$AA29,'Cắt lồng'!$AE$327:$AE$515,'Cắt lồng'!BA$4:BA$4)</f>
        <v>0</v>
      </c>
      <c r="BB29" s="109" t="e">
        <f t="shared" si="40"/>
        <v>#DIV/0!</v>
      </c>
      <c r="BC29" s="79">
        <f t="array" ref="BC29">SUMIFS('Cắt lồng'!$AC$327:$AC$515,'Cắt lồng'!$AA$327:$AA$515,'Cắt lồng'!$AA29,'Cắt lồng'!$AE$327:$AE$515,'Cắt lồng'!BC$4:BC$4)</f>
        <v>0</v>
      </c>
      <c r="BD29" s="79">
        <f t="array" ref="BD29">SUMIFS('Cắt lồng'!$AH$327:$AH$515,'Cắt lồng'!$AA$327:$AA$515,'Cắt lồng'!$AA29,'Cắt lồng'!$AE$327:$AE$515,'Cắt lồng'!BD$4:BD$4)</f>
        <v>0</v>
      </c>
      <c r="BE29" s="109" t="e">
        <f t="shared" si="41"/>
        <v>#DIV/0!</v>
      </c>
      <c r="BF29" s="79">
        <f t="array" ref="BF29">SUMIFS('Cắt lồng'!$AC$327:$AC$515,'Cắt lồng'!$AA$327:$AA$515,'Cắt lồng'!$AA29,'Cắt lồng'!$AE$327:$AE$515,'Cắt lồng'!BF$4:BF$4)</f>
        <v>0</v>
      </c>
      <c r="BG29" s="79">
        <f t="array" ref="BG29">SUMIFS('Cắt lồng'!$AH$327:$AH$515,'Cắt lồng'!$AA$327:$AA$515,'Cắt lồng'!$AA29,'Cắt lồng'!$AE$327:$AE$515,'Cắt lồng'!BG$4:BG$4)</f>
        <v>0</v>
      </c>
      <c r="BH29" s="109" t="e">
        <f t="shared" si="42"/>
        <v>#DIV/0!</v>
      </c>
      <c r="BI29" s="79">
        <f t="array" ref="BI29">SUMIFS('Cắt lồng'!$AC$327:$AC$515,'Cắt lồng'!$AA$327:$AA$515,'Cắt lồng'!$AA29,'Cắt lồng'!$AE$327:$AE$515,'Cắt lồng'!BI$4:BI$4)</f>
        <v>0</v>
      </c>
      <c r="BJ29" s="79">
        <f t="array" ref="BJ29">SUMIFS('Cắt lồng'!$AH$327:$AH$515,'Cắt lồng'!$AA$327:$AA$515,'Cắt lồng'!$AA29,'Cắt lồng'!$AE$327:$AE$515,'Cắt lồng'!BJ$4:BJ$4)</f>
        <v>0</v>
      </c>
      <c r="BK29" s="109" t="e">
        <f t="shared" si="43"/>
        <v>#DIV/0!</v>
      </c>
      <c r="BL29" s="79">
        <f t="array" ref="BL29">SUMIFS('Cắt lồng'!$AC$327:$AC$515,'Cắt lồng'!$AA$327:$AA$515,'Cắt lồng'!$AA29,'Cắt lồng'!$AE$327:$AE$515,'Cắt lồng'!BL$4:BL$4)</f>
        <v>0</v>
      </c>
      <c r="BM29" s="79">
        <f t="array" ref="BM29">SUMIFS('Cắt lồng'!$AH$327:$AH$515,'Cắt lồng'!$AA$327:$AA$515,'Cắt lồng'!$AA29,'Cắt lồng'!$AE$327:$AE$515,'Cắt lồng'!BM$4:BM$4)</f>
        <v>0</v>
      </c>
      <c r="BN29" s="109" t="e">
        <f t="shared" si="44"/>
        <v>#DIV/0!</v>
      </c>
      <c r="BO29" s="79">
        <f t="array" ref="BO29">SUMIFS('Cắt lồng'!$AC$327:$AC$515,'Cắt lồng'!$AA$327:$AA$515,'Cắt lồng'!$AA29,'Cắt lồng'!$AE$327:$AE$515,'Cắt lồng'!BO$4:BO$4)</f>
        <v>0</v>
      </c>
      <c r="BP29" s="79">
        <f t="array" ref="BP29">SUMIFS('Cắt lồng'!$AH$327:$AH$515,'Cắt lồng'!$AA$327:$AA$515,'Cắt lồng'!$AA29,'Cắt lồng'!$AE$327:$AE$515,'Cắt lồng'!BP$4:BP$4)</f>
        <v>0</v>
      </c>
      <c r="BQ29" s="109" t="e">
        <f t="shared" si="45"/>
        <v>#DIV/0!</v>
      </c>
      <c r="BR29" s="79">
        <f t="array" ref="BR29">SUMIFS('Cắt lồng'!$AC$327:$AC$515,'Cắt lồng'!$AA$327:$AA$515,'Cắt lồng'!$AA29,'Cắt lồng'!$AE$327:$AE$515,'Cắt lồng'!BR$4:BR$4)</f>
        <v>0</v>
      </c>
      <c r="BS29" s="79">
        <f t="array" ref="BS29">SUMIFS('Cắt lồng'!$AH$327:$AH$515,'Cắt lồng'!$AA$327:$AA$515,'Cắt lồng'!$AA29,'Cắt lồng'!$AE$327:$AE$515,'Cắt lồng'!BS$4:BS$4)</f>
        <v>0</v>
      </c>
      <c r="BT29" s="109" t="e">
        <f t="shared" si="46"/>
        <v>#DIV/0!</v>
      </c>
      <c r="BU29" s="79">
        <f t="array" ref="BU29">SUMIFS('Cắt lồng'!$AC$327:$AC$515,'Cắt lồng'!$AA$327:$AA$515,'Cắt lồng'!$AA29,'Cắt lồng'!$AE$327:$AE$515,'Cắt lồng'!BU$4:BU$4)</f>
        <v>0</v>
      </c>
      <c r="BV29" s="79">
        <f t="array" ref="BV29">SUMIFS('Cắt lồng'!$AH$327:$AH$515,'Cắt lồng'!$AA$327:$AA$515,'Cắt lồng'!$AA29,'Cắt lồng'!$AE$327:$AE$515,'Cắt lồng'!BV$4:BV$4)</f>
        <v>0</v>
      </c>
      <c r="BW29" s="109" t="e">
        <f t="shared" si="47"/>
        <v>#DIV/0!</v>
      </c>
      <c r="BX29" s="79">
        <f t="array" ref="BX29">SUMIFS('Cắt lồng'!$AC$327:$AC$515,'Cắt lồng'!$AA$327:$AA$515,'Cắt lồng'!$AA29,'Cắt lồng'!$AE$327:$AE$515,'Cắt lồng'!BX$4:BX$4)</f>
        <v>0</v>
      </c>
      <c r="BY29" s="79">
        <f t="array" ref="BY29">SUMIFS('Cắt lồng'!$AH$327:$AH$515,'Cắt lồng'!$AA$327:$AA$515,'Cắt lồng'!$AA29,'Cắt lồng'!$AE$327:$AE$515,'Cắt lồng'!BY$4:BY$4)</f>
        <v>0</v>
      </c>
      <c r="BZ29" s="109" t="e">
        <f t="shared" si="48"/>
        <v>#DIV/0!</v>
      </c>
      <c r="CA29" s="79">
        <f t="array" ref="CA29">SUMIFS('Cắt lồng'!$AC$327:$AC$515,'Cắt lồng'!$AA$327:$AA$515,'Cắt lồng'!$AA29,'Cắt lồng'!$AE$327:$AE$515,'Cắt lồng'!CA$4:CA$4)</f>
        <v>0</v>
      </c>
      <c r="CB29" s="79">
        <f t="array" ref="CB29">SUMIFS('Cắt lồng'!$AH$327:$AH$515,'Cắt lồng'!$AA$327:$AA$515,'Cắt lồng'!$AA29,'Cắt lồng'!$AE$327:$AE$515,'Cắt lồng'!CB$4:CB$4)</f>
        <v>0</v>
      </c>
      <c r="CC29" s="109" t="e">
        <f t="shared" si="49"/>
        <v>#DIV/0!</v>
      </c>
      <c r="CD29" s="79">
        <f t="array" ref="CD29">SUMIFS('Cắt lồng'!$AC$327:$AC$515,'Cắt lồng'!$AA$327:$AA$515,'Cắt lồng'!$AA29,'Cắt lồng'!$AE$327:$AE$515,'Cắt lồng'!CD$4:CD$4)</f>
        <v>0</v>
      </c>
      <c r="CE29" s="79">
        <f t="array" ref="CE29">SUMIFS('Cắt lồng'!$AH$327:$AH$515,'Cắt lồng'!$AA$327:$AA$515,'Cắt lồng'!$AA29,'Cắt lồng'!$AE$327:$AE$515,'Cắt lồng'!CE$4:CE$4)</f>
        <v>0</v>
      </c>
      <c r="CF29" s="109" t="e">
        <f t="shared" si="50"/>
        <v>#DIV/0!</v>
      </c>
      <c r="CG29" s="79">
        <f t="array" ref="CG29">SUMIFS('Cắt lồng'!$AC$327:$AC$515,'Cắt lồng'!$AA$327:$AA$515,'Cắt lồng'!$AA29,'Cắt lồng'!$AE$327:$AE$515,'Cắt lồng'!CG$4:CG$4)</f>
        <v>0</v>
      </c>
      <c r="CH29" s="79">
        <f t="array" ref="CH29">SUMIFS('Cắt lồng'!$AH$327:$AH$515,'Cắt lồng'!$AA$327:$AA$515,'Cắt lồng'!$AA29,'Cắt lồng'!$AE$327:$AE$515,'Cắt lồng'!CH$4:CH$4)</f>
        <v>0</v>
      </c>
      <c r="CI29" s="109" t="e">
        <f t="shared" si="51"/>
        <v>#DIV/0!</v>
      </c>
      <c r="CJ29" s="79">
        <f t="array" ref="CJ29">SUMIFS('Cắt lồng'!$AC$327:$AC$515,'Cắt lồng'!$AA$327:$AA$515,'Cắt lồng'!$AA29,'Cắt lồng'!$AE$327:$AE$515,'Cắt lồng'!CJ$4:CJ$4)</f>
        <v>0</v>
      </c>
      <c r="CK29" s="79">
        <f t="array" ref="CK29">SUMIFS('Cắt lồng'!$AH$327:$AH$515,'Cắt lồng'!$AA$327:$AA$515,'Cắt lồng'!$AA29,'Cắt lồng'!$AE$327:$AE$515,'Cắt lồng'!CK$4:CK$4)</f>
        <v>0</v>
      </c>
      <c r="CL29" s="109" t="e">
        <f t="shared" si="52"/>
        <v>#DIV/0!</v>
      </c>
      <c r="CM29" s="79">
        <f t="array" ref="CM29">SUMIFS('Cắt lồng'!$AC$327:$AC$515,'Cắt lồng'!$AA$327:$AA$515,'Cắt lồng'!$AA29,'Cắt lồng'!$AE$327:$AE$515,'Cắt lồng'!CM$4:CM$4)</f>
        <v>0</v>
      </c>
      <c r="CN29" s="79">
        <f t="array" ref="CN29">SUMIFS('Cắt lồng'!$AH$327:$AH$515,'Cắt lồng'!$AA$327:$AA$515,'Cắt lồng'!$AA29,'Cắt lồng'!$AE$327:$AE$515,'Cắt lồng'!CN$4:CN$4)</f>
        <v>0</v>
      </c>
      <c r="CO29" s="109" t="e">
        <f t="shared" si="53"/>
        <v>#DIV/0!</v>
      </c>
      <c r="CP29" s="79">
        <f t="array" ref="CP29">SUMIFS('Cắt lồng'!$AC$327:$AC$515,'Cắt lồng'!$AA$327:$AA$515,'Cắt lồng'!$AA29,'Cắt lồng'!$AE$327:$AE$515,'Cắt lồng'!CP$4:CP$4)</f>
        <v>0</v>
      </c>
      <c r="CQ29" s="79">
        <f t="array" ref="CQ29">SUMIFS('Cắt lồng'!$AH$327:$AH$515,'Cắt lồng'!$AA$327:$AA$515,'Cắt lồng'!$AA29,'Cắt lồng'!$AE$327:$AE$515,'Cắt lồng'!CQ$4:CQ$4)</f>
        <v>0</v>
      </c>
      <c r="CR29" s="109" t="e">
        <f t="shared" si="54"/>
        <v>#DIV/0!</v>
      </c>
      <c r="CS29" s="79">
        <f t="array" ref="CS29">SUMIFS('Cắt lồng'!$AC$327:$AC$515,'Cắt lồng'!$AA$327:$AA$515,'Cắt lồng'!$AA29,'Cắt lồng'!$AE$327:$AE$515,'Cắt lồng'!CS$4:CS$4)</f>
        <v>0</v>
      </c>
      <c r="CT29" s="79">
        <f t="array" ref="CT29">SUMIFS('Cắt lồng'!$AH$327:$AH$515,'Cắt lồng'!$AA$327:$AA$515,'Cắt lồng'!$AA29,'Cắt lồng'!$AE$327:$AE$515,'Cắt lồng'!CT$4:CT$4)</f>
        <v>0</v>
      </c>
      <c r="CU29" s="109" t="e">
        <f t="shared" si="55"/>
        <v>#DIV/0!</v>
      </c>
      <c r="CV29" s="79">
        <f t="array" ref="CV29">SUMIFS('Cắt lồng'!$AC$327:$AC$515,'Cắt lồng'!$AA$327:$AA$515,'Cắt lồng'!$AA29,'Cắt lồng'!$AE$327:$AE$515,'Cắt lồng'!CV$4:CV$4)</f>
        <v>0</v>
      </c>
      <c r="CW29" s="79">
        <f t="array" ref="CW29">SUMIFS('Cắt lồng'!$AH$327:$AH$515,'Cắt lồng'!$AA$327:$AA$515,'Cắt lồng'!$AA29,'Cắt lồng'!$AE$327:$AE$515,'Cắt lồng'!CW$4:CW$4)</f>
        <v>0</v>
      </c>
      <c r="CX29" s="109" t="e">
        <f t="shared" si="56"/>
        <v>#DIV/0!</v>
      </c>
      <c r="CY29" s="79">
        <f t="array" ref="CY29">SUMIFS('Cắt lồng'!$AC$327:$AC$515,'Cắt lồng'!$AA$327:$AA$515,'Cắt lồng'!$AA29,'Cắt lồng'!$AE$327:$AE$515,'Cắt lồng'!CY$4:CY$4)</f>
        <v>0</v>
      </c>
      <c r="CZ29" s="79">
        <f t="array" ref="CZ29">SUMIFS('Cắt lồng'!$AH$327:$AH$515,'Cắt lồng'!$AA$327:$AA$515,'Cắt lồng'!$AA29,'Cắt lồng'!$AE$327:$AE$515,'Cắt lồng'!CZ$4:CZ$4)</f>
        <v>0</v>
      </c>
      <c r="DA29" s="109" t="e">
        <f t="shared" si="57"/>
        <v>#DIV/0!</v>
      </c>
      <c r="DB29" s="79">
        <f t="array" ref="DB29">SUMIFS('Cắt lồng'!$AC$327:$AC$515,'Cắt lồng'!$AA$327:$AA$515,'Cắt lồng'!$AA29,'Cắt lồng'!$AE$327:$AE$515,'Cắt lồng'!DB$4:DB$4)</f>
        <v>0</v>
      </c>
      <c r="DC29" s="79">
        <f t="array" ref="DC29">SUMIFS('Cắt lồng'!$AH$327:$AH$515,'Cắt lồng'!$AA$327:$AA$515,'Cắt lồng'!$AA29,'Cắt lồng'!$AE$327:$AE$515,'Cắt lồng'!DC$4:DC$4)</f>
        <v>0</v>
      </c>
      <c r="DD29" s="109" t="e">
        <f t="shared" si="58"/>
        <v>#DIV/0!</v>
      </c>
      <c r="DE29" s="79">
        <f t="array" ref="DE29">SUMIFS('Cắt lồng'!$AC$327:$AC$515,'Cắt lồng'!$AA$327:$AA$515,'Cắt lồng'!$AA29,'Cắt lồng'!$AE$327:$AE$515,'Cắt lồng'!DE$4:DE$4)</f>
        <v>0</v>
      </c>
      <c r="DF29" s="79">
        <f t="array" ref="DF29">SUMIFS('Cắt lồng'!$AH$327:$AH$515,'Cắt lồng'!$AA$327:$AA$515,'Cắt lồng'!$AA29,'Cắt lồng'!$AE$327:$AE$515,'Cắt lồng'!DF$4:DF$4)</f>
        <v>0</v>
      </c>
      <c r="DG29" s="109" t="e">
        <f t="shared" si="59"/>
        <v>#DIV/0!</v>
      </c>
      <c r="DH29" s="79">
        <f t="array" ref="DH29">SUMIFS('Cắt lồng'!$AC$327:$AC$515,'Cắt lồng'!$AA$327:$AA$515,'Cắt lồng'!$AA29,'Cắt lồng'!$AE$327:$AE$515,'Cắt lồng'!DH$4:DH$4)</f>
        <v>0</v>
      </c>
      <c r="DI29" s="79">
        <f t="array" ref="DI29">SUMIFS('Cắt lồng'!$AH$327:$AH$515,'Cắt lồng'!$AA$327:$AA$515,'Cắt lồng'!$AA29,'Cắt lồng'!$AE$327:$AE$515,'Cắt lồng'!DI$4:DI$4)</f>
        <v>0</v>
      </c>
      <c r="DJ29" s="109" t="e">
        <f t="shared" si="60"/>
        <v>#DIV/0!</v>
      </c>
      <c r="DK29" s="79">
        <f t="array" ref="DK29">SUMIFS('Cắt lồng'!$AC$327:$AC$515,'Cắt lồng'!$AA$327:$AA$515,'Cắt lồng'!$AA29,'Cắt lồng'!$AE$327:$AE$515,'Cắt lồng'!DK$4:DK$4)</f>
        <v>0</v>
      </c>
      <c r="DL29" s="79">
        <f t="array" ref="DL29">SUMIFS('Cắt lồng'!$AH$327:$AH$515,'Cắt lồng'!$AA$327:$AA$515,'Cắt lồng'!$AA29,'Cắt lồng'!$AE$327:$AE$515,'Cắt lồng'!DL$4:DL$4)</f>
        <v>0</v>
      </c>
      <c r="DM29" s="109" t="e">
        <f t="shared" si="61"/>
        <v>#DIV/0!</v>
      </c>
      <c r="DN29" s="79">
        <f>SUMIFS('Cắt lồng'!$AC$327:$AC$515,'Cắt lồng'!$AA$327:$AA$515,'Cắt lồng'!$AA29,'Cắt lồng'!$AE$327:$AE$515,'Cắt lồng'!DN$4:DN$4)</f>
        <v>0</v>
      </c>
      <c r="DO29" s="79">
        <f t="array" ref="DO29">SUMIFS('Cắt lồng'!$AH$327:$AH$515,'Cắt lồng'!$AA$327:$AA$515,'Cắt lồng'!$AA29,'Cắt lồng'!$AE$327:$AE$515,'Cắt lồng'!DO$4:DO$4)</f>
        <v>0</v>
      </c>
      <c r="DP29" s="109" t="e">
        <f t="shared" si="62"/>
        <v>#DIV/0!</v>
      </c>
      <c r="DQ29" s="79">
        <f t="array" ref="DQ29">SUMIFS('Cắt lồng'!$AC$327:$AC$515,'Cắt lồng'!$AA$327:$AA$515,'Cắt lồng'!$AA29,'Cắt lồng'!$AE$327:$AE$515,'Cắt lồng'!DQ$4:DQ$4)</f>
        <v>0</v>
      </c>
      <c r="DR29" s="79">
        <f t="array" ref="DR29">SUMIFS('Cắt lồng'!$AH$327:$AH$515,'Cắt lồng'!$AA$327:$AA$515,'Cắt lồng'!$AA29,'Cắt lồng'!$AE$327:$AE$515,'Cắt lồng'!DR$4:DR$4)</f>
        <v>0</v>
      </c>
      <c r="DS29" s="109" t="e">
        <f t="shared" si="63"/>
        <v>#DIV/0!</v>
      </c>
      <c r="DT29" s="79">
        <f t="array" ref="DT29">SUMIFS('Cắt lồng'!$AC$327:$AC$515,'Cắt lồng'!$AA$327:$AA$515,'Cắt lồng'!$AA29,'Cắt lồng'!$AE$327:$AE$515,'Cắt lồng'!DT$4:DT$4)</f>
        <v>0</v>
      </c>
      <c r="DU29" s="79">
        <f t="array" ref="DU29">SUMIFS('Cắt lồng'!$AH$327:$AH$515,'Cắt lồng'!$AA$327:$AA$515,'Cắt lồng'!$AA29,'Cắt lồng'!$AE$327:$AE$515,'Cắt lồng'!DU$4:DU$4)</f>
        <v>0</v>
      </c>
      <c r="DV29" s="109" t="e">
        <f t="shared" si="64"/>
        <v>#DIV/0!</v>
      </c>
      <c r="DW29" s="79">
        <f t="array" ref="DW29">SUMIFS('Cắt lồng'!$AC$327:$AC$515,'Cắt lồng'!$AA$327:$AA$515,'Cắt lồng'!$AA29,'Cắt lồng'!$AE$327:$AE$515,'Cắt lồng'!DW$4:DW$4)</f>
        <v>0</v>
      </c>
      <c r="DX29" s="79">
        <f t="array" ref="DX29">SUMIFS('Cắt lồng'!$AH$327:$AH$515,'Cắt lồng'!$AA$327:$AA$515,'Cắt lồng'!$AA29,'Cắt lồng'!$AE$327:$AE$515,'Cắt lồng'!DX$4:DX$4)</f>
        <v>0</v>
      </c>
      <c r="DY29" s="109" t="e">
        <f t="shared" si="65"/>
        <v>#DIV/0!</v>
      </c>
      <c r="DZ29" s="79">
        <f t="array" ref="DZ29">SUMIFS('Cắt lồng'!$AC$327:$AC$515,'Cắt lồng'!$AA$327:$AA$515,'Cắt lồng'!$AA29,'Cắt lồng'!$AE$327:$AE$515,'Cắt lồng'!DZ$4:DZ$4)</f>
        <v>0</v>
      </c>
      <c r="EA29" s="79">
        <f t="array" ref="EA29">SUMIFS('Cắt lồng'!$AH$327:$AH$515,'Cắt lồng'!$AA$327:$AA$515,'Cắt lồng'!$AA29,'Cắt lồng'!$AE$327:$AE$515,'Cắt lồng'!EA$4:EA$4)</f>
        <v>0</v>
      </c>
      <c r="EB29" s="109" t="e">
        <f t="shared" si="66"/>
        <v>#DIV/0!</v>
      </c>
      <c r="EC29" s="79">
        <f t="array" ref="EC29">SUMIFS('Cắt lồng'!$AC$327:$AC$515,'Cắt lồng'!$AA$327:$AA$515,'Cắt lồng'!$AA29,'Cắt lồng'!$AE$327:$AE$515,'Cắt lồng'!EC$4:EC$4)</f>
        <v>0</v>
      </c>
      <c r="ED29" s="79">
        <f t="array" ref="ED29">SUMIFS('Cắt lồng'!$AH$327:$AH$515,'Cắt lồng'!$AA$327:$AA$515,'Cắt lồng'!$AA29,'Cắt lồng'!$AE$327:$AE$515,'Cắt lồng'!ED$4:ED$4)</f>
        <v>0</v>
      </c>
      <c r="EE29" s="109" t="e">
        <f t="shared" si="67"/>
        <v>#DIV/0!</v>
      </c>
      <c r="EF29" s="79">
        <f t="array" ref="EF29">SUMIFS('Cắt lồng'!$AC$327:$AC$515,'Cắt lồng'!$AA$327:$AA$515,'Cắt lồng'!$AA29,'Cắt lồng'!$AE$327:$AE$515,'Cắt lồng'!EF$4:EF$4)</f>
        <v>0</v>
      </c>
      <c r="EG29" s="79">
        <f t="array" ref="EG29">SUMIFS('Cắt lồng'!$AH$327:$AH$515,'Cắt lồng'!$AA$327:$AA$515,'Cắt lồng'!$AA29,'Cắt lồng'!$AE$327:$AE$515,'Cắt lồng'!EG$4:EG$4)</f>
        <v>0</v>
      </c>
      <c r="EH29" s="109" t="e">
        <f t="shared" si="68"/>
        <v>#DIV/0!</v>
      </c>
      <c r="EI29" s="79">
        <f t="array" ref="EI29">SUMIFS('Cắt lồng'!$AC$327:$AC$515,'Cắt lồng'!$AA$327:$AA$515,'Cắt lồng'!$AA29,'Cắt lồng'!$AE$327:$AE$515,'Cắt lồng'!EI$4:EI$4)</f>
        <v>0</v>
      </c>
      <c r="EJ29" s="79">
        <f t="array" ref="EJ29">SUMIFS('Cắt lồng'!$AH$327:$AH$515,'Cắt lồng'!$AA$327:$AA$515,'Cắt lồng'!$AA29,'Cắt lồng'!$AE$327:$AE$515,'Cắt lồng'!EJ$4:EJ$4)</f>
        <v>0</v>
      </c>
      <c r="EK29" s="109" t="e">
        <f t="shared" si="69"/>
        <v>#DIV/0!</v>
      </c>
    </row>
    <row r="30" spans="1:141" s="12" customFormat="1" ht="14.25" hidden="1" customHeight="1">
      <c r="A30" s="25">
        <v>25</v>
      </c>
      <c r="B30" s="198" t="s">
        <v>204</v>
      </c>
      <c r="C30" s="198" t="s">
        <v>204</v>
      </c>
      <c r="D30" s="63"/>
      <c r="E30" s="197"/>
      <c r="F30" s="56"/>
      <c r="G30" s="82">
        <f t="shared" si="1"/>
        <v>0</v>
      </c>
      <c r="H30" s="81">
        <f t="shared" si="2"/>
        <v>17.829999999999998</v>
      </c>
      <c r="I30" s="19">
        <f t="shared" si="3"/>
        <v>2</v>
      </c>
      <c r="J30" s="11">
        <f t="shared" si="4"/>
        <v>4.17</v>
      </c>
      <c r="K30" s="19">
        <f t="shared" si="5"/>
        <v>0</v>
      </c>
      <c r="L30" s="19">
        <f t="shared" si="6"/>
        <v>0</v>
      </c>
      <c r="M30" s="19">
        <f t="shared" si="7"/>
        <v>0</v>
      </c>
      <c r="N30" s="19">
        <f t="shared" si="8"/>
        <v>0.67</v>
      </c>
      <c r="O30" s="19">
        <f t="shared" si="9"/>
        <v>0</v>
      </c>
      <c r="P30" s="19">
        <f t="shared" si="10"/>
        <v>0</v>
      </c>
      <c r="Q30" s="19">
        <f t="shared" si="11"/>
        <v>0</v>
      </c>
      <c r="R30" s="19">
        <f t="shared" si="12"/>
        <v>0</v>
      </c>
      <c r="S30" s="19">
        <f t="shared" si="13"/>
        <v>0</v>
      </c>
      <c r="T30" s="19">
        <f t="shared" si="14"/>
        <v>2.5</v>
      </c>
      <c r="U30" s="19">
        <f t="shared" si="15"/>
        <v>0</v>
      </c>
      <c r="V30" s="19">
        <f t="shared" si="16"/>
        <v>0</v>
      </c>
      <c r="W30" s="19">
        <f t="shared" si="17"/>
        <v>0</v>
      </c>
      <c r="X30" s="19">
        <f t="shared" si="18"/>
        <v>1</v>
      </c>
      <c r="Y30" s="19">
        <f t="shared" si="19"/>
        <v>0</v>
      </c>
      <c r="Z30" s="19">
        <f t="shared" si="20"/>
        <v>0</v>
      </c>
      <c r="AA30" s="164" t="s">
        <v>22</v>
      </c>
      <c r="AB30" s="129" t="e">
        <f t="shared" si="21"/>
        <v>#VALUE!</v>
      </c>
      <c r="AC30" s="16">
        <f t="shared" si="22"/>
        <v>14960</v>
      </c>
      <c r="AD30" s="15" t="e">
        <f t="shared" si="23"/>
        <v>#VALUE!</v>
      </c>
      <c r="AE30" s="42"/>
      <c r="AF30" s="10">
        <f t="shared" si="24"/>
        <v>839.03533370723505</v>
      </c>
      <c r="AG30" s="10"/>
      <c r="AH30" s="127">
        <f t="shared" si="25"/>
        <v>69</v>
      </c>
      <c r="AI30" s="54">
        <f t="shared" si="26"/>
        <v>4.6122994652406414E-3</v>
      </c>
      <c r="AJ30" s="25">
        <f t="shared" si="27"/>
        <v>0</v>
      </c>
      <c r="AK30" s="25">
        <f t="shared" si="28"/>
        <v>0</v>
      </c>
      <c r="AL30" s="30">
        <f t="shared" si="29"/>
        <v>0</v>
      </c>
      <c r="AM30" s="30">
        <f t="shared" si="30"/>
        <v>10</v>
      </c>
      <c r="AN30" s="30">
        <f t="shared" si="31"/>
        <v>0</v>
      </c>
      <c r="AO30" s="30">
        <f t="shared" si="32"/>
        <v>0</v>
      </c>
      <c r="AP30" s="30">
        <f t="shared" si="33"/>
        <v>0</v>
      </c>
      <c r="AQ30" s="30">
        <f t="shared" si="34"/>
        <v>20</v>
      </c>
      <c r="AR30" s="30">
        <f t="shared" si="35"/>
        <v>0</v>
      </c>
      <c r="AS30" s="30">
        <f t="shared" si="36"/>
        <v>0</v>
      </c>
      <c r="AT30" s="30">
        <f t="shared" si="37"/>
        <v>39</v>
      </c>
      <c r="AU30" s="80"/>
      <c r="AV30" s="110">
        <f t="shared" si="38"/>
        <v>17.829999999999998</v>
      </c>
      <c r="AW30" s="79">
        <f t="array" ref="AW30">SUMIFS('Cắt lồng'!$AC$327:$AC$515,'Cắt lồng'!$AA$327:$AA$515,'Cắt lồng'!$AA30,'Cắt lồng'!$AE$327:$AE$515,'Cắt lồng'!AW$4:AW$4)</f>
        <v>14960</v>
      </c>
      <c r="AX30" s="79">
        <f t="array" ref="AX30">SUMIFS('Cắt lồng'!$AH$327:$AH$515,'Cắt lồng'!$AA$327:$AA$515,'Cắt lồng'!$AA30,'Cắt lồng'!$AE$327:$AE$515,'Cắt lồng'!AX$4:AX$4)</f>
        <v>0</v>
      </c>
      <c r="AY30" s="109">
        <f t="shared" si="39"/>
        <v>0</v>
      </c>
      <c r="AZ30" s="79">
        <f t="array" ref="AZ30">SUMIFS('Cắt lồng'!$AC$327:$AC$515,'Cắt lồng'!$AA$327:$AA$515,'Cắt lồng'!$AA30,'Cắt lồng'!$AE$327:$AE$515,'Cắt lồng'!AZ$4:AZ$4)</f>
        <v>0</v>
      </c>
      <c r="BA30" s="79">
        <f t="array" ref="BA30">SUMIFS('Cắt lồng'!$AH$327:$AH$515,'Cắt lồng'!$AA$327:$AA$515,'Cắt lồng'!$AA30,'Cắt lồng'!$AE$327:$AE$515,'Cắt lồng'!BA$4:BA$4)</f>
        <v>0</v>
      </c>
      <c r="BB30" s="109" t="e">
        <f t="shared" si="40"/>
        <v>#DIV/0!</v>
      </c>
      <c r="BC30" s="79">
        <f t="array" ref="BC30">SUMIFS('Cắt lồng'!$AC$327:$AC$515,'Cắt lồng'!$AA$327:$AA$515,'Cắt lồng'!$AA30,'Cắt lồng'!$AE$327:$AE$515,'Cắt lồng'!BC$4:BC$4)</f>
        <v>0</v>
      </c>
      <c r="BD30" s="79">
        <f t="array" ref="BD30">SUMIFS('Cắt lồng'!$AH$327:$AH$515,'Cắt lồng'!$AA$327:$AA$515,'Cắt lồng'!$AA30,'Cắt lồng'!$AE$327:$AE$515,'Cắt lồng'!BD$4:BD$4)</f>
        <v>0</v>
      </c>
      <c r="BE30" s="109" t="e">
        <f t="shared" si="41"/>
        <v>#DIV/0!</v>
      </c>
      <c r="BF30" s="79">
        <f t="array" ref="BF30">SUMIFS('Cắt lồng'!$AC$327:$AC$515,'Cắt lồng'!$AA$327:$AA$515,'Cắt lồng'!$AA30,'Cắt lồng'!$AE$327:$AE$515,'Cắt lồng'!BF$4:BF$4)</f>
        <v>0</v>
      </c>
      <c r="BG30" s="79">
        <f t="array" ref="BG30">SUMIFS('Cắt lồng'!$AH$327:$AH$515,'Cắt lồng'!$AA$327:$AA$515,'Cắt lồng'!$AA30,'Cắt lồng'!$AE$327:$AE$515,'Cắt lồng'!BG$4:BG$4)</f>
        <v>0</v>
      </c>
      <c r="BH30" s="109" t="e">
        <f t="shared" si="42"/>
        <v>#DIV/0!</v>
      </c>
      <c r="BI30" s="79">
        <f t="array" ref="BI30">SUMIFS('Cắt lồng'!$AC$327:$AC$515,'Cắt lồng'!$AA$327:$AA$515,'Cắt lồng'!$AA30,'Cắt lồng'!$AE$327:$AE$515,'Cắt lồng'!BI$4:BI$4)</f>
        <v>0</v>
      </c>
      <c r="BJ30" s="79">
        <f t="array" ref="BJ30">SUMIFS('Cắt lồng'!$AH$327:$AH$515,'Cắt lồng'!$AA$327:$AA$515,'Cắt lồng'!$AA30,'Cắt lồng'!$AE$327:$AE$515,'Cắt lồng'!BJ$4:BJ$4)</f>
        <v>0</v>
      </c>
      <c r="BK30" s="109" t="e">
        <f t="shared" si="43"/>
        <v>#DIV/0!</v>
      </c>
      <c r="BL30" s="79">
        <f t="array" ref="BL30">SUMIFS('Cắt lồng'!$AC$327:$AC$515,'Cắt lồng'!$AA$327:$AA$515,'Cắt lồng'!$AA30,'Cắt lồng'!$AE$327:$AE$515,'Cắt lồng'!BL$4:BL$4)</f>
        <v>0</v>
      </c>
      <c r="BM30" s="79">
        <f t="array" ref="BM30">SUMIFS('Cắt lồng'!$AH$327:$AH$515,'Cắt lồng'!$AA$327:$AA$515,'Cắt lồng'!$AA30,'Cắt lồng'!$AE$327:$AE$515,'Cắt lồng'!BM$4:BM$4)</f>
        <v>0</v>
      </c>
      <c r="BN30" s="109" t="e">
        <f t="shared" si="44"/>
        <v>#DIV/0!</v>
      </c>
      <c r="BO30" s="79">
        <f t="array" ref="BO30">SUMIFS('Cắt lồng'!$AC$327:$AC$515,'Cắt lồng'!$AA$327:$AA$515,'Cắt lồng'!$AA30,'Cắt lồng'!$AE$327:$AE$515,'Cắt lồng'!BO$4:BO$4)</f>
        <v>0</v>
      </c>
      <c r="BP30" s="79">
        <f t="array" ref="BP30">SUMIFS('Cắt lồng'!$AH$327:$AH$515,'Cắt lồng'!$AA$327:$AA$515,'Cắt lồng'!$AA30,'Cắt lồng'!$AE$327:$AE$515,'Cắt lồng'!BP$4:BP$4)</f>
        <v>0</v>
      </c>
      <c r="BQ30" s="109" t="e">
        <f t="shared" si="45"/>
        <v>#DIV/0!</v>
      </c>
      <c r="BR30" s="79">
        <f t="array" ref="BR30">SUMIFS('Cắt lồng'!$AC$327:$AC$515,'Cắt lồng'!$AA$327:$AA$515,'Cắt lồng'!$AA30,'Cắt lồng'!$AE$327:$AE$515,'Cắt lồng'!BR$4:BR$4)</f>
        <v>0</v>
      </c>
      <c r="BS30" s="79">
        <f t="array" ref="BS30">SUMIFS('Cắt lồng'!$AH$327:$AH$515,'Cắt lồng'!$AA$327:$AA$515,'Cắt lồng'!$AA30,'Cắt lồng'!$AE$327:$AE$515,'Cắt lồng'!BS$4:BS$4)</f>
        <v>0</v>
      </c>
      <c r="BT30" s="109" t="e">
        <f t="shared" si="46"/>
        <v>#DIV/0!</v>
      </c>
      <c r="BU30" s="79">
        <f t="array" ref="BU30">SUMIFS('Cắt lồng'!$AC$327:$AC$515,'Cắt lồng'!$AA$327:$AA$515,'Cắt lồng'!$AA30,'Cắt lồng'!$AE$327:$AE$515,'Cắt lồng'!BU$4:BU$4)</f>
        <v>0</v>
      </c>
      <c r="BV30" s="79">
        <f t="array" ref="BV30">SUMIFS('Cắt lồng'!$AH$327:$AH$515,'Cắt lồng'!$AA$327:$AA$515,'Cắt lồng'!$AA30,'Cắt lồng'!$AE$327:$AE$515,'Cắt lồng'!BV$4:BV$4)</f>
        <v>0</v>
      </c>
      <c r="BW30" s="109" t="e">
        <f t="shared" si="47"/>
        <v>#DIV/0!</v>
      </c>
      <c r="BX30" s="79">
        <f t="array" ref="BX30">SUMIFS('Cắt lồng'!$AC$327:$AC$515,'Cắt lồng'!$AA$327:$AA$515,'Cắt lồng'!$AA30,'Cắt lồng'!$AE$327:$AE$515,'Cắt lồng'!BX$4:BX$4)</f>
        <v>0</v>
      </c>
      <c r="BY30" s="79">
        <f t="array" ref="BY30">SUMIFS('Cắt lồng'!$AH$327:$AH$515,'Cắt lồng'!$AA$327:$AA$515,'Cắt lồng'!$AA30,'Cắt lồng'!$AE$327:$AE$515,'Cắt lồng'!BY$4:BY$4)</f>
        <v>0</v>
      </c>
      <c r="BZ30" s="109" t="e">
        <f t="shared" si="48"/>
        <v>#DIV/0!</v>
      </c>
      <c r="CA30" s="79">
        <f t="array" ref="CA30">SUMIFS('Cắt lồng'!$AC$327:$AC$515,'Cắt lồng'!$AA$327:$AA$515,'Cắt lồng'!$AA30,'Cắt lồng'!$AE$327:$AE$515,'Cắt lồng'!CA$4:CA$4)</f>
        <v>0</v>
      </c>
      <c r="CB30" s="79">
        <f t="array" ref="CB30">SUMIFS('Cắt lồng'!$AH$327:$AH$515,'Cắt lồng'!$AA$327:$AA$515,'Cắt lồng'!$AA30,'Cắt lồng'!$AE$327:$AE$515,'Cắt lồng'!CB$4:CB$4)</f>
        <v>0</v>
      </c>
      <c r="CC30" s="109" t="e">
        <f t="shared" si="49"/>
        <v>#DIV/0!</v>
      </c>
      <c r="CD30" s="79">
        <f t="array" ref="CD30">SUMIFS('Cắt lồng'!$AC$327:$AC$515,'Cắt lồng'!$AA$327:$AA$515,'Cắt lồng'!$AA30,'Cắt lồng'!$AE$327:$AE$515,'Cắt lồng'!CD$4:CD$4)</f>
        <v>0</v>
      </c>
      <c r="CE30" s="79">
        <f t="array" ref="CE30">SUMIFS('Cắt lồng'!$AH$327:$AH$515,'Cắt lồng'!$AA$327:$AA$515,'Cắt lồng'!$AA30,'Cắt lồng'!$AE$327:$AE$515,'Cắt lồng'!CE$4:CE$4)</f>
        <v>0</v>
      </c>
      <c r="CF30" s="109" t="e">
        <f t="shared" si="50"/>
        <v>#DIV/0!</v>
      </c>
      <c r="CG30" s="79">
        <f t="array" ref="CG30">SUMIFS('Cắt lồng'!$AC$327:$AC$515,'Cắt lồng'!$AA$327:$AA$515,'Cắt lồng'!$AA30,'Cắt lồng'!$AE$327:$AE$515,'Cắt lồng'!CG$4:CG$4)</f>
        <v>0</v>
      </c>
      <c r="CH30" s="79">
        <f t="array" ref="CH30">SUMIFS('Cắt lồng'!$AH$327:$AH$515,'Cắt lồng'!$AA$327:$AA$515,'Cắt lồng'!$AA30,'Cắt lồng'!$AE$327:$AE$515,'Cắt lồng'!CH$4:CH$4)</f>
        <v>0</v>
      </c>
      <c r="CI30" s="109" t="e">
        <f t="shared" si="51"/>
        <v>#DIV/0!</v>
      </c>
      <c r="CJ30" s="79">
        <f t="array" ref="CJ30">SUMIFS('Cắt lồng'!$AC$327:$AC$515,'Cắt lồng'!$AA$327:$AA$515,'Cắt lồng'!$AA30,'Cắt lồng'!$AE$327:$AE$515,'Cắt lồng'!CJ$4:CJ$4)</f>
        <v>0</v>
      </c>
      <c r="CK30" s="79">
        <f t="array" ref="CK30">SUMIFS('Cắt lồng'!$AH$327:$AH$515,'Cắt lồng'!$AA$327:$AA$515,'Cắt lồng'!$AA30,'Cắt lồng'!$AE$327:$AE$515,'Cắt lồng'!CK$4:CK$4)</f>
        <v>0</v>
      </c>
      <c r="CL30" s="109" t="e">
        <f t="shared" si="52"/>
        <v>#DIV/0!</v>
      </c>
      <c r="CM30" s="79">
        <f t="array" ref="CM30">SUMIFS('Cắt lồng'!$AC$327:$AC$515,'Cắt lồng'!$AA$327:$AA$515,'Cắt lồng'!$AA30,'Cắt lồng'!$AE$327:$AE$515,'Cắt lồng'!CM$4:CM$4)</f>
        <v>0</v>
      </c>
      <c r="CN30" s="79">
        <f t="array" ref="CN30">SUMIFS('Cắt lồng'!$AH$327:$AH$515,'Cắt lồng'!$AA$327:$AA$515,'Cắt lồng'!$AA30,'Cắt lồng'!$AE$327:$AE$515,'Cắt lồng'!CN$4:CN$4)</f>
        <v>0</v>
      </c>
      <c r="CO30" s="109" t="e">
        <f t="shared" si="53"/>
        <v>#DIV/0!</v>
      </c>
      <c r="CP30" s="79">
        <f t="array" ref="CP30">SUMIFS('Cắt lồng'!$AC$327:$AC$515,'Cắt lồng'!$AA$327:$AA$515,'Cắt lồng'!$AA30,'Cắt lồng'!$AE$327:$AE$515,'Cắt lồng'!CP$4:CP$4)</f>
        <v>0</v>
      </c>
      <c r="CQ30" s="79">
        <f t="array" ref="CQ30">SUMIFS('Cắt lồng'!$AH$327:$AH$515,'Cắt lồng'!$AA$327:$AA$515,'Cắt lồng'!$AA30,'Cắt lồng'!$AE$327:$AE$515,'Cắt lồng'!CQ$4:CQ$4)</f>
        <v>0</v>
      </c>
      <c r="CR30" s="109" t="e">
        <f t="shared" si="54"/>
        <v>#DIV/0!</v>
      </c>
      <c r="CS30" s="79">
        <f t="array" ref="CS30">SUMIFS('Cắt lồng'!$AC$327:$AC$515,'Cắt lồng'!$AA$327:$AA$515,'Cắt lồng'!$AA30,'Cắt lồng'!$AE$327:$AE$515,'Cắt lồng'!CS$4:CS$4)</f>
        <v>0</v>
      </c>
      <c r="CT30" s="79">
        <f t="array" ref="CT30">SUMIFS('Cắt lồng'!$AH$327:$AH$515,'Cắt lồng'!$AA$327:$AA$515,'Cắt lồng'!$AA30,'Cắt lồng'!$AE$327:$AE$515,'Cắt lồng'!CT$4:CT$4)</f>
        <v>0</v>
      </c>
      <c r="CU30" s="109" t="e">
        <f t="shared" si="55"/>
        <v>#DIV/0!</v>
      </c>
      <c r="CV30" s="79">
        <f t="array" ref="CV30">SUMIFS('Cắt lồng'!$AC$327:$AC$515,'Cắt lồng'!$AA$327:$AA$515,'Cắt lồng'!$AA30,'Cắt lồng'!$AE$327:$AE$515,'Cắt lồng'!CV$4:CV$4)</f>
        <v>0</v>
      </c>
      <c r="CW30" s="79">
        <f t="array" ref="CW30">SUMIFS('Cắt lồng'!$AH$327:$AH$515,'Cắt lồng'!$AA$327:$AA$515,'Cắt lồng'!$AA30,'Cắt lồng'!$AE$327:$AE$515,'Cắt lồng'!CW$4:CW$4)</f>
        <v>0</v>
      </c>
      <c r="CX30" s="109" t="e">
        <f t="shared" si="56"/>
        <v>#DIV/0!</v>
      </c>
      <c r="CY30" s="79">
        <f t="array" ref="CY30">SUMIFS('Cắt lồng'!$AC$327:$AC$515,'Cắt lồng'!$AA$327:$AA$515,'Cắt lồng'!$AA30,'Cắt lồng'!$AE$327:$AE$515,'Cắt lồng'!CY$4:CY$4)</f>
        <v>0</v>
      </c>
      <c r="CZ30" s="79">
        <f t="array" ref="CZ30">SUMIFS('Cắt lồng'!$AH$327:$AH$515,'Cắt lồng'!$AA$327:$AA$515,'Cắt lồng'!$AA30,'Cắt lồng'!$AE$327:$AE$515,'Cắt lồng'!CZ$4:CZ$4)</f>
        <v>0</v>
      </c>
      <c r="DA30" s="109" t="e">
        <f t="shared" si="57"/>
        <v>#DIV/0!</v>
      </c>
      <c r="DB30" s="79">
        <f t="array" ref="DB30">SUMIFS('Cắt lồng'!$AC$327:$AC$515,'Cắt lồng'!$AA$327:$AA$515,'Cắt lồng'!$AA30,'Cắt lồng'!$AE$327:$AE$515,'Cắt lồng'!DB$4:DB$4)</f>
        <v>0</v>
      </c>
      <c r="DC30" s="79">
        <f t="array" ref="DC30">SUMIFS('Cắt lồng'!$AH$327:$AH$515,'Cắt lồng'!$AA$327:$AA$515,'Cắt lồng'!$AA30,'Cắt lồng'!$AE$327:$AE$515,'Cắt lồng'!DC$4:DC$4)</f>
        <v>0</v>
      </c>
      <c r="DD30" s="109" t="e">
        <f t="shared" si="58"/>
        <v>#DIV/0!</v>
      </c>
      <c r="DE30" s="79">
        <f t="array" ref="DE30">SUMIFS('Cắt lồng'!$AC$327:$AC$515,'Cắt lồng'!$AA$327:$AA$515,'Cắt lồng'!$AA30,'Cắt lồng'!$AE$327:$AE$515,'Cắt lồng'!DE$4:DE$4)</f>
        <v>0</v>
      </c>
      <c r="DF30" s="79">
        <f t="array" ref="DF30">SUMIFS('Cắt lồng'!$AH$327:$AH$515,'Cắt lồng'!$AA$327:$AA$515,'Cắt lồng'!$AA30,'Cắt lồng'!$AE$327:$AE$515,'Cắt lồng'!DF$4:DF$4)</f>
        <v>0</v>
      </c>
      <c r="DG30" s="109" t="e">
        <f t="shared" si="59"/>
        <v>#DIV/0!</v>
      </c>
      <c r="DH30" s="79">
        <f>SUMIFS('Cắt lồng'!$AC$327:$AC$515,'Cắt lồng'!$AA$327:$AA$515,'Cắt lồng'!$AA30,'Cắt lồng'!$AE$327:$AE$515,'Cắt lồng'!DH$4:DH$4)</f>
        <v>0</v>
      </c>
      <c r="DI30" s="79">
        <f t="array" ref="DI30">SUMIFS('Cắt lồng'!$AH$327:$AH$515,'Cắt lồng'!$AA$327:$AA$515,'Cắt lồng'!$AA30,'Cắt lồng'!$AE$327:$AE$515,'Cắt lồng'!DI$4:DI$4)</f>
        <v>0</v>
      </c>
      <c r="DJ30" s="109" t="e">
        <f t="shared" si="60"/>
        <v>#DIV/0!</v>
      </c>
      <c r="DK30" s="79">
        <f t="array" ref="DK30">SUMIFS('Cắt lồng'!$AC$327:$AC$515,'Cắt lồng'!$AA$327:$AA$515,'Cắt lồng'!$AA30,'Cắt lồng'!$AE$327:$AE$515,'Cắt lồng'!DK$4:DK$4)</f>
        <v>0</v>
      </c>
      <c r="DL30" s="79">
        <f t="array" ref="DL30">SUMIFS('Cắt lồng'!$AH$327:$AH$515,'Cắt lồng'!$AA$327:$AA$515,'Cắt lồng'!$AA30,'Cắt lồng'!$AE$327:$AE$515,'Cắt lồng'!DL$4:DL$4)</f>
        <v>0</v>
      </c>
      <c r="DM30" s="109" t="e">
        <f t="shared" si="61"/>
        <v>#DIV/0!</v>
      </c>
      <c r="DN30" s="79">
        <f>SUMIFS('Cắt lồng'!$AC$327:$AC$515,'Cắt lồng'!$AA$327:$AA$515,'Cắt lồng'!$AA30,'Cắt lồng'!$AE$327:$AE$515,'Cắt lồng'!DN$4:DN$4)</f>
        <v>0</v>
      </c>
      <c r="DO30" s="79">
        <f t="array" ref="DO30">SUMIFS('Cắt lồng'!$AH$327:$AH$515,'Cắt lồng'!$AA$327:$AA$515,'Cắt lồng'!$AA30,'Cắt lồng'!$AE$327:$AE$515,'Cắt lồng'!DO$4:DO$4)</f>
        <v>0</v>
      </c>
      <c r="DP30" s="109" t="e">
        <f t="shared" si="62"/>
        <v>#DIV/0!</v>
      </c>
      <c r="DQ30" s="79">
        <f t="array" ref="DQ30">SUMIFS('Cắt lồng'!$AC$327:$AC$515,'Cắt lồng'!$AA$327:$AA$515,'Cắt lồng'!$AA30,'Cắt lồng'!$AE$327:$AE$515,'Cắt lồng'!DQ$4:DQ$4)</f>
        <v>0</v>
      </c>
      <c r="DR30" s="79">
        <f t="array" ref="DR30">SUMIFS('Cắt lồng'!$AH$327:$AH$515,'Cắt lồng'!$AA$327:$AA$515,'Cắt lồng'!$AA30,'Cắt lồng'!$AE$327:$AE$515,'Cắt lồng'!DR$4:DR$4)</f>
        <v>0</v>
      </c>
      <c r="DS30" s="109" t="e">
        <f t="shared" si="63"/>
        <v>#DIV/0!</v>
      </c>
      <c r="DT30" s="79">
        <f t="array" ref="DT30">SUMIFS('Cắt lồng'!$AC$327:$AC$515,'Cắt lồng'!$AA$327:$AA$515,'Cắt lồng'!$AA30,'Cắt lồng'!$AE$327:$AE$515,'Cắt lồng'!DT$4:DT$4)</f>
        <v>0</v>
      </c>
      <c r="DU30" s="79">
        <f t="array" ref="DU30">SUMIFS('Cắt lồng'!$AH$327:$AH$515,'Cắt lồng'!$AA$327:$AA$515,'Cắt lồng'!$AA30,'Cắt lồng'!$AE$327:$AE$515,'Cắt lồng'!DU$4:DU$4)</f>
        <v>0</v>
      </c>
      <c r="DV30" s="109" t="e">
        <f t="shared" si="64"/>
        <v>#DIV/0!</v>
      </c>
      <c r="DW30" s="79">
        <f t="array" ref="DW30">SUMIFS('Cắt lồng'!$AC$327:$AC$515,'Cắt lồng'!$AA$327:$AA$515,'Cắt lồng'!$AA30,'Cắt lồng'!$AE$327:$AE$515,'Cắt lồng'!DW$4:DW$4)</f>
        <v>0</v>
      </c>
      <c r="DX30" s="79">
        <f t="array" ref="DX30">SUMIFS('Cắt lồng'!$AH$327:$AH$515,'Cắt lồng'!$AA$327:$AA$515,'Cắt lồng'!$AA30,'Cắt lồng'!$AE$327:$AE$515,'Cắt lồng'!DX$4:DX$4)</f>
        <v>0</v>
      </c>
      <c r="DY30" s="109" t="e">
        <f t="shared" si="65"/>
        <v>#DIV/0!</v>
      </c>
      <c r="DZ30" s="79">
        <f t="array" ref="DZ30">SUMIFS('Cắt lồng'!$AC$327:$AC$515,'Cắt lồng'!$AA$327:$AA$515,'Cắt lồng'!$AA30,'Cắt lồng'!$AE$327:$AE$515,'Cắt lồng'!DZ$4:DZ$4)</f>
        <v>0</v>
      </c>
      <c r="EA30" s="79">
        <f t="array" ref="EA30">SUMIFS('Cắt lồng'!$AH$327:$AH$515,'Cắt lồng'!$AA$327:$AA$515,'Cắt lồng'!$AA30,'Cắt lồng'!$AE$327:$AE$515,'Cắt lồng'!EA$4:EA$4)</f>
        <v>0</v>
      </c>
      <c r="EB30" s="109" t="e">
        <f t="shared" si="66"/>
        <v>#DIV/0!</v>
      </c>
      <c r="EC30" s="79">
        <f t="array" ref="EC30">SUMIFS('Cắt lồng'!$AC$327:$AC$515,'Cắt lồng'!$AA$327:$AA$515,'Cắt lồng'!$AA30,'Cắt lồng'!$AE$327:$AE$515,'Cắt lồng'!EC$4:EC$4)</f>
        <v>0</v>
      </c>
      <c r="ED30" s="79">
        <f t="array" ref="ED30">SUMIFS('Cắt lồng'!$AH$327:$AH$515,'Cắt lồng'!$AA$327:$AA$515,'Cắt lồng'!$AA30,'Cắt lồng'!$AE$327:$AE$515,'Cắt lồng'!ED$4:ED$4)</f>
        <v>0</v>
      </c>
      <c r="EE30" s="109" t="e">
        <f t="shared" si="67"/>
        <v>#DIV/0!</v>
      </c>
      <c r="EF30" s="79">
        <f t="array" ref="EF30">SUMIFS('Cắt lồng'!$AC$327:$AC$515,'Cắt lồng'!$AA$327:$AA$515,'Cắt lồng'!$AA30,'Cắt lồng'!$AE$327:$AE$515,'Cắt lồng'!EF$4:EF$4)</f>
        <v>0</v>
      </c>
      <c r="EG30" s="79">
        <f t="array" ref="EG30">SUMIFS('Cắt lồng'!$AH$327:$AH$515,'Cắt lồng'!$AA$327:$AA$515,'Cắt lồng'!$AA30,'Cắt lồng'!$AE$327:$AE$515,'Cắt lồng'!EG$4:EG$4)</f>
        <v>0</v>
      </c>
      <c r="EH30" s="109" t="e">
        <f t="shared" si="68"/>
        <v>#DIV/0!</v>
      </c>
      <c r="EI30" s="79">
        <f t="array" ref="EI30">SUMIFS('Cắt lồng'!$AC$327:$AC$515,'Cắt lồng'!$AA$327:$AA$515,'Cắt lồng'!$AA30,'Cắt lồng'!$AE$327:$AE$515,'Cắt lồng'!EI$4:EI$4)</f>
        <v>0</v>
      </c>
      <c r="EJ30" s="79">
        <f t="array" ref="EJ30">SUMIFS('Cắt lồng'!$AH$327:$AH$515,'Cắt lồng'!$AA$327:$AA$515,'Cắt lồng'!$AA30,'Cắt lồng'!$AE$327:$AE$515,'Cắt lồng'!EJ$4:EJ$4)</f>
        <v>0</v>
      </c>
      <c r="EK30" s="109" t="e">
        <f t="shared" si="69"/>
        <v>#DIV/0!</v>
      </c>
    </row>
    <row r="31" spans="1:141" s="12" customFormat="1" ht="14.25" hidden="1" customHeight="1">
      <c r="A31" s="25">
        <v>26</v>
      </c>
      <c r="B31" s="198" t="s">
        <v>203</v>
      </c>
      <c r="C31" s="198" t="s">
        <v>203</v>
      </c>
      <c r="D31" s="63"/>
      <c r="E31" s="197"/>
      <c r="F31" s="56"/>
      <c r="G31" s="82">
        <f t="shared" si="1"/>
        <v>0</v>
      </c>
      <c r="H31" s="81">
        <f t="shared" si="2"/>
        <v>0</v>
      </c>
      <c r="I31" s="19">
        <f t="shared" si="3"/>
        <v>0</v>
      </c>
      <c r="J31" s="11">
        <f t="shared" si="4"/>
        <v>0</v>
      </c>
      <c r="K31" s="19">
        <f t="shared" si="5"/>
        <v>0</v>
      </c>
      <c r="L31" s="19">
        <f t="shared" si="6"/>
        <v>0</v>
      </c>
      <c r="M31" s="19">
        <f t="shared" si="7"/>
        <v>0</v>
      </c>
      <c r="N31" s="19">
        <f t="shared" si="8"/>
        <v>0</v>
      </c>
      <c r="O31" s="19">
        <f t="shared" si="9"/>
        <v>0</v>
      </c>
      <c r="P31" s="19">
        <f t="shared" si="10"/>
        <v>0</v>
      </c>
      <c r="Q31" s="19">
        <f t="shared" si="11"/>
        <v>0</v>
      </c>
      <c r="R31" s="19">
        <f t="shared" si="12"/>
        <v>0</v>
      </c>
      <c r="S31" s="19">
        <f t="shared" si="13"/>
        <v>0</v>
      </c>
      <c r="T31" s="19">
        <f t="shared" si="14"/>
        <v>0</v>
      </c>
      <c r="U31" s="19">
        <f t="shared" si="15"/>
        <v>0</v>
      </c>
      <c r="V31" s="19">
        <f t="shared" si="16"/>
        <v>0</v>
      </c>
      <c r="W31" s="19">
        <f t="shared" si="17"/>
        <v>0</v>
      </c>
      <c r="X31" s="19">
        <f t="shared" si="18"/>
        <v>0</v>
      </c>
      <c r="Y31" s="19">
        <f t="shared" si="19"/>
        <v>0</v>
      </c>
      <c r="Z31" s="19">
        <f t="shared" si="20"/>
        <v>0</v>
      </c>
      <c r="AA31" s="164" t="s">
        <v>262</v>
      </c>
      <c r="AB31" s="129">
        <f t="shared" si="21"/>
        <v>0</v>
      </c>
      <c r="AC31" s="16">
        <f t="shared" si="22"/>
        <v>0</v>
      </c>
      <c r="AD31" s="15" t="e">
        <f t="shared" si="23"/>
        <v>#DIV/0!</v>
      </c>
      <c r="AE31" s="42"/>
      <c r="AF31" s="10" t="e">
        <f t="shared" si="24"/>
        <v>#DIV/0!</v>
      </c>
      <c r="AG31" s="10"/>
      <c r="AH31" s="127">
        <f t="shared" si="25"/>
        <v>0</v>
      </c>
      <c r="AI31" s="54" t="e">
        <f t="shared" si="26"/>
        <v>#DIV/0!</v>
      </c>
      <c r="AJ31" s="25">
        <f t="shared" si="27"/>
        <v>0</v>
      </c>
      <c r="AK31" s="25">
        <f t="shared" si="28"/>
        <v>0</v>
      </c>
      <c r="AL31" s="30">
        <f t="shared" si="29"/>
        <v>0</v>
      </c>
      <c r="AM31" s="30">
        <f t="shared" si="30"/>
        <v>0</v>
      </c>
      <c r="AN31" s="30">
        <f t="shared" si="31"/>
        <v>0</v>
      </c>
      <c r="AO31" s="30">
        <f t="shared" si="32"/>
        <v>0</v>
      </c>
      <c r="AP31" s="30">
        <f t="shared" si="33"/>
        <v>0</v>
      </c>
      <c r="AQ31" s="30">
        <f t="shared" si="34"/>
        <v>0</v>
      </c>
      <c r="AR31" s="30">
        <f t="shared" si="35"/>
        <v>0</v>
      </c>
      <c r="AS31" s="30">
        <f t="shared" si="36"/>
        <v>0</v>
      </c>
      <c r="AT31" s="30">
        <f t="shared" si="37"/>
        <v>0</v>
      </c>
      <c r="AU31" s="80"/>
      <c r="AV31" s="110">
        <f t="shared" si="38"/>
        <v>0</v>
      </c>
      <c r="AW31" s="79">
        <f t="array" ref="AW31">SUMIFS('Cắt lồng'!$AC$327:$AC$515,'Cắt lồng'!$AA$327:$AA$515,'Cắt lồng'!$AA31,'Cắt lồng'!$AE$327:$AE$515,'Cắt lồng'!AW$4:AW$4)</f>
        <v>0</v>
      </c>
      <c r="AX31" s="79">
        <f t="array" ref="AX31">SUMIFS('Cắt lồng'!$AH$327:$AH$515,'Cắt lồng'!$AA$327:$AA$515,'Cắt lồng'!$AA31,'Cắt lồng'!$AE$327:$AE$515,'Cắt lồng'!AX$4:AX$4)</f>
        <v>0</v>
      </c>
      <c r="AY31" s="109" t="e">
        <f t="shared" si="39"/>
        <v>#DIV/0!</v>
      </c>
      <c r="AZ31" s="79">
        <f t="array" ref="AZ31">SUMIFS('Cắt lồng'!$AC$327:$AC$515,'Cắt lồng'!$AA$327:$AA$515,'Cắt lồng'!$AA31,'Cắt lồng'!$AE$327:$AE$515,'Cắt lồng'!AZ$4:AZ$4)</f>
        <v>0</v>
      </c>
      <c r="BA31" s="79">
        <f t="array" ref="BA31">SUMIFS('Cắt lồng'!$AH$327:$AH$515,'Cắt lồng'!$AA$327:$AA$515,'Cắt lồng'!$AA31,'Cắt lồng'!$AE$327:$AE$515,'Cắt lồng'!BA$4:BA$4)</f>
        <v>0</v>
      </c>
      <c r="BB31" s="109" t="e">
        <f t="shared" si="40"/>
        <v>#DIV/0!</v>
      </c>
      <c r="BC31" s="79">
        <f t="array" ref="BC31">SUMIFS('Cắt lồng'!$AC$327:$AC$515,'Cắt lồng'!$AA$327:$AA$515,'Cắt lồng'!$AA31,'Cắt lồng'!$AE$327:$AE$515,'Cắt lồng'!BC$4:BC$4)</f>
        <v>0</v>
      </c>
      <c r="BD31" s="79">
        <f t="array" ref="BD31">SUMIFS('Cắt lồng'!$AH$327:$AH$515,'Cắt lồng'!$AA$327:$AA$515,'Cắt lồng'!$AA31,'Cắt lồng'!$AE$327:$AE$515,'Cắt lồng'!BD$4:BD$4)</f>
        <v>0</v>
      </c>
      <c r="BE31" s="109" t="e">
        <f t="shared" si="41"/>
        <v>#DIV/0!</v>
      </c>
      <c r="BF31" s="79">
        <f t="array" ref="BF31">SUMIFS('Cắt lồng'!$AC$327:$AC$515,'Cắt lồng'!$AA$327:$AA$515,'Cắt lồng'!$AA31,'Cắt lồng'!$AE$327:$AE$515,'Cắt lồng'!BF$4:BF$4)</f>
        <v>0</v>
      </c>
      <c r="BG31" s="79">
        <f t="array" ref="BG31">SUMIFS('Cắt lồng'!$AH$327:$AH$515,'Cắt lồng'!$AA$327:$AA$515,'Cắt lồng'!$AA31,'Cắt lồng'!$AE$327:$AE$515,'Cắt lồng'!BG$4:BG$4)</f>
        <v>0</v>
      </c>
      <c r="BH31" s="109" t="e">
        <f t="shared" si="42"/>
        <v>#DIV/0!</v>
      </c>
      <c r="BI31" s="79">
        <f t="array" ref="BI31">SUMIFS('Cắt lồng'!$AC$327:$AC$515,'Cắt lồng'!$AA$327:$AA$515,'Cắt lồng'!$AA31,'Cắt lồng'!$AE$327:$AE$515,'Cắt lồng'!BI$4:BI$4)</f>
        <v>0</v>
      </c>
      <c r="BJ31" s="79">
        <f t="array" ref="BJ31">SUMIFS('Cắt lồng'!$AH$327:$AH$515,'Cắt lồng'!$AA$327:$AA$515,'Cắt lồng'!$AA31,'Cắt lồng'!$AE$327:$AE$515,'Cắt lồng'!BJ$4:BJ$4)</f>
        <v>0</v>
      </c>
      <c r="BK31" s="109" t="e">
        <f t="shared" si="43"/>
        <v>#DIV/0!</v>
      </c>
      <c r="BL31" s="79">
        <f t="array" ref="BL31">SUMIFS('Cắt lồng'!$AC$327:$AC$515,'Cắt lồng'!$AA$327:$AA$515,'Cắt lồng'!$AA31,'Cắt lồng'!$AE$327:$AE$515,'Cắt lồng'!BL$4:BL$4)</f>
        <v>0</v>
      </c>
      <c r="BM31" s="79">
        <f t="array" ref="BM31">SUMIFS('Cắt lồng'!$AH$327:$AH$515,'Cắt lồng'!$AA$327:$AA$515,'Cắt lồng'!$AA31,'Cắt lồng'!$AE$327:$AE$515,'Cắt lồng'!BM$4:BM$4)</f>
        <v>0</v>
      </c>
      <c r="BN31" s="109" t="e">
        <f t="shared" si="44"/>
        <v>#DIV/0!</v>
      </c>
      <c r="BO31" s="79">
        <f t="array" ref="BO31">SUMIFS('Cắt lồng'!$AC$327:$AC$515,'Cắt lồng'!$AA$327:$AA$515,'Cắt lồng'!$AA31,'Cắt lồng'!$AE$327:$AE$515,'Cắt lồng'!BO$4:BO$4)</f>
        <v>0</v>
      </c>
      <c r="BP31" s="79">
        <f t="array" ref="BP31">SUMIFS('Cắt lồng'!$AH$327:$AH$515,'Cắt lồng'!$AA$327:$AA$515,'Cắt lồng'!$AA31,'Cắt lồng'!$AE$327:$AE$515,'Cắt lồng'!BP$4:BP$4)</f>
        <v>0</v>
      </c>
      <c r="BQ31" s="109" t="e">
        <f t="shared" si="45"/>
        <v>#DIV/0!</v>
      </c>
      <c r="BR31" s="79">
        <f t="array" ref="BR31">SUMIFS('Cắt lồng'!$AC$327:$AC$515,'Cắt lồng'!$AA$327:$AA$515,'Cắt lồng'!$AA31,'Cắt lồng'!$AE$327:$AE$515,'Cắt lồng'!BR$4:BR$4)</f>
        <v>0</v>
      </c>
      <c r="BS31" s="79">
        <f t="array" ref="BS31">SUMIFS('Cắt lồng'!$AH$327:$AH$515,'Cắt lồng'!$AA$327:$AA$515,'Cắt lồng'!$AA31,'Cắt lồng'!$AE$327:$AE$515,'Cắt lồng'!BS$4:BS$4)</f>
        <v>0</v>
      </c>
      <c r="BT31" s="109" t="e">
        <f t="shared" si="46"/>
        <v>#DIV/0!</v>
      </c>
      <c r="BU31" s="79">
        <f t="array" ref="BU31">SUMIFS('Cắt lồng'!$AC$327:$AC$515,'Cắt lồng'!$AA$327:$AA$515,'Cắt lồng'!$AA31,'Cắt lồng'!$AE$327:$AE$515,'Cắt lồng'!BU$4:BU$4)</f>
        <v>0</v>
      </c>
      <c r="BV31" s="79">
        <f t="array" ref="BV31">SUMIFS('Cắt lồng'!$AH$327:$AH$515,'Cắt lồng'!$AA$327:$AA$515,'Cắt lồng'!$AA31,'Cắt lồng'!$AE$327:$AE$515,'Cắt lồng'!BV$4:BV$4)</f>
        <v>0</v>
      </c>
      <c r="BW31" s="109" t="e">
        <f t="shared" si="47"/>
        <v>#DIV/0!</v>
      </c>
      <c r="BX31" s="79">
        <f t="array" ref="BX31">SUMIFS('Cắt lồng'!$AC$327:$AC$515,'Cắt lồng'!$AA$327:$AA$515,'Cắt lồng'!$AA31,'Cắt lồng'!$AE$327:$AE$515,'Cắt lồng'!BX$4:BX$4)</f>
        <v>0</v>
      </c>
      <c r="BY31" s="79">
        <f t="array" ref="BY31">SUMIFS('Cắt lồng'!$AH$327:$AH$515,'Cắt lồng'!$AA$327:$AA$515,'Cắt lồng'!$AA31,'Cắt lồng'!$AE$327:$AE$515,'Cắt lồng'!BY$4:BY$4)</f>
        <v>0</v>
      </c>
      <c r="BZ31" s="109" t="e">
        <f t="shared" si="48"/>
        <v>#DIV/0!</v>
      </c>
      <c r="CA31" s="79">
        <f t="array" ref="CA31">SUMIFS('Cắt lồng'!$AC$327:$AC$515,'Cắt lồng'!$AA$327:$AA$515,'Cắt lồng'!$AA31,'Cắt lồng'!$AE$327:$AE$515,'Cắt lồng'!CA$4:CA$4)</f>
        <v>0</v>
      </c>
      <c r="CB31" s="79">
        <f t="array" ref="CB31">SUMIFS('Cắt lồng'!$AH$327:$AH$515,'Cắt lồng'!$AA$327:$AA$515,'Cắt lồng'!$AA31,'Cắt lồng'!$AE$327:$AE$515,'Cắt lồng'!CB$4:CB$4)</f>
        <v>0</v>
      </c>
      <c r="CC31" s="109" t="e">
        <f t="shared" si="49"/>
        <v>#DIV/0!</v>
      </c>
      <c r="CD31" s="79">
        <f t="array" ref="CD31">SUMIFS('Cắt lồng'!$AC$327:$AC$515,'Cắt lồng'!$AA$327:$AA$515,'Cắt lồng'!$AA31,'Cắt lồng'!$AE$327:$AE$515,'Cắt lồng'!CD$4:CD$4)</f>
        <v>0</v>
      </c>
      <c r="CE31" s="79">
        <f t="array" ref="CE31">SUMIFS('Cắt lồng'!$AH$327:$AH$515,'Cắt lồng'!$AA$327:$AA$515,'Cắt lồng'!$AA31,'Cắt lồng'!$AE$327:$AE$515,'Cắt lồng'!CE$4:CE$4)</f>
        <v>0</v>
      </c>
      <c r="CF31" s="109" t="e">
        <f t="shared" si="50"/>
        <v>#DIV/0!</v>
      </c>
      <c r="CG31" s="79">
        <f t="array" ref="CG31">SUMIFS('Cắt lồng'!$AC$327:$AC$515,'Cắt lồng'!$AA$327:$AA$515,'Cắt lồng'!$AA31,'Cắt lồng'!$AE$327:$AE$515,'Cắt lồng'!CG$4:CG$4)</f>
        <v>0</v>
      </c>
      <c r="CH31" s="79">
        <f t="array" ref="CH31">SUMIFS('Cắt lồng'!$AH$327:$AH$515,'Cắt lồng'!$AA$327:$AA$515,'Cắt lồng'!$AA31,'Cắt lồng'!$AE$327:$AE$515,'Cắt lồng'!CH$4:CH$4)</f>
        <v>0</v>
      </c>
      <c r="CI31" s="109" t="e">
        <f t="shared" si="51"/>
        <v>#DIV/0!</v>
      </c>
      <c r="CJ31" s="79">
        <f t="array" ref="CJ31">SUMIFS('Cắt lồng'!$AC$327:$AC$515,'Cắt lồng'!$AA$327:$AA$515,'Cắt lồng'!$AA31,'Cắt lồng'!$AE$327:$AE$515,'Cắt lồng'!CJ$4:CJ$4)</f>
        <v>0</v>
      </c>
      <c r="CK31" s="79">
        <f t="array" ref="CK31">SUMIFS('Cắt lồng'!$AH$327:$AH$515,'Cắt lồng'!$AA$327:$AA$515,'Cắt lồng'!$AA31,'Cắt lồng'!$AE$327:$AE$515,'Cắt lồng'!CK$4:CK$4)</f>
        <v>0</v>
      </c>
      <c r="CL31" s="109" t="e">
        <f t="shared" si="52"/>
        <v>#DIV/0!</v>
      </c>
      <c r="CM31" s="79">
        <f t="array" ref="CM31">SUMIFS('Cắt lồng'!$AC$327:$AC$515,'Cắt lồng'!$AA$327:$AA$515,'Cắt lồng'!$AA31,'Cắt lồng'!$AE$327:$AE$515,'Cắt lồng'!CM$4:CM$4)</f>
        <v>0</v>
      </c>
      <c r="CN31" s="79">
        <f t="array" ref="CN31">SUMIFS('Cắt lồng'!$AH$327:$AH$515,'Cắt lồng'!$AA$327:$AA$515,'Cắt lồng'!$AA31,'Cắt lồng'!$AE$327:$AE$515,'Cắt lồng'!CN$4:CN$4)</f>
        <v>0</v>
      </c>
      <c r="CO31" s="109" t="e">
        <f t="shared" si="53"/>
        <v>#DIV/0!</v>
      </c>
      <c r="CP31" s="79">
        <f t="array" ref="CP31">SUMIFS('Cắt lồng'!$AC$327:$AC$515,'Cắt lồng'!$AA$327:$AA$515,'Cắt lồng'!$AA31,'Cắt lồng'!$AE$327:$AE$515,'Cắt lồng'!CP$4:CP$4)</f>
        <v>0</v>
      </c>
      <c r="CQ31" s="79">
        <f t="array" ref="CQ31">SUMIFS('Cắt lồng'!$AH$327:$AH$515,'Cắt lồng'!$AA$327:$AA$515,'Cắt lồng'!$AA31,'Cắt lồng'!$AE$327:$AE$515,'Cắt lồng'!CQ$4:CQ$4)</f>
        <v>0</v>
      </c>
      <c r="CR31" s="109" t="e">
        <f t="shared" si="54"/>
        <v>#DIV/0!</v>
      </c>
      <c r="CS31" s="79">
        <f t="array" ref="CS31">SUMIFS('Cắt lồng'!$AC$327:$AC$515,'Cắt lồng'!$AA$327:$AA$515,'Cắt lồng'!$AA31,'Cắt lồng'!$AE$327:$AE$515,'Cắt lồng'!CS$4:CS$4)</f>
        <v>0</v>
      </c>
      <c r="CT31" s="79">
        <f t="array" ref="CT31">SUMIFS('Cắt lồng'!$AH$327:$AH$515,'Cắt lồng'!$AA$327:$AA$515,'Cắt lồng'!$AA31,'Cắt lồng'!$AE$327:$AE$515,'Cắt lồng'!CT$4:CT$4)</f>
        <v>0</v>
      </c>
      <c r="CU31" s="109" t="e">
        <f t="shared" si="55"/>
        <v>#DIV/0!</v>
      </c>
      <c r="CV31" s="79">
        <f t="array" ref="CV31">SUMIFS('Cắt lồng'!$AC$327:$AC$515,'Cắt lồng'!$AA$327:$AA$515,'Cắt lồng'!$AA31,'Cắt lồng'!$AE$327:$AE$515,'Cắt lồng'!CV$4:CV$4)</f>
        <v>0</v>
      </c>
      <c r="CW31" s="79">
        <f t="array" ref="CW31">SUMIFS('Cắt lồng'!$AH$327:$AH$515,'Cắt lồng'!$AA$327:$AA$515,'Cắt lồng'!$AA31,'Cắt lồng'!$AE$327:$AE$515,'Cắt lồng'!CW$4:CW$4)</f>
        <v>0</v>
      </c>
      <c r="CX31" s="109" t="e">
        <f t="shared" si="56"/>
        <v>#DIV/0!</v>
      </c>
      <c r="CY31" s="79">
        <f t="array" ref="CY31">SUMIFS('Cắt lồng'!$AC$327:$AC$515,'Cắt lồng'!$AA$327:$AA$515,'Cắt lồng'!$AA31,'Cắt lồng'!$AE$327:$AE$515,'Cắt lồng'!CY$4:CY$4)</f>
        <v>0</v>
      </c>
      <c r="CZ31" s="79">
        <f t="array" ref="CZ31">SUMIFS('Cắt lồng'!$AH$327:$AH$515,'Cắt lồng'!$AA$327:$AA$515,'Cắt lồng'!$AA31,'Cắt lồng'!$AE$327:$AE$515,'Cắt lồng'!CZ$4:CZ$4)</f>
        <v>0</v>
      </c>
      <c r="DA31" s="109" t="e">
        <f t="shared" si="57"/>
        <v>#DIV/0!</v>
      </c>
      <c r="DB31" s="79">
        <f t="array" ref="DB31">SUMIFS('Cắt lồng'!$AC$327:$AC$515,'Cắt lồng'!$AA$327:$AA$515,'Cắt lồng'!$AA31,'Cắt lồng'!$AE$327:$AE$515,'Cắt lồng'!DB$4:DB$4)</f>
        <v>0</v>
      </c>
      <c r="DC31" s="79">
        <f t="array" ref="DC31">SUMIFS('Cắt lồng'!$AH$327:$AH$515,'Cắt lồng'!$AA$327:$AA$515,'Cắt lồng'!$AA31,'Cắt lồng'!$AE$327:$AE$515,'Cắt lồng'!DC$4:DC$4)</f>
        <v>0</v>
      </c>
      <c r="DD31" s="109" t="e">
        <f t="shared" si="58"/>
        <v>#DIV/0!</v>
      </c>
      <c r="DE31" s="79">
        <f t="array" ref="DE31">SUMIFS('Cắt lồng'!$AC$327:$AC$515,'Cắt lồng'!$AA$327:$AA$515,'Cắt lồng'!$AA31,'Cắt lồng'!$AE$327:$AE$515,'Cắt lồng'!DE$4:DE$4)</f>
        <v>0</v>
      </c>
      <c r="DF31" s="79">
        <f t="array" ref="DF31">SUMIFS('Cắt lồng'!$AH$327:$AH$515,'Cắt lồng'!$AA$327:$AA$515,'Cắt lồng'!$AA31,'Cắt lồng'!$AE$327:$AE$515,'Cắt lồng'!DF$4:DF$4)</f>
        <v>0</v>
      </c>
      <c r="DG31" s="109" t="e">
        <f t="shared" si="59"/>
        <v>#DIV/0!</v>
      </c>
      <c r="DH31" s="79">
        <f t="array" ref="DH31">SUMIFS('Cắt lồng'!$AC$327:$AC$515,'Cắt lồng'!$AA$327:$AA$515,'Cắt lồng'!$AA31,'Cắt lồng'!$AE$327:$AE$515,'Cắt lồng'!DH$4:DH$4)</f>
        <v>0</v>
      </c>
      <c r="DI31" s="79">
        <f t="array" ref="DI31">SUMIFS('Cắt lồng'!$AH$327:$AH$515,'Cắt lồng'!$AA$327:$AA$515,'Cắt lồng'!$AA31,'Cắt lồng'!$AE$327:$AE$515,'Cắt lồng'!DI$4:DI$4)</f>
        <v>0</v>
      </c>
      <c r="DJ31" s="109" t="e">
        <f t="shared" si="60"/>
        <v>#DIV/0!</v>
      </c>
      <c r="DK31" s="79">
        <f t="array" ref="DK31">SUMIFS('Cắt lồng'!$AC$327:$AC$515,'Cắt lồng'!$AA$327:$AA$515,'Cắt lồng'!$AA31,'Cắt lồng'!$AE$327:$AE$515,'Cắt lồng'!DK$4:DK$4)</f>
        <v>0</v>
      </c>
      <c r="DL31" s="79">
        <f t="array" ref="DL31">SUMIFS('Cắt lồng'!$AH$327:$AH$515,'Cắt lồng'!$AA$327:$AA$515,'Cắt lồng'!$AA31,'Cắt lồng'!$AE$327:$AE$515,'Cắt lồng'!DL$4:DL$4)</f>
        <v>0</v>
      </c>
      <c r="DM31" s="109" t="e">
        <f t="shared" si="61"/>
        <v>#DIV/0!</v>
      </c>
      <c r="DN31" s="79">
        <f>SUMIFS('Cắt lồng'!$AC$327:$AC$515,'Cắt lồng'!$AA$327:$AA$515,'Cắt lồng'!$AA31,'Cắt lồng'!$AE$327:$AE$515,'Cắt lồng'!DN$4:DN$4)</f>
        <v>0</v>
      </c>
      <c r="DO31" s="79">
        <f t="array" ref="DO31">SUMIFS('Cắt lồng'!$AH$327:$AH$515,'Cắt lồng'!$AA$327:$AA$515,'Cắt lồng'!$AA31,'Cắt lồng'!$AE$327:$AE$515,'Cắt lồng'!DO$4:DO$4)</f>
        <v>0</v>
      </c>
      <c r="DP31" s="109" t="e">
        <f t="shared" si="62"/>
        <v>#DIV/0!</v>
      </c>
      <c r="DQ31" s="79">
        <f t="array" ref="DQ31">SUMIFS('Cắt lồng'!$AC$327:$AC$515,'Cắt lồng'!$AA$327:$AA$515,'Cắt lồng'!$AA31,'Cắt lồng'!$AE$327:$AE$515,'Cắt lồng'!DQ$4:DQ$4)</f>
        <v>0</v>
      </c>
      <c r="DR31" s="79">
        <f t="array" ref="DR31">SUMIFS('Cắt lồng'!$AH$327:$AH$515,'Cắt lồng'!$AA$327:$AA$515,'Cắt lồng'!$AA31,'Cắt lồng'!$AE$327:$AE$515,'Cắt lồng'!DR$4:DR$4)</f>
        <v>0</v>
      </c>
      <c r="DS31" s="109" t="e">
        <f t="shared" si="63"/>
        <v>#DIV/0!</v>
      </c>
      <c r="DT31" s="79">
        <f t="array" ref="DT31">SUMIFS('Cắt lồng'!$AC$327:$AC$515,'Cắt lồng'!$AA$327:$AA$515,'Cắt lồng'!$AA31,'Cắt lồng'!$AE$327:$AE$515,'Cắt lồng'!DT$4:DT$4)</f>
        <v>0</v>
      </c>
      <c r="DU31" s="79">
        <f t="array" ref="DU31">SUMIFS('Cắt lồng'!$AH$327:$AH$515,'Cắt lồng'!$AA$327:$AA$515,'Cắt lồng'!$AA31,'Cắt lồng'!$AE$327:$AE$515,'Cắt lồng'!DU$4:DU$4)</f>
        <v>0</v>
      </c>
      <c r="DV31" s="109" t="e">
        <f t="shared" si="64"/>
        <v>#DIV/0!</v>
      </c>
      <c r="DW31" s="79">
        <f t="array" ref="DW31">SUMIFS('Cắt lồng'!$AC$327:$AC$515,'Cắt lồng'!$AA$327:$AA$515,'Cắt lồng'!$AA31,'Cắt lồng'!$AE$327:$AE$515,'Cắt lồng'!DW$4:DW$4)</f>
        <v>0</v>
      </c>
      <c r="DX31" s="79">
        <f t="array" ref="DX31">SUMIFS('Cắt lồng'!$AH$327:$AH$515,'Cắt lồng'!$AA$327:$AA$515,'Cắt lồng'!$AA31,'Cắt lồng'!$AE$327:$AE$515,'Cắt lồng'!DX$4:DX$4)</f>
        <v>0</v>
      </c>
      <c r="DY31" s="109" t="e">
        <f t="shared" si="65"/>
        <v>#DIV/0!</v>
      </c>
      <c r="DZ31" s="79">
        <f t="array" ref="DZ31">SUMIFS('Cắt lồng'!$AC$327:$AC$515,'Cắt lồng'!$AA$327:$AA$515,'Cắt lồng'!$AA31,'Cắt lồng'!$AE$327:$AE$515,'Cắt lồng'!DZ$4:DZ$4)</f>
        <v>0</v>
      </c>
      <c r="EA31" s="79">
        <f t="array" ref="EA31">SUMIFS('Cắt lồng'!$AH$327:$AH$515,'Cắt lồng'!$AA$327:$AA$515,'Cắt lồng'!$AA31,'Cắt lồng'!$AE$327:$AE$515,'Cắt lồng'!EA$4:EA$4)</f>
        <v>0</v>
      </c>
      <c r="EB31" s="109" t="e">
        <f t="shared" si="66"/>
        <v>#DIV/0!</v>
      </c>
      <c r="EC31" s="79">
        <f t="array" ref="EC31">SUMIFS('Cắt lồng'!$AC$327:$AC$515,'Cắt lồng'!$AA$327:$AA$515,'Cắt lồng'!$AA31,'Cắt lồng'!$AE$327:$AE$515,'Cắt lồng'!EC$4:EC$4)</f>
        <v>0</v>
      </c>
      <c r="ED31" s="79">
        <f t="array" ref="ED31">SUMIFS('Cắt lồng'!$AH$327:$AH$515,'Cắt lồng'!$AA$327:$AA$515,'Cắt lồng'!$AA31,'Cắt lồng'!$AE$327:$AE$515,'Cắt lồng'!ED$4:ED$4)</f>
        <v>0</v>
      </c>
      <c r="EE31" s="109" t="e">
        <f t="shared" si="67"/>
        <v>#DIV/0!</v>
      </c>
      <c r="EF31" s="79">
        <f t="array" ref="EF31">SUMIFS('Cắt lồng'!$AC$327:$AC$515,'Cắt lồng'!$AA$327:$AA$515,'Cắt lồng'!$AA31,'Cắt lồng'!$AE$327:$AE$515,'Cắt lồng'!EF$4:EF$4)</f>
        <v>0</v>
      </c>
      <c r="EG31" s="79">
        <f t="array" ref="EG31">SUMIFS('Cắt lồng'!$AH$327:$AH$515,'Cắt lồng'!$AA$327:$AA$515,'Cắt lồng'!$AA31,'Cắt lồng'!$AE$327:$AE$515,'Cắt lồng'!EG$4:EG$4)</f>
        <v>0</v>
      </c>
      <c r="EH31" s="109" t="e">
        <f t="shared" si="68"/>
        <v>#DIV/0!</v>
      </c>
      <c r="EI31" s="79">
        <f t="array" ref="EI31">SUMIFS('Cắt lồng'!$AC$327:$AC$515,'Cắt lồng'!$AA$327:$AA$515,'Cắt lồng'!$AA31,'Cắt lồng'!$AE$327:$AE$515,'Cắt lồng'!EI$4:EI$4)</f>
        <v>0</v>
      </c>
      <c r="EJ31" s="79">
        <f t="array" ref="EJ31">SUMIFS('Cắt lồng'!$AH$327:$AH$515,'Cắt lồng'!$AA$327:$AA$515,'Cắt lồng'!$AA31,'Cắt lồng'!$AE$327:$AE$515,'Cắt lồng'!EJ$4:EJ$4)</f>
        <v>0</v>
      </c>
      <c r="EK31" s="109" t="e">
        <f t="shared" si="69"/>
        <v>#DIV/0!</v>
      </c>
    </row>
    <row r="32" spans="1:141" s="12" customFormat="1" ht="14.25" hidden="1" customHeight="1">
      <c r="A32" s="25">
        <v>27</v>
      </c>
      <c r="B32" s="121" t="s">
        <v>201</v>
      </c>
      <c r="C32" s="121" t="s">
        <v>201</v>
      </c>
      <c r="D32" s="63"/>
      <c r="E32" s="197"/>
      <c r="F32" s="56"/>
      <c r="G32" s="82">
        <f t="shared" si="1"/>
        <v>0</v>
      </c>
      <c r="H32" s="81">
        <f t="shared" si="2"/>
        <v>0</v>
      </c>
      <c r="I32" s="19">
        <f t="shared" si="3"/>
        <v>0</v>
      </c>
      <c r="J32" s="11">
        <f t="shared" si="4"/>
        <v>0</v>
      </c>
      <c r="K32" s="19">
        <f t="shared" si="5"/>
        <v>0</v>
      </c>
      <c r="L32" s="19">
        <f t="shared" si="6"/>
        <v>0</v>
      </c>
      <c r="M32" s="19">
        <f t="shared" si="7"/>
        <v>0</v>
      </c>
      <c r="N32" s="19">
        <f t="shared" si="8"/>
        <v>0</v>
      </c>
      <c r="O32" s="19">
        <f t="shared" si="9"/>
        <v>0</v>
      </c>
      <c r="P32" s="19">
        <f t="shared" si="10"/>
        <v>0</v>
      </c>
      <c r="Q32" s="19">
        <f t="shared" si="11"/>
        <v>0</v>
      </c>
      <c r="R32" s="19">
        <f t="shared" si="12"/>
        <v>0</v>
      </c>
      <c r="S32" s="19">
        <f t="shared" si="13"/>
        <v>0</v>
      </c>
      <c r="T32" s="19">
        <f t="shared" si="14"/>
        <v>0</v>
      </c>
      <c r="U32" s="19">
        <f t="shared" si="15"/>
        <v>0</v>
      </c>
      <c r="V32" s="19">
        <f t="shared" si="16"/>
        <v>0</v>
      </c>
      <c r="W32" s="19">
        <f t="shared" si="17"/>
        <v>0</v>
      </c>
      <c r="X32" s="19">
        <f t="shared" si="18"/>
        <v>0</v>
      </c>
      <c r="Y32" s="19">
        <f t="shared" si="19"/>
        <v>0</v>
      </c>
      <c r="Z32" s="19">
        <f t="shared" si="20"/>
        <v>0</v>
      </c>
      <c r="AA32" s="164" t="s">
        <v>261</v>
      </c>
      <c r="AB32" s="129">
        <f t="shared" si="21"/>
        <v>0</v>
      </c>
      <c r="AC32" s="16">
        <f t="shared" si="22"/>
        <v>0</v>
      </c>
      <c r="AD32" s="15" t="e">
        <f t="shared" si="23"/>
        <v>#DIV/0!</v>
      </c>
      <c r="AE32" s="42"/>
      <c r="AF32" s="10" t="e">
        <f t="shared" si="24"/>
        <v>#DIV/0!</v>
      </c>
      <c r="AG32" s="10"/>
      <c r="AH32" s="127">
        <f t="shared" si="25"/>
        <v>0</v>
      </c>
      <c r="AI32" s="54" t="e">
        <f t="shared" si="26"/>
        <v>#DIV/0!</v>
      </c>
      <c r="AJ32" s="25">
        <f t="shared" si="27"/>
        <v>0</v>
      </c>
      <c r="AK32" s="25">
        <f t="shared" si="28"/>
        <v>0</v>
      </c>
      <c r="AL32" s="30">
        <f t="shared" si="29"/>
        <v>0</v>
      </c>
      <c r="AM32" s="30">
        <f t="shared" si="30"/>
        <v>0</v>
      </c>
      <c r="AN32" s="30">
        <f t="shared" si="31"/>
        <v>0</v>
      </c>
      <c r="AO32" s="30">
        <f t="shared" si="32"/>
        <v>0</v>
      </c>
      <c r="AP32" s="30">
        <f t="shared" si="33"/>
        <v>0</v>
      </c>
      <c r="AQ32" s="30">
        <f t="shared" si="34"/>
        <v>0</v>
      </c>
      <c r="AR32" s="30">
        <f t="shared" si="35"/>
        <v>0</v>
      </c>
      <c r="AS32" s="30">
        <f t="shared" si="36"/>
        <v>0</v>
      </c>
      <c r="AT32" s="30">
        <f t="shared" si="37"/>
        <v>0</v>
      </c>
      <c r="AU32" s="80"/>
      <c r="AV32" s="110">
        <f t="shared" si="38"/>
        <v>0</v>
      </c>
      <c r="AW32" s="79">
        <f t="array" ref="AW32">SUMIFS('Cắt lồng'!$AC$327:$AC$515,'Cắt lồng'!$AA$327:$AA$515,'Cắt lồng'!$AA32,'Cắt lồng'!$AE$327:$AE$515,'Cắt lồng'!AW$4:AW$4)</f>
        <v>0</v>
      </c>
      <c r="AX32" s="79">
        <f t="array" ref="AX32">SUMIFS('Cắt lồng'!$AH$327:$AH$515,'Cắt lồng'!$AA$327:$AA$515,'Cắt lồng'!$AA32,'Cắt lồng'!$AE$327:$AE$515,'Cắt lồng'!AX$4:AX$4)</f>
        <v>0</v>
      </c>
      <c r="AY32" s="109" t="e">
        <f t="shared" si="39"/>
        <v>#DIV/0!</v>
      </c>
      <c r="AZ32" s="79">
        <f t="array" ref="AZ32">SUMIFS('Cắt lồng'!$AC$327:$AC$515,'Cắt lồng'!$AA$327:$AA$515,'Cắt lồng'!$AA32,'Cắt lồng'!$AE$327:$AE$515,'Cắt lồng'!AZ$4:AZ$4)</f>
        <v>0</v>
      </c>
      <c r="BA32" s="79">
        <f t="array" ref="BA32">SUMIFS('Cắt lồng'!$AH$327:$AH$515,'Cắt lồng'!$AA$327:$AA$515,'Cắt lồng'!$AA32,'Cắt lồng'!$AE$327:$AE$515,'Cắt lồng'!BA$4:BA$4)</f>
        <v>0</v>
      </c>
      <c r="BB32" s="109" t="e">
        <f t="shared" si="40"/>
        <v>#DIV/0!</v>
      </c>
      <c r="BC32" s="79">
        <f t="array" ref="BC32">SUMIFS('Cắt lồng'!$AC$327:$AC$515,'Cắt lồng'!$AA$327:$AA$515,'Cắt lồng'!$AA32,'Cắt lồng'!$AE$327:$AE$515,'Cắt lồng'!BC$4:BC$4)</f>
        <v>0</v>
      </c>
      <c r="BD32" s="79">
        <f t="array" ref="BD32">SUMIFS('Cắt lồng'!$AH$327:$AH$515,'Cắt lồng'!$AA$327:$AA$515,'Cắt lồng'!$AA32,'Cắt lồng'!$AE$327:$AE$515,'Cắt lồng'!BD$4:BD$4)</f>
        <v>0</v>
      </c>
      <c r="BE32" s="109" t="e">
        <f t="shared" si="41"/>
        <v>#DIV/0!</v>
      </c>
      <c r="BF32" s="79">
        <f t="array" ref="BF32">SUMIFS('Cắt lồng'!$AC$327:$AC$515,'Cắt lồng'!$AA$327:$AA$515,'Cắt lồng'!$AA32,'Cắt lồng'!$AE$327:$AE$515,'Cắt lồng'!BF$4:BF$4)</f>
        <v>0</v>
      </c>
      <c r="BG32" s="79">
        <f t="array" ref="BG32">SUMIFS('Cắt lồng'!$AH$327:$AH$515,'Cắt lồng'!$AA$327:$AA$515,'Cắt lồng'!$AA32,'Cắt lồng'!$AE$327:$AE$515,'Cắt lồng'!BG$4:BG$4)</f>
        <v>0</v>
      </c>
      <c r="BH32" s="109" t="e">
        <f t="shared" si="42"/>
        <v>#DIV/0!</v>
      </c>
      <c r="BI32" s="79">
        <f t="array" ref="BI32">SUMIFS('Cắt lồng'!$AC$327:$AC$515,'Cắt lồng'!$AA$327:$AA$515,'Cắt lồng'!$AA32,'Cắt lồng'!$AE$327:$AE$515,'Cắt lồng'!BI$4:BI$4)</f>
        <v>0</v>
      </c>
      <c r="BJ32" s="79">
        <f t="array" ref="BJ32">SUMIFS('Cắt lồng'!$AH$327:$AH$515,'Cắt lồng'!$AA$327:$AA$515,'Cắt lồng'!$AA32,'Cắt lồng'!$AE$327:$AE$515,'Cắt lồng'!BJ$4:BJ$4)</f>
        <v>0</v>
      </c>
      <c r="BK32" s="109" t="e">
        <f t="shared" si="43"/>
        <v>#DIV/0!</v>
      </c>
      <c r="BL32" s="79">
        <f t="array" ref="BL32">SUMIFS('Cắt lồng'!$AC$327:$AC$515,'Cắt lồng'!$AA$327:$AA$515,'Cắt lồng'!$AA32,'Cắt lồng'!$AE$327:$AE$515,'Cắt lồng'!BL$4:BL$4)</f>
        <v>0</v>
      </c>
      <c r="BM32" s="79">
        <f t="array" ref="BM32">SUMIFS('Cắt lồng'!$AH$327:$AH$515,'Cắt lồng'!$AA$327:$AA$515,'Cắt lồng'!$AA32,'Cắt lồng'!$AE$327:$AE$515,'Cắt lồng'!BM$4:BM$4)</f>
        <v>0</v>
      </c>
      <c r="BN32" s="109" t="e">
        <f t="shared" si="44"/>
        <v>#DIV/0!</v>
      </c>
      <c r="BO32" s="79">
        <f t="array" ref="BO32">SUMIFS('Cắt lồng'!$AC$327:$AC$515,'Cắt lồng'!$AA$327:$AA$515,'Cắt lồng'!$AA32,'Cắt lồng'!$AE$327:$AE$515,'Cắt lồng'!BO$4:BO$4)</f>
        <v>0</v>
      </c>
      <c r="BP32" s="79">
        <f t="array" ref="BP32">SUMIFS('Cắt lồng'!$AH$327:$AH$515,'Cắt lồng'!$AA$327:$AA$515,'Cắt lồng'!$AA32,'Cắt lồng'!$AE$327:$AE$515,'Cắt lồng'!BP$4:BP$4)</f>
        <v>0</v>
      </c>
      <c r="BQ32" s="109" t="e">
        <f t="shared" si="45"/>
        <v>#DIV/0!</v>
      </c>
      <c r="BR32" s="79">
        <f t="array" ref="BR32">SUMIFS('Cắt lồng'!$AC$327:$AC$515,'Cắt lồng'!$AA$327:$AA$515,'Cắt lồng'!$AA32,'Cắt lồng'!$AE$327:$AE$515,'Cắt lồng'!BR$4:BR$4)</f>
        <v>0</v>
      </c>
      <c r="BS32" s="79">
        <f t="array" ref="BS32">SUMIFS('Cắt lồng'!$AH$327:$AH$515,'Cắt lồng'!$AA$327:$AA$515,'Cắt lồng'!$AA32,'Cắt lồng'!$AE$327:$AE$515,'Cắt lồng'!BS$4:BS$4)</f>
        <v>0</v>
      </c>
      <c r="BT32" s="109" t="e">
        <f t="shared" si="46"/>
        <v>#DIV/0!</v>
      </c>
      <c r="BU32" s="79">
        <f t="array" ref="BU32">SUMIFS('Cắt lồng'!$AC$327:$AC$515,'Cắt lồng'!$AA$327:$AA$515,'Cắt lồng'!$AA32,'Cắt lồng'!$AE$327:$AE$515,'Cắt lồng'!BU$4:BU$4)</f>
        <v>0</v>
      </c>
      <c r="BV32" s="79">
        <f t="array" ref="BV32">SUMIFS('Cắt lồng'!$AH$327:$AH$515,'Cắt lồng'!$AA$327:$AA$515,'Cắt lồng'!$AA32,'Cắt lồng'!$AE$327:$AE$515,'Cắt lồng'!BV$4:BV$4)</f>
        <v>0</v>
      </c>
      <c r="BW32" s="109" t="e">
        <f t="shared" si="47"/>
        <v>#DIV/0!</v>
      </c>
      <c r="BX32" s="79">
        <f t="array" ref="BX32">SUMIFS('Cắt lồng'!$AC$327:$AC$515,'Cắt lồng'!$AA$327:$AA$515,'Cắt lồng'!$AA32,'Cắt lồng'!$AE$327:$AE$515,'Cắt lồng'!BX$4:BX$4)</f>
        <v>0</v>
      </c>
      <c r="BY32" s="79">
        <f t="array" ref="BY32">SUMIFS('Cắt lồng'!$AH$327:$AH$515,'Cắt lồng'!$AA$327:$AA$515,'Cắt lồng'!$AA32,'Cắt lồng'!$AE$327:$AE$515,'Cắt lồng'!BY$4:BY$4)</f>
        <v>0</v>
      </c>
      <c r="BZ32" s="109" t="e">
        <f t="shared" si="48"/>
        <v>#DIV/0!</v>
      </c>
      <c r="CA32" s="79">
        <f t="array" ref="CA32">SUMIFS('Cắt lồng'!$AC$327:$AC$515,'Cắt lồng'!$AA$327:$AA$515,'Cắt lồng'!$AA32,'Cắt lồng'!$AE$327:$AE$515,'Cắt lồng'!CA$4:CA$4)</f>
        <v>0</v>
      </c>
      <c r="CB32" s="79">
        <f t="array" ref="CB32">SUMIFS('Cắt lồng'!$AH$327:$AH$515,'Cắt lồng'!$AA$327:$AA$515,'Cắt lồng'!$AA32,'Cắt lồng'!$AE$327:$AE$515,'Cắt lồng'!CB$4:CB$4)</f>
        <v>0</v>
      </c>
      <c r="CC32" s="109" t="e">
        <f t="shared" si="49"/>
        <v>#DIV/0!</v>
      </c>
      <c r="CD32" s="79">
        <f t="array" ref="CD32">SUMIFS('Cắt lồng'!$AC$327:$AC$515,'Cắt lồng'!$AA$327:$AA$515,'Cắt lồng'!$AA32,'Cắt lồng'!$AE$327:$AE$515,'Cắt lồng'!CD$4:CD$4)</f>
        <v>0</v>
      </c>
      <c r="CE32" s="79">
        <f t="array" ref="CE32">SUMIFS('Cắt lồng'!$AH$327:$AH$515,'Cắt lồng'!$AA$327:$AA$515,'Cắt lồng'!$AA32,'Cắt lồng'!$AE$327:$AE$515,'Cắt lồng'!CE$4:CE$4)</f>
        <v>0</v>
      </c>
      <c r="CF32" s="109" t="e">
        <f t="shared" si="50"/>
        <v>#DIV/0!</v>
      </c>
      <c r="CG32" s="79">
        <f t="array" ref="CG32">SUMIFS('Cắt lồng'!$AC$327:$AC$515,'Cắt lồng'!$AA$327:$AA$515,'Cắt lồng'!$AA32,'Cắt lồng'!$AE$327:$AE$515,'Cắt lồng'!CG$4:CG$4)</f>
        <v>0</v>
      </c>
      <c r="CH32" s="79">
        <f t="array" ref="CH32">SUMIFS('Cắt lồng'!$AH$327:$AH$515,'Cắt lồng'!$AA$327:$AA$515,'Cắt lồng'!$AA32,'Cắt lồng'!$AE$327:$AE$515,'Cắt lồng'!CH$4:CH$4)</f>
        <v>0</v>
      </c>
      <c r="CI32" s="109" t="e">
        <f t="shared" si="51"/>
        <v>#DIV/0!</v>
      </c>
      <c r="CJ32" s="79">
        <f t="array" ref="CJ32">SUMIFS('Cắt lồng'!$AC$327:$AC$515,'Cắt lồng'!$AA$327:$AA$515,'Cắt lồng'!$AA32,'Cắt lồng'!$AE$327:$AE$515,'Cắt lồng'!CJ$4:CJ$4)</f>
        <v>0</v>
      </c>
      <c r="CK32" s="79">
        <f t="array" ref="CK32">SUMIFS('Cắt lồng'!$AH$327:$AH$515,'Cắt lồng'!$AA$327:$AA$515,'Cắt lồng'!$AA32,'Cắt lồng'!$AE$327:$AE$515,'Cắt lồng'!CK$4:CK$4)</f>
        <v>0</v>
      </c>
      <c r="CL32" s="109" t="e">
        <f t="shared" si="52"/>
        <v>#DIV/0!</v>
      </c>
      <c r="CM32" s="79">
        <f t="array" ref="CM32">SUMIFS('Cắt lồng'!$AC$327:$AC$515,'Cắt lồng'!$AA$327:$AA$515,'Cắt lồng'!$AA32,'Cắt lồng'!$AE$327:$AE$515,'Cắt lồng'!CM$4:CM$4)</f>
        <v>0</v>
      </c>
      <c r="CN32" s="79">
        <f t="array" ref="CN32">SUMIFS('Cắt lồng'!$AH$327:$AH$515,'Cắt lồng'!$AA$327:$AA$515,'Cắt lồng'!$AA32,'Cắt lồng'!$AE$327:$AE$515,'Cắt lồng'!CN$4:CN$4)</f>
        <v>0</v>
      </c>
      <c r="CO32" s="109" t="e">
        <f t="shared" si="53"/>
        <v>#DIV/0!</v>
      </c>
      <c r="CP32" s="79">
        <f t="array" ref="CP32">SUMIFS('Cắt lồng'!$AC$327:$AC$515,'Cắt lồng'!$AA$327:$AA$515,'Cắt lồng'!$AA32,'Cắt lồng'!$AE$327:$AE$515,'Cắt lồng'!CP$4:CP$4)</f>
        <v>0</v>
      </c>
      <c r="CQ32" s="79">
        <f t="array" ref="CQ32">SUMIFS('Cắt lồng'!$AH$327:$AH$515,'Cắt lồng'!$AA$327:$AA$515,'Cắt lồng'!$AA32,'Cắt lồng'!$AE$327:$AE$515,'Cắt lồng'!CQ$4:CQ$4)</f>
        <v>0</v>
      </c>
      <c r="CR32" s="109" t="e">
        <f t="shared" si="54"/>
        <v>#DIV/0!</v>
      </c>
      <c r="CS32" s="79">
        <f t="array" ref="CS32">SUMIFS('Cắt lồng'!$AC$327:$AC$515,'Cắt lồng'!$AA$327:$AA$515,'Cắt lồng'!$AA32,'Cắt lồng'!$AE$327:$AE$515,'Cắt lồng'!CS$4:CS$4)</f>
        <v>0</v>
      </c>
      <c r="CT32" s="79">
        <f t="array" ref="CT32">SUMIFS('Cắt lồng'!$AH$327:$AH$515,'Cắt lồng'!$AA$327:$AA$515,'Cắt lồng'!$AA32,'Cắt lồng'!$AE$327:$AE$515,'Cắt lồng'!CT$4:CT$4)</f>
        <v>0</v>
      </c>
      <c r="CU32" s="109" t="e">
        <f t="shared" si="55"/>
        <v>#DIV/0!</v>
      </c>
      <c r="CV32" s="79">
        <f t="array" ref="CV32">SUMIFS('Cắt lồng'!$AC$327:$AC$515,'Cắt lồng'!$AA$327:$AA$515,'Cắt lồng'!$AA32,'Cắt lồng'!$AE$327:$AE$515,'Cắt lồng'!CV$4:CV$4)</f>
        <v>0</v>
      </c>
      <c r="CW32" s="79">
        <f t="array" ref="CW32">SUMIFS('Cắt lồng'!$AH$327:$AH$515,'Cắt lồng'!$AA$327:$AA$515,'Cắt lồng'!$AA32,'Cắt lồng'!$AE$327:$AE$515,'Cắt lồng'!CW$4:CW$4)</f>
        <v>0</v>
      </c>
      <c r="CX32" s="109" t="e">
        <f t="shared" si="56"/>
        <v>#DIV/0!</v>
      </c>
      <c r="CY32" s="79">
        <f t="array" ref="CY32">SUMIFS('Cắt lồng'!$AC$327:$AC$515,'Cắt lồng'!$AA$327:$AA$515,'Cắt lồng'!$AA32,'Cắt lồng'!$AE$327:$AE$515,'Cắt lồng'!CY$4:CY$4)</f>
        <v>0</v>
      </c>
      <c r="CZ32" s="79">
        <f t="array" ref="CZ32">SUMIFS('Cắt lồng'!$AH$327:$AH$515,'Cắt lồng'!$AA$327:$AA$515,'Cắt lồng'!$AA32,'Cắt lồng'!$AE$327:$AE$515,'Cắt lồng'!CZ$4:CZ$4)</f>
        <v>0</v>
      </c>
      <c r="DA32" s="109" t="e">
        <f t="shared" si="57"/>
        <v>#DIV/0!</v>
      </c>
      <c r="DB32" s="79">
        <f t="array" ref="DB32">SUMIFS('Cắt lồng'!$AC$327:$AC$515,'Cắt lồng'!$AA$327:$AA$515,'Cắt lồng'!$AA32,'Cắt lồng'!$AE$327:$AE$515,'Cắt lồng'!DB$4:DB$4)</f>
        <v>0</v>
      </c>
      <c r="DC32" s="79">
        <f t="array" ref="DC32">SUMIFS('Cắt lồng'!$AH$327:$AH$515,'Cắt lồng'!$AA$327:$AA$515,'Cắt lồng'!$AA32,'Cắt lồng'!$AE$327:$AE$515,'Cắt lồng'!DC$4:DC$4)</f>
        <v>0</v>
      </c>
      <c r="DD32" s="109" t="e">
        <f t="shared" si="58"/>
        <v>#DIV/0!</v>
      </c>
      <c r="DE32" s="79">
        <f t="array" ref="DE32">SUMIFS('Cắt lồng'!$AC$327:$AC$515,'Cắt lồng'!$AA$327:$AA$515,'Cắt lồng'!$AA32,'Cắt lồng'!$AE$327:$AE$515,'Cắt lồng'!DE$4:DE$4)</f>
        <v>0</v>
      </c>
      <c r="DF32" s="79">
        <f t="array" ref="DF32">SUMIFS('Cắt lồng'!$AH$327:$AH$515,'Cắt lồng'!$AA$327:$AA$515,'Cắt lồng'!$AA32,'Cắt lồng'!$AE$327:$AE$515,'Cắt lồng'!DF$4:DF$4)</f>
        <v>0</v>
      </c>
      <c r="DG32" s="109" t="e">
        <f t="shared" si="59"/>
        <v>#DIV/0!</v>
      </c>
      <c r="DH32" s="79">
        <f t="array" ref="DH32">SUMIFS('Cắt lồng'!$AC$327:$AC$515,'Cắt lồng'!$AA$327:$AA$515,'Cắt lồng'!$AA32,'Cắt lồng'!$AE$327:$AE$515,'Cắt lồng'!DH$4:DH$4)</f>
        <v>0</v>
      </c>
      <c r="DI32" s="79">
        <f t="array" ref="DI32">SUMIFS('Cắt lồng'!$AH$327:$AH$515,'Cắt lồng'!$AA$327:$AA$515,'Cắt lồng'!$AA32,'Cắt lồng'!$AE$327:$AE$515,'Cắt lồng'!DI$4:DI$4)</f>
        <v>0</v>
      </c>
      <c r="DJ32" s="109" t="e">
        <f t="shared" si="60"/>
        <v>#DIV/0!</v>
      </c>
      <c r="DK32" s="79">
        <f t="array" ref="DK32">SUMIFS('Cắt lồng'!$AC$327:$AC$515,'Cắt lồng'!$AA$327:$AA$515,'Cắt lồng'!$AA32,'Cắt lồng'!$AE$327:$AE$515,'Cắt lồng'!DK$4:DK$4)</f>
        <v>0</v>
      </c>
      <c r="DL32" s="79">
        <f t="array" ref="DL32">SUMIFS('Cắt lồng'!$AH$327:$AH$515,'Cắt lồng'!$AA$327:$AA$515,'Cắt lồng'!$AA32,'Cắt lồng'!$AE$327:$AE$515,'Cắt lồng'!DL$4:DL$4)</f>
        <v>0</v>
      </c>
      <c r="DM32" s="109" t="e">
        <f t="shared" si="61"/>
        <v>#DIV/0!</v>
      </c>
      <c r="DN32" s="79">
        <f>SUMIFS('Cắt lồng'!$AC$327:$AC$515,'Cắt lồng'!$AA$327:$AA$515,'Cắt lồng'!$AA32,'Cắt lồng'!$AE$327:$AE$515,'Cắt lồng'!DN$4:DN$4)</f>
        <v>0</v>
      </c>
      <c r="DO32" s="79">
        <f t="array" ref="DO32">SUMIFS('Cắt lồng'!$AH$327:$AH$515,'Cắt lồng'!$AA$327:$AA$515,'Cắt lồng'!$AA32,'Cắt lồng'!$AE$327:$AE$515,'Cắt lồng'!DO$4:DO$4)</f>
        <v>0</v>
      </c>
      <c r="DP32" s="109" t="e">
        <f t="shared" si="62"/>
        <v>#DIV/0!</v>
      </c>
      <c r="DQ32" s="79">
        <f t="array" ref="DQ32">SUMIFS('Cắt lồng'!$AC$327:$AC$515,'Cắt lồng'!$AA$327:$AA$515,'Cắt lồng'!$AA32,'Cắt lồng'!$AE$327:$AE$515,'Cắt lồng'!DQ$4:DQ$4)</f>
        <v>0</v>
      </c>
      <c r="DR32" s="79">
        <f t="array" ref="DR32">SUMIFS('Cắt lồng'!$AH$327:$AH$515,'Cắt lồng'!$AA$327:$AA$515,'Cắt lồng'!$AA32,'Cắt lồng'!$AE$327:$AE$515,'Cắt lồng'!DR$4:DR$4)</f>
        <v>0</v>
      </c>
      <c r="DS32" s="109" t="e">
        <f t="shared" si="63"/>
        <v>#DIV/0!</v>
      </c>
      <c r="DT32" s="79">
        <f t="array" ref="DT32">SUMIFS('Cắt lồng'!$AC$327:$AC$515,'Cắt lồng'!$AA$327:$AA$515,'Cắt lồng'!$AA32,'Cắt lồng'!$AE$327:$AE$515,'Cắt lồng'!DT$4:DT$4)</f>
        <v>0</v>
      </c>
      <c r="DU32" s="79">
        <f t="array" ref="DU32">SUMIFS('Cắt lồng'!$AH$327:$AH$515,'Cắt lồng'!$AA$327:$AA$515,'Cắt lồng'!$AA32,'Cắt lồng'!$AE$327:$AE$515,'Cắt lồng'!DU$4:DU$4)</f>
        <v>0</v>
      </c>
      <c r="DV32" s="109" t="e">
        <f t="shared" si="64"/>
        <v>#DIV/0!</v>
      </c>
      <c r="DW32" s="79">
        <f t="array" ref="DW32">SUMIFS('Cắt lồng'!$AC$327:$AC$515,'Cắt lồng'!$AA$327:$AA$515,'Cắt lồng'!$AA32,'Cắt lồng'!$AE$327:$AE$515,'Cắt lồng'!DW$4:DW$4)</f>
        <v>0</v>
      </c>
      <c r="DX32" s="79">
        <f t="array" ref="DX32">SUMIFS('Cắt lồng'!$AH$327:$AH$515,'Cắt lồng'!$AA$327:$AA$515,'Cắt lồng'!$AA32,'Cắt lồng'!$AE$327:$AE$515,'Cắt lồng'!DX$4:DX$4)</f>
        <v>0</v>
      </c>
      <c r="DY32" s="109" t="e">
        <f t="shared" si="65"/>
        <v>#DIV/0!</v>
      </c>
      <c r="DZ32" s="79">
        <f t="array" ref="DZ32">SUMIFS('Cắt lồng'!$AC$327:$AC$515,'Cắt lồng'!$AA$327:$AA$515,'Cắt lồng'!$AA32,'Cắt lồng'!$AE$327:$AE$515,'Cắt lồng'!DZ$4:DZ$4)</f>
        <v>0</v>
      </c>
      <c r="EA32" s="79">
        <f t="array" ref="EA32">SUMIFS('Cắt lồng'!$AH$327:$AH$515,'Cắt lồng'!$AA$327:$AA$515,'Cắt lồng'!$AA32,'Cắt lồng'!$AE$327:$AE$515,'Cắt lồng'!EA$4:EA$4)</f>
        <v>0</v>
      </c>
      <c r="EB32" s="109" t="e">
        <f t="shared" si="66"/>
        <v>#DIV/0!</v>
      </c>
      <c r="EC32" s="79">
        <f t="array" ref="EC32">SUMIFS('Cắt lồng'!$AC$327:$AC$515,'Cắt lồng'!$AA$327:$AA$515,'Cắt lồng'!$AA32,'Cắt lồng'!$AE$327:$AE$515,'Cắt lồng'!EC$4:EC$4)</f>
        <v>0</v>
      </c>
      <c r="ED32" s="79">
        <f t="array" ref="ED32">SUMIFS('Cắt lồng'!$AH$327:$AH$515,'Cắt lồng'!$AA$327:$AA$515,'Cắt lồng'!$AA32,'Cắt lồng'!$AE$327:$AE$515,'Cắt lồng'!ED$4:ED$4)</f>
        <v>0</v>
      </c>
      <c r="EE32" s="109" t="e">
        <f t="shared" si="67"/>
        <v>#DIV/0!</v>
      </c>
      <c r="EF32" s="79">
        <f t="array" ref="EF32">SUMIFS('Cắt lồng'!$AC$327:$AC$515,'Cắt lồng'!$AA$327:$AA$515,'Cắt lồng'!$AA32,'Cắt lồng'!$AE$327:$AE$515,'Cắt lồng'!EF$4:EF$4)</f>
        <v>0</v>
      </c>
      <c r="EG32" s="79">
        <f t="array" ref="EG32">SUMIFS('Cắt lồng'!$AH$327:$AH$515,'Cắt lồng'!$AA$327:$AA$515,'Cắt lồng'!$AA32,'Cắt lồng'!$AE$327:$AE$515,'Cắt lồng'!EG$4:EG$4)</f>
        <v>0</v>
      </c>
      <c r="EH32" s="109" t="e">
        <f t="shared" si="68"/>
        <v>#DIV/0!</v>
      </c>
      <c r="EI32" s="79">
        <f t="array" ref="EI32">SUMIFS('Cắt lồng'!$AC$327:$AC$515,'Cắt lồng'!$AA$327:$AA$515,'Cắt lồng'!$AA32,'Cắt lồng'!$AE$327:$AE$515,'Cắt lồng'!EI$4:EI$4)</f>
        <v>0</v>
      </c>
      <c r="EJ32" s="79">
        <f t="array" ref="EJ32">SUMIFS('Cắt lồng'!$AH$327:$AH$515,'Cắt lồng'!$AA$327:$AA$515,'Cắt lồng'!$AA32,'Cắt lồng'!$AE$327:$AE$515,'Cắt lồng'!EJ$4:EJ$4)</f>
        <v>0</v>
      </c>
      <c r="EK32" s="109" t="e">
        <f t="shared" si="69"/>
        <v>#DIV/0!</v>
      </c>
    </row>
    <row r="33" spans="1:142" s="12" customFormat="1" ht="14.25" hidden="1" customHeight="1">
      <c r="A33" s="25">
        <v>28</v>
      </c>
      <c r="B33" s="121" t="s">
        <v>196</v>
      </c>
      <c r="C33" s="121" t="s">
        <v>196</v>
      </c>
      <c r="D33" s="63"/>
      <c r="E33" s="197"/>
      <c r="F33" s="56"/>
      <c r="G33" s="82">
        <f t="shared" si="1"/>
        <v>0</v>
      </c>
      <c r="H33" s="81">
        <f t="shared" si="2"/>
        <v>0</v>
      </c>
      <c r="I33" s="19">
        <f t="shared" si="3"/>
        <v>0</v>
      </c>
      <c r="J33" s="11">
        <f t="shared" si="4"/>
        <v>0</v>
      </c>
      <c r="K33" s="19">
        <f t="shared" si="5"/>
        <v>0</v>
      </c>
      <c r="L33" s="19">
        <f t="shared" si="6"/>
        <v>0</v>
      </c>
      <c r="M33" s="19">
        <f t="shared" si="7"/>
        <v>0</v>
      </c>
      <c r="N33" s="19">
        <f t="shared" si="8"/>
        <v>0</v>
      </c>
      <c r="O33" s="19">
        <f t="shared" si="9"/>
        <v>0</v>
      </c>
      <c r="P33" s="19">
        <f t="shared" si="10"/>
        <v>0</v>
      </c>
      <c r="Q33" s="19">
        <f t="shared" si="11"/>
        <v>0</v>
      </c>
      <c r="R33" s="19">
        <f t="shared" si="12"/>
        <v>0</v>
      </c>
      <c r="S33" s="19">
        <f t="shared" si="13"/>
        <v>0</v>
      </c>
      <c r="T33" s="19">
        <f t="shared" si="14"/>
        <v>0</v>
      </c>
      <c r="U33" s="19">
        <f t="shared" si="15"/>
        <v>0</v>
      </c>
      <c r="V33" s="19">
        <f t="shared" si="16"/>
        <v>0</v>
      </c>
      <c r="W33" s="19">
        <f t="shared" si="17"/>
        <v>0</v>
      </c>
      <c r="X33" s="19">
        <f t="shared" si="18"/>
        <v>0</v>
      </c>
      <c r="Y33" s="19">
        <f t="shared" si="19"/>
        <v>0</v>
      </c>
      <c r="Z33" s="19">
        <f t="shared" si="20"/>
        <v>0</v>
      </c>
      <c r="AA33" s="164" t="s">
        <v>260</v>
      </c>
      <c r="AB33" s="129">
        <f t="shared" si="21"/>
        <v>0</v>
      </c>
      <c r="AC33" s="16">
        <f t="shared" si="22"/>
        <v>0</v>
      </c>
      <c r="AD33" s="15" t="e">
        <f t="shared" si="23"/>
        <v>#DIV/0!</v>
      </c>
      <c r="AE33" s="42"/>
      <c r="AF33" s="10" t="e">
        <f t="shared" si="24"/>
        <v>#DIV/0!</v>
      </c>
      <c r="AG33" s="10"/>
      <c r="AH33" s="127">
        <f t="shared" si="25"/>
        <v>0</v>
      </c>
      <c r="AI33" s="54" t="e">
        <f t="shared" si="26"/>
        <v>#DIV/0!</v>
      </c>
      <c r="AJ33" s="25">
        <f t="shared" si="27"/>
        <v>0</v>
      </c>
      <c r="AK33" s="25">
        <f t="shared" si="28"/>
        <v>0</v>
      </c>
      <c r="AL33" s="30">
        <f t="shared" si="29"/>
        <v>0</v>
      </c>
      <c r="AM33" s="30">
        <f t="shared" si="30"/>
        <v>0</v>
      </c>
      <c r="AN33" s="30">
        <f t="shared" si="31"/>
        <v>0</v>
      </c>
      <c r="AO33" s="30">
        <f t="shared" si="32"/>
        <v>0</v>
      </c>
      <c r="AP33" s="30">
        <f t="shared" si="33"/>
        <v>0</v>
      </c>
      <c r="AQ33" s="30">
        <f t="shared" si="34"/>
        <v>0</v>
      </c>
      <c r="AR33" s="30">
        <f t="shared" si="35"/>
        <v>0</v>
      </c>
      <c r="AS33" s="30">
        <f t="shared" si="36"/>
        <v>0</v>
      </c>
      <c r="AT33" s="30">
        <f t="shared" si="37"/>
        <v>0</v>
      </c>
      <c r="AU33" s="80"/>
      <c r="AV33" s="110">
        <f t="shared" si="38"/>
        <v>0</v>
      </c>
      <c r="AW33" s="79">
        <f t="array" ref="AW33">SUMIFS('Cắt lồng'!$AC$327:$AC$515,'Cắt lồng'!$AA$327:$AA$515,'Cắt lồng'!$AA33,'Cắt lồng'!$AE$327:$AE$515,'Cắt lồng'!AW$4:AW$4)</f>
        <v>0</v>
      </c>
      <c r="AX33" s="79">
        <f t="array" ref="AX33">SUMIFS('Cắt lồng'!$AH$327:$AH$515,'Cắt lồng'!$AA$327:$AA$515,'Cắt lồng'!$AA33,'Cắt lồng'!$AE$327:$AE$515,'Cắt lồng'!AX$4:AX$4)</f>
        <v>0</v>
      </c>
      <c r="AY33" s="109" t="e">
        <f t="shared" si="39"/>
        <v>#DIV/0!</v>
      </c>
      <c r="AZ33" s="79">
        <f t="array" ref="AZ33">SUMIFS('Cắt lồng'!$AC$327:$AC$515,'Cắt lồng'!$AA$327:$AA$515,'Cắt lồng'!$AA33,'Cắt lồng'!$AE$327:$AE$515,'Cắt lồng'!AZ$4:AZ$4)</f>
        <v>0</v>
      </c>
      <c r="BA33" s="79">
        <f t="array" ref="BA33">SUMIFS('Cắt lồng'!$AH$327:$AH$515,'Cắt lồng'!$AA$327:$AA$515,'Cắt lồng'!$AA33,'Cắt lồng'!$AE$327:$AE$515,'Cắt lồng'!BA$4:BA$4)</f>
        <v>0</v>
      </c>
      <c r="BB33" s="109" t="e">
        <f t="shared" si="40"/>
        <v>#DIV/0!</v>
      </c>
      <c r="BC33" s="79">
        <f t="array" ref="BC33">SUMIFS('Cắt lồng'!$AC$327:$AC$515,'Cắt lồng'!$AA$327:$AA$515,'Cắt lồng'!$AA33,'Cắt lồng'!$AE$327:$AE$515,'Cắt lồng'!BC$4:BC$4)</f>
        <v>0</v>
      </c>
      <c r="BD33" s="79">
        <f t="array" ref="BD33">SUMIFS('Cắt lồng'!$AH$327:$AH$515,'Cắt lồng'!$AA$327:$AA$515,'Cắt lồng'!$AA33,'Cắt lồng'!$AE$327:$AE$515,'Cắt lồng'!BD$4:BD$4)</f>
        <v>0</v>
      </c>
      <c r="BE33" s="109" t="e">
        <f t="shared" si="41"/>
        <v>#DIV/0!</v>
      </c>
      <c r="BF33" s="79">
        <f t="array" ref="BF33">SUMIFS('Cắt lồng'!$AC$327:$AC$515,'Cắt lồng'!$AA$327:$AA$515,'Cắt lồng'!$AA33,'Cắt lồng'!$AE$327:$AE$515,'Cắt lồng'!BF$4:BF$4)</f>
        <v>0</v>
      </c>
      <c r="BG33" s="79">
        <f t="array" ref="BG33">SUMIFS('Cắt lồng'!$AH$327:$AH$515,'Cắt lồng'!$AA$327:$AA$515,'Cắt lồng'!$AA33,'Cắt lồng'!$AE$327:$AE$515,'Cắt lồng'!BG$4:BG$4)</f>
        <v>0</v>
      </c>
      <c r="BH33" s="109" t="e">
        <f t="shared" si="42"/>
        <v>#DIV/0!</v>
      </c>
      <c r="BI33" s="79">
        <f t="array" ref="BI33">SUMIFS('Cắt lồng'!$AC$327:$AC$515,'Cắt lồng'!$AA$327:$AA$515,'Cắt lồng'!$AA33,'Cắt lồng'!$AE$327:$AE$515,'Cắt lồng'!BI$4:BI$4)</f>
        <v>0</v>
      </c>
      <c r="BJ33" s="79">
        <f t="array" ref="BJ33">SUMIFS('Cắt lồng'!$AH$327:$AH$515,'Cắt lồng'!$AA$327:$AA$515,'Cắt lồng'!$AA33,'Cắt lồng'!$AE$327:$AE$515,'Cắt lồng'!BJ$4:BJ$4)</f>
        <v>0</v>
      </c>
      <c r="BK33" s="109" t="e">
        <f t="shared" si="43"/>
        <v>#DIV/0!</v>
      </c>
      <c r="BL33" s="79">
        <f t="array" ref="BL33">SUMIFS('Cắt lồng'!$AC$327:$AC$515,'Cắt lồng'!$AA$327:$AA$515,'Cắt lồng'!$AA33,'Cắt lồng'!$AE$327:$AE$515,'Cắt lồng'!BL$4:BL$4)</f>
        <v>0</v>
      </c>
      <c r="BM33" s="79">
        <f t="array" ref="BM33">SUMIFS('Cắt lồng'!$AH$327:$AH$515,'Cắt lồng'!$AA$327:$AA$515,'Cắt lồng'!$AA33,'Cắt lồng'!$AE$327:$AE$515,'Cắt lồng'!BM$4:BM$4)</f>
        <v>0</v>
      </c>
      <c r="BN33" s="109" t="e">
        <f t="shared" si="44"/>
        <v>#DIV/0!</v>
      </c>
      <c r="BO33" s="79">
        <f t="array" ref="BO33">SUMIFS('Cắt lồng'!$AC$327:$AC$515,'Cắt lồng'!$AA$327:$AA$515,'Cắt lồng'!$AA33,'Cắt lồng'!$AE$327:$AE$515,'Cắt lồng'!BO$4:BO$4)</f>
        <v>0</v>
      </c>
      <c r="BP33" s="79">
        <f t="array" ref="BP33">SUMIFS('Cắt lồng'!$AH$327:$AH$515,'Cắt lồng'!$AA$327:$AA$515,'Cắt lồng'!$AA33,'Cắt lồng'!$AE$327:$AE$515,'Cắt lồng'!BP$4:BP$4)</f>
        <v>0</v>
      </c>
      <c r="BQ33" s="109" t="e">
        <f t="shared" si="45"/>
        <v>#DIV/0!</v>
      </c>
      <c r="BR33" s="79">
        <f t="array" ref="BR33">SUMIFS('Cắt lồng'!$AC$327:$AC$515,'Cắt lồng'!$AA$327:$AA$515,'Cắt lồng'!$AA33,'Cắt lồng'!$AE$327:$AE$515,'Cắt lồng'!BR$4:BR$4)</f>
        <v>0</v>
      </c>
      <c r="BS33" s="79">
        <f t="array" ref="BS33">SUMIFS('Cắt lồng'!$AH$327:$AH$515,'Cắt lồng'!$AA$327:$AA$515,'Cắt lồng'!$AA33,'Cắt lồng'!$AE$327:$AE$515,'Cắt lồng'!BS$4:BS$4)</f>
        <v>0</v>
      </c>
      <c r="BT33" s="109" t="e">
        <f t="shared" si="46"/>
        <v>#DIV/0!</v>
      </c>
      <c r="BU33" s="79">
        <f t="array" ref="BU33">SUMIFS('Cắt lồng'!$AC$327:$AC$515,'Cắt lồng'!$AA$327:$AA$515,'Cắt lồng'!$AA33,'Cắt lồng'!$AE$327:$AE$515,'Cắt lồng'!BU$4:BU$4)</f>
        <v>0</v>
      </c>
      <c r="BV33" s="79">
        <f t="array" ref="BV33">SUMIFS('Cắt lồng'!$AH$327:$AH$515,'Cắt lồng'!$AA$327:$AA$515,'Cắt lồng'!$AA33,'Cắt lồng'!$AE$327:$AE$515,'Cắt lồng'!BV$4:BV$4)</f>
        <v>0</v>
      </c>
      <c r="BW33" s="109" t="e">
        <f t="shared" si="47"/>
        <v>#DIV/0!</v>
      </c>
      <c r="BX33" s="79">
        <f t="array" ref="BX33">SUMIFS('Cắt lồng'!$AC$327:$AC$515,'Cắt lồng'!$AA$327:$AA$515,'Cắt lồng'!$AA33,'Cắt lồng'!$AE$327:$AE$515,'Cắt lồng'!BX$4:BX$4)</f>
        <v>0</v>
      </c>
      <c r="BY33" s="79">
        <f t="array" ref="BY33">SUMIFS('Cắt lồng'!$AH$327:$AH$515,'Cắt lồng'!$AA$327:$AA$515,'Cắt lồng'!$AA33,'Cắt lồng'!$AE$327:$AE$515,'Cắt lồng'!BY$4:BY$4)</f>
        <v>0</v>
      </c>
      <c r="BZ33" s="109" t="e">
        <f t="shared" si="48"/>
        <v>#DIV/0!</v>
      </c>
      <c r="CA33" s="79">
        <f t="array" ref="CA33">SUMIFS('Cắt lồng'!$AC$327:$AC$515,'Cắt lồng'!$AA$327:$AA$515,'Cắt lồng'!$AA33,'Cắt lồng'!$AE$327:$AE$515,'Cắt lồng'!CA$4:CA$4)</f>
        <v>0</v>
      </c>
      <c r="CB33" s="79">
        <f t="array" ref="CB33">SUMIFS('Cắt lồng'!$AH$327:$AH$515,'Cắt lồng'!$AA$327:$AA$515,'Cắt lồng'!$AA33,'Cắt lồng'!$AE$327:$AE$515,'Cắt lồng'!CB$4:CB$4)</f>
        <v>0</v>
      </c>
      <c r="CC33" s="109" t="e">
        <f t="shared" si="49"/>
        <v>#DIV/0!</v>
      </c>
      <c r="CD33" s="79">
        <f t="array" ref="CD33">SUMIFS('Cắt lồng'!$AC$327:$AC$515,'Cắt lồng'!$AA$327:$AA$515,'Cắt lồng'!$AA33,'Cắt lồng'!$AE$327:$AE$515,'Cắt lồng'!CD$4:CD$4)</f>
        <v>0</v>
      </c>
      <c r="CE33" s="79">
        <f t="array" ref="CE33">SUMIFS('Cắt lồng'!$AH$327:$AH$515,'Cắt lồng'!$AA$327:$AA$515,'Cắt lồng'!$AA33,'Cắt lồng'!$AE$327:$AE$515,'Cắt lồng'!CE$4:CE$4)</f>
        <v>0</v>
      </c>
      <c r="CF33" s="109" t="e">
        <f t="shared" si="50"/>
        <v>#DIV/0!</v>
      </c>
      <c r="CG33" s="79">
        <f t="array" ref="CG33">SUMIFS('Cắt lồng'!$AC$327:$AC$515,'Cắt lồng'!$AA$327:$AA$515,'Cắt lồng'!$AA33,'Cắt lồng'!$AE$327:$AE$515,'Cắt lồng'!CG$4:CG$4)</f>
        <v>0</v>
      </c>
      <c r="CH33" s="79">
        <f t="array" ref="CH33">SUMIFS('Cắt lồng'!$AH$327:$AH$515,'Cắt lồng'!$AA$327:$AA$515,'Cắt lồng'!$AA33,'Cắt lồng'!$AE$327:$AE$515,'Cắt lồng'!CH$4:CH$4)</f>
        <v>0</v>
      </c>
      <c r="CI33" s="109" t="e">
        <f t="shared" si="51"/>
        <v>#DIV/0!</v>
      </c>
      <c r="CJ33" s="79">
        <f t="array" ref="CJ33">SUMIFS('Cắt lồng'!$AC$327:$AC$515,'Cắt lồng'!$AA$327:$AA$515,'Cắt lồng'!$AA33,'Cắt lồng'!$AE$327:$AE$515,'Cắt lồng'!CJ$4:CJ$4)</f>
        <v>0</v>
      </c>
      <c r="CK33" s="79">
        <f t="array" ref="CK33">SUMIFS('Cắt lồng'!$AH$327:$AH$515,'Cắt lồng'!$AA$327:$AA$515,'Cắt lồng'!$AA33,'Cắt lồng'!$AE$327:$AE$515,'Cắt lồng'!CK$4:CK$4)</f>
        <v>0</v>
      </c>
      <c r="CL33" s="109" t="e">
        <f t="shared" si="52"/>
        <v>#DIV/0!</v>
      </c>
      <c r="CM33" s="79">
        <f t="array" ref="CM33">SUMIFS('Cắt lồng'!$AC$327:$AC$515,'Cắt lồng'!$AA$327:$AA$515,'Cắt lồng'!$AA33,'Cắt lồng'!$AE$327:$AE$515,'Cắt lồng'!CM$4:CM$4)</f>
        <v>0</v>
      </c>
      <c r="CN33" s="79">
        <f t="array" ref="CN33">SUMIFS('Cắt lồng'!$AH$327:$AH$515,'Cắt lồng'!$AA$327:$AA$515,'Cắt lồng'!$AA33,'Cắt lồng'!$AE$327:$AE$515,'Cắt lồng'!CN$4:CN$4)</f>
        <v>0</v>
      </c>
      <c r="CO33" s="109" t="e">
        <f t="shared" si="53"/>
        <v>#DIV/0!</v>
      </c>
      <c r="CP33" s="79">
        <f t="array" ref="CP33">SUMIFS('Cắt lồng'!$AC$327:$AC$515,'Cắt lồng'!$AA$327:$AA$515,'Cắt lồng'!$AA33,'Cắt lồng'!$AE$327:$AE$515,'Cắt lồng'!CP$4:CP$4)</f>
        <v>0</v>
      </c>
      <c r="CQ33" s="79">
        <f t="array" ref="CQ33">SUMIFS('Cắt lồng'!$AH$327:$AH$515,'Cắt lồng'!$AA$327:$AA$515,'Cắt lồng'!$AA33,'Cắt lồng'!$AE$327:$AE$515,'Cắt lồng'!CQ$4:CQ$4)</f>
        <v>0</v>
      </c>
      <c r="CR33" s="109" t="e">
        <f t="shared" si="54"/>
        <v>#DIV/0!</v>
      </c>
      <c r="CS33" s="79">
        <f t="array" ref="CS33">SUMIFS('Cắt lồng'!$AC$327:$AC$515,'Cắt lồng'!$AA$327:$AA$515,'Cắt lồng'!$AA33,'Cắt lồng'!$AE$327:$AE$515,'Cắt lồng'!CS$4:CS$4)</f>
        <v>0</v>
      </c>
      <c r="CT33" s="79">
        <f t="array" ref="CT33">SUMIFS('Cắt lồng'!$AH$327:$AH$515,'Cắt lồng'!$AA$327:$AA$515,'Cắt lồng'!$AA33,'Cắt lồng'!$AE$327:$AE$515,'Cắt lồng'!CT$4:CT$4)</f>
        <v>0</v>
      </c>
      <c r="CU33" s="109" t="e">
        <f t="shared" si="55"/>
        <v>#DIV/0!</v>
      </c>
      <c r="CV33" s="79">
        <f t="array" ref="CV33">SUMIFS('Cắt lồng'!$AC$327:$AC$515,'Cắt lồng'!$AA$327:$AA$515,'Cắt lồng'!$AA33,'Cắt lồng'!$AE$327:$AE$515,'Cắt lồng'!CV$4:CV$4)</f>
        <v>0</v>
      </c>
      <c r="CW33" s="79">
        <f t="array" ref="CW33">SUMIFS('Cắt lồng'!$AH$327:$AH$515,'Cắt lồng'!$AA$327:$AA$515,'Cắt lồng'!$AA33,'Cắt lồng'!$AE$327:$AE$515,'Cắt lồng'!CW$4:CW$4)</f>
        <v>0</v>
      </c>
      <c r="CX33" s="109" t="e">
        <f t="shared" si="56"/>
        <v>#DIV/0!</v>
      </c>
      <c r="CY33" s="79">
        <f t="array" ref="CY33">SUMIFS('Cắt lồng'!$AC$327:$AC$515,'Cắt lồng'!$AA$327:$AA$515,'Cắt lồng'!$AA33,'Cắt lồng'!$AE$327:$AE$515,'Cắt lồng'!CY$4:CY$4)</f>
        <v>0</v>
      </c>
      <c r="CZ33" s="79">
        <f t="array" ref="CZ33">SUMIFS('Cắt lồng'!$AH$327:$AH$515,'Cắt lồng'!$AA$327:$AA$515,'Cắt lồng'!$AA33,'Cắt lồng'!$AE$327:$AE$515,'Cắt lồng'!CZ$4:CZ$4)</f>
        <v>0</v>
      </c>
      <c r="DA33" s="109" t="e">
        <f t="shared" si="57"/>
        <v>#DIV/0!</v>
      </c>
      <c r="DB33" s="79">
        <f t="array" ref="DB33">SUMIFS('Cắt lồng'!$AC$327:$AC$515,'Cắt lồng'!$AA$327:$AA$515,'Cắt lồng'!$AA33,'Cắt lồng'!$AE$327:$AE$515,'Cắt lồng'!DB$4:DB$4)</f>
        <v>0</v>
      </c>
      <c r="DC33" s="79">
        <f t="array" ref="DC33">SUMIFS('Cắt lồng'!$AH$327:$AH$515,'Cắt lồng'!$AA$327:$AA$515,'Cắt lồng'!$AA33,'Cắt lồng'!$AE$327:$AE$515,'Cắt lồng'!DC$4:DC$4)</f>
        <v>0</v>
      </c>
      <c r="DD33" s="109" t="e">
        <f t="shared" si="58"/>
        <v>#DIV/0!</v>
      </c>
      <c r="DE33" s="79">
        <f t="array" ref="DE33">SUMIFS('Cắt lồng'!$AC$327:$AC$515,'Cắt lồng'!$AA$327:$AA$515,'Cắt lồng'!$AA33,'Cắt lồng'!$AE$327:$AE$515,'Cắt lồng'!DE$4:DE$4)</f>
        <v>0</v>
      </c>
      <c r="DF33" s="79">
        <f t="array" ref="DF33">SUMIFS('Cắt lồng'!$AH$327:$AH$515,'Cắt lồng'!$AA$327:$AA$515,'Cắt lồng'!$AA33,'Cắt lồng'!$AE$327:$AE$515,'Cắt lồng'!DF$4:DF$4)</f>
        <v>0</v>
      </c>
      <c r="DG33" s="109" t="e">
        <f t="shared" si="59"/>
        <v>#DIV/0!</v>
      </c>
      <c r="DH33" s="79">
        <f t="array" ref="DH33">SUMIFS('Cắt lồng'!$AC$327:$AC$515,'Cắt lồng'!$AA$327:$AA$515,'Cắt lồng'!$AA33,'Cắt lồng'!$AE$327:$AE$515,'Cắt lồng'!DH$4:DH$4)</f>
        <v>0</v>
      </c>
      <c r="DI33" s="79">
        <f t="array" ref="DI33">SUMIFS('Cắt lồng'!$AH$327:$AH$515,'Cắt lồng'!$AA$327:$AA$515,'Cắt lồng'!$AA33,'Cắt lồng'!$AE$327:$AE$515,'Cắt lồng'!DI$4:DI$4)</f>
        <v>0</v>
      </c>
      <c r="DJ33" s="109" t="e">
        <f t="shared" si="60"/>
        <v>#DIV/0!</v>
      </c>
      <c r="DK33" s="79">
        <f t="array" ref="DK33">SUMIFS('Cắt lồng'!$AC$327:$AC$515,'Cắt lồng'!$AA$327:$AA$515,'Cắt lồng'!$AA33,'Cắt lồng'!$AE$327:$AE$515,'Cắt lồng'!DK$4:DK$4)</f>
        <v>0</v>
      </c>
      <c r="DL33" s="79">
        <f t="array" ref="DL33">SUMIFS('Cắt lồng'!$AH$327:$AH$515,'Cắt lồng'!$AA$327:$AA$515,'Cắt lồng'!$AA33,'Cắt lồng'!$AE$327:$AE$515,'Cắt lồng'!DL$4:DL$4)</f>
        <v>0</v>
      </c>
      <c r="DM33" s="109" t="e">
        <f t="shared" si="61"/>
        <v>#DIV/0!</v>
      </c>
      <c r="DN33" s="79">
        <f>SUMIFS('Cắt lồng'!$AC$327:$AC$515,'Cắt lồng'!$AA$327:$AA$515,'Cắt lồng'!$AA33,'Cắt lồng'!$AE$327:$AE$515,'Cắt lồng'!DN$4:DN$4)</f>
        <v>0</v>
      </c>
      <c r="DO33" s="79">
        <f t="array" ref="DO33">SUMIFS('Cắt lồng'!$AH$327:$AH$515,'Cắt lồng'!$AA$327:$AA$515,'Cắt lồng'!$AA33,'Cắt lồng'!$AE$327:$AE$515,'Cắt lồng'!DO$4:DO$4)</f>
        <v>0</v>
      </c>
      <c r="DP33" s="109" t="e">
        <f t="shared" si="62"/>
        <v>#DIV/0!</v>
      </c>
      <c r="DQ33" s="79">
        <f t="array" ref="DQ33">SUMIFS('Cắt lồng'!$AC$327:$AC$515,'Cắt lồng'!$AA$327:$AA$515,'Cắt lồng'!$AA33,'Cắt lồng'!$AE$327:$AE$515,'Cắt lồng'!DQ$4:DQ$4)</f>
        <v>0</v>
      </c>
      <c r="DR33" s="79">
        <f t="array" ref="DR33">SUMIFS('Cắt lồng'!$AH$327:$AH$515,'Cắt lồng'!$AA$327:$AA$515,'Cắt lồng'!$AA33,'Cắt lồng'!$AE$327:$AE$515,'Cắt lồng'!DR$4:DR$4)</f>
        <v>0</v>
      </c>
      <c r="DS33" s="109" t="e">
        <f t="shared" si="63"/>
        <v>#DIV/0!</v>
      </c>
      <c r="DT33" s="79">
        <f t="array" ref="DT33">SUMIFS('Cắt lồng'!$AC$327:$AC$515,'Cắt lồng'!$AA$327:$AA$515,'Cắt lồng'!$AA33,'Cắt lồng'!$AE$327:$AE$515,'Cắt lồng'!DT$4:DT$4)</f>
        <v>0</v>
      </c>
      <c r="DU33" s="79">
        <f t="array" ref="DU33">SUMIFS('Cắt lồng'!$AH$327:$AH$515,'Cắt lồng'!$AA$327:$AA$515,'Cắt lồng'!$AA33,'Cắt lồng'!$AE$327:$AE$515,'Cắt lồng'!DU$4:DU$4)</f>
        <v>0</v>
      </c>
      <c r="DV33" s="109" t="e">
        <f t="shared" si="64"/>
        <v>#DIV/0!</v>
      </c>
      <c r="DW33" s="79">
        <f t="array" ref="DW33">SUMIFS('Cắt lồng'!$AC$327:$AC$515,'Cắt lồng'!$AA$327:$AA$515,'Cắt lồng'!$AA33,'Cắt lồng'!$AE$327:$AE$515,'Cắt lồng'!DW$4:DW$4)</f>
        <v>0</v>
      </c>
      <c r="DX33" s="79">
        <f t="array" ref="DX33">SUMIFS('Cắt lồng'!$AH$327:$AH$515,'Cắt lồng'!$AA$327:$AA$515,'Cắt lồng'!$AA33,'Cắt lồng'!$AE$327:$AE$515,'Cắt lồng'!DX$4:DX$4)</f>
        <v>0</v>
      </c>
      <c r="DY33" s="109" t="e">
        <f t="shared" si="65"/>
        <v>#DIV/0!</v>
      </c>
      <c r="DZ33" s="79">
        <f t="array" ref="DZ33">SUMIFS('Cắt lồng'!$AC$327:$AC$515,'Cắt lồng'!$AA$327:$AA$515,'Cắt lồng'!$AA33,'Cắt lồng'!$AE$327:$AE$515,'Cắt lồng'!DZ$4:DZ$4)</f>
        <v>0</v>
      </c>
      <c r="EA33" s="79">
        <f t="array" ref="EA33">SUMIFS('Cắt lồng'!$AH$327:$AH$515,'Cắt lồng'!$AA$327:$AA$515,'Cắt lồng'!$AA33,'Cắt lồng'!$AE$327:$AE$515,'Cắt lồng'!EA$4:EA$4)</f>
        <v>0</v>
      </c>
      <c r="EB33" s="109" t="e">
        <f t="shared" si="66"/>
        <v>#DIV/0!</v>
      </c>
      <c r="EC33" s="79">
        <f t="array" ref="EC33">SUMIFS('Cắt lồng'!$AC$327:$AC$515,'Cắt lồng'!$AA$327:$AA$515,'Cắt lồng'!$AA33,'Cắt lồng'!$AE$327:$AE$515,'Cắt lồng'!EC$4:EC$4)</f>
        <v>0</v>
      </c>
      <c r="ED33" s="79">
        <f t="array" ref="ED33">SUMIFS('Cắt lồng'!$AH$327:$AH$515,'Cắt lồng'!$AA$327:$AA$515,'Cắt lồng'!$AA33,'Cắt lồng'!$AE$327:$AE$515,'Cắt lồng'!ED$4:ED$4)</f>
        <v>0</v>
      </c>
      <c r="EE33" s="109" t="e">
        <f t="shared" si="67"/>
        <v>#DIV/0!</v>
      </c>
      <c r="EF33" s="79">
        <f t="array" ref="EF33">SUMIFS('Cắt lồng'!$AC$327:$AC$515,'Cắt lồng'!$AA$327:$AA$515,'Cắt lồng'!$AA33,'Cắt lồng'!$AE$327:$AE$515,'Cắt lồng'!EF$4:EF$4)</f>
        <v>0</v>
      </c>
      <c r="EG33" s="79">
        <f t="array" ref="EG33">SUMIFS('Cắt lồng'!$AH$327:$AH$515,'Cắt lồng'!$AA$327:$AA$515,'Cắt lồng'!$AA33,'Cắt lồng'!$AE$327:$AE$515,'Cắt lồng'!EG$4:EG$4)</f>
        <v>0</v>
      </c>
      <c r="EH33" s="109" t="e">
        <f t="shared" si="68"/>
        <v>#DIV/0!</v>
      </c>
      <c r="EI33" s="79">
        <f t="array" ref="EI33">SUMIFS('Cắt lồng'!$AC$327:$AC$515,'Cắt lồng'!$AA$327:$AA$515,'Cắt lồng'!$AA33,'Cắt lồng'!$AE$327:$AE$515,'Cắt lồng'!EI$4:EI$4)</f>
        <v>0</v>
      </c>
      <c r="EJ33" s="79">
        <f t="array" ref="EJ33">SUMIFS('Cắt lồng'!$AH$327:$AH$515,'Cắt lồng'!$AA$327:$AA$515,'Cắt lồng'!$AA33,'Cắt lồng'!$AE$327:$AE$515,'Cắt lồng'!EJ$4:EJ$4)</f>
        <v>0</v>
      </c>
      <c r="EK33" s="109" t="e">
        <f t="shared" si="69"/>
        <v>#DIV/0!</v>
      </c>
    </row>
    <row r="34" spans="1:142" s="12" customFormat="1" ht="14.25" hidden="1" customHeight="1">
      <c r="A34" s="25">
        <v>29</v>
      </c>
      <c r="B34" s="121" t="s">
        <v>193</v>
      </c>
      <c r="C34" s="121" t="s">
        <v>193</v>
      </c>
      <c r="D34" s="63"/>
      <c r="E34" s="197"/>
      <c r="F34" s="56"/>
      <c r="G34" s="82">
        <f t="shared" si="1"/>
        <v>0</v>
      </c>
      <c r="H34" s="81">
        <f t="shared" si="2"/>
        <v>0</v>
      </c>
      <c r="I34" s="19">
        <f t="shared" si="3"/>
        <v>0</v>
      </c>
      <c r="J34" s="11">
        <f t="shared" si="4"/>
        <v>0</v>
      </c>
      <c r="K34" s="19">
        <f t="shared" si="5"/>
        <v>0</v>
      </c>
      <c r="L34" s="19">
        <f t="shared" si="6"/>
        <v>0</v>
      </c>
      <c r="M34" s="19">
        <f t="shared" si="7"/>
        <v>0</v>
      </c>
      <c r="N34" s="19">
        <f t="shared" si="8"/>
        <v>0</v>
      </c>
      <c r="O34" s="19">
        <f t="shared" si="9"/>
        <v>0</v>
      </c>
      <c r="P34" s="19">
        <f t="shared" si="10"/>
        <v>0</v>
      </c>
      <c r="Q34" s="19">
        <f t="shared" si="11"/>
        <v>0</v>
      </c>
      <c r="R34" s="19">
        <f t="shared" si="12"/>
        <v>0</v>
      </c>
      <c r="S34" s="19">
        <f t="shared" si="13"/>
        <v>0</v>
      </c>
      <c r="T34" s="19">
        <f t="shared" si="14"/>
        <v>0</v>
      </c>
      <c r="U34" s="19">
        <f t="shared" si="15"/>
        <v>0</v>
      </c>
      <c r="V34" s="19">
        <f t="shared" si="16"/>
        <v>0</v>
      </c>
      <c r="W34" s="19">
        <f t="shared" si="17"/>
        <v>0</v>
      </c>
      <c r="X34" s="19">
        <f t="shared" si="18"/>
        <v>0</v>
      </c>
      <c r="Y34" s="19">
        <f t="shared" si="19"/>
        <v>0</v>
      </c>
      <c r="Z34" s="19">
        <f t="shared" si="20"/>
        <v>0</v>
      </c>
      <c r="AA34" s="164" t="s">
        <v>259</v>
      </c>
      <c r="AB34" s="129">
        <f t="shared" si="21"/>
        <v>0</v>
      </c>
      <c r="AC34" s="16">
        <f t="shared" si="22"/>
        <v>0</v>
      </c>
      <c r="AD34" s="15" t="e">
        <f t="shared" si="23"/>
        <v>#DIV/0!</v>
      </c>
      <c r="AE34" s="42"/>
      <c r="AF34" s="10" t="e">
        <f t="shared" si="24"/>
        <v>#DIV/0!</v>
      </c>
      <c r="AG34" s="10"/>
      <c r="AH34" s="127">
        <f t="shared" si="25"/>
        <v>3</v>
      </c>
      <c r="AI34" s="54" t="e">
        <f t="shared" si="26"/>
        <v>#DIV/0!</v>
      </c>
      <c r="AJ34" s="25">
        <f t="shared" si="27"/>
        <v>0</v>
      </c>
      <c r="AK34" s="25">
        <f t="shared" si="28"/>
        <v>0</v>
      </c>
      <c r="AL34" s="30">
        <f t="shared" si="29"/>
        <v>0</v>
      </c>
      <c r="AM34" s="30">
        <f>+SUMIF($AA$327:$AA$515,AA34,$AM$327:$AM$515)+AM41</f>
        <v>3</v>
      </c>
      <c r="AN34" s="30">
        <f>+SUMIF($AA$327:$AA$515,AA34,$AN$327:$AN$515)+AN41</f>
        <v>0</v>
      </c>
      <c r="AO34" s="30">
        <f t="shared" si="32"/>
        <v>0</v>
      </c>
      <c r="AP34" s="30">
        <f t="shared" si="33"/>
        <v>0</v>
      </c>
      <c r="AQ34" s="30">
        <f t="shared" si="34"/>
        <v>0</v>
      </c>
      <c r="AR34" s="30">
        <f t="shared" si="35"/>
        <v>0</v>
      </c>
      <c r="AS34" s="30">
        <f t="shared" si="36"/>
        <v>0</v>
      </c>
      <c r="AT34" s="30">
        <f t="shared" si="37"/>
        <v>0</v>
      </c>
      <c r="AU34" s="80"/>
      <c r="AV34" s="110">
        <f t="shared" si="38"/>
        <v>0</v>
      </c>
      <c r="AW34" s="79">
        <f t="array" ref="AW34">SUMIFS('Cắt lồng'!$AC$327:$AC$515,'Cắt lồng'!$AA$327:$AA$515,'Cắt lồng'!$AA34,'Cắt lồng'!$AE$327:$AE$515,'Cắt lồng'!AW$4:AW$4)</f>
        <v>0</v>
      </c>
      <c r="AX34" s="79">
        <f t="array" ref="AX34">SUMIFS('Cắt lồng'!$AH$327:$AH$515,'Cắt lồng'!$AA$327:$AA$515,'Cắt lồng'!$AA34,'Cắt lồng'!$AE$327:$AE$515,'Cắt lồng'!AX$4:AX$4)</f>
        <v>0</v>
      </c>
      <c r="AY34" s="109" t="e">
        <f t="shared" si="39"/>
        <v>#DIV/0!</v>
      </c>
      <c r="AZ34" s="79">
        <f t="array" ref="AZ34">SUMIFS('Cắt lồng'!$AC$327:$AC$515,'Cắt lồng'!$AA$327:$AA$515,'Cắt lồng'!$AA34,'Cắt lồng'!$AE$327:$AE$515,'Cắt lồng'!AZ$4:AZ$4)</f>
        <v>0</v>
      </c>
      <c r="BA34" s="79">
        <f t="array" ref="BA34">SUMIFS('Cắt lồng'!$AH$327:$AH$515,'Cắt lồng'!$AA$327:$AA$515,'Cắt lồng'!$AA34,'Cắt lồng'!$AE$327:$AE$515,'Cắt lồng'!BA$4:BA$4)</f>
        <v>0</v>
      </c>
      <c r="BB34" s="109" t="e">
        <f t="shared" si="40"/>
        <v>#DIV/0!</v>
      </c>
      <c r="BC34" s="79">
        <f t="array" ref="BC34">SUMIFS('Cắt lồng'!$AC$327:$AC$515,'Cắt lồng'!$AA$327:$AA$515,'Cắt lồng'!$AA34,'Cắt lồng'!$AE$327:$AE$515,'Cắt lồng'!BC$4:BC$4)</f>
        <v>0</v>
      </c>
      <c r="BD34" s="79">
        <f t="array" ref="BD34">SUMIFS('Cắt lồng'!$AH$327:$AH$515,'Cắt lồng'!$AA$327:$AA$515,'Cắt lồng'!$AA34,'Cắt lồng'!$AE$327:$AE$515,'Cắt lồng'!BD$4:BD$4)</f>
        <v>0</v>
      </c>
      <c r="BE34" s="109" t="e">
        <f t="shared" si="41"/>
        <v>#DIV/0!</v>
      </c>
      <c r="BF34" s="79">
        <f t="array" ref="BF34">SUMIFS('Cắt lồng'!$AC$327:$AC$515,'Cắt lồng'!$AA$327:$AA$515,'Cắt lồng'!$AA34,'Cắt lồng'!$AE$327:$AE$515,'Cắt lồng'!BF$4:BF$4)</f>
        <v>0</v>
      </c>
      <c r="BG34" s="79">
        <f t="array" ref="BG34">SUMIFS('Cắt lồng'!$AH$327:$AH$515,'Cắt lồng'!$AA$327:$AA$515,'Cắt lồng'!$AA34,'Cắt lồng'!$AE$327:$AE$515,'Cắt lồng'!BG$4:BG$4)</f>
        <v>0</v>
      </c>
      <c r="BH34" s="109" t="e">
        <f t="shared" si="42"/>
        <v>#DIV/0!</v>
      </c>
      <c r="BI34" s="79">
        <f t="array" ref="BI34">SUMIFS('Cắt lồng'!$AC$327:$AC$515,'Cắt lồng'!$AA$327:$AA$515,'Cắt lồng'!$AA34,'Cắt lồng'!$AE$327:$AE$515,'Cắt lồng'!BI$4:BI$4)</f>
        <v>0</v>
      </c>
      <c r="BJ34" s="79">
        <f t="array" ref="BJ34">SUMIFS('Cắt lồng'!$AH$327:$AH$515,'Cắt lồng'!$AA$327:$AA$515,'Cắt lồng'!$AA34,'Cắt lồng'!$AE$327:$AE$515,'Cắt lồng'!BJ$4:BJ$4)</f>
        <v>0</v>
      </c>
      <c r="BK34" s="109" t="e">
        <f t="shared" si="43"/>
        <v>#DIV/0!</v>
      </c>
      <c r="BL34" s="79">
        <f t="array" ref="BL34">SUMIFS('Cắt lồng'!$AC$327:$AC$515,'Cắt lồng'!$AA$327:$AA$515,'Cắt lồng'!$AA34,'Cắt lồng'!$AE$327:$AE$515,'Cắt lồng'!BL$4:BL$4)</f>
        <v>0</v>
      </c>
      <c r="BM34" s="79">
        <f t="array" ref="BM34">SUMIFS('Cắt lồng'!$AH$327:$AH$515,'Cắt lồng'!$AA$327:$AA$515,'Cắt lồng'!$AA34,'Cắt lồng'!$AE$327:$AE$515,'Cắt lồng'!BM$4:BM$4)</f>
        <v>0</v>
      </c>
      <c r="BN34" s="109" t="e">
        <f t="shared" si="44"/>
        <v>#DIV/0!</v>
      </c>
      <c r="BO34" s="79">
        <f t="array" ref="BO34">SUMIFS('Cắt lồng'!$AC$327:$AC$515,'Cắt lồng'!$AA$327:$AA$515,'Cắt lồng'!$AA34,'Cắt lồng'!$AE$327:$AE$515,'Cắt lồng'!BO$4:BO$4)</f>
        <v>0</v>
      </c>
      <c r="BP34" s="79">
        <f t="array" ref="BP34">SUMIFS('Cắt lồng'!$AH$327:$AH$515,'Cắt lồng'!$AA$327:$AA$515,'Cắt lồng'!$AA34,'Cắt lồng'!$AE$327:$AE$515,'Cắt lồng'!BP$4:BP$4)</f>
        <v>0</v>
      </c>
      <c r="BQ34" s="109" t="e">
        <f t="shared" si="45"/>
        <v>#DIV/0!</v>
      </c>
      <c r="BR34" s="79">
        <f t="array" ref="BR34">SUMIFS('Cắt lồng'!$AC$327:$AC$515,'Cắt lồng'!$AA$327:$AA$515,'Cắt lồng'!$AA34,'Cắt lồng'!$AE$327:$AE$515,'Cắt lồng'!BR$4:BR$4)</f>
        <v>0</v>
      </c>
      <c r="BS34" s="79">
        <f t="array" ref="BS34">SUMIFS('Cắt lồng'!$AH$327:$AH$515,'Cắt lồng'!$AA$327:$AA$515,'Cắt lồng'!$AA34,'Cắt lồng'!$AE$327:$AE$515,'Cắt lồng'!BS$4:BS$4)</f>
        <v>0</v>
      </c>
      <c r="BT34" s="109" t="e">
        <f t="shared" si="46"/>
        <v>#DIV/0!</v>
      </c>
      <c r="BU34" s="79">
        <f t="array" ref="BU34">SUMIFS('Cắt lồng'!$AC$327:$AC$515,'Cắt lồng'!$AA$327:$AA$515,'Cắt lồng'!$AA34,'Cắt lồng'!$AE$327:$AE$515,'Cắt lồng'!BU$4:BU$4)</f>
        <v>0</v>
      </c>
      <c r="BV34" s="79">
        <f t="array" ref="BV34">SUMIFS('Cắt lồng'!$AH$327:$AH$515,'Cắt lồng'!$AA$327:$AA$515,'Cắt lồng'!$AA34,'Cắt lồng'!$AE$327:$AE$515,'Cắt lồng'!BV$4:BV$4)</f>
        <v>0</v>
      </c>
      <c r="BW34" s="109" t="e">
        <f t="shared" si="47"/>
        <v>#DIV/0!</v>
      </c>
      <c r="BX34" s="79">
        <f t="array" ref="BX34">SUMIFS('Cắt lồng'!$AC$327:$AC$515,'Cắt lồng'!$AA$327:$AA$515,'Cắt lồng'!$AA34,'Cắt lồng'!$AE$327:$AE$515,'Cắt lồng'!BX$4:BX$4)</f>
        <v>0</v>
      </c>
      <c r="BY34" s="79">
        <f t="array" ref="BY34">SUMIFS('Cắt lồng'!$AH$327:$AH$515,'Cắt lồng'!$AA$327:$AA$515,'Cắt lồng'!$AA34,'Cắt lồng'!$AE$327:$AE$515,'Cắt lồng'!BY$4:BY$4)</f>
        <v>0</v>
      </c>
      <c r="BZ34" s="109" t="e">
        <f t="shared" si="48"/>
        <v>#DIV/0!</v>
      </c>
      <c r="CA34" s="79">
        <f t="array" ref="CA34">SUMIFS('Cắt lồng'!$AC$327:$AC$515,'Cắt lồng'!$AA$327:$AA$515,'Cắt lồng'!$AA34,'Cắt lồng'!$AE$327:$AE$515,'Cắt lồng'!CA$4:CA$4)</f>
        <v>0</v>
      </c>
      <c r="CB34" s="79">
        <f t="array" ref="CB34">SUMIFS('Cắt lồng'!$AH$327:$AH$515,'Cắt lồng'!$AA$327:$AA$515,'Cắt lồng'!$AA34,'Cắt lồng'!$AE$327:$AE$515,'Cắt lồng'!CB$4:CB$4)</f>
        <v>0</v>
      </c>
      <c r="CC34" s="109" t="e">
        <f t="shared" si="49"/>
        <v>#DIV/0!</v>
      </c>
      <c r="CD34" s="79">
        <f t="array" ref="CD34">SUMIFS('Cắt lồng'!$AC$327:$AC$515,'Cắt lồng'!$AA$327:$AA$515,'Cắt lồng'!$AA34,'Cắt lồng'!$AE$327:$AE$515,'Cắt lồng'!CD$4:CD$4)</f>
        <v>0</v>
      </c>
      <c r="CE34" s="79">
        <f t="array" ref="CE34">SUMIFS('Cắt lồng'!$AH$327:$AH$515,'Cắt lồng'!$AA$327:$AA$515,'Cắt lồng'!$AA34,'Cắt lồng'!$AE$327:$AE$515,'Cắt lồng'!CE$4:CE$4)</f>
        <v>0</v>
      </c>
      <c r="CF34" s="109" t="e">
        <f t="shared" si="50"/>
        <v>#DIV/0!</v>
      </c>
      <c r="CG34" s="79">
        <f t="array" ref="CG34">SUMIFS('Cắt lồng'!$AC$327:$AC$515,'Cắt lồng'!$AA$327:$AA$515,'Cắt lồng'!$AA34,'Cắt lồng'!$AE$327:$AE$515,'Cắt lồng'!CG$4:CG$4)</f>
        <v>0</v>
      </c>
      <c r="CH34" s="79">
        <f t="array" ref="CH34">SUMIFS('Cắt lồng'!$AH$327:$AH$515,'Cắt lồng'!$AA$327:$AA$515,'Cắt lồng'!$AA34,'Cắt lồng'!$AE$327:$AE$515,'Cắt lồng'!CH$4:CH$4)</f>
        <v>0</v>
      </c>
      <c r="CI34" s="109" t="e">
        <f t="shared" si="51"/>
        <v>#DIV/0!</v>
      </c>
      <c r="CJ34" s="79">
        <f t="array" ref="CJ34">SUMIFS('Cắt lồng'!$AC$327:$AC$515,'Cắt lồng'!$AA$327:$AA$515,'Cắt lồng'!$AA34,'Cắt lồng'!$AE$327:$AE$515,'Cắt lồng'!CJ$4:CJ$4)</f>
        <v>0</v>
      </c>
      <c r="CK34" s="79">
        <f t="array" ref="CK34">SUMIFS('Cắt lồng'!$AH$327:$AH$515,'Cắt lồng'!$AA$327:$AA$515,'Cắt lồng'!$AA34,'Cắt lồng'!$AE$327:$AE$515,'Cắt lồng'!CK$4:CK$4)</f>
        <v>0</v>
      </c>
      <c r="CL34" s="109" t="e">
        <f t="shared" si="52"/>
        <v>#DIV/0!</v>
      </c>
      <c r="CM34" s="79">
        <f t="array" ref="CM34">SUMIFS('Cắt lồng'!$AC$327:$AC$515,'Cắt lồng'!$AA$327:$AA$515,'Cắt lồng'!$AA34,'Cắt lồng'!$AE$327:$AE$515,'Cắt lồng'!CM$4:CM$4)</f>
        <v>0</v>
      </c>
      <c r="CN34" s="79">
        <f t="array" ref="CN34">SUMIFS('Cắt lồng'!$AH$327:$AH$515,'Cắt lồng'!$AA$327:$AA$515,'Cắt lồng'!$AA34,'Cắt lồng'!$AE$327:$AE$515,'Cắt lồng'!CN$4:CN$4)</f>
        <v>0</v>
      </c>
      <c r="CO34" s="109" t="e">
        <f t="shared" si="53"/>
        <v>#DIV/0!</v>
      </c>
      <c r="CP34" s="79">
        <f t="array" ref="CP34">SUMIFS('Cắt lồng'!$AC$327:$AC$515,'Cắt lồng'!$AA$327:$AA$515,'Cắt lồng'!$AA34,'Cắt lồng'!$AE$327:$AE$515,'Cắt lồng'!CP$4:CP$4)</f>
        <v>0</v>
      </c>
      <c r="CQ34" s="79">
        <f t="array" ref="CQ34">SUMIFS('Cắt lồng'!$AH$327:$AH$515,'Cắt lồng'!$AA$327:$AA$515,'Cắt lồng'!$AA34,'Cắt lồng'!$AE$327:$AE$515,'Cắt lồng'!CQ$4:CQ$4)</f>
        <v>0</v>
      </c>
      <c r="CR34" s="109" t="e">
        <f t="shared" si="54"/>
        <v>#DIV/0!</v>
      </c>
      <c r="CS34" s="79">
        <f t="array" ref="CS34">SUMIFS('Cắt lồng'!$AC$327:$AC$515,'Cắt lồng'!$AA$327:$AA$515,'Cắt lồng'!$AA34,'Cắt lồng'!$AE$327:$AE$515,'Cắt lồng'!CS$4:CS$4)</f>
        <v>0</v>
      </c>
      <c r="CT34" s="79">
        <f t="array" ref="CT34">SUMIFS('Cắt lồng'!$AH$327:$AH$515,'Cắt lồng'!$AA$327:$AA$515,'Cắt lồng'!$AA34,'Cắt lồng'!$AE$327:$AE$515,'Cắt lồng'!CT$4:CT$4)</f>
        <v>0</v>
      </c>
      <c r="CU34" s="109" t="e">
        <f t="shared" si="55"/>
        <v>#DIV/0!</v>
      </c>
      <c r="CV34" s="79">
        <f t="array" ref="CV34">SUMIFS('Cắt lồng'!$AC$327:$AC$515,'Cắt lồng'!$AA$327:$AA$515,'Cắt lồng'!$AA34,'Cắt lồng'!$AE$327:$AE$515,'Cắt lồng'!CV$4:CV$4)</f>
        <v>0</v>
      </c>
      <c r="CW34" s="79">
        <f t="array" ref="CW34">SUMIFS('Cắt lồng'!$AH$327:$AH$515,'Cắt lồng'!$AA$327:$AA$515,'Cắt lồng'!$AA34,'Cắt lồng'!$AE$327:$AE$515,'Cắt lồng'!CW$4:CW$4)</f>
        <v>0</v>
      </c>
      <c r="CX34" s="109" t="e">
        <f t="shared" si="56"/>
        <v>#DIV/0!</v>
      </c>
      <c r="CY34" s="79">
        <f t="array" ref="CY34">SUMIFS('Cắt lồng'!$AC$327:$AC$515,'Cắt lồng'!$AA$327:$AA$515,'Cắt lồng'!$AA34,'Cắt lồng'!$AE$327:$AE$515,'Cắt lồng'!CY$4:CY$4)</f>
        <v>0</v>
      </c>
      <c r="CZ34" s="79">
        <f t="array" ref="CZ34">SUMIFS('Cắt lồng'!$AH$327:$AH$515,'Cắt lồng'!$AA$327:$AA$515,'Cắt lồng'!$AA34,'Cắt lồng'!$AE$327:$AE$515,'Cắt lồng'!CZ$4:CZ$4)</f>
        <v>0</v>
      </c>
      <c r="DA34" s="109" t="e">
        <f t="shared" si="57"/>
        <v>#DIV/0!</v>
      </c>
      <c r="DB34" s="79">
        <f t="array" ref="DB34">SUMIFS('Cắt lồng'!$AC$327:$AC$515,'Cắt lồng'!$AA$327:$AA$515,'Cắt lồng'!$AA34,'Cắt lồng'!$AE$327:$AE$515,'Cắt lồng'!DB$4:DB$4)</f>
        <v>0</v>
      </c>
      <c r="DC34" s="79">
        <f t="array" ref="DC34">SUMIFS('Cắt lồng'!$AH$327:$AH$515,'Cắt lồng'!$AA$327:$AA$515,'Cắt lồng'!$AA34,'Cắt lồng'!$AE$327:$AE$515,'Cắt lồng'!DC$4:DC$4)</f>
        <v>0</v>
      </c>
      <c r="DD34" s="109" t="e">
        <f t="shared" si="58"/>
        <v>#DIV/0!</v>
      </c>
      <c r="DE34" s="79">
        <f t="array" ref="DE34">SUMIFS('Cắt lồng'!$AC$327:$AC$515,'Cắt lồng'!$AA$327:$AA$515,'Cắt lồng'!$AA34,'Cắt lồng'!$AE$327:$AE$515,'Cắt lồng'!DE$4:DE$4)</f>
        <v>0</v>
      </c>
      <c r="DF34" s="79">
        <f t="array" ref="DF34">SUMIFS('Cắt lồng'!$AH$327:$AH$515,'Cắt lồng'!$AA$327:$AA$515,'Cắt lồng'!$AA34,'Cắt lồng'!$AE$327:$AE$515,'Cắt lồng'!DF$4:DF$4)</f>
        <v>0</v>
      </c>
      <c r="DG34" s="109" t="e">
        <f t="shared" si="59"/>
        <v>#DIV/0!</v>
      </c>
      <c r="DH34" s="79">
        <f t="array" ref="DH34">SUMIFS('Cắt lồng'!$AC$327:$AC$515,'Cắt lồng'!$AA$327:$AA$515,'Cắt lồng'!$AA34,'Cắt lồng'!$AE$327:$AE$515,'Cắt lồng'!DH$4:DH$4)</f>
        <v>0</v>
      </c>
      <c r="DI34" s="79">
        <f t="array" ref="DI34">SUMIFS('Cắt lồng'!$AH$327:$AH$515,'Cắt lồng'!$AA$327:$AA$515,'Cắt lồng'!$AA34,'Cắt lồng'!$AE$327:$AE$515,'Cắt lồng'!DI$4:DI$4)</f>
        <v>0</v>
      </c>
      <c r="DJ34" s="109" t="e">
        <f t="shared" si="60"/>
        <v>#DIV/0!</v>
      </c>
      <c r="DK34" s="79">
        <f t="array" ref="DK34">SUMIFS('Cắt lồng'!$AC$327:$AC$515,'Cắt lồng'!$AA$327:$AA$515,'Cắt lồng'!$AA34,'Cắt lồng'!$AE$327:$AE$515,'Cắt lồng'!DK$4:DK$4)</f>
        <v>0</v>
      </c>
      <c r="DL34" s="79">
        <f t="array" ref="DL34">SUMIFS('Cắt lồng'!$AH$327:$AH$515,'Cắt lồng'!$AA$327:$AA$515,'Cắt lồng'!$AA34,'Cắt lồng'!$AE$327:$AE$515,'Cắt lồng'!DL$4:DL$4)</f>
        <v>0</v>
      </c>
      <c r="DM34" s="109" t="e">
        <f t="shared" si="61"/>
        <v>#DIV/0!</v>
      </c>
      <c r="DN34" s="79">
        <f>SUMIFS('Cắt lồng'!$AC$327:$AC$515,'Cắt lồng'!$AA$327:$AA$515,'Cắt lồng'!$AA34,'Cắt lồng'!$AE$327:$AE$515,'Cắt lồng'!DN$4:DN$4)</f>
        <v>0</v>
      </c>
      <c r="DO34" s="79">
        <f t="array" ref="DO34">SUMIFS('Cắt lồng'!$AH$327:$AH$515,'Cắt lồng'!$AA$327:$AA$515,'Cắt lồng'!$AA34,'Cắt lồng'!$AE$327:$AE$515,'Cắt lồng'!DO$4:DO$4)</f>
        <v>0</v>
      </c>
      <c r="DP34" s="109" t="e">
        <f t="shared" si="62"/>
        <v>#DIV/0!</v>
      </c>
      <c r="DQ34" s="79">
        <f t="array" ref="DQ34">SUMIFS('Cắt lồng'!$AC$327:$AC$515,'Cắt lồng'!$AA$327:$AA$515,'Cắt lồng'!$AA34,'Cắt lồng'!$AE$327:$AE$515,'Cắt lồng'!DQ$4:DQ$4)</f>
        <v>0</v>
      </c>
      <c r="DR34" s="79">
        <f t="array" ref="DR34">SUMIFS('Cắt lồng'!$AH$327:$AH$515,'Cắt lồng'!$AA$327:$AA$515,'Cắt lồng'!$AA34,'Cắt lồng'!$AE$327:$AE$515,'Cắt lồng'!DR$4:DR$4)</f>
        <v>0</v>
      </c>
      <c r="DS34" s="109" t="e">
        <f t="shared" si="63"/>
        <v>#DIV/0!</v>
      </c>
      <c r="DT34" s="79">
        <f t="array" ref="DT34">SUMIFS('Cắt lồng'!$AC$327:$AC$515,'Cắt lồng'!$AA$327:$AA$515,'Cắt lồng'!$AA34,'Cắt lồng'!$AE$327:$AE$515,'Cắt lồng'!DT$4:DT$4)</f>
        <v>0</v>
      </c>
      <c r="DU34" s="79">
        <f t="array" ref="DU34">SUMIFS('Cắt lồng'!$AH$327:$AH$515,'Cắt lồng'!$AA$327:$AA$515,'Cắt lồng'!$AA34,'Cắt lồng'!$AE$327:$AE$515,'Cắt lồng'!DU$4:DU$4)</f>
        <v>0</v>
      </c>
      <c r="DV34" s="109" t="e">
        <f t="shared" si="64"/>
        <v>#DIV/0!</v>
      </c>
      <c r="DW34" s="79">
        <f t="array" ref="DW34">SUMIFS('Cắt lồng'!$AC$327:$AC$515,'Cắt lồng'!$AA$327:$AA$515,'Cắt lồng'!$AA34,'Cắt lồng'!$AE$327:$AE$515,'Cắt lồng'!DW$4:DW$4)</f>
        <v>0</v>
      </c>
      <c r="DX34" s="79">
        <f t="array" ref="DX34">SUMIFS('Cắt lồng'!$AH$327:$AH$515,'Cắt lồng'!$AA$327:$AA$515,'Cắt lồng'!$AA34,'Cắt lồng'!$AE$327:$AE$515,'Cắt lồng'!DX$4:DX$4)</f>
        <v>0</v>
      </c>
      <c r="DY34" s="109" t="e">
        <f t="shared" si="65"/>
        <v>#DIV/0!</v>
      </c>
      <c r="DZ34" s="79">
        <f t="array" ref="DZ34">SUMIFS('Cắt lồng'!$AC$327:$AC$515,'Cắt lồng'!$AA$327:$AA$515,'Cắt lồng'!$AA34,'Cắt lồng'!$AE$327:$AE$515,'Cắt lồng'!DZ$4:DZ$4)</f>
        <v>0</v>
      </c>
      <c r="EA34" s="79">
        <f t="array" ref="EA34">SUMIFS('Cắt lồng'!$AH$327:$AH$515,'Cắt lồng'!$AA$327:$AA$515,'Cắt lồng'!$AA34,'Cắt lồng'!$AE$327:$AE$515,'Cắt lồng'!EA$4:EA$4)</f>
        <v>0</v>
      </c>
      <c r="EB34" s="109" t="e">
        <f t="shared" si="66"/>
        <v>#DIV/0!</v>
      </c>
      <c r="EC34" s="79">
        <f t="array" ref="EC34">SUMIFS('Cắt lồng'!$AC$327:$AC$515,'Cắt lồng'!$AA$327:$AA$515,'Cắt lồng'!$AA34,'Cắt lồng'!$AE$327:$AE$515,'Cắt lồng'!EC$4:EC$4)</f>
        <v>0</v>
      </c>
      <c r="ED34" s="79">
        <f t="array" ref="ED34">SUMIFS('Cắt lồng'!$AH$327:$AH$515,'Cắt lồng'!$AA$327:$AA$515,'Cắt lồng'!$AA34,'Cắt lồng'!$AE$327:$AE$515,'Cắt lồng'!ED$4:ED$4)</f>
        <v>0</v>
      </c>
      <c r="EE34" s="109" t="e">
        <f t="shared" si="67"/>
        <v>#DIV/0!</v>
      </c>
      <c r="EF34" s="79">
        <f t="array" ref="EF34">SUMIFS('Cắt lồng'!$AC$327:$AC$515,'Cắt lồng'!$AA$327:$AA$515,'Cắt lồng'!$AA34,'Cắt lồng'!$AE$327:$AE$515,'Cắt lồng'!EF$4:EF$4)</f>
        <v>0</v>
      </c>
      <c r="EG34" s="79">
        <f t="array" ref="EG34">SUMIFS('Cắt lồng'!$AH$327:$AH$515,'Cắt lồng'!$AA$327:$AA$515,'Cắt lồng'!$AA34,'Cắt lồng'!$AE$327:$AE$515,'Cắt lồng'!EG$4:EG$4)</f>
        <v>0</v>
      </c>
      <c r="EH34" s="109" t="e">
        <f t="shared" si="68"/>
        <v>#DIV/0!</v>
      </c>
      <c r="EI34" s="79">
        <f t="array" ref="EI34">SUMIFS('Cắt lồng'!$AC$327:$AC$515,'Cắt lồng'!$AA$327:$AA$515,'Cắt lồng'!$AA34,'Cắt lồng'!$AE$327:$AE$515,'Cắt lồng'!EI$4:EI$4)</f>
        <v>0</v>
      </c>
      <c r="EJ34" s="79">
        <f t="array" ref="EJ34">SUMIFS('Cắt lồng'!$AH$327:$AH$515,'Cắt lồng'!$AA$327:$AA$515,'Cắt lồng'!$AA34,'Cắt lồng'!$AE$327:$AE$515,'Cắt lồng'!EJ$4:EJ$4)</f>
        <v>0</v>
      </c>
      <c r="EK34" s="109" t="e">
        <f t="shared" si="69"/>
        <v>#DIV/0!</v>
      </c>
    </row>
    <row r="35" spans="1:142" s="12" customFormat="1" ht="14.25" hidden="1" customHeight="1">
      <c r="A35" s="25">
        <v>30</v>
      </c>
      <c r="B35" s="121" t="s">
        <v>190</v>
      </c>
      <c r="C35" s="121" t="s">
        <v>190</v>
      </c>
      <c r="D35" s="63"/>
      <c r="E35" s="197"/>
      <c r="F35" s="56"/>
      <c r="G35" s="82">
        <f t="shared" si="1"/>
        <v>0</v>
      </c>
      <c r="H35" s="81">
        <f t="shared" si="2"/>
        <v>9.5633516483516487</v>
      </c>
      <c r="I35" s="19">
        <f t="shared" si="3"/>
        <v>0</v>
      </c>
      <c r="J35" s="11">
        <f t="shared" si="4"/>
        <v>0</v>
      </c>
      <c r="K35" s="19">
        <f t="shared" si="5"/>
        <v>0</v>
      </c>
      <c r="L35" s="19">
        <f t="shared" si="6"/>
        <v>0</v>
      </c>
      <c r="M35" s="19">
        <f t="shared" si="7"/>
        <v>0</v>
      </c>
      <c r="N35" s="19">
        <f t="shared" si="8"/>
        <v>0</v>
      </c>
      <c r="O35" s="19">
        <f t="shared" si="9"/>
        <v>0</v>
      </c>
      <c r="P35" s="19">
        <f t="shared" si="10"/>
        <v>0</v>
      </c>
      <c r="Q35" s="19">
        <f t="shared" si="11"/>
        <v>0</v>
      </c>
      <c r="R35" s="19">
        <f t="shared" si="12"/>
        <v>0</v>
      </c>
      <c r="S35" s="19">
        <f t="shared" si="13"/>
        <v>0</v>
      </c>
      <c r="T35" s="19">
        <f t="shared" si="14"/>
        <v>0</v>
      </c>
      <c r="U35" s="19">
        <f t="shared" si="15"/>
        <v>0</v>
      </c>
      <c r="V35" s="19">
        <f t="shared" si="16"/>
        <v>0</v>
      </c>
      <c r="W35" s="19">
        <f t="shared" si="17"/>
        <v>0</v>
      </c>
      <c r="X35" s="19">
        <f t="shared" si="18"/>
        <v>0</v>
      </c>
      <c r="Y35" s="19">
        <f t="shared" si="19"/>
        <v>0</v>
      </c>
      <c r="Z35" s="19">
        <f t="shared" si="20"/>
        <v>0</v>
      </c>
      <c r="AA35" s="164" t="s">
        <v>19</v>
      </c>
      <c r="AB35" s="129" t="e">
        <f t="shared" si="21"/>
        <v>#VALUE!</v>
      </c>
      <c r="AC35" s="16">
        <f t="shared" si="22"/>
        <v>1750</v>
      </c>
      <c r="AD35" s="15" t="e">
        <f t="shared" si="23"/>
        <v>#VALUE!</v>
      </c>
      <c r="AE35" s="42"/>
      <c r="AF35" s="10">
        <f t="shared" si="24"/>
        <v>182.99023860548223</v>
      </c>
      <c r="AG35" s="10"/>
      <c r="AH35" s="127">
        <f t="shared" si="25"/>
        <v>0</v>
      </c>
      <c r="AI35" s="54">
        <f t="shared" si="26"/>
        <v>0</v>
      </c>
      <c r="AJ35" s="25">
        <f t="shared" si="27"/>
        <v>0</v>
      </c>
      <c r="AK35" s="25">
        <f t="shared" si="28"/>
        <v>0</v>
      </c>
      <c r="AL35" s="30">
        <f t="shared" si="29"/>
        <v>0</v>
      </c>
      <c r="AM35" s="30">
        <f t="shared" ref="AM35:AM63" si="73">+SUMIF($AA$327:$AA$515,AA35,$AM$327:$AM$515)</f>
        <v>0</v>
      </c>
      <c r="AN35" s="30">
        <f t="shared" ref="AN35:AN63" si="74">+SUMIF($AA$327:$AA$515,AA35,$AN$327:$AN$515)</f>
        <v>0</v>
      </c>
      <c r="AO35" s="30">
        <f>+SUMIF($AA$327:$AA$515,AA35,$AO$327:$AO$515)+AO41</f>
        <v>0</v>
      </c>
      <c r="AP35" s="30">
        <f>+SUMIF($AA$327:$AA$515,AA35,$AP$327:$AP$515)+AP41</f>
        <v>0</v>
      </c>
      <c r="AQ35" s="30">
        <f>+SUMIF($AA$327:$AA$515,AA35,$AQ$327:$AQ$515)+AQ41</f>
        <v>0</v>
      </c>
      <c r="AR35" s="30">
        <f t="shared" si="35"/>
        <v>0</v>
      </c>
      <c r="AS35" s="30">
        <f t="shared" si="36"/>
        <v>0</v>
      </c>
      <c r="AT35" s="30">
        <f>+SUMIF($AA$327:$AA$515,AA35,$AT$327:$AT$515)+AT41</f>
        <v>0</v>
      </c>
      <c r="AU35" s="80"/>
      <c r="AV35" s="110">
        <f t="shared" si="38"/>
        <v>9.5633516483516487</v>
      </c>
      <c r="AW35" s="79">
        <f t="array" ref="AW35">SUMIFS('Cắt lồng'!$AC$327:$AC$515,'Cắt lồng'!$AA$327:$AA$515,'Cắt lồng'!$AA35,'Cắt lồng'!$AE$327:$AE$515,'Cắt lồng'!AW$4:AW$4)</f>
        <v>1750</v>
      </c>
      <c r="AX35" s="79">
        <f t="array" ref="AX35">SUMIFS('Cắt lồng'!$AH$327:$AH$515,'Cắt lồng'!$AA$327:$AA$515,'Cắt lồng'!$AA35,'Cắt lồng'!$AE$327:$AE$515,'Cắt lồng'!AX$4:AX$4)</f>
        <v>0</v>
      </c>
      <c r="AY35" s="109">
        <f t="shared" si="39"/>
        <v>0</v>
      </c>
      <c r="AZ35" s="79">
        <f t="array" ref="AZ35">SUMIFS('Cắt lồng'!$AC$327:$AC$515,'Cắt lồng'!$AA$327:$AA$515,'Cắt lồng'!$AA35,'Cắt lồng'!$AE$327:$AE$515,'Cắt lồng'!AZ$4:AZ$4)</f>
        <v>0</v>
      </c>
      <c r="BA35" s="79">
        <f t="array" ref="BA35">SUMIFS('Cắt lồng'!$AH$327:$AH$515,'Cắt lồng'!$AA$327:$AA$515,'Cắt lồng'!$AA35,'Cắt lồng'!$AE$327:$AE$515,'Cắt lồng'!BA$4:BA$4)</f>
        <v>0</v>
      </c>
      <c r="BB35" s="109" t="e">
        <f t="shared" si="40"/>
        <v>#DIV/0!</v>
      </c>
      <c r="BC35" s="79">
        <f t="array" ref="BC35">SUMIFS('Cắt lồng'!$AC$327:$AC$515,'Cắt lồng'!$AA$327:$AA$515,'Cắt lồng'!$AA35,'Cắt lồng'!$AE$327:$AE$515,'Cắt lồng'!BC$4:BC$4)</f>
        <v>0</v>
      </c>
      <c r="BD35" s="79">
        <f t="array" ref="BD35">SUMIFS('Cắt lồng'!$AH$327:$AH$515,'Cắt lồng'!$AA$327:$AA$515,'Cắt lồng'!$AA35,'Cắt lồng'!$AE$327:$AE$515,'Cắt lồng'!BD$4:BD$4)</f>
        <v>0</v>
      </c>
      <c r="BE35" s="109" t="e">
        <f t="shared" si="41"/>
        <v>#DIV/0!</v>
      </c>
      <c r="BF35" s="79">
        <f t="array" ref="BF35">SUMIFS('Cắt lồng'!$AC$327:$AC$515,'Cắt lồng'!$AA$327:$AA$515,'Cắt lồng'!$AA35,'Cắt lồng'!$AE$327:$AE$515,'Cắt lồng'!BF$4:BF$4)</f>
        <v>0</v>
      </c>
      <c r="BG35" s="79">
        <f t="array" ref="BG35">SUMIFS('Cắt lồng'!$AH$327:$AH$515,'Cắt lồng'!$AA$327:$AA$515,'Cắt lồng'!$AA35,'Cắt lồng'!$AE$327:$AE$515,'Cắt lồng'!BG$4:BG$4)</f>
        <v>0</v>
      </c>
      <c r="BH35" s="109" t="e">
        <f t="shared" si="42"/>
        <v>#DIV/0!</v>
      </c>
      <c r="BI35" s="79">
        <f t="array" ref="BI35">SUMIFS('Cắt lồng'!$AC$327:$AC$515,'Cắt lồng'!$AA$327:$AA$515,'Cắt lồng'!$AA35,'Cắt lồng'!$AE$327:$AE$515,'Cắt lồng'!BI$4:BI$4)</f>
        <v>0</v>
      </c>
      <c r="BJ35" s="79">
        <f t="array" ref="BJ35">SUMIFS('Cắt lồng'!$AH$327:$AH$515,'Cắt lồng'!$AA$327:$AA$515,'Cắt lồng'!$AA35,'Cắt lồng'!$AE$327:$AE$515,'Cắt lồng'!BJ$4:BJ$4)</f>
        <v>0</v>
      </c>
      <c r="BK35" s="109" t="e">
        <f t="shared" si="43"/>
        <v>#DIV/0!</v>
      </c>
      <c r="BL35" s="79">
        <f t="array" ref="BL35">SUMIFS('Cắt lồng'!$AC$327:$AC$515,'Cắt lồng'!$AA$327:$AA$515,'Cắt lồng'!$AA35,'Cắt lồng'!$AE$327:$AE$515,'Cắt lồng'!BL$4:BL$4)</f>
        <v>0</v>
      </c>
      <c r="BM35" s="79">
        <f t="array" ref="BM35">SUMIFS('Cắt lồng'!$AH$327:$AH$515,'Cắt lồng'!$AA$327:$AA$515,'Cắt lồng'!$AA35,'Cắt lồng'!$AE$327:$AE$515,'Cắt lồng'!BM$4:BM$4)</f>
        <v>0</v>
      </c>
      <c r="BN35" s="109" t="e">
        <f t="shared" si="44"/>
        <v>#DIV/0!</v>
      </c>
      <c r="BO35" s="79">
        <f t="array" ref="BO35">SUMIFS('Cắt lồng'!$AC$327:$AC$515,'Cắt lồng'!$AA$327:$AA$515,'Cắt lồng'!$AA35,'Cắt lồng'!$AE$327:$AE$515,'Cắt lồng'!BO$4:BO$4)</f>
        <v>0</v>
      </c>
      <c r="BP35" s="79">
        <f t="array" ref="BP35">SUMIFS('Cắt lồng'!$AH$327:$AH$515,'Cắt lồng'!$AA$327:$AA$515,'Cắt lồng'!$AA35,'Cắt lồng'!$AE$327:$AE$515,'Cắt lồng'!BP$4:BP$4)</f>
        <v>0</v>
      </c>
      <c r="BQ35" s="109" t="e">
        <f t="shared" si="45"/>
        <v>#DIV/0!</v>
      </c>
      <c r="BR35" s="79">
        <f t="array" ref="BR35">SUMIFS('Cắt lồng'!$AC$327:$AC$515,'Cắt lồng'!$AA$327:$AA$515,'Cắt lồng'!$AA35,'Cắt lồng'!$AE$327:$AE$515,'Cắt lồng'!BR$4:BR$4)</f>
        <v>0</v>
      </c>
      <c r="BS35" s="79">
        <f t="array" ref="BS35">SUMIFS('Cắt lồng'!$AH$327:$AH$515,'Cắt lồng'!$AA$327:$AA$515,'Cắt lồng'!$AA35,'Cắt lồng'!$AE$327:$AE$515,'Cắt lồng'!BS$4:BS$4)</f>
        <v>0</v>
      </c>
      <c r="BT35" s="109" t="e">
        <f t="shared" si="46"/>
        <v>#DIV/0!</v>
      </c>
      <c r="BU35" s="79">
        <f t="array" ref="BU35">SUMIFS('Cắt lồng'!$AC$327:$AC$515,'Cắt lồng'!$AA$327:$AA$515,'Cắt lồng'!$AA35,'Cắt lồng'!$AE$327:$AE$515,'Cắt lồng'!BU$4:BU$4)</f>
        <v>0</v>
      </c>
      <c r="BV35" s="79">
        <f t="array" ref="BV35">SUMIFS('Cắt lồng'!$AH$327:$AH$515,'Cắt lồng'!$AA$327:$AA$515,'Cắt lồng'!$AA35,'Cắt lồng'!$AE$327:$AE$515,'Cắt lồng'!BV$4:BV$4)</f>
        <v>0</v>
      </c>
      <c r="BW35" s="109" t="e">
        <f t="shared" si="47"/>
        <v>#DIV/0!</v>
      </c>
      <c r="BX35" s="79">
        <f t="array" ref="BX35">SUMIFS('Cắt lồng'!$AC$327:$AC$515,'Cắt lồng'!$AA$327:$AA$515,'Cắt lồng'!$AA35,'Cắt lồng'!$AE$327:$AE$515,'Cắt lồng'!BX$4:BX$4)</f>
        <v>0</v>
      </c>
      <c r="BY35" s="79">
        <f t="array" ref="BY35">SUMIFS('Cắt lồng'!$AH$327:$AH$515,'Cắt lồng'!$AA$327:$AA$515,'Cắt lồng'!$AA35,'Cắt lồng'!$AE$327:$AE$515,'Cắt lồng'!BY$4:BY$4)</f>
        <v>0</v>
      </c>
      <c r="BZ35" s="109" t="e">
        <f t="shared" si="48"/>
        <v>#DIV/0!</v>
      </c>
      <c r="CA35" s="79">
        <f t="array" ref="CA35">SUMIFS('Cắt lồng'!$AC$327:$AC$515,'Cắt lồng'!$AA$327:$AA$515,'Cắt lồng'!$AA35,'Cắt lồng'!$AE$327:$AE$515,'Cắt lồng'!CA$4:CA$4)</f>
        <v>0</v>
      </c>
      <c r="CB35" s="79">
        <f t="array" ref="CB35">SUMIFS('Cắt lồng'!$AH$327:$AH$515,'Cắt lồng'!$AA$327:$AA$515,'Cắt lồng'!$AA35,'Cắt lồng'!$AE$327:$AE$515,'Cắt lồng'!CB$4:CB$4)</f>
        <v>0</v>
      </c>
      <c r="CC35" s="109" t="e">
        <f t="shared" si="49"/>
        <v>#DIV/0!</v>
      </c>
      <c r="CD35" s="79">
        <f t="array" ref="CD35">SUMIFS('Cắt lồng'!$AC$327:$AC$515,'Cắt lồng'!$AA$327:$AA$515,'Cắt lồng'!$AA35,'Cắt lồng'!$AE$327:$AE$515,'Cắt lồng'!CD$4:CD$4)</f>
        <v>0</v>
      </c>
      <c r="CE35" s="79">
        <f t="array" ref="CE35">SUMIFS('Cắt lồng'!$AH$327:$AH$515,'Cắt lồng'!$AA$327:$AA$515,'Cắt lồng'!$AA35,'Cắt lồng'!$AE$327:$AE$515,'Cắt lồng'!CE$4:CE$4)</f>
        <v>0</v>
      </c>
      <c r="CF35" s="109" t="e">
        <f t="shared" si="50"/>
        <v>#DIV/0!</v>
      </c>
      <c r="CG35" s="79">
        <f t="array" ref="CG35">SUMIFS('Cắt lồng'!$AC$327:$AC$515,'Cắt lồng'!$AA$327:$AA$515,'Cắt lồng'!$AA35,'Cắt lồng'!$AE$327:$AE$515,'Cắt lồng'!CG$4:CG$4)</f>
        <v>0</v>
      </c>
      <c r="CH35" s="79">
        <f t="array" ref="CH35">SUMIFS('Cắt lồng'!$AH$327:$AH$515,'Cắt lồng'!$AA$327:$AA$515,'Cắt lồng'!$AA35,'Cắt lồng'!$AE$327:$AE$515,'Cắt lồng'!CH$4:CH$4)</f>
        <v>0</v>
      </c>
      <c r="CI35" s="109" t="e">
        <f t="shared" si="51"/>
        <v>#DIV/0!</v>
      </c>
      <c r="CJ35" s="79">
        <f t="array" ref="CJ35">SUMIFS('Cắt lồng'!$AC$327:$AC$515,'Cắt lồng'!$AA$327:$AA$515,'Cắt lồng'!$AA35,'Cắt lồng'!$AE$327:$AE$515,'Cắt lồng'!CJ$4:CJ$4)</f>
        <v>0</v>
      </c>
      <c r="CK35" s="79">
        <f t="array" ref="CK35">SUMIFS('Cắt lồng'!$AH$327:$AH$515,'Cắt lồng'!$AA$327:$AA$515,'Cắt lồng'!$AA35,'Cắt lồng'!$AE$327:$AE$515,'Cắt lồng'!CK$4:CK$4)</f>
        <v>0</v>
      </c>
      <c r="CL35" s="109" t="e">
        <f t="shared" si="52"/>
        <v>#DIV/0!</v>
      </c>
      <c r="CM35" s="79">
        <f t="array" ref="CM35">SUMIFS('Cắt lồng'!$AC$327:$AC$515,'Cắt lồng'!$AA$327:$AA$515,'Cắt lồng'!$AA35,'Cắt lồng'!$AE$327:$AE$515,'Cắt lồng'!CM$4:CM$4)</f>
        <v>0</v>
      </c>
      <c r="CN35" s="79">
        <f t="array" ref="CN35">SUMIFS('Cắt lồng'!$AH$327:$AH$515,'Cắt lồng'!$AA$327:$AA$515,'Cắt lồng'!$AA35,'Cắt lồng'!$AE$327:$AE$515,'Cắt lồng'!CN$4:CN$4)</f>
        <v>0</v>
      </c>
      <c r="CO35" s="109" t="e">
        <f t="shared" si="53"/>
        <v>#DIV/0!</v>
      </c>
      <c r="CP35" s="79">
        <f t="array" ref="CP35">SUMIFS('Cắt lồng'!$AC$327:$AC$515,'Cắt lồng'!$AA$327:$AA$515,'Cắt lồng'!$AA35,'Cắt lồng'!$AE$327:$AE$515,'Cắt lồng'!CP$4:CP$4)</f>
        <v>0</v>
      </c>
      <c r="CQ35" s="79">
        <f t="array" ref="CQ35">SUMIFS('Cắt lồng'!$AH$327:$AH$515,'Cắt lồng'!$AA$327:$AA$515,'Cắt lồng'!$AA35,'Cắt lồng'!$AE$327:$AE$515,'Cắt lồng'!CQ$4:CQ$4)</f>
        <v>0</v>
      </c>
      <c r="CR35" s="109" t="e">
        <f t="shared" si="54"/>
        <v>#DIV/0!</v>
      </c>
      <c r="CS35" s="79">
        <f t="array" ref="CS35">SUMIFS('Cắt lồng'!$AC$327:$AC$515,'Cắt lồng'!$AA$327:$AA$515,'Cắt lồng'!$AA35,'Cắt lồng'!$AE$327:$AE$515,'Cắt lồng'!CS$4:CS$4)</f>
        <v>0</v>
      </c>
      <c r="CT35" s="79">
        <f t="array" ref="CT35">SUMIFS('Cắt lồng'!$AH$327:$AH$515,'Cắt lồng'!$AA$327:$AA$515,'Cắt lồng'!$AA35,'Cắt lồng'!$AE$327:$AE$515,'Cắt lồng'!CT$4:CT$4)</f>
        <v>0</v>
      </c>
      <c r="CU35" s="109" t="e">
        <f t="shared" si="55"/>
        <v>#DIV/0!</v>
      </c>
      <c r="CV35" s="79">
        <f t="array" ref="CV35">SUMIFS('Cắt lồng'!$AC$327:$AC$515,'Cắt lồng'!$AA$327:$AA$515,'Cắt lồng'!$AA35,'Cắt lồng'!$AE$327:$AE$515,'Cắt lồng'!CV$4:CV$4)</f>
        <v>0</v>
      </c>
      <c r="CW35" s="79">
        <f t="array" ref="CW35">SUMIFS('Cắt lồng'!$AH$327:$AH$515,'Cắt lồng'!$AA$327:$AA$515,'Cắt lồng'!$AA35,'Cắt lồng'!$AE$327:$AE$515,'Cắt lồng'!CW$4:CW$4)</f>
        <v>0</v>
      </c>
      <c r="CX35" s="109" t="e">
        <f t="shared" si="56"/>
        <v>#DIV/0!</v>
      </c>
      <c r="CY35" s="79">
        <f t="array" ref="CY35">SUMIFS('Cắt lồng'!$AC$327:$AC$515,'Cắt lồng'!$AA$327:$AA$515,'Cắt lồng'!$AA35,'Cắt lồng'!$AE$327:$AE$515,'Cắt lồng'!CY$4:CY$4)</f>
        <v>0</v>
      </c>
      <c r="CZ35" s="79">
        <f t="array" ref="CZ35">SUMIFS('Cắt lồng'!$AH$327:$AH$515,'Cắt lồng'!$AA$327:$AA$515,'Cắt lồng'!$AA35,'Cắt lồng'!$AE$327:$AE$515,'Cắt lồng'!CZ$4:CZ$4)</f>
        <v>0</v>
      </c>
      <c r="DA35" s="109" t="e">
        <f t="shared" si="57"/>
        <v>#DIV/0!</v>
      </c>
      <c r="DB35" s="79">
        <f t="array" ref="DB35">SUMIFS('Cắt lồng'!$AC$327:$AC$515,'Cắt lồng'!$AA$327:$AA$515,'Cắt lồng'!$AA35,'Cắt lồng'!$AE$327:$AE$515,'Cắt lồng'!DB$4:DB$4)</f>
        <v>0</v>
      </c>
      <c r="DC35" s="79">
        <f t="array" ref="DC35">SUMIFS('Cắt lồng'!$AH$327:$AH$515,'Cắt lồng'!$AA$327:$AA$515,'Cắt lồng'!$AA35,'Cắt lồng'!$AE$327:$AE$515,'Cắt lồng'!DC$4:DC$4)</f>
        <v>0</v>
      </c>
      <c r="DD35" s="109" t="e">
        <f t="shared" si="58"/>
        <v>#DIV/0!</v>
      </c>
      <c r="DE35" s="79">
        <f t="array" ref="DE35">SUMIFS('Cắt lồng'!$AC$327:$AC$515,'Cắt lồng'!$AA$327:$AA$515,'Cắt lồng'!$AA35,'Cắt lồng'!$AE$327:$AE$515,'Cắt lồng'!DE$4:DE$4)</f>
        <v>0</v>
      </c>
      <c r="DF35" s="79">
        <f t="array" ref="DF35">SUMIFS('Cắt lồng'!$AH$327:$AH$515,'Cắt lồng'!$AA$327:$AA$515,'Cắt lồng'!$AA35,'Cắt lồng'!$AE$327:$AE$515,'Cắt lồng'!DF$4:DF$4)</f>
        <v>0</v>
      </c>
      <c r="DG35" s="109" t="e">
        <f t="shared" si="59"/>
        <v>#DIV/0!</v>
      </c>
      <c r="DH35" s="79">
        <f t="array" ref="DH35">SUMIFS('Cắt lồng'!$AC$327:$AC$515,'Cắt lồng'!$AA$327:$AA$515,'Cắt lồng'!$AA35,'Cắt lồng'!$AE$327:$AE$515,'Cắt lồng'!DH$4:DH$4)</f>
        <v>0</v>
      </c>
      <c r="DI35" s="79">
        <f t="array" ref="DI35">SUMIFS('Cắt lồng'!$AH$327:$AH$515,'Cắt lồng'!$AA$327:$AA$515,'Cắt lồng'!$AA35,'Cắt lồng'!$AE$327:$AE$515,'Cắt lồng'!DI$4:DI$4)</f>
        <v>0</v>
      </c>
      <c r="DJ35" s="109" t="e">
        <f t="shared" si="60"/>
        <v>#DIV/0!</v>
      </c>
      <c r="DK35" s="79">
        <f t="array" ref="DK35">SUMIFS('Cắt lồng'!$AC$327:$AC$515,'Cắt lồng'!$AA$327:$AA$515,'Cắt lồng'!$AA35,'Cắt lồng'!$AE$327:$AE$515,'Cắt lồng'!DK$4:DK$4)</f>
        <v>0</v>
      </c>
      <c r="DL35" s="79">
        <f t="array" ref="DL35">SUMIFS('Cắt lồng'!$AH$327:$AH$515,'Cắt lồng'!$AA$327:$AA$515,'Cắt lồng'!$AA35,'Cắt lồng'!$AE$327:$AE$515,'Cắt lồng'!DL$4:DL$4)</f>
        <v>0</v>
      </c>
      <c r="DM35" s="109" t="e">
        <f t="shared" si="61"/>
        <v>#DIV/0!</v>
      </c>
      <c r="DN35" s="79">
        <f>SUMIFS('Cắt lồng'!$AC$327:$AC$515,'Cắt lồng'!$AA$327:$AA$515,'Cắt lồng'!$AA35,'Cắt lồng'!$AE$327:$AE$515,'Cắt lồng'!DN$4:DN$4)</f>
        <v>0</v>
      </c>
      <c r="DO35" s="79">
        <f t="array" ref="DO35">SUMIFS('Cắt lồng'!$AH$327:$AH$515,'Cắt lồng'!$AA$327:$AA$515,'Cắt lồng'!$AA35,'Cắt lồng'!$AE$327:$AE$515,'Cắt lồng'!DO$4:DO$4)</f>
        <v>0</v>
      </c>
      <c r="DP35" s="109" t="e">
        <f t="shared" si="62"/>
        <v>#DIV/0!</v>
      </c>
      <c r="DQ35" s="79">
        <f t="array" ref="DQ35">SUMIFS('Cắt lồng'!$AC$327:$AC$515,'Cắt lồng'!$AA$327:$AA$515,'Cắt lồng'!$AA35,'Cắt lồng'!$AE$327:$AE$515,'Cắt lồng'!DQ$4:DQ$4)</f>
        <v>0</v>
      </c>
      <c r="DR35" s="79">
        <f t="array" ref="DR35">SUMIFS('Cắt lồng'!$AH$327:$AH$515,'Cắt lồng'!$AA$327:$AA$515,'Cắt lồng'!$AA35,'Cắt lồng'!$AE$327:$AE$515,'Cắt lồng'!DR$4:DR$4)</f>
        <v>0</v>
      </c>
      <c r="DS35" s="109" t="e">
        <f t="shared" si="63"/>
        <v>#DIV/0!</v>
      </c>
      <c r="DT35" s="79">
        <f t="array" ref="DT35">SUMIFS('Cắt lồng'!$AC$327:$AC$515,'Cắt lồng'!$AA$327:$AA$515,'Cắt lồng'!$AA35,'Cắt lồng'!$AE$327:$AE$515,'Cắt lồng'!DT$4:DT$4)</f>
        <v>0</v>
      </c>
      <c r="DU35" s="79">
        <f t="array" ref="DU35">SUMIFS('Cắt lồng'!$AH$327:$AH$515,'Cắt lồng'!$AA$327:$AA$515,'Cắt lồng'!$AA35,'Cắt lồng'!$AE$327:$AE$515,'Cắt lồng'!DU$4:DU$4)</f>
        <v>0</v>
      </c>
      <c r="DV35" s="109" t="e">
        <f t="shared" si="64"/>
        <v>#DIV/0!</v>
      </c>
      <c r="DW35" s="79">
        <f t="array" ref="DW35">SUMIFS('Cắt lồng'!$AC$327:$AC$515,'Cắt lồng'!$AA$327:$AA$515,'Cắt lồng'!$AA35,'Cắt lồng'!$AE$327:$AE$515,'Cắt lồng'!DW$4:DW$4)</f>
        <v>0</v>
      </c>
      <c r="DX35" s="79">
        <f t="array" ref="DX35">SUMIFS('Cắt lồng'!$AH$327:$AH$515,'Cắt lồng'!$AA$327:$AA$515,'Cắt lồng'!$AA35,'Cắt lồng'!$AE$327:$AE$515,'Cắt lồng'!DX$4:DX$4)</f>
        <v>0</v>
      </c>
      <c r="DY35" s="109" t="e">
        <f t="shared" si="65"/>
        <v>#DIV/0!</v>
      </c>
      <c r="DZ35" s="79">
        <f t="array" ref="DZ35">SUMIFS('Cắt lồng'!$AC$327:$AC$515,'Cắt lồng'!$AA$327:$AA$515,'Cắt lồng'!$AA35,'Cắt lồng'!$AE$327:$AE$515,'Cắt lồng'!DZ$4:DZ$4)</f>
        <v>0</v>
      </c>
      <c r="EA35" s="79">
        <f t="array" ref="EA35">SUMIFS('Cắt lồng'!$AH$327:$AH$515,'Cắt lồng'!$AA$327:$AA$515,'Cắt lồng'!$AA35,'Cắt lồng'!$AE$327:$AE$515,'Cắt lồng'!EA$4:EA$4)</f>
        <v>0</v>
      </c>
      <c r="EB35" s="109" t="e">
        <f t="shared" si="66"/>
        <v>#DIV/0!</v>
      </c>
      <c r="EC35" s="79">
        <f t="array" ref="EC35">SUMIFS('Cắt lồng'!$AC$327:$AC$515,'Cắt lồng'!$AA$327:$AA$515,'Cắt lồng'!$AA35,'Cắt lồng'!$AE$327:$AE$515,'Cắt lồng'!EC$4:EC$4)</f>
        <v>0</v>
      </c>
      <c r="ED35" s="79">
        <f t="array" ref="ED35">SUMIFS('Cắt lồng'!$AH$327:$AH$515,'Cắt lồng'!$AA$327:$AA$515,'Cắt lồng'!$AA35,'Cắt lồng'!$AE$327:$AE$515,'Cắt lồng'!ED$4:ED$4)</f>
        <v>0</v>
      </c>
      <c r="EE35" s="109" t="e">
        <f t="shared" si="67"/>
        <v>#DIV/0!</v>
      </c>
      <c r="EF35" s="79">
        <f t="array" ref="EF35">SUMIFS('Cắt lồng'!$AC$327:$AC$515,'Cắt lồng'!$AA$327:$AA$515,'Cắt lồng'!$AA35,'Cắt lồng'!$AE$327:$AE$515,'Cắt lồng'!EF$4:EF$4)</f>
        <v>0</v>
      </c>
      <c r="EG35" s="79">
        <f t="array" ref="EG35">SUMIFS('Cắt lồng'!$AH$327:$AH$515,'Cắt lồng'!$AA$327:$AA$515,'Cắt lồng'!$AA35,'Cắt lồng'!$AE$327:$AE$515,'Cắt lồng'!EG$4:EG$4)</f>
        <v>0</v>
      </c>
      <c r="EH35" s="109" t="e">
        <f t="shared" si="68"/>
        <v>#DIV/0!</v>
      </c>
      <c r="EI35" s="79">
        <f t="array" ref="EI35">SUMIFS('Cắt lồng'!$AC$327:$AC$515,'Cắt lồng'!$AA$327:$AA$515,'Cắt lồng'!$AA35,'Cắt lồng'!$AE$327:$AE$515,'Cắt lồng'!EI$4:EI$4)</f>
        <v>0</v>
      </c>
      <c r="EJ35" s="79">
        <f t="array" ref="EJ35">SUMIFS('Cắt lồng'!$AH$327:$AH$515,'Cắt lồng'!$AA$327:$AA$515,'Cắt lồng'!$AA35,'Cắt lồng'!$AE$327:$AE$515,'Cắt lồng'!EJ$4:EJ$4)</f>
        <v>0</v>
      </c>
      <c r="EK35" s="109" t="e">
        <f t="shared" si="69"/>
        <v>#DIV/0!</v>
      </c>
    </row>
    <row r="36" spans="1:142" s="12" customFormat="1" ht="14.25" hidden="1" customHeight="1">
      <c r="A36" s="25">
        <v>31</v>
      </c>
      <c r="B36" s="121" t="s">
        <v>182</v>
      </c>
      <c r="C36" s="121" t="s">
        <v>182</v>
      </c>
      <c r="D36" s="63"/>
      <c r="E36" s="197"/>
      <c r="F36" s="56"/>
      <c r="G36" s="82">
        <f t="shared" si="1"/>
        <v>0</v>
      </c>
      <c r="H36" s="81">
        <f t="shared" si="2"/>
        <v>0</v>
      </c>
      <c r="I36" s="19">
        <f t="shared" si="3"/>
        <v>0</v>
      </c>
      <c r="J36" s="11">
        <f t="shared" si="4"/>
        <v>0</v>
      </c>
      <c r="K36" s="19">
        <f t="shared" si="5"/>
        <v>0</v>
      </c>
      <c r="L36" s="19">
        <f t="shared" si="6"/>
        <v>0</v>
      </c>
      <c r="M36" s="19">
        <f t="shared" si="7"/>
        <v>0</v>
      </c>
      <c r="N36" s="19">
        <f t="shared" si="8"/>
        <v>0</v>
      </c>
      <c r="O36" s="19">
        <f t="shared" si="9"/>
        <v>0</v>
      </c>
      <c r="P36" s="19">
        <f t="shared" si="10"/>
        <v>0</v>
      </c>
      <c r="Q36" s="19">
        <f t="shared" si="11"/>
        <v>0</v>
      </c>
      <c r="R36" s="19">
        <f t="shared" si="12"/>
        <v>0</v>
      </c>
      <c r="S36" s="19">
        <f t="shared" si="13"/>
        <v>0</v>
      </c>
      <c r="T36" s="19">
        <f t="shared" si="14"/>
        <v>0</v>
      </c>
      <c r="U36" s="19">
        <f t="shared" si="15"/>
        <v>0</v>
      </c>
      <c r="V36" s="19">
        <f t="shared" si="16"/>
        <v>0</v>
      </c>
      <c r="W36" s="19">
        <f t="shared" si="17"/>
        <v>0</v>
      </c>
      <c r="X36" s="19">
        <f t="shared" si="18"/>
        <v>0</v>
      </c>
      <c r="Y36" s="19">
        <f t="shared" si="19"/>
        <v>0</v>
      </c>
      <c r="Z36" s="19">
        <f t="shared" si="20"/>
        <v>0</v>
      </c>
      <c r="AA36" s="164" t="s">
        <v>258</v>
      </c>
      <c r="AB36" s="129">
        <f t="shared" si="21"/>
        <v>0</v>
      </c>
      <c r="AC36" s="16">
        <f t="shared" si="22"/>
        <v>0</v>
      </c>
      <c r="AD36" s="15" t="e">
        <f t="shared" si="23"/>
        <v>#DIV/0!</v>
      </c>
      <c r="AE36" s="42"/>
      <c r="AF36" s="10" t="e">
        <f t="shared" si="24"/>
        <v>#DIV/0!</v>
      </c>
      <c r="AG36" s="10"/>
      <c r="AH36" s="127">
        <f t="shared" si="25"/>
        <v>0</v>
      </c>
      <c r="AI36" s="54" t="e">
        <f t="shared" si="26"/>
        <v>#DIV/0!</v>
      </c>
      <c r="AJ36" s="25">
        <f t="shared" si="27"/>
        <v>0</v>
      </c>
      <c r="AK36" s="25">
        <f t="shared" si="28"/>
        <v>0</v>
      </c>
      <c r="AL36" s="30">
        <f t="shared" si="29"/>
        <v>0</v>
      </c>
      <c r="AM36" s="30">
        <f t="shared" si="73"/>
        <v>0</v>
      </c>
      <c r="AN36" s="30">
        <f t="shared" si="74"/>
        <v>0</v>
      </c>
      <c r="AO36" s="30">
        <f t="shared" ref="AO36:AO63" si="75">+SUMIF($AA$327:$AA$515,AA36,$AO$327:$AO$515)</f>
        <v>0</v>
      </c>
      <c r="AP36" s="30">
        <f t="shared" ref="AP36:AP63" si="76">+SUMIF($AA$327:$AA$515,AA36,$AP$327:$AP$515)</f>
        <v>0</v>
      </c>
      <c r="AQ36" s="30">
        <f t="shared" ref="AQ36:AQ63" si="77">+SUMIF($AA$327:$AA$515,AA36,$AQ$327:$AQ$515)</f>
        <v>0</v>
      </c>
      <c r="AR36" s="30">
        <f t="shared" si="35"/>
        <v>0</v>
      </c>
      <c r="AS36" s="30">
        <f t="shared" si="36"/>
        <v>0</v>
      </c>
      <c r="AT36" s="30">
        <f t="shared" ref="AT36:AT63" si="78">+SUMIF($AA$327:$AA$515,AA36,$AT$327:$AT$515)</f>
        <v>0</v>
      </c>
      <c r="AU36" s="80"/>
      <c r="AV36" s="110">
        <f t="shared" si="38"/>
        <v>0</v>
      </c>
      <c r="AW36" s="79">
        <f t="array" ref="AW36">SUMIFS('Cắt lồng'!$AC$327:$AC$515,'Cắt lồng'!$AA$327:$AA$515,'Cắt lồng'!$AA36,'Cắt lồng'!$AE$327:$AE$515,'Cắt lồng'!AW$4:AW$4)</f>
        <v>0</v>
      </c>
      <c r="AX36" s="79">
        <f t="array" ref="AX36">SUMIFS('Cắt lồng'!$AH$327:$AH$515,'Cắt lồng'!$AA$327:$AA$515,'Cắt lồng'!$AA36,'Cắt lồng'!$AE$327:$AE$515,'Cắt lồng'!AX$4:AX$4)</f>
        <v>0</v>
      </c>
      <c r="AY36" s="109" t="e">
        <f t="shared" si="39"/>
        <v>#DIV/0!</v>
      </c>
      <c r="AZ36" s="79">
        <f t="array" ref="AZ36">SUMIFS('Cắt lồng'!$AC$327:$AC$515,'Cắt lồng'!$AA$327:$AA$515,'Cắt lồng'!$AA36,'Cắt lồng'!$AE$327:$AE$515,'Cắt lồng'!AZ$4:AZ$4)</f>
        <v>0</v>
      </c>
      <c r="BA36" s="79">
        <f t="array" ref="BA36">SUMIFS('Cắt lồng'!$AH$327:$AH$515,'Cắt lồng'!$AA$327:$AA$515,'Cắt lồng'!$AA36,'Cắt lồng'!$AE$327:$AE$515,'Cắt lồng'!BA$4:BA$4)</f>
        <v>0</v>
      </c>
      <c r="BB36" s="109" t="e">
        <f t="shared" si="40"/>
        <v>#DIV/0!</v>
      </c>
      <c r="BC36" s="79">
        <f t="array" ref="BC36">SUMIFS('Cắt lồng'!$AC$327:$AC$515,'Cắt lồng'!$AA$327:$AA$515,'Cắt lồng'!$AA36,'Cắt lồng'!$AE$327:$AE$515,'Cắt lồng'!BC$4:BC$4)</f>
        <v>0</v>
      </c>
      <c r="BD36" s="79">
        <f t="array" ref="BD36">SUMIFS('Cắt lồng'!$AH$327:$AH$515,'Cắt lồng'!$AA$327:$AA$515,'Cắt lồng'!$AA36,'Cắt lồng'!$AE$327:$AE$515,'Cắt lồng'!BD$4:BD$4)</f>
        <v>0</v>
      </c>
      <c r="BE36" s="109" t="e">
        <f t="shared" si="41"/>
        <v>#DIV/0!</v>
      </c>
      <c r="BF36" s="79">
        <f t="array" ref="BF36">SUMIFS('Cắt lồng'!$AC$327:$AC$515,'Cắt lồng'!$AA$327:$AA$515,'Cắt lồng'!$AA36,'Cắt lồng'!$AE$327:$AE$515,'Cắt lồng'!BF$4:BF$4)</f>
        <v>0</v>
      </c>
      <c r="BG36" s="79">
        <f t="array" ref="BG36">SUMIFS('Cắt lồng'!$AH$327:$AH$515,'Cắt lồng'!$AA$327:$AA$515,'Cắt lồng'!$AA36,'Cắt lồng'!$AE$327:$AE$515,'Cắt lồng'!BG$4:BG$4)</f>
        <v>0</v>
      </c>
      <c r="BH36" s="109" t="e">
        <f t="shared" si="42"/>
        <v>#DIV/0!</v>
      </c>
      <c r="BI36" s="79">
        <f t="array" ref="BI36">SUMIFS('Cắt lồng'!$AC$327:$AC$515,'Cắt lồng'!$AA$327:$AA$515,'Cắt lồng'!$AA36,'Cắt lồng'!$AE$327:$AE$515,'Cắt lồng'!BI$4:BI$4)</f>
        <v>0</v>
      </c>
      <c r="BJ36" s="79">
        <f t="array" ref="BJ36">SUMIFS('Cắt lồng'!$AH$327:$AH$515,'Cắt lồng'!$AA$327:$AA$515,'Cắt lồng'!$AA36,'Cắt lồng'!$AE$327:$AE$515,'Cắt lồng'!BJ$4:BJ$4)</f>
        <v>0</v>
      </c>
      <c r="BK36" s="109" t="e">
        <f t="shared" si="43"/>
        <v>#DIV/0!</v>
      </c>
      <c r="BL36" s="79">
        <f t="array" ref="BL36">SUMIFS('Cắt lồng'!$AC$327:$AC$515,'Cắt lồng'!$AA$327:$AA$515,'Cắt lồng'!$AA36,'Cắt lồng'!$AE$327:$AE$515,'Cắt lồng'!BL$4:BL$4)</f>
        <v>0</v>
      </c>
      <c r="BM36" s="79">
        <f t="array" ref="BM36">SUMIFS('Cắt lồng'!$AH$327:$AH$515,'Cắt lồng'!$AA$327:$AA$515,'Cắt lồng'!$AA36,'Cắt lồng'!$AE$327:$AE$515,'Cắt lồng'!BM$4:BM$4)</f>
        <v>0</v>
      </c>
      <c r="BN36" s="109" t="e">
        <f t="shared" si="44"/>
        <v>#DIV/0!</v>
      </c>
      <c r="BO36" s="79">
        <f t="array" ref="BO36">SUMIFS('Cắt lồng'!$AC$327:$AC$515,'Cắt lồng'!$AA$327:$AA$515,'Cắt lồng'!$AA36,'Cắt lồng'!$AE$327:$AE$515,'Cắt lồng'!BO$4:BO$4)</f>
        <v>0</v>
      </c>
      <c r="BP36" s="79">
        <f t="array" ref="BP36">SUMIFS('Cắt lồng'!$AH$327:$AH$515,'Cắt lồng'!$AA$327:$AA$515,'Cắt lồng'!$AA36,'Cắt lồng'!$AE$327:$AE$515,'Cắt lồng'!BP$4:BP$4)</f>
        <v>0</v>
      </c>
      <c r="BQ36" s="109" t="e">
        <f t="shared" si="45"/>
        <v>#DIV/0!</v>
      </c>
      <c r="BR36" s="79">
        <f t="array" ref="BR36">SUMIFS('Cắt lồng'!$AC$327:$AC$515,'Cắt lồng'!$AA$327:$AA$515,'Cắt lồng'!$AA36,'Cắt lồng'!$AE$327:$AE$515,'Cắt lồng'!BR$4:BR$4)</f>
        <v>0</v>
      </c>
      <c r="BS36" s="79">
        <f t="array" ref="BS36">SUMIFS('Cắt lồng'!$AH$327:$AH$515,'Cắt lồng'!$AA$327:$AA$515,'Cắt lồng'!$AA36,'Cắt lồng'!$AE$327:$AE$515,'Cắt lồng'!BS$4:BS$4)</f>
        <v>0</v>
      </c>
      <c r="BT36" s="109" t="e">
        <f t="shared" si="46"/>
        <v>#DIV/0!</v>
      </c>
      <c r="BU36" s="79">
        <f t="array" ref="BU36">SUMIFS('Cắt lồng'!$AC$327:$AC$515,'Cắt lồng'!$AA$327:$AA$515,'Cắt lồng'!$AA36,'Cắt lồng'!$AE$327:$AE$515,'Cắt lồng'!BU$4:BU$4)</f>
        <v>0</v>
      </c>
      <c r="BV36" s="79">
        <f t="array" ref="BV36">SUMIFS('Cắt lồng'!$AH$327:$AH$515,'Cắt lồng'!$AA$327:$AA$515,'Cắt lồng'!$AA36,'Cắt lồng'!$AE$327:$AE$515,'Cắt lồng'!BV$4:BV$4)</f>
        <v>0</v>
      </c>
      <c r="BW36" s="109" t="e">
        <f t="shared" si="47"/>
        <v>#DIV/0!</v>
      </c>
      <c r="BX36" s="79">
        <f t="array" ref="BX36">SUMIFS('Cắt lồng'!$AC$327:$AC$515,'Cắt lồng'!$AA$327:$AA$515,'Cắt lồng'!$AA36,'Cắt lồng'!$AE$327:$AE$515,'Cắt lồng'!BX$4:BX$4)</f>
        <v>0</v>
      </c>
      <c r="BY36" s="79">
        <f t="array" ref="BY36">SUMIFS('Cắt lồng'!$AH$327:$AH$515,'Cắt lồng'!$AA$327:$AA$515,'Cắt lồng'!$AA36,'Cắt lồng'!$AE$327:$AE$515,'Cắt lồng'!BY$4:BY$4)</f>
        <v>0</v>
      </c>
      <c r="BZ36" s="109" t="e">
        <f t="shared" si="48"/>
        <v>#DIV/0!</v>
      </c>
      <c r="CA36" s="79">
        <f t="array" ref="CA36">SUMIFS('Cắt lồng'!$AC$327:$AC$515,'Cắt lồng'!$AA$327:$AA$515,'Cắt lồng'!$AA36,'Cắt lồng'!$AE$327:$AE$515,'Cắt lồng'!CA$4:CA$4)</f>
        <v>0</v>
      </c>
      <c r="CB36" s="79">
        <f t="array" ref="CB36">SUMIFS('Cắt lồng'!$AH$327:$AH$515,'Cắt lồng'!$AA$327:$AA$515,'Cắt lồng'!$AA36,'Cắt lồng'!$AE$327:$AE$515,'Cắt lồng'!CB$4:CB$4)</f>
        <v>0</v>
      </c>
      <c r="CC36" s="109" t="e">
        <f t="shared" si="49"/>
        <v>#DIV/0!</v>
      </c>
      <c r="CD36" s="79">
        <f t="array" ref="CD36">SUMIFS('Cắt lồng'!$AC$327:$AC$515,'Cắt lồng'!$AA$327:$AA$515,'Cắt lồng'!$AA36,'Cắt lồng'!$AE$327:$AE$515,'Cắt lồng'!CD$4:CD$4)</f>
        <v>0</v>
      </c>
      <c r="CE36" s="79">
        <f t="array" ref="CE36">SUMIFS('Cắt lồng'!$AH$327:$AH$515,'Cắt lồng'!$AA$327:$AA$515,'Cắt lồng'!$AA36,'Cắt lồng'!$AE$327:$AE$515,'Cắt lồng'!CE$4:CE$4)</f>
        <v>0</v>
      </c>
      <c r="CF36" s="109" t="e">
        <f t="shared" si="50"/>
        <v>#DIV/0!</v>
      </c>
      <c r="CG36" s="79">
        <f t="array" ref="CG36">SUMIFS('Cắt lồng'!$AC$327:$AC$515,'Cắt lồng'!$AA$327:$AA$515,'Cắt lồng'!$AA36,'Cắt lồng'!$AE$327:$AE$515,'Cắt lồng'!CG$4:CG$4)</f>
        <v>0</v>
      </c>
      <c r="CH36" s="79">
        <f t="array" ref="CH36">SUMIFS('Cắt lồng'!$AH$327:$AH$515,'Cắt lồng'!$AA$327:$AA$515,'Cắt lồng'!$AA36,'Cắt lồng'!$AE$327:$AE$515,'Cắt lồng'!CH$4:CH$4)</f>
        <v>0</v>
      </c>
      <c r="CI36" s="109" t="e">
        <f t="shared" si="51"/>
        <v>#DIV/0!</v>
      </c>
      <c r="CJ36" s="79">
        <f t="array" ref="CJ36">SUMIFS('Cắt lồng'!$AC$327:$AC$515,'Cắt lồng'!$AA$327:$AA$515,'Cắt lồng'!$AA36,'Cắt lồng'!$AE$327:$AE$515,'Cắt lồng'!CJ$4:CJ$4)</f>
        <v>0</v>
      </c>
      <c r="CK36" s="79">
        <f t="array" ref="CK36">SUMIFS('Cắt lồng'!$AH$327:$AH$515,'Cắt lồng'!$AA$327:$AA$515,'Cắt lồng'!$AA36,'Cắt lồng'!$AE$327:$AE$515,'Cắt lồng'!CK$4:CK$4)</f>
        <v>0</v>
      </c>
      <c r="CL36" s="109" t="e">
        <f t="shared" si="52"/>
        <v>#DIV/0!</v>
      </c>
      <c r="CM36" s="79">
        <f t="array" ref="CM36">SUMIFS('Cắt lồng'!$AC$327:$AC$515,'Cắt lồng'!$AA$327:$AA$515,'Cắt lồng'!$AA36,'Cắt lồng'!$AE$327:$AE$515,'Cắt lồng'!CM$4:CM$4)</f>
        <v>0</v>
      </c>
      <c r="CN36" s="79">
        <f t="array" ref="CN36">SUMIFS('Cắt lồng'!$AH$327:$AH$515,'Cắt lồng'!$AA$327:$AA$515,'Cắt lồng'!$AA36,'Cắt lồng'!$AE$327:$AE$515,'Cắt lồng'!CN$4:CN$4)</f>
        <v>0</v>
      </c>
      <c r="CO36" s="109" t="e">
        <f t="shared" si="53"/>
        <v>#DIV/0!</v>
      </c>
      <c r="CP36" s="79">
        <f t="array" ref="CP36">SUMIFS('Cắt lồng'!$AC$327:$AC$515,'Cắt lồng'!$AA$327:$AA$515,'Cắt lồng'!$AA36,'Cắt lồng'!$AE$327:$AE$515,'Cắt lồng'!CP$4:CP$4)</f>
        <v>0</v>
      </c>
      <c r="CQ36" s="79">
        <f t="array" ref="CQ36">SUMIFS('Cắt lồng'!$AH$327:$AH$515,'Cắt lồng'!$AA$327:$AA$515,'Cắt lồng'!$AA36,'Cắt lồng'!$AE$327:$AE$515,'Cắt lồng'!CQ$4:CQ$4)</f>
        <v>0</v>
      </c>
      <c r="CR36" s="109" t="e">
        <f t="shared" si="54"/>
        <v>#DIV/0!</v>
      </c>
      <c r="CS36" s="79">
        <f t="array" ref="CS36">SUMIFS('Cắt lồng'!$AC$327:$AC$515,'Cắt lồng'!$AA$327:$AA$515,'Cắt lồng'!$AA36,'Cắt lồng'!$AE$327:$AE$515,'Cắt lồng'!CS$4:CS$4)</f>
        <v>0</v>
      </c>
      <c r="CT36" s="79">
        <f t="array" ref="CT36">SUMIFS('Cắt lồng'!$AH$327:$AH$515,'Cắt lồng'!$AA$327:$AA$515,'Cắt lồng'!$AA36,'Cắt lồng'!$AE$327:$AE$515,'Cắt lồng'!CT$4:CT$4)</f>
        <v>0</v>
      </c>
      <c r="CU36" s="109" t="e">
        <f t="shared" si="55"/>
        <v>#DIV/0!</v>
      </c>
      <c r="CV36" s="79">
        <f t="array" ref="CV36">SUMIFS('Cắt lồng'!$AC$327:$AC$515,'Cắt lồng'!$AA$327:$AA$515,'Cắt lồng'!$AA36,'Cắt lồng'!$AE$327:$AE$515,'Cắt lồng'!CV$4:CV$4)</f>
        <v>0</v>
      </c>
      <c r="CW36" s="79">
        <f t="array" ref="CW36">SUMIFS('Cắt lồng'!$AH$327:$AH$515,'Cắt lồng'!$AA$327:$AA$515,'Cắt lồng'!$AA36,'Cắt lồng'!$AE$327:$AE$515,'Cắt lồng'!CW$4:CW$4)</f>
        <v>0</v>
      </c>
      <c r="CX36" s="109" t="e">
        <f t="shared" si="56"/>
        <v>#DIV/0!</v>
      </c>
      <c r="CY36" s="79">
        <f t="array" ref="CY36">SUMIFS('Cắt lồng'!$AC$327:$AC$515,'Cắt lồng'!$AA$327:$AA$515,'Cắt lồng'!$AA36,'Cắt lồng'!$AE$327:$AE$515,'Cắt lồng'!CY$4:CY$4)</f>
        <v>0</v>
      </c>
      <c r="CZ36" s="79">
        <f t="array" ref="CZ36">SUMIFS('Cắt lồng'!$AH$327:$AH$515,'Cắt lồng'!$AA$327:$AA$515,'Cắt lồng'!$AA36,'Cắt lồng'!$AE$327:$AE$515,'Cắt lồng'!CZ$4:CZ$4)</f>
        <v>0</v>
      </c>
      <c r="DA36" s="109" t="e">
        <f t="shared" si="57"/>
        <v>#DIV/0!</v>
      </c>
      <c r="DB36" s="79">
        <f t="array" ref="DB36">SUMIFS('Cắt lồng'!$AC$327:$AC$515,'Cắt lồng'!$AA$327:$AA$515,'Cắt lồng'!$AA36,'Cắt lồng'!$AE$327:$AE$515,'Cắt lồng'!DB$4:DB$4)</f>
        <v>0</v>
      </c>
      <c r="DC36" s="79">
        <f t="array" ref="DC36">SUMIFS('Cắt lồng'!$AH$327:$AH$515,'Cắt lồng'!$AA$327:$AA$515,'Cắt lồng'!$AA36,'Cắt lồng'!$AE$327:$AE$515,'Cắt lồng'!DC$4:DC$4)</f>
        <v>0</v>
      </c>
      <c r="DD36" s="109" t="e">
        <f t="shared" si="58"/>
        <v>#DIV/0!</v>
      </c>
      <c r="DE36" s="79">
        <f t="array" ref="DE36">SUMIFS('Cắt lồng'!$AC$327:$AC$515,'Cắt lồng'!$AA$327:$AA$515,'Cắt lồng'!$AA36,'Cắt lồng'!$AE$327:$AE$515,'Cắt lồng'!DE$4:DE$4)</f>
        <v>0</v>
      </c>
      <c r="DF36" s="79">
        <f t="array" ref="DF36">SUMIFS('Cắt lồng'!$AH$327:$AH$515,'Cắt lồng'!$AA$327:$AA$515,'Cắt lồng'!$AA36,'Cắt lồng'!$AE$327:$AE$515,'Cắt lồng'!DF$4:DF$4)</f>
        <v>0</v>
      </c>
      <c r="DG36" s="109" t="e">
        <f t="shared" si="59"/>
        <v>#DIV/0!</v>
      </c>
      <c r="DH36" s="79">
        <f t="array" ref="DH36">SUMIFS('Cắt lồng'!$AC$327:$AC$515,'Cắt lồng'!$AA$327:$AA$515,'Cắt lồng'!$AA36,'Cắt lồng'!$AE$327:$AE$515,'Cắt lồng'!DH$4:DH$4)</f>
        <v>0</v>
      </c>
      <c r="DI36" s="79">
        <f t="array" ref="DI36">SUMIFS('Cắt lồng'!$AH$327:$AH$515,'Cắt lồng'!$AA$327:$AA$515,'Cắt lồng'!$AA36,'Cắt lồng'!$AE$327:$AE$515,'Cắt lồng'!DI$4:DI$4)</f>
        <v>0</v>
      </c>
      <c r="DJ36" s="109" t="e">
        <f t="shared" si="60"/>
        <v>#DIV/0!</v>
      </c>
      <c r="DK36" s="79">
        <f t="array" ref="DK36">SUMIFS('Cắt lồng'!$AC$327:$AC$515,'Cắt lồng'!$AA$327:$AA$515,'Cắt lồng'!$AA36,'Cắt lồng'!$AE$327:$AE$515,'Cắt lồng'!DK$4:DK$4)</f>
        <v>0</v>
      </c>
      <c r="DL36" s="79">
        <f t="array" ref="DL36">SUMIFS('Cắt lồng'!$AH$327:$AH$515,'Cắt lồng'!$AA$327:$AA$515,'Cắt lồng'!$AA36,'Cắt lồng'!$AE$327:$AE$515,'Cắt lồng'!DL$4:DL$4)</f>
        <v>0</v>
      </c>
      <c r="DM36" s="109" t="e">
        <f t="shared" si="61"/>
        <v>#DIV/0!</v>
      </c>
      <c r="DN36" s="79">
        <f>SUMIFS('Cắt lồng'!$AC$327:$AC$515,'Cắt lồng'!$AA$327:$AA$515,'Cắt lồng'!$AA36,'Cắt lồng'!$AE$327:$AE$515,'Cắt lồng'!DN$4:DN$4)</f>
        <v>0</v>
      </c>
      <c r="DO36" s="79">
        <f t="array" ref="DO36">SUMIFS('Cắt lồng'!$AH$327:$AH$515,'Cắt lồng'!$AA$327:$AA$515,'Cắt lồng'!$AA36,'Cắt lồng'!$AE$327:$AE$515,'Cắt lồng'!DO$4:DO$4)</f>
        <v>0</v>
      </c>
      <c r="DP36" s="109" t="e">
        <f t="shared" si="62"/>
        <v>#DIV/0!</v>
      </c>
      <c r="DQ36" s="79">
        <f t="array" ref="DQ36">SUMIFS('Cắt lồng'!$AC$327:$AC$515,'Cắt lồng'!$AA$327:$AA$515,'Cắt lồng'!$AA36,'Cắt lồng'!$AE$327:$AE$515,'Cắt lồng'!DQ$4:DQ$4)</f>
        <v>0</v>
      </c>
      <c r="DR36" s="79">
        <f t="array" ref="DR36">SUMIFS('Cắt lồng'!$AH$327:$AH$515,'Cắt lồng'!$AA$327:$AA$515,'Cắt lồng'!$AA36,'Cắt lồng'!$AE$327:$AE$515,'Cắt lồng'!DR$4:DR$4)</f>
        <v>0</v>
      </c>
      <c r="DS36" s="109" t="e">
        <f t="shared" si="63"/>
        <v>#DIV/0!</v>
      </c>
      <c r="DT36" s="79">
        <f t="array" ref="DT36">SUMIFS('Cắt lồng'!$AC$327:$AC$515,'Cắt lồng'!$AA$327:$AA$515,'Cắt lồng'!$AA36,'Cắt lồng'!$AE$327:$AE$515,'Cắt lồng'!DT$4:DT$4)</f>
        <v>0</v>
      </c>
      <c r="DU36" s="79">
        <f t="array" ref="DU36">SUMIFS('Cắt lồng'!$AH$327:$AH$515,'Cắt lồng'!$AA$327:$AA$515,'Cắt lồng'!$AA36,'Cắt lồng'!$AE$327:$AE$515,'Cắt lồng'!DU$4:DU$4)</f>
        <v>0</v>
      </c>
      <c r="DV36" s="109" t="e">
        <f t="shared" si="64"/>
        <v>#DIV/0!</v>
      </c>
      <c r="DW36" s="79">
        <f t="array" ref="DW36">SUMIFS('Cắt lồng'!$AC$327:$AC$515,'Cắt lồng'!$AA$327:$AA$515,'Cắt lồng'!$AA36,'Cắt lồng'!$AE$327:$AE$515,'Cắt lồng'!DW$4:DW$4)</f>
        <v>0</v>
      </c>
      <c r="DX36" s="79">
        <f t="array" ref="DX36">SUMIFS('Cắt lồng'!$AH$327:$AH$515,'Cắt lồng'!$AA$327:$AA$515,'Cắt lồng'!$AA36,'Cắt lồng'!$AE$327:$AE$515,'Cắt lồng'!DX$4:DX$4)</f>
        <v>0</v>
      </c>
      <c r="DY36" s="109" t="e">
        <f t="shared" si="65"/>
        <v>#DIV/0!</v>
      </c>
      <c r="DZ36" s="79">
        <f t="array" ref="DZ36">SUMIFS('Cắt lồng'!$AC$327:$AC$515,'Cắt lồng'!$AA$327:$AA$515,'Cắt lồng'!$AA36,'Cắt lồng'!$AE$327:$AE$515,'Cắt lồng'!DZ$4:DZ$4)</f>
        <v>0</v>
      </c>
      <c r="EA36" s="79">
        <f t="array" ref="EA36">SUMIFS('Cắt lồng'!$AH$327:$AH$515,'Cắt lồng'!$AA$327:$AA$515,'Cắt lồng'!$AA36,'Cắt lồng'!$AE$327:$AE$515,'Cắt lồng'!EA$4:EA$4)</f>
        <v>0</v>
      </c>
      <c r="EB36" s="109" t="e">
        <f t="shared" si="66"/>
        <v>#DIV/0!</v>
      </c>
      <c r="EC36" s="79">
        <f t="array" ref="EC36">SUMIFS('Cắt lồng'!$AC$327:$AC$515,'Cắt lồng'!$AA$327:$AA$515,'Cắt lồng'!$AA36,'Cắt lồng'!$AE$327:$AE$515,'Cắt lồng'!EC$4:EC$4)</f>
        <v>0</v>
      </c>
      <c r="ED36" s="79">
        <f t="array" ref="ED36">SUMIFS('Cắt lồng'!$AH$327:$AH$515,'Cắt lồng'!$AA$327:$AA$515,'Cắt lồng'!$AA36,'Cắt lồng'!$AE$327:$AE$515,'Cắt lồng'!ED$4:ED$4)</f>
        <v>0</v>
      </c>
      <c r="EE36" s="109" t="e">
        <f t="shared" si="67"/>
        <v>#DIV/0!</v>
      </c>
      <c r="EF36" s="79">
        <f t="array" ref="EF36">SUMIFS('Cắt lồng'!$AC$327:$AC$515,'Cắt lồng'!$AA$327:$AA$515,'Cắt lồng'!$AA36,'Cắt lồng'!$AE$327:$AE$515,'Cắt lồng'!EF$4:EF$4)</f>
        <v>0</v>
      </c>
      <c r="EG36" s="79">
        <f t="array" ref="EG36">SUMIFS('Cắt lồng'!$AH$327:$AH$515,'Cắt lồng'!$AA$327:$AA$515,'Cắt lồng'!$AA36,'Cắt lồng'!$AE$327:$AE$515,'Cắt lồng'!EG$4:EG$4)</f>
        <v>0</v>
      </c>
      <c r="EH36" s="109" t="e">
        <f t="shared" si="68"/>
        <v>#DIV/0!</v>
      </c>
      <c r="EI36" s="79">
        <f t="array" ref="EI36">SUMIFS('Cắt lồng'!$AC$327:$AC$515,'Cắt lồng'!$AA$327:$AA$515,'Cắt lồng'!$AA36,'Cắt lồng'!$AE$327:$AE$515,'Cắt lồng'!EI$4:EI$4)</f>
        <v>0</v>
      </c>
      <c r="EJ36" s="79">
        <f t="array" ref="EJ36">SUMIFS('Cắt lồng'!$AH$327:$AH$515,'Cắt lồng'!$AA$327:$AA$515,'Cắt lồng'!$AA36,'Cắt lồng'!$AE$327:$AE$515,'Cắt lồng'!EJ$4:EJ$4)</f>
        <v>0</v>
      </c>
      <c r="EK36" s="109" t="e">
        <f t="shared" si="69"/>
        <v>#DIV/0!</v>
      </c>
    </row>
    <row r="37" spans="1:142" s="12" customFormat="1" ht="14.25" hidden="1" customHeight="1">
      <c r="A37" s="25">
        <v>32</v>
      </c>
      <c r="B37" s="121">
        <v>1432</v>
      </c>
      <c r="C37" s="121" t="s">
        <v>174</v>
      </c>
      <c r="D37" s="185" t="e">
        <f>+AB37</f>
        <v>#VALUE!</v>
      </c>
      <c r="E37" s="184">
        <f>+AC37</f>
        <v>17000</v>
      </c>
      <c r="F37" s="56"/>
      <c r="G37" s="82">
        <f t="shared" si="1"/>
        <v>0</v>
      </c>
      <c r="H37" s="81">
        <f t="shared" si="2"/>
        <v>21.16</v>
      </c>
      <c r="I37" s="19">
        <f t="shared" si="3"/>
        <v>0</v>
      </c>
      <c r="J37" s="11">
        <f t="shared" si="4"/>
        <v>2.84</v>
      </c>
      <c r="K37" s="19">
        <f t="shared" si="5"/>
        <v>0</v>
      </c>
      <c r="L37" s="19">
        <f t="shared" si="6"/>
        <v>0</v>
      </c>
      <c r="M37" s="19">
        <f t="shared" si="7"/>
        <v>0</v>
      </c>
      <c r="N37" s="19">
        <f t="shared" si="8"/>
        <v>0</v>
      </c>
      <c r="O37" s="19">
        <f t="shared" si="9"/>
        <v>0</v>
      </c>
      <c r="P37" s="19">
        <f t="shared" si="10"/>
        <v>0</v>
      </c>
      <c r="Q37" s="19">
        <f t="shared" si="11"/>
        <v>0</v>
      </c>
      <c r="R37" s="19">
        <f t="shared" si="12"/>
        <v>0</v>
      </c>
      <c r="S37" s="19">
        <f t="shared" si="13"/>
        <v>0</v>
      </c>
      <c r="T37" s="19">
        <f t="shared" si="14"/>
        <v>2.5</v>
      </c>
      <c r="U37" s="19">
        <f t="shared" si="15"/>
        <v>0</v>
      </c>
      <c r="V37" s="19">
        <f t="shared" si="16"/>
        <v>0</v>
      </c>
      <c r="W37" s="19">
        <f t="shared" si="17"/>
        <v>0</v>
      </c>
      <c r="X37" s="19">
        <f t="shared" si="18"/>
        <v>0.34</v>
      </c>
      <c r="Y37" s="19">
        <f t="shared" si="19"/>
        <v>0</v>
      </c>
      <c r="Z37" s="19">
        <f t="shared" si="20"/>
        <v>0</v>
      </c>
      <c r="AA37" s="164" t="s">
        <v>20</v>
      </c>
      <c r="AB37" s="129" t="e">
        <f t="shared" si="21"/>
        <v>#VALUE!</v>
      </c>
      <c r="AC37" s="16">
        <f t="shared" si="22"/>
        <v>17000</v>
      </c>
      <c r="AD37" s="15" t="e">
        <f t="shared" si="23"/>
        <v>#VALUE!</v>
      </c>
      <c r="AE37" s="42"/>
      <c r="AF37" s="10">
        <f t="shared" si="24"/>
        <v>803.40264650283552</v>
      </c>
      <c r="AG37" s="10"/>
      <c r="AH37" s="127">
        <f t="shared" si="25"/>
        <v>49</v>
      </c>
      <c r="AI37" s="54">
        <f t="shared" si="26"/>
        <v>2.8823529411764704E-3</v>
      </c>
      <c r="AJ37" s="25">
        <f t="shared" si="27"/>
        <v>0</v>
      </c>
      <c r="AK37" s="25">
        <f t="shared" si="28"/>
        <v>0</v>
      </c>
      <c r="AL37" s="30">
        <f t="shared" si="29"/>
        <v>0</v>
      </c>
      <c r="AM37" s="30">
        <f t="shared" si="73"/>
        <v>0</v>
      </c>
      <c r="AN37" s="30">
        <f t="shared" si="74"/>
        <v>0</v>
      </c>
      <c r="AO37" s="30">
        <f t="shared" si="75"/>
        <v>0</v>
      </c>
      <c r="AP37" s="30">
        <f t="shared" si="76"/>
        <v>0</v>
      </c>
      <c r="AQ37" s="30">
        <f t="shared" si="77"/>
        <v>5</v>
      </c>
      <c r="AR37" s="30">
        <f t="shared" si="35"/>
        <v>0</v>
      </c>
      <c r="AS37" s="30">
        <f t="shared" si="36"/>
        <v>0</v>
      </c>
      <c r="AT37" s="30">
        <f t="shared" si="78"/>
        <v>44</v>
      </c>
      <c r="AU37" s="80"/>
      <c r="AV37" s="110">
        <f t="shared" si="38"/>
        <v>21.16</v>
      </c>
      <c r="AW37" s="79">
        <f t="array" ref="AW37">SUMIFS('Cắt lồng'!$AC$327:$AC$515,'Cắt lồng'!$AA$327:$AA$515,'Cắt lồng'!$AA37,'Cắt lồng'!$AE$327:$AE$515,'Cắt lồng'!AW$4:AW$4)</f>
        <v>17000</v>
      </c>
      <c r="AX37" s="79">
        <f t="array" ref="AX37">SUMIFS('Cắt lồng'!$AH$327:$AH$515,'Cắt lồng'!$AA$327:$AA$515,'Cắt lồng'!$AA37,'Cắt lồng'!$AE$327:$AE$515,'Cắt lồng'!AX$4:AX$4)</f>
        <v>0</v>
      </c>
      <c r="AY37" s="109">
        <f t="shared" si="39"/>
        <v>0</v>
      </c>
      <c r="AZ37" s="79">
        <f t="array" ref="AZ37">SUMIFS('Cắt lồng'!$AC$327:$AC$515,'Cắt lồng'!$AA$327:$AA$515,'Cắt lồng'!$AA37,'Cắt lồng'!$AE$327:$AE$515,'Cắt lồng'!AZ$4:AZ$4)</f>
        <v>0</v>
      </c>
      <c r="BA37" s="79">
        <f t="array" ref="BA37">SUMIFS('Cắt lồng'!$AH$327:$AH$515,'Cắt lồng'!$AA$327:$AA$515,'Cắt lồng'!$AA37,'Cắt lồng'!$AE$327:$AE$515,'Cắt lồng'!BA$4:BA$4)</f>
        <v>0</v>
      </c>
      <c r="BB37" s="109" t="e">
        <f t="shared" si="40"/>
        <v>#DIV/0!</v>
      </c>
      <c r="BC37" s="79">
        <f t="array" ref="BC37">SUMIFS('Cắt lồng'!$AC$327:$AC$515,'Cắt lồng'!$AA$327:$AA$515,'Cắt lồng'!$AA37,'Cắt lồng'!$AE$327:$AE$515,'Cắt lồng'!BC$4:BC$4)</f>
        <v>0</v>
      </c>
      <c r="BD37" s="79">
        <f t="array" ref="BD37">SUMIFS('Cắt lồng'!$AH$327:$AH$515,'Cắt lồng'!$AA$327:$AA$515,'Cắt lồng'!$AA37,'Cắt lồng'!$AE$327:$AE$515,'Cắt lồng'!BD$4:BD$4)</f>
        <v>0</v>
      </c>
      <c r="BE37" s="109" t="e">
        <f t="shared" si="41"/>
        <v>#DIV/0!</v>
      </c>
      <c r="BF37" s="79">
        <f t="array" ref="BF37">SUMIFS('Cắt lồng'!$AC$327:$AC$515,'Cắt lồng'!$AA$327:$AA$515,'Cắt lồng'!$AA37,'Cắt lồng'!$AE$327:$AE$515,'Cắt lồng'!BF$4:BF$4)</f>
        <v>0</v>
      </c>
      <c r="BG37" s="79">
        <f t="array" ref="BG37">SUMIFS('Cắt lồng'!$AH$327:$AH$515,'Cắt lồng'!$AA$327:$AA$515,'Cắt lồng'!$AA37,'Cắt lồng'!$AE$327:$AE$515,'Cắt lồng'!BG$4:BG$4)</f>
        <v>0</v>
      </c>
      <c r="BH37" s="109" t="e">
        <f t="shared" si="42"/>
        <v>#DIV/0!</v>
      </c>
      <c r="BI37" s="79">
        <f t="array" ref="BI37">SUMIFS('Cắt lồng'!$AC$327:$AC$515,'Cắt lồng'!$AA$327:$AA$515,'Cắt lồng'!$AA37,'Cắt lồng'!$AE$327:$AE$515,'Cắt lồng'!BI$4:BI$4)</f>
        <v>0</v>
      </c>
      <c r="BJ37" s="79">
        <f t="array" ref="BJ37">SUMIFS('Cắt lồng'!$AH$327:$AH$515,'Cắt lồng'!$AA$327:$AA$515,'Cắt lồng'!$AA37,'Cắt lồng'!$AE$327:$AE$515,'Cắt lồng'!BJ$4:BJ$4)</f>
        <v>0</v>
      </c>
      <c r="BK37" s="109" t="e">
        <f t="shared" si="43"/>
        <v>#DIV/0!</v>
      </c>
      <c r="BL37" s="79">
        <f t="array" ref="BL37">SUMIFS('Cắt lồng'!$AC$327:$AC$515,'Cắt lồng'!$AA$327:$AA$515,'Cắt lồng'!$AA37,'Cắt lồng'!$AE$327:$AE$515,'Cắt lồng'!BL$4:BL$4)</f>
        <v>0</v>
      </c>
      <c r="BM37" s="79">
        <f t="array" ref="BM37">SUMIFS('Cắt lồng'!$AH$327:$AH$515,'Cắt lồng'!$AA$327:$AA$515,'Cắt lồng'!$AA37,'Cắt lồng'!$AE$327:$AE$515,'Cắt lồng'!BM$4:BM$4)</f>
        <v>0</v>
      </c>
      <c r="BN37" s="109" t="e">
        <f t="shared" si="44"/>
        <v>#DIV/0!</v>
      </c>
      <c r="BO37" s="79">
        <f t="array" ref="BO37">SUMIFS('Cắt lồng'!$AC$327:$AC$515,'Cắt lồng'!$AA$327:$AA$515,'Cắt lồng'!$AA37,'Cắt lồng'!$AE$327:$AE$515,'Cắt lồng'!BO$4:BO$4)</f>
        <v>0</v>
      </c>
      <c r="BP37" s="79">
        <f t="array" ref="BP37">SUMIFS('Cắt lồng'!$AH$327:$AH$515,'Cắt lồng'!$AA$327:$AA$515,'Cắt lồng'!$AA37,'Cắt lồng'!$AE$327:$AE$515,'Cắt lồng'!BP$4:BP$4)</f>
        <v>0</v>
      </c>
      <c r="BQ37" s="109" t="e">
        <f t="shared" si="45"/>
        <v>#DIV/0!</v>
      </c>
      <c r="BR37" s="79">
        <f t="array" ref="BR37">SUMIFS('Cắt lồng'!$AC$327:$AC$515,'Cắt lồng'!$AA$327:$AA$515,'Cắt lồng'!$AA37,'Cắt lồng'!$AE$327:$AE$515,'Cắt lồng'!BR$4:BR$4)</f>
        <v>0</v>
      </c>
      <c r="BS37" s="79">
        <f t="array" ref="BS37">SUMIFS('Cắt lồng'!$AH$327:$AH$515,'Cắt lồng'!$AA$327:$AA$515,'Cắt lồng'!$AA37,'Cắt lồng'!$AE$327:$AE$515,'Cắt lồng'!BS$4:BS$4)</f>
        <v>0</v>
      </c>
      <c r="BT37" s="109" t="e">
        <f t="shared" si="46"/>
        <v>#DIV/0!</v>
      </c>
      <c r="BU37" s="79">
        <f t="array" ref="BU37">SUMIFS('Cắt lồng'!$AC$327:$AC$515,'Cắt lồng'!$AA$327:$AA$515,'Cắt lồng'!$AA37,'Cắt lồng'!$AE$327:$AE$515,'Cắt lồng'!BU$4:BU$4)</f>
        <v>0</v>
      </c>
      <c r="BV37" s="79">
        <f t="array" ref="BV37">SUMIFS('Cắt lồng'!$AH$327:$AH$515,'Cắt lồng'!$AA$327:$AA$515,'Cắt lồng'!$AA37,'Cắt lồng'!$AE$327:$AE$515,'Cắt lồng'!BV$4:BV$4)</f>
        <v>0</v>
      </c>
      <c r="BW37" s="109" t="e">
        <f t="shared" si="47"/>
        <v>#DIV/0!</v>
      </c>
      <c r="BX37" s="79">
        <f t="array" ref="BX37">SUMIFS('Cắt lồng'!$AC$327:$AC$515,'Cắt lồng'!$AA$327:$AA$515,'Cắt lồng'!$AA37,'Cắt lồng'!$AE$327:$AE$515,'Cắt lồng'!BX$4:BX$4)</f>
        <v>0</v>
      </c>
      <c r="BY37" s="79">
        <f t="array" ref="BY37">SUMIFS('Cắt lồng'!$AH$327:$AH$515,'Cắt lồng'!$AA$327:$AA$515,'Cắt lồng'!$AA37,'Cắt lồng'!$AE$327:$AE$515,'Cắt lồng'!BY$4:BY$4)</f>
        <v>0</v>
      </c>
      <c r="BZ37" s="109" t="e">
        <f t="shared" si="48"/>
        <v>#DIV/0!</v>
      </c>
      <c r="CA37" s="79">
        <f t="array" ref="CA37">SUMIFS('Cắt lồng'!$AC$327:$AC$515,'Cắt lồng'!$AA$327:$AA$515,'Cắt lồng'!$AA37,'Cắt lồng'!$AE$327:$AE$515,'Cắt lồng'!CA$4:CA$4)</f>
        <v>0</v>
      </c>
      <c r="CB37" s="79">
        <f t="array" ref="CB37">SUMIFS('Cắt lồng'!$AH$327:$AH$515,'Cắt lồng'!$AA$327:$AA$515,'Cắt lồng'!$AA37,'Cắt lồng'!$AE$327:$AE$515,'Cắt lồng'!CB$4:CB$4)</f>
        <v>0</v>
      </c>
      <c r="CC37" s="109" t="e">
        <f t="shared" si="49"/>
        <v>#DIV/0!</v>
      </c>
      <c r="CD37" s="79">
        <f t="array" ref="CD37">SUMIFS('Cắt lồng'!$AC$327:$AC$515,'Cắt lồng'!$AA$327:$AA$515,'Cắt lồng'!$AA37,'Cắt lồng'!$AE$327:$AE$515,'Cắt lồng'!CD$4:CD$4)</f>
        <v>0</v>
      </c>
      <c r="CE37" s="79">
        <f t="array" ref="CE37">SUMIFS('Cắt lồng'!$AH$327:$AH$515,'Cắt lồng'!$AA$327:$AA$515,'Cắt lồng'!$AA37,'Cắt lồng'!$AE$327:$AE$515,'Cắt lồng'!CE$4:CE$4)</f>
        <v>0</v>
      </c>
      <c r="CF37" s="109" t="e">
        <f t="shared" si="50"/>
        <v>#DIV/0!</v>
      </c>
      <c r="CG37" s="79">
        <f t="array" ref="CG37">SUMIFS('Cắt lồng'!$AC$327:$AC$515,'Cắt lồng'!$AA$327:$AA$515,'Cắt lồng'!$AA37,'Cắt lồng'!$AE$327:$AE$515,'Cắt lồng'!CG$4:CG$4)</f>
        <v>0</v>
      </c>
      <c r="CH37" s="79">
        <f t="array" ref="CH37">SUMIFS('Cắt lồng'!$AH$327:$AH$515,'Cắt lồng'!$AA$327:$AA$515,'Cắt lồng'!$AA37,'Cắt lồng'!$AE$327:$AE$515,'Cắt lồng'!CH$4:CH$4)</f>
        <v>0</v>
      </c>
      <c r="CI37" s="109" t="e">
        <f t="shared" si="51"/>
        <v>#DIV/0!</v>
      </c>
      <c r="CJ37" s="79">
        <f t="array" ref="CJ37">SUMIFS('Cắt lồng'!$AC$327:$AC$515,'Cắt lồng'!$AA$327:$AA$515,'Cắt lồng'!$AA37,'Cắt lồng'!$AE$327:$AE$515,'Cắt lồng'!CJ$4:CJ$4)</f>
        <v>0</v>
      </c>
      <c r="CK37" s="79">
        <f t="array" ref="CK37">SUMIFS('Cắt lồng'!$AH$327:$AH$515,'Cắt lồng'!$AA$327:$AA$515,'Cắt lồng'!$AA37,'Cắt lồng'!$AE$327:$AE$515,'Cắt lồng'!CK$4:CK$4)</f>
        <v>0</v>
      </c>
      <c r="CL37" s="109" t="e">
        <f t="shared" si="52"/>
        <v>#DIV/0!</v>
      </c>
      <c r="CM37" s="79">
        <f t="array" ref="CM37">SUMIFS('Cắt lồng'!$AC$327:$AC$515,'Cắt lồng'!$AA$327:$AA$515,'Cắt lồng'!$AA37,'Cắt lồng'!$AE$327:$AE$515,'Cắt lồng'!CM$4:CM$4)</f>
        <v>0</v>
      </c>
      <c r="CN37" s="79">
        <f t="array" ref="CN37">SUMIFS('Cắt lồng'!$AH$327:$AH$515,'Cắt lồng'!$AA$327:$AA$515,'Cắt lồng'!$AA37,'Cắt lồng'!$AE$327:$AE$515,'Cắt lồng'!CN$4:CN$4)</f>
        <v>0</v>
      </c>
      <c r="CO37" s="109" t="e">
        <f t="shared" si="53"/>
        <v>#DIV/0!</v>
      </c>
      <c r="CP37" s="79">
        <f t="array" ref="CP37">SUMIFS('Cắt lồng'!$AC$327:$AC$515,'Cắt lồng'!$AA$327:$AA$515,'Cắt lồng'!$AA37,'Cắt lồng'!$AE$327:$AE$515,'Cắt lồng'!CP$4:CP$4)</f>
        <v>0</v>
      </c>
      <c r="CQ37" s="79">
        <f t="array" ref="CQ37">SUMIFS('Cắt lồng'!$AH$327:$AH$515,'Cắt lồng'!$AA$327:$AA$515,'Cắt lồng'!$AA37,'Cắt lồng'!$AE$327:$AE$515,'Cắt lồng'!CQ$4:CQ$4)</f>
        <v>0</v>
      </c>
      <c r="CR37" s="109" t="e">
        <f t="shared" si="54"/>
        <v>#DIV/0!</v>
      </c>
      <c r="CS37" s="79">
        <f t="array" ref="CS37">SUMIFS('Cắt lồng'!$AC$327:$AC$515,'Cắt lồng'!$AA$327:$AA$515,'Cắt lồng'!$AA37,'Cắt lồng'!$AE$327:$AE$515,'Cắt lồng'!CS$4:CS$4)</f>
        <v>0</v>
      </c>
      <c r="CT37" s="79">
        <f t="array" ref="CT37">SUMIFS('Cắt lồng'!$AH$327:$AH$515,'Cắt lồng'!$AA$327:$AA$515,'Cắt lồng'!$AA37,'Cắt lồng'!$AE$327:$AE$515,'Cắt lồng'!CT$4:CT$4)</f>
        <v>0</v>
      </c>
      <c r="CU37" s="109" t="e">
        <f t="shared" si="55"/>
        <v>#DIV/0!</v>
      </c>
      <c r="CV37" s="79">
        <f t="array" ref="CV37">SUMIFS('Cắt lồng'!$AC$327:$AC$515,'Cắt lồng'!$AA$327:$AA$515,'Cắt lồng'!$AA37,'Cắt lồng'!$AE$327:$AE$515,'Cắt lồng'!CV$4:CV$4)</f>
        <v>0</v>
      </c>
      <c r="CW37" s="79">
        <f t="array" ref="CW37">SUMIFS('Cắt lồng'!$AH$327:$AH$515,'Cắt lồng'!$AA$327:$AA$515,'Cắt lồng'!$AA37,'Cắt lồng'!$AE$327:$AE$515,'Cắt lồng'!CW$4:CW$4)</f>
        <v>0</v>
      </c>
      <c r="CX37" s="109" t="e">
        <f t="shared" si="56"/>
        <v>#DIV/0!</v>
      </c>
      <c r="CY37" s="79">
        <f t="array" ref="CY37">SUMIFS('Cắt lồng'!$AC$327:$AC$515,'Cắt lồng'!$AA$327:$AA$515,'Cắt lồng'!$AA37,'Cắt lồng'!$AE$327:$AE$515,'Cắt lồng'!CY$4:CY$4)</f>
        <v>0</v>
      </c>
      <c r="CZ37" s="79">
        <f t="array" ref="CZ37">SUMIFS('Cắt lồng'!$AH$327:$AH$515,'Cắt lồng'!$AA$327:$AA$515,'Cắt lồng'!$AA37,'Cắt lồng'!$AE$327:$AE$515,'Cắt lồng'!CZ$4:CZ$4)</f>
        <v>0</v>
      </c>
      <c r="DA37" s="109" t="e">
        <f t="shared" si="57"/>
        <v>#DIV/0!</v>
      </c>
      <c r="DB37" s="79">
        <f t="array" ref="DB37">SUMIFS('Cắt lồng'!$AC$327:$AC$515,'Cắt lồng'!$AA$327:$AA$515,'Cắt lồng'!$AA37,'Cắt lồng'!$AE$327:$AE$515,'Cắt lồng'!DB$4:DB$4)</f>
        <v>0</v>
      </c>
      <c r="DC37" s="79">
        <f t="array" ref="DC37">SUMIFS('Cắt lồng'!$AH$327:$AH$515,'Cắt lồng'!$AA$327:$AA$515,'Cắt lồng'!$AA37,'Cắt lồng'!$AE$327:$AE$515,'Cắt lồng'!DC$4:DC$4)</f>
        <v>0</v>
      </c>
      <c r="DD37" s="109" t="e">
        <f t="shared" si="58"/>
        <v>#DIV/0!</v>
      </c>
      <c r="DE37" s="79">
        <f t="array" ref="DE37">SUMIFS('Cắt lồng'!$AC$327:$AC$515,'Cắt lồng'!$AA$327:$AA$515,'Cắt lồng'!$AA37,'Cắt lồng'!$AE$327:$AE$515,'Cắt lồng'!DE$4:DE$4)</f>
        <v>0</v>
      </c>
      <c r="DF37" s="79">
        <f t="array" ref="DF37">SUMIFS('Cắt lồng'!$AH$327:$AH$515,'Cắt lồng'!$AA$327:$AA$515,'Cắt lồng'!$AA37,'Cắt lồng'!$AE$327:$AE$515,'Cắt lồng'!DF$4:DF$4)</f>
        <v>0</v>
      </c>
      <c r="DG37" s="109" t="e">
        <f t="shared" si="59"/>
        <v>#DIV/0!</v>
      </c>
      <c r="DH37" s="79">
        <f t="array" ref="DH37">SUMIFS('Cắt lồng'!$AC$327:$AC$515,'Cắt lồng'!$AA$327:$AA$515,'Cắt lồng'!$AA37,'Cắt lồng'!$AE$327:$AE$515,'Cắt lồng'!DH$4:DH$4)</f>
        <v>0</v>
      </c>
      <c r="DI37" s="79">
        <f t="array" ref="DI37">SUMIFS('Cắt lồng'!$AH$327:$AH$515,'Cắt lồng'!$AA$327:$AA$515,'Cắt lồng'!$AA37,'Cắt lồng'!$AE$327:$AE$515,'Cắt lồng'!DI$4:DI$4)</f>
        <v>0</v>
      </c>
      <c r="DJ37" s="109" t="e">
        <f t="shared" si="60"/>
        <v>#DIV/0!</v>
      </c>
      <c r="DK37" s="79">
        <f t="array" ref="DK37">SUMIFS('Cắt lồng'!$AC$327:$AC$515,'Cắt lồng'!$AA$327:$AA$515,'Cắt lồng'!$AA37,'Cắt lồng'!$AE$327:$AE$515,'Cắt lồng'!DK$4:DK$4)</f>
        <v>0</v>
      </c>
      <c r="DL37" s="79">
        <f t="array" ref="DL37">SUMIFS('Cắt lồng'!$AH$327:$AH$515,'Cắt lồng'!$AA$327:$AA$515,'Cắt lồng'!$AA37,'Cắt lồng'!$AE$327:$AE$515,'Cắt lồng'!DL$4:DL$4)</f>
        <v>0</v>
      </c>
      <c r="DM37" s="109" t="e">
        <f t="shared" si="61"/>
        <v>#DIV/0!</v>
      </c>
      <c r="DN37" s="79">
        <f>SUMIFS('Cắt lồng'!$AC$327:$AC$515,'Cắt lồng'!$AA$327:$AA$515,'Cắt lồng'!$AA37,'Cắt lồng'!$AE$327:$AE$515,'Cắt lồng'!DN$4:DN$4)</f>
        <v>0</v>
      </c>
      <c r="DO37" s="79">
        <f t="array" ref="DO37">SUMIFS('Cắt lồng'!$AH$327:$AH$515,'Cắt lồng'!$AA$327:$AA$515,'Cắt lồng'!$AA37,'Cắt lồng'!$AE$327:$AE$515,'Cắt lồng'!DO$4:DO$4)</f>
        <v>0</v>
      </c>
      <c r="DP37" s="109" t="e">
        <f t="shared" si="62"/>
        <v>#DIV/0!</v>
      </c>
      <c r="DQ37" s="79">
        <f t="array" ref="DQ37">SUMIFS('Cắt lồng'!$AC$327:$AC$515,'Cắt lồng'!$AA$327:$AA$515,'Cắt lồng'!$AA37,'Cắt lồng'!$AE$327:$AE$515,'Cắt lồng'!DQ$4:DQ$4)</f>
        <v>0</v>
      </c>
      <c r="DR37" s="79">
        <f t="array" ref="DR37">SUMIFS('Cắt lồng'!$AH$327:$AH$515,'Cắt lồng'!$AA$327:$AA$515,'Cắt lồng'!$AA37,'Cắt lồng'!$AE$327:$AE$515,'Cắt lồng'!DR$4:DR$4)</f>
        <v>0</v>
      </c>
      <c r="DS37" s="109" t="e">
        <f t="shared" si="63"/>
        <v>#DIV/0!</v>
      </c>
      <c r="DT37" s="79">
        <f t="array" ref="DT37">SUMIFS('Cắt lồng'!$AC$327:$AC$515,'Cắt lồng'!$AA$327:$AA$515,'Cắt lồng'!$AA37,'Cắt lồng'!$AE$327:$AE$515,'Cắt lồng'!DT$4:DT$4)</f>
        <v>0</v>
      </c>
      <c r="DU37" s="79">
        <f t="array" ref="DU37">SUMIFS('Cắt lồng'!$AH$327:$AH$515,'Cắt lồng'!$AA$327:$AA$515,'Cắt lồng'!$AA37,'Cắt lồng'!$AE$327:$AE$515,'Cắt lồng'!DU$4:DU$4)</f>
        <v>0</v>
      </c>
      <c r="DV37" s="109" t="e">
        <f t="shared" si="64"/>
        <v>#DIV/0!</v>
      </c>
      <c r="DW37" s="79">
        <f t="array" ref="DW37">SUMIFS('Cắt lồng'!$AC$327:$AC$515,'Cắt lồng'!$AA$327:$AA$515,'Cắt lồng'!$AA37,'Cắt lồng'!$AE$327:$AE$515,'Cắt lồng'!DW$4:DW$4)</f>
        <v>0</v>
      </c>
      <c r="DX37" s="79">
        <f t="array" ref="DX37">SUMIFS('Cắt lồng'!$AH$327:$AH$515,'Cắt lồng'!$AA$327:$AA$515,'Cắt lồng'!$AA37,'Cắt lồng'!$AE$327:$AE$515,'Cắt lồng'!DX$4:DX$4)</f>
        <v>0</v>
      </c>
      <c r="DY37" s="109" t="e">
        <f t="shared" si="65"/>
        <v>#DIV/0!</v>
      </c>
      <c r="DZ37" s="79">
        <f t="array" ref="DZ37">SUMIFS('Cắt lồng'!$AC$327:$AC$515,'Cắt lồng'!$AA$327:$AA$515,'Cắt lồng'!$AA37,'Cắt lồng'!$AE$327:$AE$515,'Cắt lồng'!DZ$4:DZ$4)</f>
        <v>0</v>
      </c>
      <c r="EA37" s="79">
        <f t="array" ref="EA37">SUMIFS('Cắt lồng'!$AH$327:$AH$515,'Cắt lồng'!$AA$327:$AA$515,'Cắt lồng'!$AA37,'Cắt lồng'!$AE$327:$AE$515,'Cắt lồng'!EA$4:EA$4)</f>
        <v>0</v>
      </c>
      <c r="EB37" s="109" t="e">
        <f t="shared" si="66"/>
        <v>#DIV/0!</v>
      </c>
      <c r="EC37" s="79">
        <f t="array" ref="EC37">SUMIFS('Cắt lồng'!$AC$327:$AC$515,'Cắt lồng'!$AA$327:$AA$515,'Cắt lồng'!$AA37,'Cắt lồng'!$AE$327:$AE$515,'Cắt lồng'!EC$4:EC$4)</f>
        <v>0</v>
      </c>
      <c r="ED37" s="79">
        <f t="array" ref="ED37">SUMIFS('Cắt lồng'!$AH$327:$AH$515,'Cắt lồng'!$AA$327:$AA$515,'Cắt lồng'!$AA37,'Cắt lồng'!$AE$327:$AE$515,'Cắt lồng'!ED$4:ED$4)</f>
        <v>0</v>
      </c>
      <c r="EE37" s="109" t="e">
        <f t="shared" si="67"/>
        <v>#DIV/0!</v>
      </c>
      <c r="EF37" s="79">
        <f t="array" ref="EF37">SUMIFS('Cắt lồng'!$AC$327:$AC$515,'Cắt lồng'!$AA$327:$AA$515,'Cắt lồng'!$AA37,'Cắt lồng'!$AE$327:$AE$515,'Cắt lồng'!EF$4:EF$4)</f>
        <v>0</v>
      </c>
      <c r="EG37" s="79">
        <f t="array" ref="EG37">SUMIFS('Cắt lồng'!$AH$327:$AH$515,'Cắt lồng'!$AA$327:$AA$515,'Cắt lồng'!$AA37,'Cắt lồng'!$AE$327:$AE$515,'Cắt lồng'!EG$4:EG$4)</f>
        <v>0</v>
      </c>
      <c r="EH37" s="109" t="e">
        <f t="shared" si="68"/>
        <v>#DIV/0!</v>
      </c>
      <c r="EI37" s="79">
        <f t="array" ref="EI37">SUMIFS('Cắt lồng'!$AC$327:$AC$515,'Cắt lồng'!$AA$327:$AA$515,'Cắt lồng'!$AA37,'Cắt lồng'!$AE$327:$AE$515,'Cắt lồng'!EI$4:EI$4)</f>
        <v>0</v>
      </c>
      <c r="EJ37" s="79">
        <f t="array" ref="EJ37">SUMIFS('Cắt lồng'!$AH$327:$AH$515,'Cắt lồng'!$AA$327:$AA$515,'Cắt lồng'!$AA37,'Cắt lồng'!$AE$327:$AE$515,'Cắt lồng'!EJ$4:EJ$4)</f>
        <v>0</v>
      </c>
      <c r="EK37" s="109" t="e">
        <f t="shared" si="69"/>
        <v>#DIV/0!</v>
      </c>
    </row>
    <row r="38" spans="1:142" s="12" customFormat="1" ht="14.25" hidden="1" customHeight="1">
      <c r="A38" s="25">
        <v>33</v>
      </c>
      <c r="B38" s="26" t="s">
        <v>170</v>
      </c>
      <c r="C38" s="26" t="s">
        <v>170</v>
      </c>
      <c r="D38" s="63"/>
      <c r="E38" s="197"/>
      <c r="F38" s="56"/>
      <c r="G38" s="82">
        <f t="shared" ref="G38:G63" si="79">+SUMIF($AA$327:$AA$515,Z38,$H$327:$H$515)</f>
        <v>0</v>
      </c>
      <c r="H38" s="81">
        <f t="shared" ref="H38:H63" si="80">+SUMIF($AA$327:$AA$515,AA38,$H$327:$H$515)</f>
        <v>0</v>
      </c>
      <c r="I38" s="19">
        <f t="shared" ref="I38:I63" si="81">+SUMIF($AA$327:$AA$515,AA38,$I$327:$I$515)</f>
        <v>0</v>
      </c>
      <c r="J38" s="11">
        <f t="shared" ref="J38:J63" si="82">SUM(K38:Z38)</f>
        <v>0</v>
      </c>
      <c r="K38" s="19">
        <f t="shared" ref="K38:K63" si="83">+SUMIF($AA$327:$AA$515,AA38,$K$327:$K$515)</f>
        <v>0</v>
      </c>
      <c r="L38" s="19">
        <f t="shared" ref="L38:L63" si="84">+SUMIF($AA$327:$AA$515,AA38,$L$327:$L$515)</f>
        <v>0</v>
      </c>
      <c r="M38" s="19">
        <f t="shared" ref="M38:M63" si="85">+SUMIF($AA$327:$AA$515,AA38,$M$327:$M$515)</f>
        <v>0</v>
      </c>
      <c r="N38" s="19">
        <f t="shared" ref="N38:N63" si="86">+SUMIF($AA$327:$AA$515,AA38,$N$327:$N$515)</f>
        <v>0</v>
      </c>
      <c r="O38" s="19">
        <f t="shared" ref="O38:O63" si="87">+SUMIF($AA$327:$AA$515,AA38,$O$327:$O$515)</f>
        <v>0</v>
      </c>
      <c r="P38" s="19">
        <f t="shared" ref="P38:P63" si="88">+SUMIF($AA$327:$AA$515,AA38,$P$327:$P$515)</f>
        <v>0</v>
      </c>
      <c r="Q38" s="19">
        <f t="shared" ref="Q38:Q63" si="89">+SUMIF($AA$327:$AA$515,AA38,$Q$327:$Q$515)</f>
        <v>0</v>
      </c>
      <c r="R38" s="19">
        <f t="shared" ref="R38:R63" si="90">+SUMIF($AA$327:$AA$515,AA38,$R$327:$R$515)</f>
        <v>0</v>
      </c>
      <c r="S38" s="19">
        <f t="shared" ref="S38:S63" si="91">+SUMIF($AA$327:$AA$515,AA38,$S$327:$S$515)</f>
        <v>0</v>
      </c>
      <c r="T38" s="19">
        <f t="shared" ref="T38:T63" si="92">+SUMIF($AA$327:$AA$515,AA38,$T$327:$T$515)</f>
        <v>0</v>
      </c>
      <c r="U38" s="19">
        <f t="shared" ref="U38:U63" si="93">+SUMIF($AA$327:$AA$515,AA38,$U$327:$U$515)</f>
        <v>0</v>
      </c>
      <c r="V38" s="19">
        <f t="shared" ref="V38:V63" si="94">+SUMIF($AA$327:$AA$515,AA38,$V$327:$V$515)</f>
        <v>0</v>
      </c>
      <c r="W38" s="19">
        <f t="shared" ref="W38:W63" si="95">+SUMIF($AA$327:$AA$515,AA38,$W$327:$W$515)</f>
        <v>0</v>
      </c>
      <c r="X38" s="19">
        <f t="shared" ref="X38:X63" si="96">+SUMIF($AA$327:$AA$515,AA38,$X$327:$X$515)</f>
        <v>0</v>
      </c>
      <c r="Y38" s="19">
        <f t="shared" ref="Y38:Y63" si="97">+SUMIF($AA$327:$AA$515,AA38,$Y$327:$Y$515)</f>
        <v>0</v>
      </c>
      <c r="Z38" s="19">
        <f t="shared" ref="Z38:Z63" si="98">+SUMIF($AA$327:$AA$515,AB38,$Y$327:$Y$515)</f>
        <v>0</v>
      </c>
      <c r="AA38" s="164" t="s">
        <v>257</v>
      </c>
      <c r="AB38" s="129">
        <f t="shared" si="21"/>
        <v>0</v>
      </c>
      <c r="AC38" s="16">
        <f t="shared" si="22"/>
        <v>0</v>
      </c>
      <c r="AD38" s="15" t="e">
        <f t="shared" ref="AD38:AD63" si="99">+AC38/AB38</f>
        <v>#DIV/0!</v>
      </c>
      <c r="AE38" s="42"/>
      <c r="AF38" s="10" t="e">
        <f t="shared" ref="AF38:AF63" si="100">+AC38/H38</f>
        <v>#DIV/0!</v>
      </c>
      <c r="AG38" s="10"/>
      <c r="AH38" s="127">
        <f t="shared" si="25"/>
        <v>0</v>
      </c>
      <c r="AI38" s="54" t="e">
        <f t="shared" ref="AI38:AI58" si="101">+AH38/AC38</f>
        <v>#DIV/0!</v>
      </c>
      <c r="AJ38" s="25">
        <f t="shared" ref="AJ38:AJ63" si="102">+SUMIF($AA$327:$AA$515,AA38,$AJ$327:$AJ$515)</f>
        <v>0</v>
      </c>
      <c r="AK38" s="25">
        <f t="shared" ref="AK38:AK63" si="103">+SUMIF($AA$327:$AA$515,AA38,$AK$327:$AK$515)</f>
        <v>0</v>
      </c>
      <c r="AL38" s="25">
        <f t="shared" ref="AL38:AL63" si="104">+SUMIF($AA$327:$AA$515,AA38,$AL$327:$AL$515)</f>
        <v>0</v>
      </c>
      <c r="AM38" s="30">
        <f t="shared" si="73"/>
        <v>0</v>
      </c>
      <c r="AN38" s="30">
        <f t="shared" si="74"/>
        <v>0</v>
      </c>
      <c r="AO38" s="30">
        <f t="shared" si="75"/>
        <v>0</v>
      </c>
      <c r="AP38" s="30">
        <f t="shared" si="76"/>
        <v>0</v>
      </c>
      <c r="AQ38" s="30">
        <f t="shared" si="77"/>
        <v>0</v>
      </c>
      <c r="AR38" s="30">
        <f t="shared" ref="AR38:AR63" si="105">+SUMIF($AB$327:$AB$515,AA38,$AR$327:$AR$515)</f>
        <v>0</v>
      </c>
      <c r="AS38" s="30">
        <f t="shared" ref="AS38:AS63" si="106">+SUMIF($AC$327:$AC$515,AA38,$AS$327:$AS$515)</f>
        <v>0</v>
      </c>
      <c r="AT38" s="30">
        <f t="shared" si="78"/>
        <v>0</v>
      </c>
      <c r="AV38" s="79">
        <f t="shared" ref="AV38:AV62" si="107">+SUMIF($AA$327:$AA$514,AA38,$H$327:$H$514)</f>
        <v>0</v>
      </c>
      <c r="AW38" s="79">
        <f t="array" ref="AW38">SUMIFS('Cắt lồng'!$AC$327:$AC$515,'Cắt lồng'!$AA$327:$AA$515,'Cắt lồng'!$AA38,'Cắt lồng'!$AE$327:$AE$515,'Cắt lồng'!AW$4:AW$4)</f>
        <v>0</v>
      </c>
      <c r="AX38" s="79">
        <f t="array" ref="AX38">SUMIFS('Cắt lồng'!$AH$327:$AH$515,'Cắt lồng'!$AA$327:$AA$515,'Cắt lồng'!$AA38,'Cắt lồng'!$AE$327:$AE$515,'Cắt lồng'!AX$4:AX$4)</f>
        <v>0</v>
      </c>
      <c r="AY38" s="78" t="e">
        <f t="shared" ref="AY38:AY62" si="108">+AX38/AW38</f>
        <v>#DIV/0!</v>
      </c>
      <c r="AZ38" s="79">
        <f t="array" ref="AZ38">SUMIFS('Cắt lồng'!$AC$327:$AC$515,'Cắt lồng'!$AA$327:$AA$515,'Cắt lồng'!$AA38,'Cắt lồng'!$AE$327:$AE$515,'Cắt lồng'!AZ$4:AZ$4)</f>
        <v>0</v>
      </c>
      <c r="BA38" s="79">
        <f t="array" ref="BA38">SUMIFS('Cắt lồng'!$AH$327:$AH$515,'Cắt lồng'!$AA$327:$AA$515,'Cắt lồng'!$AA38,'Cắt lồng'!$AE$327:$AE$515,'Cắt lồng'!BA$4:BA$4)</f>
        <v>0</v>
      </c>
      <c r="BB38" s="78" t="e">
        <f t="shared" ref="BB38:BB62" si="109">+BA38/AZ38</f>
        <v>#DIV/0!</v>
      </c>
      <c r="BC38" s="79">
        <f t="array" ref="BC38">SUMIFS('Cắt lồng'!$AC$327:$AC$515,'Cắt lồng'!$AA$327:$AA$515,'Cắt lồng'!$AA38,'Cắt lồng'!$AE$327:$AE$515,'Cắt lồng'!BC$4:BC$4)</f>
        <v>0</v>
      </c>
      <c r="BD38" s="79">
        <f t="array" ref="BD38">SUMIFS('Cắt lồng'!$AH$327:$AH$515,'Cắt lồng'!$AA$327:$AA$515,'Cắt lồng'!$AA38,'Cắt lồng'!$AE$327:$AE$515,'Cắt lồng'!BD$4:BD$4)</f>
        <v>0</v>
      </c>
      <c r="BE38" s="78" t="e">
        <f t="shared" ref="BE38:BE62" si="110">+BD38/BC38</f>
        <v>#DIV/0!</v>
      </c>
      <c r="BF38" s="79">
        <f t="array" ref="BF38">SUMIFS('Cắt lồng'!$AC$327:$AC$515,'Cắt lồng'!$AA$327:$AA$515,'Cắt lồng'!$AA38,'Cắt lồng'!$AE$327:$AE$515,'Cắt lồng'!BF$4:BF$4)</f>
        <v>0</v>
      </c>
      <c r="BG38" s="79">
        <f t="array" ref="BG38">SUMIFS('Cắt lồng'!$AH$327:$AH$515,'Cắt lồng'!$AA$327:$AA$515,'Cắt lồng'!$AA38,'Cắt lồng'!$AE$327:$AE$515,'Cắt lồng'!BG$4:BG$4)</f>
        <v>0</v>
      </c>
      <c r="BH38" s="78" t="e">
        <f t="shared" ref="BH38:BH62" si="111">+BG38/BF38</f>
        <v>#DIV/0!</v>
      </c>
      <c r="BI38" s="79">
        <f t="array" ref="BI38">SUMIFS('Cắt lồng'!$AC$327:$AC$515,'Cắt lồng'!$AA$327:$AA$515,'Cắt lồng'!$AA38,'Cắt lồng'!$AE$327:$AE$515,'Cắt lồng'!BI$4:BI$4)</f>
        <v>0</v>
      </c>
      <c r="BJ38" s="79">
        <f t="array" ref="BJ38">SUMIFS('Cắt lồng'!$AH$327:$AH$515,'Cắt lồng'!$AA$327:$AA$515,'Cắt lồng'!$AA38,'Cắt lồng'!$AE$327:$AE$515,'Cắt lồng'!BJ$4:BJ$4)</f>
        <v>0</v>
      </c>
      <c r="BK38" s="78" t="e">
        <f t="shared" ref="BK38:BK62" si="112">+BJ38/BI38</f>
        <v>#DIV/0!</v>
      </c>
      <c r="BL38" s="79">
        <f t="array" ref="BL38">SUMIFS('Cắt lồng'!$AC$327:$AC$515,'Cắt lồng'!$AA$327:$AA$515,'Cắt lồng'!$AA38,'Cắt lồng'!$AE$327:$AE$515,'Cắt lồng'!BL$4:BL$4)</f>
        <v>0</v>
      </c>
      <c r="BM38" s="79">
        <f t="array" ref="BM38">SUMIFS('Cắt lồng'!$AH$327:$AH$515,'Cắt lồng'!$AA$327:$AA$515,'Cắt lồng'!$AA38,'Cắt lồng'!$AE$327:$AE$515,'Cắt lồng'!BM$4:BM$4)</f>
        <v>0</v>
      </c>
      <c r="BN38" s="78" t="e">
        <f t="shared" ref="BN38:BN62" si="113">+BM38/BL38</f>
        <v>#DIV/0!</v>
      </c>
      <c r="BO38" s="79">
        <f t="array" ref="BO38">SUMIFS('Cắt lồng'!$AC$327:$AC$515,'Cắt lồng'!$AA$327:$AA$515,'Cắt lồng'!$AA38,'Cắt lồng'!$AE$327:$AE$515,'Cắt lồng'!BO$4:BO$4)</f>
        <v>0</v>
      </c>
      <c r="BP38" s="79">
        <f t="array" ref="BP38">SUMIFS('Cắt lồng'!$AH$327:$AH$515,'Cắt lồng'!$AA$327:$AA$515,'Cắt lồng'!$AA38,'Cắt lồng'!$AE$327:$AE$515,'Cắt lồng'!BP$4:BP$4)</f>
        <v>0</v>
      </c>
      <c r="BQ38" s="78" t="e">
        <f t="shared" ref="BQ38:BQ62" si="114">+BP38/BO38</f>
        <v>#DIV/0!</v>
      </c>
      <c r="BR38" s="79">
        <f t="array" ref="BR38">SUMIFS('Cắt lồng'!$AC$327:$AC$515,'Cắt lồng'!$AA$327:$AA$515,'Cắt lồng'!$AA38,'Cắt lồng'!$AE$327:$AE$515,'Cắt lồng'!BR$4:BR$4)</f>
        <v>0</v>
      </c>
      <c r="BS38" s="79">
        <f t="array" ref="BS38">SUMIFS('Cắt lồng'!$AH$327:$AH$515,'Cắt lồng'!$AA$327:$AA$515,'Cắt lồng'!$AA38,'Cắt lồng'!$AE$327:$AE$515,'Cắt lồng'!BS$4:BS$4)</f>
        <v>0</v>
      </c>
      <c r="BT38" s="78" t="e">
        <f t="shared" ref="BT38:BT62" si="115">+BS38/BR38</f>
        <v>#DIV/0!</v>
      </c>
      <c r="BU38" s="79">
        <f t="array" ref="BU38">SUMIFS('Cắt lồng'!$AC$327:$AC$515,'Cắt lồng'!$AA$327:$AA$515,'Cắt lồng'!$AA38,'Cắt lồng'!$AE$327:$AE$515,'Cắt lồng'!BU$4:BU$4)</f>
        <v>0</v>
      </c>
      <c r="BV38" s="79">
        <f t="array" ref="BV38">SUMIFS('Cắt lồng'!$AH$327:$AH$515,'Cắt lồng'!$AA$327:$AA$515,'Cắt lồng'!$AA38,'Cắt lồng'!$AE$327:$AE$515,'Cắt lồng'!BV$4:BV$4)</f>
        <v>0</v>
      </c>
      <c r="BW38" s="78" t="e">
        <f t="shared" ref="BW38:BW62" si="116">+BV38/BU38</f>
        <v>#DIV/0!</v>
      </c>
      <c r="BX38" s="79">
        <f t="array" ref="BX38">SUMIFS('Cắt lồng'!$AC$327:$AC$515,'Cắt lồng'!$AA$327:$AA$515,'Cắt lồng'!$AA38,'Cắt lồng'!$AE$327:$AE$515,'Cắt lồng'!BX$4:BX$4)</f>
        <v>0</v>
      </c>
      <c r="BY38" s="79">
        <f t="array" ref="BY38">SUMIFS('Cắt lồng'!$AH$327:$AH$515,'Cắt lồng'!$AA$327:$AA$515,'Cắt lồng'!$AA38,'Cắt lồng'!$AE$327:$AE$515,'Cắt lồng'!BY$4:BY$4)</f>
        <v>0</v>
      </c>
      <c r="BZ38" s="78" t="e">
        <f t="shared" ref="BZ38:BZ62" si="117">+BY38/BX38</f>
        <v>#DIV/0!</v>
      </c>
      <c r="CA38" s="79">
        <f t="array" ref="CA38">SUMIFS('Cắt lồng'!$AC$327:$AC$515,'Cắt lồng'!$AA$327:$AA$515,'Cắt lồng'!$AA38,'Cắt lồng'!$AE$327:$AE$515,'Cắt lồng'!CA$4:CA$4)</f>
        <v>0</v>
      </c>
      <c r="CB38" s="79">
        <f t="array" ref="CB38">SUMIFS('Cắt lồng'!$AH$327:$AH$515,'Cắt lồng'!$AA$327:$AA$515,'Cắt lồng'!$AA38,'Cắt lồng'!$AE$327:$AE$515,'Cắt lồng'!CB$4:CB$4)</f>
        <v>0</v>
      </c>
      <c r="CC38" s="78" t="e">
        <f t="shared" ref="CC38:CC62" si="118">+CB38/CA38</f>
        <v>#DIV/0!</v>
      </c>
      <c r="CD38" s="79">
        <f t="array" ref="CD38">SUMIFS('Cắt lồng'!$AC$327:$AC$515,'Cắt lồng'!$AA$327:$AA$515,'Cắt lồng'!$AA38,'Cắt lồng'!$AE$327:$AE$515,'Cắt lồng'!CD$4:CD$4)</f>
        <v>0</v>
      </c>
      <c r="CE38" s="79">
        <f t="array" ref="CE38">SUMIFS('Cắt lồng'!$AH$327:$AH$515,'Cắt lồng'!$AA$327:$AA$515,'Cắt lồng'!$AA38,'Cắt lồng'!$AE$327:$AE$515,'Cắt lồng'!CE$4:CE$4)</f>
        <v>0</v>
      </c>
      <c r="CF38" s="78" t="e">
        <f t="shared" ref="CF38:CF62" si="119">+CE38/CD38</f>
        <v>#DIV/0!</v>
      </c>
      <c r="CG38" s="79">
        <f t="array" ref="CG38">SUMIFS('Cắt lồng'!$AC$327:$AC$515,'Cắt lồng'!$AA$327:$AA$515,'Cắt lồng'!$AA38,'Cắt lồng'!$AE$327:$AE$515,'Cắt lồng'!CG$4:CG$4)</f>
        <v>0</v>
      </c>
      <c r="CH38" s="79">
        <f t="array" ref="CH38">SUMIFS('Cắt lồng'!$AH$327:$AH$515,'Cắt lồng'!$AA$327:$AA$515,'Cắt lồng'!$AA38,'Cắt lồng'!$AE$327:$AE$515,'Cắt lồng'!CH$4:CH$4)</f>
        <v>0</v>
      </c>
      <c r="CI38" s="78" t="e">
        <f t="shared" ref="CI38:CI62" si="120">+CH38/CG38</f>
        <v>#DIV/0!</v>
      </c>
      <c r="CJ38" s="79">
        <f t="array" ref="CJ38">SUMIFS('Cắt lồng'!$AC$327:$AC$515,'Cắt lồng'!$AA$327:$AA$515,'Cắt lồng'!$AA38,'Cắt lồng'!$AE$327:$AE$515,'Cắt lồng'!CJ$4:CJ$4)</f>
        <v>0</v>
      </c>
      <c r="CK38" s="79">
        <f t="array" ref="CK38">SUMIFS('Cắt lồng'!$AH$327:$AH$515,'Cắt lồng'!$AA$327:$AA$515,'Cắt lồng'!$AA38,'Cắt lồng'!$AE$327:$AE$515,'Cắt lồng'!CK$4:CK$4)</f>
        <v>0</v>
      </c>
      <c r="CL38" s="78" t="e">
        <f t="shared" ref="CL38:CL62" si="121">+CK38/CJ38</f>
        <v>#DIV/0!</v>
      </c>
      <c r="CM38" s="79">
        <f t="array" ref="CM38">SUMIFS('Cắt lồng'!$AC$327:$AC$515,'Cắt lồng'!$AA$327:$AA$515,'Cắt lồng'!$AA38,'Cắt lồng'!$AE$327:$AE$515,'Cắt lồng'!CM$4:CM$4)</f>
        <v>0</v>
      </c>
      <c r="CN38" s="79">
        <f t="array" ref="CN38">SUMIFS('Cắt lồng'!$AH$327:$AH$515,'Cắt lồng'!$AA$327:$AA$515,'Cắt lồng'!$AA38,'Cắt lồng'!$AE$327:$AE$515,'Cắt lồng'!CN$4:CN$4)</f>
        <v>0</v>
      </c>
      <c r="CO38" s="78" t="e">
        <f t="shared" ref="CO38:CO62" si="122">+CN38/CM38</f>
        <v>#DIV/0!</v>
      </c>
      <c r="CP38" s="79">
        <f t="array" ref="CP38">SUMIFS('Cắt lồng'!$AC$327:$AC$515,'Cắt lồng'!$AA$327:$AA$515,'Cắt lồng'!$AA38,'Cắt lồng'!$AE$327:$AE$515,'Cắt lồng'!CP$4:CP$4)</f>
        <v>0</v>
      </c>
      <c r="CQ38" s="79">
        <f t="array" ref="CQ38">SUMIFS('Cắt lồng'!$AH$327:$AH$515,'Cắt lồng'!$AA$327:$AA$515,'Cắt lồng'!$AA38,'Cắt lồng'!$AE$327:$AE$515,'Cắt lồng'!CQ$4:CQ$4)</f>
        <v>0</v>
      </c>
      <c r="CR38" s="78" t="e">
        <f t="shared" ref="CR38:CR62" si="123">+CQ38/CP38</f>
        <v>#DIV/0!</v>
      </c>
      <c r="CS38" s="79">
        <f t="array" ref="CS38">SUMIFS('Cắt lồng'!$AC$327:$AC$515,'Cắt lồng'!$AA$327:$AA$515,'Cắt lồng'!$AA38,'Cắt lồng'!$AE$327:$AE$515,'Cắt lồng'!CS$4:CS$4)</f>
        <v>0</v>
      </c>
      <c r="CT38" s="79">
        <f t="array" ref="CT38">SUMIFS('Cắt lồng'!$AH$327:$AH$515,'Cắt lồng'!$AA$327:$AA$515,'Cắt lồng'!$AA38,'Cắt lồng'!$AE$327:$AE$515,'Cắt lồng'!CT$4:CT$4)</f>
        <v>0</v>
      </c>
      <c r="CU38" s="78" t="e">
        <f t="shared" ref="CU38:CU62" si="124">+CT38/CS38</f>
        <v>#DIV/0!</v>
      </c>
      <c r="CV38" s="79">
        <f t="array" ref="CV38">SUMIFS('Cắt lồng'!$AC$327:$AC$515,'Cắt lồng'!$AA$327:$AA$515,'Cắt lồng'!$AA38,'Cắt lồng'!$AE$327:$AE$515,'Cắt lồng'!CV$4:CV$4)</f>
        <v>0</v>
      </c>
      <c r="CW38" s="79">
        <f t="array" ref="CW38">SUMIFS('Cắt lồng'!$AH$327:$AH$515,'Cắt lồng'!$AA$327:$AA$515,'Cắt lồng'!$AA38,'Cắt lồng'!$AE$327:$AE$515,'Cắt lồng'!CW$4:CW$4)</f>
        <v>0</v>
      </c>
      <c r="CX38" s="78" t="e">
        <f t="shared" ref="CX38:CX62" si="125">+CW38/CV38</f>
        <v>#DIV/0!</v>
      </c>
      <c r="CY38" s="79">
        <f t="array" ref="CY38">SUMIFS('Cắt lồng'!$AC$327:$AC$515,'Cắt lồng'!$AA$327:$AA$515,'Cắt lồng'!$AA38,'Cắt lồng'!$AE$327:$AE$515,'Cắt lồng'!CY$4:CY$4)</f>
        <v>0</v>
      </c>
      <c r="CZ38" s="79">
        <f t="array" ref="CZ38">SUMIFS('Cắt lồng'!$AH$327:$AH$515,'Cắt lồng'!$AA$327:$AA$515,'Cắt lồng'!$AA38,'Cắt lồng'!$AE$327:$AE$515,'Cắt lồng'!CZ$4:CZ$4)</f>
        <v>0</v>
      </c>
      <c r="DA38" s="78" t="e">
        <f t="shared" ref="DA38:DA62" si="126">+CZ38/CY38</f>
        <v>#DIV/0!</v>
      </c>
      <c r="DB38" s="79">
        <f t="array" ref="DB38">SUMIFS('Cắt lồng'!$AC$327:$AC$515,'Cắt lồng'!$AA$327:$AA$515,'Cắt lồng'!$AA38,'Cắt lồng'!$AE$327:$AE$515,'Cắt lồng'!DB$4:DB$4)</f>
        <v>0</v>
      </c>
      <c r="DC38" s="79">
        <f t="array" ref="DC38">SUMIFS('Cắt lồng'!$AH$327:$AH$515,'Cắt lồng'!$AA$327:$AA$515,'Cắt lồng'!$AA38,'Cắt lồng'!$AE$327:$AE$515,'Cắt lồng'!DC$4:DC$4)</f>
        <v>0</v>
      </c>
      <c r="DD38" s="78" t="e">
        <f t="shared" ref="DD38:DD62" si="127">+DC38/DB38</f>
        <v>#DIV/0!</v>
      </c>
      <c r="DE38" s="79">
        <f t="array" ref="DE38">SUMIFS('Cắt lồng'!$AC$327:$AC$515,'Cắt lồng'!$AA$327:$AA$515,'Cắt lồng'!$AA38,'Cắt lồng'!$AE$327:$AE$515,'Cắt lồng'!DE$4:DE$4)</f>
        <v>0</v>
      </c>
      <c r="DF38" s="79">
        <f t="array" ref="DF38">SUMIFS('Cắt lồng'!$AH$327:$AH$515,'Cắt lồng'!$AA$327:$AA$515,'Cắt lồng'!$AA38,'Cắt lồng'!$AE$327:$AE$515,'Cắt lồng'!DF$4:DF$4)</f>
        <v>0</v>
      </c>
      <c r="DG38" s="78" t="e">
        <f t="shared" ref="DG38:DG62" si="128">+DF38/DE38</f>
        <v>#DIV/0!</v>
      </c>
      <c r="DH38" s="79">
        <f t="array" ref="DH38">SUMIFS('Cắt lồng'!$AC$327:$AC$515,'Cắt lồng'!$AA$327:$AA$515,'Cắt lồng'!$AA38,'Cắt lồng'!$AE$327:$AE$515,'Cắt lồng'!DH$4:DH$4)</f>
        <v>0</v>
      </c>
      <c r="DI38" s="79">
        <f t="array" ref="DI38">SUMIFS('Cắt lồng'!$AH$327:$AH$515,'Cắt lồng'!$AA$327:$AA$515,'Cắt lồng'!$AA38,'Cắt lồng'!$AE$327:$AE$515,'Cắt lồng'!DI$4:DI$4)</f>
        <v>0</v>
      </c>
      <c r="DJ38" s="78" t="e">
        <f t="shared" ref="DJ38:DJ62" si="129">+DI38/DH38</f>
        <v>#DIV/0!</v>
      </c>
      <c r="DK38" s="79">
        <f t="array" ref="DK38">SUMIFS('Cắt lồng'!$AC$327:$AC$515,'Cắt lồng'!$AA$327:$AA$515,'Cắt lồng'!$AA38,'Cắt lồng'!$AE$327:$AE$515,'Cắt lồng'!DK$4:DK$4)</f>
        <v>0</v>
      </c>
      <c r="DL38" s="79">
        <f t="array" ref="DL38">SUMIFS('Cắt lồng'!$AH$327:$AH$515,'Cắt lồng'!$AA$327:$AA$515,'Cắt lồng'!$AA38,'Cắt lồng'!$AE$327:$AE$515,'Cắt lồng'!DL$4:DL$4)</f>
        <v>0</v>
      </c>
      <c r="DM38" s="78" t="e">
        <f t="shared" ref="DM38:DM62" si="130">+DL38/DK38</f>
        <v>#DIV/0!</v>
      </c>
      <c r="DN38" s="79">
        <f>SUMIFS('Cắt lồng'!$AC$327:$AC$515,'Cắt lồng'!$AA$327:$AA$515,'Cắt lồng'!$AA38,'Cắt lồng'!$AE$327:$AE$515,'Cắt lồng'!DN$4:DN$4)</f>
        <v>0</v>
      </c>
      <c r="DO38" s="79">
        <f t="array" ref="DO38">SUMIFS('Cắt lồng'!$AH$327:$AH$515,'Cắt lồng'!$AA$327:$AA$515,'Cắt lồng'!$AA38,'Cắt lồng'!$AE$327:$AE$515,'Cắt lồng'!DO$4:DO$4)</f>
        <v>0</v>
      </c>
      <c r="DP38" s="78" t="e">
        <f t="shared" ref="DP38:DP62" si="131">+DO38/DN38</f>
        <v>#DIV/0!</v>
      </c>
      <c r="DQ38" s="79">
        <f t="array" ref="DQ38">SUMIFS('Cắt lồng'!$AC$327:$AC$515,'Cắt lồng'!$AA$327:$AA$515,'Cắt lồng'!$AA38,'Cắt lồng'!$AE$327:$AE$515,'Cắt lồng'!DQ$4:DQ$4)</f>
        <v>0</v>
      </c>
      <c r="DR38" s="79">
        <f t="array" ref="DR38">SUMIFS('Cắt lồng'!$AH$327:$AH$515,'Cắt lồng'!$AA$327:$AA$515,'Cắt lồng'!$AA38,'Cắt lồng'!$AE$327:$AE$515,'Cắt lồng'!DR$4:DR$4)</f>
        <v>0</v>
      </c>
      <c r="DS38" s="78" t="e">
        <f t="shared" ref="DS38:DS62" si="132">+DR38/DQ38</f>
        <v>#DIV/0!</v>
      </c>
      <c r="DT38" s="79">
        <f t="array" ref="DT38">SUMIFS('Cắt lồng'!$AC$327:$AC$515,'Cắt lồng'!$AA$327:$AA$515,'Cắt lồng'!$AA38,'Cắt lồng'!$AE$327:$AE$515,'Cắt lồng'!DT$4:DT$4)</f>
        <v>0</v>
      </c>
      <c r="DU38" s="79">
        <f t="array" ref="DU38">SUMIFS('Cắt lồng'!$AH$327:$AH$515,'Cắt lồng'!$AA$327:$AA$515,'Cắt lồng'!$AA38,'Cắt lồng'!$AE$327:$AE$515,'Cắt lồng'!DU$4:DU$4)</f>
        <v>0</v>
      </c>
      <c r="DV38" s="78" t="e">
        <f t="shared" ref="DV38:DV62" si="133">+DU38/DT38</f>
        <v>#DIV/0!</v>
      </c>
      <c r="DW38" s="79">
        <f t="array" ref="DW38">SUMIFS('Cắt lồng'!$AC$327:$AC$515,'Cắt lồng'!$AA$327:$AA$515,'Cắt lồng'!$AA38,'Cắt lồng'!$AE$327:$AE$515,'Cắt lồng'!DW$4:DW$4)</f>
        <v>0</v>
      </c>
      <c r="DX38" s="79">
        <f t="array" ref="DX38">SUMIFS('Cắt lồng'!$AH$327:$AH$515,'Cắt lồng'!$AA$327:$AA$515,'Cắt lồng'!$AA38,'Cắt lồng'!$AE$327:$AE$515,'Cắt lồng'!DX$4:DX$4)</f>
        <v>0</v>
      </c>
      <c r="DY38" s="78" t="e">
        <f t="shared" ref="DY38:DY62" si="134">+DX38/DW38</f>
        <v>#DIV/0!</v>
      </c>
      <c r="DZ38" s="79">
        <f t="array" ref="DZ38">SUMIFS('Cắt lồng'!$AC$327:$AC$515,'Cắt lồng'!$AA$327:$AA$515,'Cắt lồng'!$AA38,'Cắt lồng'!$AE$327:$AE$515,'Cắt lồng'!DZ$4:DZ$4)</f>
        <v>0</v>
      </c>
      <c r="EA38" s="79">
        <f t="array" ref="EA38">SUMIFS('Cắt lồng'!$AH$327:$AH$515,'Cắt lồng'!$AA$327:$AA$515,'Cắt lồng'!$AA38,'Cắt lồng'!$AE$327:$AE$515,'Cắt lồng'!EA$4:EA$4)</f>
        <v>0</v>
      </c>
      <c r="EB38" s="78" t="e">
        <f t="shared" ref="EB38:EB62" si="135">+EA38/DZ38</f>
        <v>#DIV/0!</v>
      </c>
      <c r="EC38" s="79">
        <f t="array" ref="EC38">SUMIFS('Cắt lồng'!$AC$327:$AC$515,'Cắt lồng'!$AA$327:$AA$515,'Cắt lồng'!$AA38,'Cắt lồng'!$AE$327:$AE$515,'Cắt lồng'!EC$4:EC$4)</f>
        <v>0</v>
      </c>
      <c r="ED38" s="79">
        <f t="array" ref="ED38">SUMIFS('Cắt lồng'!$AH$327:$AH$515,'Cắt lồng'!$AA$327:$AA$515,'Cắt lồng'!$AA38,'Cắt lồng'!$AE$327:$AE$515,'Cắt lồng'!ED$4:ED$4)</f>
        <v>0</v>
      </c>
      <c r="EE38" s="78" t="e">
        <f t="shared" ref="EE38:EE62" si="136">+ED38/EC38</f>
        <v>#DIV/0!</v>
      </c>
      <c r="EF38" s="79">
        <f t="array" ref="EF38">SUMIFS('Cắt lồng'!$AC$327:$AC$515,'Cắt lồng'!$AA$327:$AA$515,'Cắt lồng'!$AA38,'Cắt lồng'!$AE$327:$AE$515,'Cắt lồng'!EF$4:EF$4)</f>
        <v>0</v>
      </c>
      <c r="EG38" s="79">
        <f t="array" ref="EG38">SUMIFS('Cắt lồng'!$AH$327:$AH$515,'Cắt lồng'!$AA$327:$AA$515,'Cắt lồng'!$AA38,'Cắt lồng'!$AE$327:$AE$515,'Cắt lồng'!EG$4:EG$4)</f>
        <v>0</v>
      </c>
      <c r="EH38" s="78" t="e">
        <f t="shared" ref="EH38:EH62" si="137">+EG38/EF38</f>
        <v>#DIV/0!</v>
      </c>
      <c r="EI38" s="79">
        <f t="array" ref="EI38">SUMIFS('Cắt lồng'!$AC$327:$AC$515,'Cắt lồng'!$AA$327:$AA$515,'Cắt lồng'!$AA38,'Cắt lồng'!$AE$327:$AE$515,'Cắt lồng'!EI$4:EI$4)</f>
        <v>0</v>
      </c>
      <c r="EJ38" s="79">
        <f t="array" ref="EJ38">SUMIFS('Cắt lồng'!$AH$327:$AH$515,'Cắt lồng'!$AA$327:$AA$515,'Cắt lồng'!$AA38,'Cắt lồng'!$AE$327:$AE$515,'Cắt lồng'!EJ$4:EJ$4)</f>
        <v>0</v>
      </c>
      <c r="EK38" s="78" t="e">
        <f t="shared" ref="EK38:EK62" si="138">+EJ38/EI38</f>
        <v>#DIV/0!</v>
      </c>
    </row>
    <row r="39" spans="1:142" s="12" customFormat="1" ht="14.25" hidden="1" customHeight="1">
      <c r="A39" s="25">
        <v>34</v>
      </c>
      <c r="B39" s="26" t="s">
        <v>167</v>
      </c>
      <c r="C39" s="26" t="s">
        <v>167</v>
      </c>
      <c r="D39" s="63"/>
      <c r="E39" s="197"/>
      <c r="F39" s="56"/>
      <c r="G39" s="82">
        <f t="shared" si="79"/>
        <v>0</v>
      </c>
      <c r="H39" s="81">
        <f t="shared" si="80"/>
        <v>0</v>
      </c>
      <c r="I39" s="19">
        <f t="shared" si="81"/>
        <v>0</v>
      </c>
      <c r="J39" s="11">
        <f t="shared" si="82"/>
        <v>0</v>
      </c>
      <c r="K39" s="19">
        <f t="shared" si="83"/>
        <v>0</v>
      </c>
      <c r="L39" s="19">
        <f t="shared" si="84"/>
        <v>0</v>
      </c>
      <c r="M39" s="19">
        <f t="shared" si="85"/>
        <v>0</v>
      </c>
      <c r="N39" s="19">
        <f t="shared" si="86"/>
        <v>0</v>
      </c>
      <c r="O39" s="19">
        <f t="shared" si="87"/>
        <v>0</v>
      </c>
      <c r="P39" s="19">
        <f t="shared" si="88"/>
        <v>0</v>
      </c>
      <c r="Q39" s="19">
        <f t="shared" si="89"/>
        <v>0</v>
      </c>
      <c r="R39" s="19">
        <f t="shared" si="90"/>
        <v>0</v>
      </c>
      <c r="S39" s="19">
        <f t="shared" si="91"/>
        <v>0</v>
      </c>
      <c r="T39" s="19">
        <f t="shared" si="92"/>
        <v>0</v>
      </c>
      <c r="U39" s="19">
        <f t="shared" si="93"/>
        <v>0</v>
      </c>
      <c r="V39" s="19">
        <f t="shared" si="94"/>
        <v>0</v>
      </c>
      <c r="W39" s="19">
        <f t="shared" si="95"/>
        <v>0</v>
      </c>
      <c r="X39" s="19">
        <f t="shared" si="96"/>
        <v>0</v>
      </c>
      <c r="Y39" s="19">
        <f t="shared" si="97"/>
        <v>0</v>
      </c>
      <c r="Z39" s="19">
        <f t="shared" si="98"/>
        <v>0</v>
      </c>
      <c r="AA39" s="164" t="s">
        <v>256</v>
      </c>
      <c r="AB39" s="129">
        <f t="shared" si="21"/>
        <v>0</v>
      </c>
      <c r="AC39" s="16">
        <f t="shared" si="22"/>
        <v>0</v>
      </c>
      <c r="AD39" s="15" t="e">
        <f t="shared" si="99"/>
        <v>#DIV/0!</v>
      </c>
      <c r="AE39" s="42"/>
      <c r="AF39" s="10" t="e">
        <f t="shared" si="100"/>
        <v>#DIV/0!</v>
      </c>
      <c r="AG39" s="10"/>
      <c r="AH39" s="127">
        <f t="shared" si="25"/>
        <v>0</v>
      </c>
      <c r="AI39" s="54" t="e">
        <f t="shared" si="101"/>
        <v>#DIV/0!</v>
      </c>
      <c r="AJ39" s="25">
        <f t="shared" si="102"/>
        <v>0</v>
      </c>
      <c r="AK39" s="25">
        <f t="shared" si="103"/>
        <v>0</v>
      </c>
      <c r="AL39" s="25">
        <f t="shared" si="104"/>
        <v>0</v>
      </c>
      <c r="AM39" s="30">
        <f t="shared" si="73"/>
        <v>0</v>
      </c>
      <c r="AN39" s="30">
        <f t="shared" si="74"/>
        <v>0</v>
      </c>
      <c r="AO39" s="30">
        <f t="shared" si="75"/>
        <v>0</v>
      </c>
      <c r="AP39" s="30">
        <f t="shared" si="76"/>
        <v>0</v>
      </c>
      <c r="AQ39" s="30">
        <f t="shared" si="77"/>
        <v>0</v>
      </c>
      <c r="AR39" s="30">
        <f t="shared" si="105"/>
        <v>0</v>
      </c>
      <c r="AS39" s="30">
        <f t="shared" si="106"/>
        <v>0</v>
      </c>
      <c r="AT39" s="30">
        <f t="shared" si="78"/>
        <v>0</v>
      </c>
      <c r="AV39" s="79">
        <f t="shared" si="107"/>
        <v>0</v>
      </c>
      <c r="AW39" s="79">
        <f t="array" ref="AW39">SUMIFS('Cắt lồng'!$AC$327:$AC$515,'Cắt lồng'!$AA$327:$AA$515,'Cắt lồng'!$AA39,'Cắt lồng'!$AE$327:$AE$515,'Cắt lồng'!AW$4:AW$4)</f>
        <v>0</v>
      </c>
      <c r="AX39" s="79">
        <f t="array" ref="AX39">SUMIFS('Cắt lồng'!$AH$327:$AH$515,'Cắt lồng'!$AA$327:$AA$515,'Cắt lồng'!$AA39,'Cắt lồng'!$AE$327:$AE$515,'Cắt lồng'!AX$4:AX$4)</f>
        <v>0</v>
      </c>
      <c r="AY39" s="78" t="e">
        <f t="shared" si="108"/>
        <v>#DIV/0!</v>
      </c>
      <c r="AZ39" s="79">
        <f t="array" ref="AZ39">SUMIFS('Cắt lồng'!$AC$327:$AC$515,'Cắt lồng'!$AA$327:$AA$515,'Cắt lồng'!$AA39,'Cắt lồng'!$AE$327:$AE$515,'Cắt lồng'!AZ$4:AZ$4)</f>
        <v>0</v>
      </c>
      <c r="BA39" s="79">
        <f t="array" ref="BA39">SUMIFS('Cắt lồng'!$AH$327:$AH$515,'Cắt lồng'!$AA$327:$AA$515,'Cắt lồng'!$AA39,'Cắt lồng'!$AE$327:$AE$515,'Cắt lồng'!BA$4:BA$4)</f>
        <v>0</v>
      </c>
      <c r="BB39" s="78" t="e">
        <f t="shared" si="109"/>
        <v>#DIV/0!</v>
      </c>
      <c r="BC39" s="79">
        <f t="array" ref="BC39">SUMIFS('Cắt lồng'!$AC$327:$AC$515,'Cắt lồng'!$AA$327:$AA$515,'Cắt lồng'!$AA39,'Cắt lồng'!$AE$327:$AE$515,'Cắt lồng'!BC$4:BC$4)</f>
        <v>0</v>
      </c>
      <c r="BD39" s="79">
        <f t="array" ref="BD39">SUMIFS('Cắt lồng'!$AH$327:$AH$515,'Cắt lồng'!$AA$327:$AA$515,'Cắt lồng'!$AA39,'Cắt lồng'!$AE$327:$AE$515,'Cắt lồng'!BD$4:BD$4)</f>
        <v>0</v>
      </c>
      <c r="BE39" s="78" t="e">
        <f t="shared" si="110"/>
        <v>#DIV/0!</v>
      </c>
      <c r="BF39" s="79">
        <f t="array" ref="BF39">SUMIFS('Cắt lồng'!$AC$327:$AC$515,'Cắt lồng'!$AA$327:$AA$515,'Cắt lồng'!$AA39,'Cắt lồng'!$AE$327:$AE$515,'Cắt lồng'!BF$4:BF$4)</f>
        <v>0</v>
      </c>
      <c r="BG39" s="79">
        <f t="array" ref="BG39">SUMIFS('Cắt lồng'!$AH$327:$AH$515,'Cắt lồng'!$AA$327:$AA$515,'Cắt lồng'!$AA39,'Cắt lồng'!$AE$327:$AE$515,'Cắt lồng'!BG$4:BG$4)</f>
        <v>0</v>
      </c>
      <c r="BH39" s="78" t="e">
        <f t="shared" si="111"/>
        <v>#DIV/0!</v>
      </c>
      <c r="BI39" s="79">
        <f t="array" ref="BI39">SUMIFS('Cắt lồng'!$AC$327:$AC$515,'Cắt lồng'!$AA$327:$AA$515,'Cắt lồng'!$AA39,'Cắt lồng'!$AE$327:$AE$515,'Cắt lồng'!BI$4:BI$4)</f>
        <v>0</v>
      </c>
      <c r="BJ39" s="79">
        <f t="array" ref="BJ39">SUMIFS('Cắt lồng'!$AH$327:$AH$515,'Cắt lồng'!$AA$327:$AA$515,'Cắt lồng'!$AA39,'Cắt lồng'!$AE$327:$AE$515,'Cắt lồng'!BJ$4:BJ$4)</f>
        <v>0</v>
      </c>
      <c r="BK39" s="78" t="e">
        <f t="shared" si="112"/>
        <v>#DIV/0!</v>
      </c>
      <c r="BL39" s="79">
        <f t="array" ref="BL39">SUMIFS('Cắt lồng'!$AC$327:$AC$515,'Cắt lồng'!$AA$327:$AA$515,'Cắt lồng'!$AA39,'Cắt lồng'!$AE$327:$AE$515,'Cắt lồng'!BL$4:BL$4)</f>
        <v>0</v>
      </c>
      <c r="BM39" s="79">
        <f t="array" ref="BM39">SUMIFS('Cắt lồng'!$AH$327:$AH$515,'Cắt lồng'!$AA$327:$AA$515,'Cắt lồng'!$AA39,'Cắt lồng'!$AE$327:$AE$515,'Cắt lồng'!BM$4:BM$4)</f>
        <v>0</v>
      </c>
      <c r="BN39" s="78" t="e">
        <f t="shared" si="113"/>
        <v>#DIV/0!</v>
      </c>
      <c r="BO39" s="79">
        <f t="array" ref="BO39">SUMIFS('Cắt lồng'!$AC$327:$AC$515,'Cắt lồng'!$AA$327:$AA$515,'Cắt lồng'!$AA39,'Cắt lồng'!$AE$327:$AE$515,'Cắt lồng'!BO$4:BO$4)</f>
        <v>0</v>
      </c>
      <c r="BP39" s="79">
        <f t="array" ref="BP39">SUMIFS('Cắt lồng'!$AH$327:$AH$515,'Cắt lồng'!$AA$327:$AA$515,'Cắt lồng'!$AA39,'Cắt lồng'!$AE$327:$AE$515,'Cắt lồng'!BP$4:BP$4)</f>
        <v>0</v>
      </c>
      <c r="BQ39" s="78" t="e">
        <f t="shared" si="114"/>
        <v>#DIV/0!</v>
      </c>
      <c r="BR39" s="79">
        <f t="array" ref="BR39">SUMIFS('Cắt lồng'!$AC$327:$AC$515,'Cắt lồng'!$AA$327:$AA$515,'Cắt lồng'!$AA39,'Cắt lồng'!$AE$327:$AE$515,'Cắt lồng'!BR$4:BR$4)</f>
        <v>0</v>
      </c>
      <c r="BS39" s="79">
        <f t="array" ref="BS39">SUMIFS('Cắt lồng'!$AH$327:$AH$515,'Cắt lồng'!$AA$327:$AA$515,'Cắt lồng'!$AA39,'Cắt lồng'!$AE$327:$AE$515,'Cắt lồng'!BS$4:BS$4)</f>
        <v>0</v>
      </c>
      <c r="BT39" s="78" t="e">
        <f t="shared" si="115"/>
        <v>#DIV/0!</v>
      </c>
      <c r="BU39" s="79">
        <f t="array" ref="BU39">SUMIFS('Cắt lồng'!$AC$327:$AC$515,'Cắt lồng'!$AA$327:$AA$515,'Cắt lồng'!$AA39,'Cắt lồng'!$AE$327:$AE$515,'Cắt lồng'!BU$4:BU$4)</f>
        <v>0</v>
      </c>
      <c r="BV39" s="79">
        <f t="array" ref="BV39">SUMIFS('Cắt lồng'!$AH$327:$AH$515,'Cắt lồng'!$AA$327:$AA$515,'Cắt lồng'!$AA39,'Cắt lồng'!$AE$327:$AE$515,'Cắt lồng'!BV$4:BV$4)</f>
        <v>0</v>
      </c>
      <c r="BW39" s="78" t="e">
        <f t="shared" si="116"/>
        <v>#DIV/0!</v>
      </c>
      <c r="BX39" s="79">
        <f t="array" ref="BX39">SUMIFS('Cắt lồng'!$AC$327:$AC$515,'Cắt lồng'!$AA$327:$AA$515,'Cắt lồng'!$AA39,'Cắt lồng'!$AE$327:$AE$515,'Cắt lồng'!BX$4:BX$4)</f>
        <v>0</v>
      </c>
      <c r="BY39" s="79">
        <f t="array" ref="BY39">SUMIFS('Cắt lồng'!$AH$327:$AH$515,'Cắt lồng'!$AA$327:$AA$515,'Cắt lồng'!$AA39,'Cắt lồng'!$AE$327:$AE$515,'Cắt lồng'!BY$4:BY$4)</f>
        <v>0</v>
      </c>
      <c r="BZ39" s="78" t="e">
        <f t="shared" si="117"/>
        <v>#DIV/0!</v>
      </c>
      <c r="CA39" s="79">
        <f t="array" ref="CA39">SUMIFS('Cắt lồng'!$AC$327:$AC$515,'Cắt lồng'!$AA$327:$AA$515,'Cắt lồng'!$AA39,'Cắt lồng'!$AE$327:$AE$515,'Cắt lồng'!CA$4:CA$4)</f>
        <v>0</v>
      </c>
      <c r="CB39" s="79">
        <f t="array" ref="CB39">SUMIFS('Cắt lồng'!$AH$327:$AH$515,'Cắt lồng'!$AA$327:$AA$515,'Cắt lồng'!$AA39,'Cắt lồng'!$AE$327:$AE$515,'Cắt lồng'!CB$4:CB$4)</f>
        <v>0</v>
      </c>
      <c r="CC39" s="78" t="e">
        <f t="shared" si="118"/>
        <v>#DIV/0!</v>
      </c>
      <c r="CD39" s="79">
        <f t="array" ref="CD39">SUMIFS('Cắt lồng'!$AC$327:$AC$515,'Cắt lồng'!$AA$327:$AA$515,'Cắt lồng'!$AA39,'Cắt lồng'!$AE$327:$AE$515,'Cắt lồng'!CD$4:CD$4)</f>
        <v>0</v>
      </c>
      <c r="CE39" s="79">
        <f t="array" ref="CE39">SUMIFS('Cắt lồng'!$AH$327:$AH$515,'Cắt lồng'!$AA$327:$AA$515,'Cắt lồng'!$AA39,'Cắt lồng'!$AE$327:$AE$515,'Cắt lồng'!CE$4:CE$4)</f>
        <v>0</v>
      </c>
      <c r="CF39" s="78" t="e">
        <f t="shared" si="119"/>
        <v>#DIV/0!</v>
      </c>
      <c r="CG39" s="79">
        <f t="array" ref="CG39">SUMIFS('Cắt lồng'!$AC$327:$AC$515,'Cắt lồng'!$AA$327:$AA$515,'Cắt lồng'!$AA39,'Cắt lồng'!$AE$327:$AE$515,'Cắt lồng'!CG$4:CG$4)</f>
        <v>0</v>
      </c>
      <c r="CH39" s="79">
        <f t="array" ref="CH39">SUMIFS('Cắt lồng'!$AH$327:$AH$515,'Cắt lồng'!$AA$327:$AA$515,'Cắt lồng'!$AA39,'Cắt lồng'!$AE$327:$AE$515,'Cắt lồng'!CH$4:CH$4)</f>
        <v>0</v>
      </c>
      <c r="CI39" s="78" t="e">
        <f t="shared" si="120"/>
        <v>#DIV/0!</v>
      </c>
      <c r="CJ39" s="79">
        <f t="array" ref="CJ39">SUMIFS('Cắt lồng'!$AC$327:$AC$515,'Cắt lồng'!$AA$327:$AA$515,'Cắt lồng'!$AA39,'Cắt lồng'!$AE$327:$AE$515,'Cắt lồng'!CJ$4:CJ$4)</f>
        <v>0</v>
      </c>
      <c r="CK39" s="79">
        <f t="array" ref="CK39">SUMIFS('Cắt lồng'!$AH$327:$AH$515,'Cắt lồng'!$AA$327:$AA$515,'Cắt lồng'!$AA39,'Cắt lồng'!$AE$327:$AE$515,'Cắt lồng'!CK$4:CK$4)</f>
        <v>0</v>
      </c>
      <c r="CL39" s="78" t="e">
        <f t="shared" si="121"/>
        <v>#DIV/0!</v>
      </c>
      <c r="CM39" s="79">
        <f t="array" ref="CM39">SUMIFS('Cắt lồng'!$AC$327:$AC$515,'Cắt lồng'!$AA$327:$AA$515,'Cắt lồng'!$AA39,'Cắt lồng'!$AE$327:$AE$515,'Cắt lồng'!CM$4:CM$4)</f>
        <v>0</v>
      </c>
      <c r="CN39" s="79">
        <f t="array" ref="CN39">SUMIFS('Cắt lồng'!$AH$327:$AH$515,'Cắt lồng'!$AA$327:$AA$515,'Cắt lồng'!$AA39,'Cắt lồng'!$AE$327:$AE$515,'Cắt lồng'!CN$4:CN$4)</f>
        <v>0</v>
      </c>
      <c r="CO39" s="78" t="e">
        <f t="shared" si="122"/>
        <v>#DIV/0!</v>
      </c>
      <c r="CP39" s="79">
        <f t="array" ref="CP39">SUMIFS('Cắt lồng'!$AC$327:$AC$515,'Cắt lồng'!$AA$327:$AA$515,'Cắt lồng'!$AA39,'Cắt lồng'!$AE$327:$AE$515,'Cắt lồng'!CP$4:CP$4)</f>
        <v>0</v>
      </c>
      <c r="CQ39" s="79">
        <f t="array" ref="CQ39">SUMIFS('Cắt lồng'!$AH$327:$AH$515,'Cắt lồng'!$AA$327:$AA$515,'Cắt lồng'!$AA39,'Cắt lồng'!$AE$327:$AE$515,'Cắt lồng'!CQ$4:CQ$4)</f>
        <v>0</v>
      </c>
      <c r="CR39" s="78" t="e">
        <f t="shared" si="123"/>
        <v>#DIV/0!</v>
      </c>
      <c r="CS39" s="79">
        <f t="array" ref="CS39">SUMIFS('Cắt lồng'!$AC$327:$AC$515,'Cắt lồng'!$AA$327:$AA$515,'Cắt lồng'!$AA39,'Cắt lồng'!$AE$327:$AE$515,'Cắt lồng'!CS$4:CS$4)</f>
        <v>0</v>
      </c>
      <c r="CT39" s="79">
        <f t="array" ref="CT39">SUMIFS('Cắt lồng'!$AH$327:$AH$515,'Cắt lồng'!$AA$327:$AA$515,'Cắt lồng'!$AA39,'Cắt lồng'!$AE$327:$AE$515,'Cắt lồng'!CT$4:CT$4)</f>
        <v>0</v>
      </c>
      <c r="CU39" s="78" t="e">
        <f t="shared" si="124"/>
        <v>#DIV/0!</v>
      </c>
      <c r="CV39" s="79">
        <f t="array" ref="CV39">SUMIFS('Cắt lồng'!$AC$327:$AC$515,'Cắt lồng'!$AA$327:$AA$515,'Cắt lồng'!$AA39,'Cắt lồng'!$AE$327:$AE$515,'Cắt lồng'!CV$4:CV$4)</f>
        <v>0</v>
      </c>
      <c r="CW39" s="79">
        <f t="array" ref="CW39">SUMIFS('Cắt lồng'!$AH$327:$AH$515,'Cắt lồng'!$AA$327:$AA$515,'Cắt lồng'!$AA39,'Cắt lồng'!$AE$327:$AE$515,'Cắt lồng'!CW$4:CW$4)</f>
        <v>0</v>
      </c>
      <c r="CX39" s="78" t="e">
        <f t="shared" si="125"/>
        <v>#DIV/0!</v>
      </c>
      <c r="CY39" s="79">
        <f t="array" ref="CY39">SUMIFS('Cắt lồng'!$AC$327:$AC$515,'Cắt lồng'!$AA$327:$AA$515,'Cắt lồng'!$AA39,'Cắt lồng'!$AE$327:$AE$515,'Cắt lồng'!CY$4:CY$4)</f>
        <v>0</v>
      </c>
      <c r="CZ39" s="79">
        <f t="array" ref="CZ39">SUMIFS('Cắt lồng'!$AH$327:$AH$515,'Cắt lồng'!$AA$327:$AA$515,'Cắt lồng'!$AA39,'Cắt lồng'!$AE$327:$AE$515,'Cắt lồng'!CZ$4:CZ$4)</f>
        <v>0</v>
      </c>
      <c r="DA39" s="78" t="e">
        <f t="shared" si="126"/>
        <v>#DIV/0!</v>
      </c>
      <c r="DB39" s="79">
        <f t="array" ref="DB39">SUMIFS('Cắt lồng'!$AC$327:$AC$515,'Cắt lồng'!$AA$327:$AA$515,'Cắt lồng'!$AA39,'Cắt lồng'!$AE$327:$AE$515,'Cắt lồng'!DB$4:DB$4)</f>
        <v>0</v>
      </c>
      <c r="DC39" s="79">
        <f t="array" ref="DC39">SUMIFS('Cắt lồng'!$AH$327:$AH$515,'Cắt lồng'!$AA$327:$AA$515,'Cắt lồng'!$AA39,'Cắt lồng'!$AE$327:$AE$515,'Cắt lồng'!DC$4:DC$4)</f>
        <v>0</v>
      </c>
      <c r="DD39" s="78" t="e">
        <f t="shared" si="127"/>
        <v>#DIV/0!</v>
      </c>
      <c r="DE39" s="79">
        <f t="array" ref="DE39">SUMIFS('Cắt lồng'!$AC$327:$AC$515,'Cắt lồng'!$AA$327:$AA$515,'Cắt lồng'!$AA39,'Cắt lồng'!$AE$327:$AE$515,'Cắt lồng'!DE$4:DE$4)</f>
        <v>0</v>
      </c>
      <c r="DF39" s="79">
        <f t="array" ref="DF39">SUMIFS('Cắt lồng'!$AH$327:$AH$515,'Cắt lồng'!$AA$327:$AA$515,'Cắt lồng'!$AA39,'Cắt lồng'!$AE$327:$AE$515,'Cắt lồng'!DF$4:DF$4)</f>
        <v>0</v>
      </c>
      <c r="DG39" s="78" t="e">
        <f t="shared" si="128"/>
        <v>#DIV/0!</v>
      </c>
      <c r="DH39" s="79">
        <f t="array" ref="DH39">SUMIFS('Cắt lồng'!$AC$327:$AC$515,'Cắt lồng'!$AA$327:$AA$515,'Cắt lồng'!$AA39,'Cắt lồng'!$AE$327:$AE$515,'Cắt lồng'!DH$4:DH$4)</f>
        <v>0</v>
      </c>
      <c r="DI39" s="79">
        <f t="array" ref="DI39">SUMIFS('Cắt lồng'!$AH$327:$AH$515,'Cắt lồng'!$AA$327:$AA$515,'Cắt lồng'!$AA39,'Cắt lồng'!$AE$327:$AE$515,'Cắt lồng'!DI$4:DI$4)</f>
        <v>0</v>
      </c>
      <c r="DJ39" s="78" t="e">
        <f t="shared" si="129"/>
        <v>#DIV/0!</v>
      </c>
      <c r="DK39" s="79">
        <f t="array" ref="DK39">SUMIFS('Cắt lồng'!$AC$327:$AC$515,'Cắt lồng'!$AA$327:$AA$515,'Cắt lồng'!$AA39,'Cắt lồng'!$AE$327:$AE$515,'Cắt lồng'!DK$4:DK$4)</f>
        <v>0</v>
      </c>
      <c r="DL39" s="79">
        <f t="array" ref="DL39">SUMIFS('Cắt lồng'!$AH$327:$AH$515,'Cắt lồng'!$AA$327:$AA$515,'Cắt lồng'!$AA39,'Cắt lồng'!$AE$327:$AE$515,'Cắt lồng'!DL$4:DL$4)</f>
        <v>0</v>
      </c>
      <c r="DM39" s="78" t="e">
        <f t="shared" si="130"/>
        <v>#DIV/0!</v>
      </c>
      <c r="DN39" s="79">
        <f>SUMIFS('Cắt lồng'!$AC$327:$AC$515,'Cắt lồng'!$AA$327:$AA$515,'Cắt lồng'!$AA39,'Cắt lồng'!$AE$327:$AE$515,'Cắt lồng'!DN$4:DN$4)</f>
        <v>0</v>
      </c>
      <c r="DO39" s="79">
        <f t="array" ref="DO39">SUMIFS('Cắt lồng'!$AH$327:$AH$515,'Cắt lồng'!$AA$327:$AA$515,'Cắt lồng'!$AA39,'Cắt lồng'!$AE$327:$AE$515,'Cắt lồng'!DO$4:DO$4)</f>
        <v>0</v>
      </c>
      <c r="DP39" s="78" t="e">
        <f t="shared" si="131"/>
        <v>#DIV/0!</v>
      </c>
      <c r="DQ39" s="79">
        <f t="array" ref="DQ39">SUMIFS('Cắt lồng'!$AC$327:$AC$515,'Cắt lồng'!$AA$327:$AA$515,'Cắt lồng'!$AA39,'Cắt lồng'!$AE$327:$AE$515,'Cắt lồng'!DQ$4:DQ$4)</f>
        <v>0</v>
      </c>
      <c r="DR39" s="79">
        <f t="array" ref="DR39">SUMIFS('Cắt lồng'!$AH$327:$AH$515,'Cắt lồng'!$AA$327:$AA$515,'Cắt lồng'!$AA39,'Cắt lồng'!$AE$327:$AE$515,'Cắt lồng'!DR$4:DR$4)</f>
        <v>0</v>
      </c>
      <c r="DS39" s="78" t="e">
        <f t="shared" si="132"/>
        <v>#DIV/0!</v>
      </c>
      <c r="DT39" s="79">
        <f t="array" ref="DT39">SUMIFS('Cắt lồng'!$AC$327:$AC$515,'Cắt lồng'!$AA$327:$AA$515,'Cắt lồng'!$AA39,'Cắt lồng'!$AE$327:$AE$515,'Cắt lồng'!DT$4:DT$4)</f>
        <v>0</v>
      </c>
      <c r="DU39" s="79">
        <f t="array" ref="DU39">SUMIFS('Cắt lồng'!$AH$327:$AH$515,'Cắt lồng'!$AA$327:$AA$515,'Cắt lồng'!$AA39,'Cắt lồng'!$AE$327:$AE$515,'Cắt lồng'!DU$4:DU$4)</f>
        <v>0</v>
      </c>
      <c r="DV39" s="78" t="e">
        <f t="shared" si="133"/>
        <v>#DIV/0!</v>
      </c>
      <c r="DW39" s="79">
        <f t="array" ref="DW39">SUMIFS('Cắt lồng'!$AC$327:$AC$515,'Cắt lồng'!$AA$327:$AA$515,'Cắt lồng'!$AA39,'Cắt lồng'!$AE$327:$AE$515,'Cắt lồng'!DW$4:DW$4)</f>
        <v>0</v>
      </c>
      <c r="DX39" s="79">
        <f t="array" ref="DX39">SUMIFS('Cắt lồng'!$AH$327:$AH$515,'Cắt lồng'!$AA$327:$AA$515,'Cắt lồng'!$AA39,'Cắt lồng'!$AE$327:$AE$515,'Cắt lồng'!DX$4:DX$4)</f>
        <v>0</v>
      </c>
      <c r="DY39" s="78" t="e">
        <f t="shared" si="134"/>
        <v>#DIV/0!</v>
      </c>
      <c r="DZ39" s="79">
        <f t="array" ref="DZ39">SUMIFS('Cắt lồng'!$AC$327:$AC$515,'Cắt lồng'!$AA$327:$AA$515,'Cắt lồng'!$AA39,'Cắt lồng'!$AE$327:$AE$515,'Cắt lồng'!DZ$4:DZ$4)</f>
        <v>0</v>
      </c>
      <c r="EA39" s="79">
        <f t="array" ref="EA39">SUMIFS('Cắt lồng'!$AH$327:$AH$515,'Cắt lồng'!$AA$327:$AA$515,'Cắt lồng'!$AA39,'Cắt lồng'!$AE$327:$AE$515,'Cắt lồng'!EA$4:EA$4)</f>
        <v>0</v>
      </c>
      <c r="EB39" s="78" t="e">
        <f t="shared" si="135"/>
        <v>#DIV/0!</v>
      </c>
      <c r="EC39" s="79">
        <f t="array" ref="EC39">SUMIFS('Cắt lồng'!$AC$327:$AC$515,'Cắt lồng'!$AA$327:$AA$515,'Cắt lồng'!$AA39,'Cắt lồng'!$AE$327:$AE$515,'Cắt lồng'!EC$4:EC$4)</f>
        <v>0</v>
      </c>
      <c r="ED39" s="79">
        <f t="array" ref="ED39">SUMIFS('Cắt lồng'!$AH$327:$AH$515,'Cắt lồng'!$AA$327:$AA$515,'Cắt lồng'!$AA39,'Cắt lồng'!$AE$327:$AE$515,'Cắt lồng'!ED$4:ED$4)</f>
        <v>0</v>
      </c>
      <c r="EE39" s="78" t="e">
        <f t="shared" si="136"/>
        <v>#DIV/0!</v>
      </c>
      <c r="EF39" s="79">
        <f t="array" ref="EF39">SUMIFS('Cắt lồng'!$AC$327:$AC$515,'Cắt lồng'!$AA$327:$AA$515,'Cắt lồng'!$AA39,'Cắt lồng'!$AE$327:$AE$515,'Cắt lồng'!EF$4:EF$4)</f>
        <v>0</v>
      </c>
      <c r="EG39" s="79">
        <f t="array" ref="EG39">SUMIFS('Cắt lồng'!$AH$327:$AH$515,'Cắt lồng'!$AA$327:$AA$515,'Cắt lồng'!$AA39,'Cắt lồng'!$AE$327:$AE$515,'Cắt lồng'!EG$4:EG$4)</f>
        <v>0</v>
      </c>
      <c r="EH39" s="78" t="e">
        <f t="shared" si="137"/>
        <v>#DIV/0!</v>
      </c>
      <c r="EI39" s="79">
        <f t="array" ref="EI39">SUMIFS('Cắt lồng'!$AC$327:$AC$515,'Cắt lồng'!$AA$327:$AA$515,'Cắt lồng'!$AA39,'Cắt lồng'!$AE$327:$AE$515,'Cắt lồng'!EI$4:EI$4)</f>
        <v>0</v>
      </c>
      <c r="EJ39" s="79">
        <f t="array" ref="EJ39">SUMIFS('Cắt lồng'!$AH$327:$AH$515,'Cắt lồng'!$AA$327:$AA$515,'Cắt lồng'!$AA39,'Cắt lồng'!$AE$327:$AE$515,'Cắt lồng'!EJ$4:EJ$4)</f>
        <v>0</v>
      </c>
      <c r="EK39" s="78" t="e">
        <f t="shared" si="138"/>
        <v>#DIV/0!</v>
      </c>
    </row>
    <row r="40" spans="1:142" s="12" customFormat="1" ht="14.25" hidden="1" customHeight="1">
      <c r="A40" s="25">
        <v>35</v>
      </c>
      <c r="B40" s="26" t="s">
        <v>164</v>
      </c>
      <c r="C40" s="26" t="s">
        <v>164</v>
      </c>
      <c r="D40" s="63"/>
      <c r="E40" s="197"/>
      <c r="F40" s="56"/>
      <c r="G40" s="82">
        <f t="shared" si="79"/>
        <v>0</v>
      </c>
      <c r="H40" s="81">
        <f t="shared" si="80"/>
        <v>0</v>
      </c>
      <c r="I40" s="19">
        <f t="shared" si="81"/>
        <v>0</v>
      </c>
      <c r="J40" s="11">
        <f t="shared" si="82"/>
        <v>0</v>
      </c>
      <c r="K40" s="19">
        <f t="shared" si="83"/>
        <v>0</v>
      </c>
      <c r="L40" s="19">
        <f t="shared" si="84"/>
        <v>0</v>
      </c>
      <c r="M40" s="19">
        <f t="shared" si="85"/>
        <v>0</v>
      </c>
      <c r="N40" s="19">
        <f t="shared" si="86"/>
        <v>0</v>
      </c>
      <c r="O40" s="19">
        <f t="shared" si="87"/>
        <v>0</v>
      </c>
      <c r="P40" s="19">
        <f t="shared" si="88"/>
        <v>0</v>
      </c>
      <c r="Q40" s="19">
        <f t="shared" si="89"/>
        <v>0</v>
      </c>
      <c r="R40" s="19">
        <f t="shared" si="90"/>
        <v>0</v>
      </c>
      <c r="S40" s="19">
        <f t="shared" si="91"/>
        <v>0</v>
      </c>
      <c r="T40" s="19">
        <f t="shared" si="92"/>
        <v>0</v>
      </c>
      <c r="U40" s="19">
        <f t="shared" si="93"/>
        <v>0</v>
      </c>
      <c r="V40" s="19">
        <f t="shared" si="94"/>
        <v>0</v>
      </c>
      <c r="W40" s="19">
        <f t="shared" si="95"/>
        <v>0</v>
      </c>
      <c r="X40" s="19">
        <f t="shared" si="96"/>
        <v>0</v>
      </c>
      <c r="Y40" s="19">
        <f t="shared" si="97"/>
        <v>0</v>
      </c>
      <c r="Z40" s="19">
        <f t="shared" si="98"/>
        <v>0</v>
      </c>
      <c r="AA40" s="164" t="s">
        <v>255</v>
      </c>
      <c r="AB40" s="129">
        <f t="shared" si="21"/>
        <v>0</v>
      </c>
      <c r="AC40" s="16">
        <f t="shared" si="22"/>
        <v>0</v>
      </c>
      <c r="AD40" s="15" t="e">
        <f t="shared" si="99"/>
        <v>#DIV/0!</v>
      </c>
      <c r="AE40" s="42"/>
      <c r="AF40" s="10" t="e">
        <f t="shared" si="100"/>
        <v>#DIV/0!</v>
      </c>
      <c r="AG40" s="10"/>
      <c r="AH40" s="127">
        <f t="shared" si="25"/>
        <v>0</v>
      </c>
      <c r="AI40" s="54" t="e">
        <f t="shared" si="101"/>
        <v>#DIV/0!</v>
      </c>
      <c r="AJ40" s="25">
        <f t="shared" si="102"/>
        <v>0</v>
      </c>
      <c r="AK40" s="25">
        <f t="shared" si="103"/>
        <v>0</v>
      </c>
      <c r="AL40" s="25">
        <f t="shared" si="104"/>
        <v>0</v>
      </c>
      <c r="AM40" s="30">
        <f t="shared" si="73"/>
        <v>0</v>
      </c>
      <c r="AN40" s="30">
        <f t="shared" si="74"/>
        <v>0</v>
      </c>
      <c r="AO40" s="30">
        <f t="shared" si="75"/>
        <v>0</v>
      </c>
      <c r="AP40" s="30">
        <f t="shared" si="76"/>
        <v>0</v>
      </c>
      <c r="AQ40" s="30">
        <f t="shared" si="77"/>
        <v>0</v>
      </c>
      <c r="AR40" s="30">
        <f t="shared" si="105"/>
        <v>0</v>
      </c>
      <c r="AS40" s="30">
        <f t="shared" si="106"/>
        <v>0</v>
      </c>
      <c r="AT40" s="30">
        <f t="shared" si="78"/>
        <v>0</v>
      </c>
      <c r="AV40" s="79">
        <f t="shared" si="107"/>
        <v>0</v>
      </c>
      <c r="AW40" s="79">
        <f t="array" ref="AW40">SUMIFS('Cắt lồng'!$AC$327:$AC$515,'Cắt lồng'!$AA$327:$AA$515,'Cắt lồng'!$AA40,'Cắt lồng'!$AE$327:$AE$515,'Cắt lồng'!AW$4:AW$4)</f>
        <v>0</v>
      </c>
      <c r="AX40" s="79">
        <f t="array" ref="AX40">SUMIFS('Cắt lồng'!$AH$327:$AH$515,'Cắt lồng'!$AA$327:$AA$515,'Cắt lồng'!$AA40,'Cắt lồng'!$AE$327:$AE$515,'Cắt lồng'!AX$4:AX$4)</f>
        <v>0</v>
      </c>
      <c r="AY40" s="78" t="e">
        <f t="shared" si="108"/>
        <v>#DIV/0!</v>
      </c>
      <c r="AZ40" s="79">
        <f t="array" ref="AZ40">SUMIFS('Cắt lồng'!$AC$327:$AC$515,'Cắt lồng'!$AA$327:$AA$515,'Cắt lồng'!$AA40,'Cắt lồng'!$AE$327:$AE$515,'Cắt lồng'!AZ$4:AZ$4)</f>
        <v>0</v>
      </c>
      <c r="BA40" s="79">
        <f t="array" ref="BA40">SUMIFS('Cắt lồng'!$AH$327:$AH$515,'Cắt lồng'!$AA$327:$AA$515,'Cắt lồng'!$AA40,'Cắt lồng'!$AE$327:$AE$515,'Cắt lồng'!BA$4:BA$4)</f>
        <v>0</v>
      </c>
      <c r="BB40" s="78" t="e">
        <f t="shared" si="109"/>
        <v>#DIV/0!</v>
      </c>
      <c r="BC40" s="79">
        <f t="array" ref="BC40">SUMIFS('Cắt lồng'!$AC$327:$AC$515,'Cắt lồng'!$AA$327:$AA$515,'Cắt lồng'!$AA40,'Cắt lồng'!$AE$327:$AE$515,'Cắt lồng'!BC$4:BC$4)</f>
        <v>0</v>
      </c>
      <c r="BD40" s="79">
        <f t="array" ref="BD40">SUMIFS('Cắt lồng'!$AH$327:$AH$515,'Cắt lồng'!$AA$327:$AA$515,'Cắt lồng'!$AA40,'Cắt lồng'!$AE$327:$AE$515,'Cắt lồng'!BD$4:BD$4)</f>
        <v>0</v>
      </c>
      <c r="BE40" s="78" t="e">
        <f t="shared" si="110"/>
        <v>#DIV/0!</v>
      </c>
      <c r="BF40" s="79">
        <f t="array" ref="BF40">SUMIFS('Cắt lồng'!$AC$327:$AC$515,'Cắt lồng'!$AA$327:$AA$515,'Cắt lồng'!$AA40,'Cắt lồng'!$AE$327:$AE$515,'Cắt lồng'!BF$4:BF$4)</f>
        <v>0</v>
      </c>
      <c r="BG40" s="79">
        <f t="array" ref="BG40">SUMIFS('Cắt lồng'!$AH$327:$AH$515,'Cắt lồng'!$AA$327:$AA$515,'Cắt lồng'!$AA40,'Cắt lồng'!$AE$327:$AE$515,'Cắt lồng'!BG$4:BG$4)</f>
        <v>0</v>
      </c>
      <c r="BH40" s="78" t="e">
        <f t="shared" si="111"/>
        <v>#DIV/0!</v>
      </c>
      <c r="BI40" s="79">
        <f t="array" ref="BI40">SUMIFS('Cắt lồng'!$AC$327:$AC$515,'Cắt lồng'!$AA$327:$AA$515,'Cắt lồng'!$AA40,'Cắt lồng'!$AE$327:$AE$515,'Cắt lồng'!BI$4:BI$4)</f>
        <v>0</v>
      </c>
      <c r="BJ40" s="79">
        <f t="array" ref="BJ40">SUMIFS('Cắt lồng'!$AH$327:$AH$515,'Cắt lồng'!$AA$327:$AA$515,'Cắt lồng'!$AA40,'Cắt lồng'!$AE$327:$AE$515,'Cắt lồng'!BJ$4:BJ$4)</f>
        <v>0</v>
      </c>
      <c r="BK40" s="78" t="e">
        <f t="shared" si="112"/>
        <v>#DIV/0!</v>
      </c>
      <c r="BL40" s="79">
        <f t="array" ref="BL40">SUMIFS('Cắt lồng'!$AC$327:$AC$515,'Cắt lồng'!$AA$327:$AA$515,'Cắt lồng'!$AA40,'Cắt lồng'!$AE$327:$AE$515,'Cắt lồng'!BL$4:BL$4)</f>
        <v>0</v>
      </c>
      <c r="BM40" s="79">
        <f t="array" ref="BM40">SUMIFS('Cắt lồng'!$AH$327:$AH$515,'Cắt lồng'!$AA$327:$AA$515,'Cắt lồng'!$AA40,'Cắt lồng'!$AE$327:$AE$515,'Cắt lồng'!BM$4:BM$4)</f>
        <v>0</v>
      </c>
      <c r="BN40" s="78" t="e">
        <f t="shared" si="113"/>
        <v>#DIV/0!</v>
      </c>
      <c r="BO40" s="79">
        <f t="array" ref="BO40">SUMIFS('Cắt lồng'!$AC$327:$AC$515,'Cắt lồng'!$AA$327:$AA$515,'Cắt lồng'!$AA40,'Cắt lồng'!$AE$327:$AE$515,'Cắt lồng'!BO$4:BO$4)</f>
        <v>0</v>
      </c>
      <c r="BP40" s="79">
        <f t="array" ref="BP40">SUMIFS('Cắt lồng'!$AH$327:$AH$515,'Cắt lồng'!$AA$327:$AA$515,'Cắt lồng'!$AA40,'Cắt lồng'!$AE$327:$AE$515,'Cắt lồng'!BP$4:BP$4)</f>
        <v>0</v>
      </c>
      <c r="BQ40" s="78" t="e">
        <f t="shared" si="114"/>
        <v>#DIV/0!</v>
      </c>
      <c r="BR40" s="79">
        <f t="array" ref="BR40">SUMIFS('Cắt lồng'!$AC$327:$AC$515,'Cắt lồng'!$AA$327:$AA$515,'Cắt lồng'!$AA40,'Cắt lồng'!$AE$327:$AE$515,'Cắt lồng'!BR$4:BR$4)</f>
        <v>0</v>
      </c>
      <c r="BS40" s="79">
        <f t="array" ref="BS40">SUMIFS('Cắt lồng'!$AH$327:$AH$515,'Cắt lồng'!$AA$327:$AA$515,'Cắt lồng'!$AA40,'Cắt lồng'!$AE$327:$AE$515,'Cắt lồng'!BS$4:BS$4)</f>
        <v>0</v>
      </c>
      <c r="BT40" s="78" t="e">
        <f t="shared" si="115"/>
        <v>#DIV/0!</v>
      </c>
      <c r="BU40" s="79">
        <f t="array" ref="BU40">SUMIFS('Cắt lồng'!$AC$327:$AC$515,'Cắt lồng'!$AA$327:$AA$515,'Cắt lồng'!$AA40,'Cắt lồng'!$AE$327:$AE$515,'Cắt lồng'!BU$4:BU$4)</f>
        <v>0</v>
      </c>
      <c r="BV40" s="79">
        <f t="array" ref="BV40">SUMIFS('Cắt lồng'!$AH$327:$AH$515,'Cắt lồng'!$AA$327:$AA$515,'Cắt lồng'!$AA40,'Cắt lồng'!$AE$327:$AE$515,'Cắt lồng'!BV$4:BV$4)</f>
        <v>0</v>
      </c>
      <c r="BW40" s="78" t="e">
        <f t="shared" si="116"/>
        <v>#DIV/0!</v>
      </c>
      <c r="BX40" s="79">
        <f t="array" ref="BX40">SUMIFS('Cắt lồng'!$AC$327:$AC$515,'Cắt lồng'!$AA$327:$AA$515,'Cắt lồng'!$AA40,'Cắt lồng'!$AE$327:$AE$515,'Cắt lồng'!BX$4:BX$4)</f>
        <v>0</v>
      </c>
      <c r="BY40" s="79">
        <f t="array" ref="BY40">SUMIFS('Cắt lồng'!$AH$327:$AH$515,'Cắt lồng'!$AA$327:$AA$515,'Cắt lồng'!$AA40,'Cắt lồng'!$AE$327:$AE$515,'Cắt lồng'!BY$4:BY$4)</f>
        <v>0</v>
      </c>
      <c r="BZ40" s="78" t="e">
        <f t="shared" si="117"/>
        <v>#DIV/0!</v>
      </c>
      <c r="CA40" s="79">
        <f t="array" ref="CA40">SUMIFS('Cắt lồng'!$AC$327:$AC$515,'Cắt lồng'!$AA$327:$AA$515,'Cắt lồng'!$AA40,'Cắt lồng'!$AE$327:$AE$515,'Cắt lồng'!CA$4:CA$4)</f>
        <v>0</v>
      </c>
      <c r="CB40" s="79">
        <f t="array" ref="CB40">SUMIFS('Cắt lồng'!$AH$327:$AH$515,'Cắt lồng'!$AA$327:$AA$515,'Cắt lồng'!$AA40,'Cắt lồng'!$AE$327:$AE$515,'Cắt lồng'!CB$4:CB$4)</f>
        <v>0</v>
      </c>
      <c r="CC40" s="78" t="e">
        <f t="shared" si="118"/>
        <v>#DIV/0!</v>
      </c>
      <c r="CD40" s="79">
        <f t="array" ref="CD40">SUMIFS('Cắt lồng'!$AC$327:$AC$515,'Cắt lồng'!$AA$327:$AA$515,'Cắt lồng'!$AA40,'Cắt lồng'!$AE$327:$AE$515,'Cắt lồng'!CD$4:CD$4)</f>
        <v>0</v>
      </c>
      <c r="CE40" s="79">
        <f t="array" ref="CE40">SUMIFS('Cắt lồng'!$AH$327:$AH$515,'Cắt lồng'!$AA$327:$AA$515,'Cắt lồng'!$AA40,'Cắt lồng'!$AE$327:$AE$515,'Cắt lồng'!CE$4:CE$4)</f>
        <v>0</v>
      </c>
      <c r="CF40" s="78" t="e">
        <f t="shared" si="119"/>
        <v>#DIV/0!</v>
      </c>
      <c r="CG40" s="79">
        <f t="array" ref="CG40">SUMIFS('Cắt lồng'!$AC$327:$AC$515,'Cắt lồng'!$AA$327:$AA$515,'Cắt lồng'!$AA40,'Cắt lồng'!$AE$327:$AE$515,'Cắt lồng'!CG$4:CG$4)</f>
        <v>0</v>
      </c>
      <c r="CH40" s="79">
        <f t="array" ref="CH40">SUMIFS('Cắt lồng'!$AH$327:$AH$515,'Cắt lồng'!$AA$327:$AA$515,'Cắt lồng'!$AA40,'Cắt lồng'!$AE$327:$AE$515,'Cắt lồng'!CH$4:CH$4)</f>
        <v>0</v>
      </c>
      <c r="CI40" s="78" t="e">
        <f t="shared" si="120"/>
        <v>#DIV/0!</v>
      </c>
      <c r="CJ40" s="79">
        <f t="array" ref="CJ40">SUMIFS('Cắt lồng'!$AC$327:$AC$515,'Cắt lồng'!$AA$327:$AA$515,'Cắt lồng'!$AA40,'Cắt lồng'!$AE$327:$AE$515,'Cắt lồng'!CJ$4:CJ$4)</f>
        <v>0</v>
      </c>
      <c r="CK40" s="79">
        <f t="array" ref="CK40">SUMIFS('Cắt lồng'!$AH$327:$AH$515,'Cắt lồng'!$AA$327:$AA$515,'Cắt lồng'!$AA40,'Cắt lồng'!$AE$327:$AE$515,'Cắt lồng'!CK$4:CK$4)</f>
        <v>0</v>
      </c>
      <c r="CL40" s="78" t="e">
        <f t="shared" si="121"/>
        <v>#DIV/0!</v>
      </c>
      <c r="CM40" s="79">
        <f t="array" ref="CM40">SUMIFS('Cắt lồng'!$AC$327:$AC$515,'Cắt lồng'!$AA$327:$AA$515,'Cắt lồng'!$AA40,'Cắt lồng'!$AE$327:$AE$515,'Cắt lồng'!CM$4:CM$4)</f>
        <v>0</v>
      </c>
      <c r="CN40" s="79">
        <f t="array" ref="CN40">SUMIFS('Cắt lồng'!$AH$327:$AH$515,'Cắt lồng'!$AA$327:$AA$515,'Cắt lồng'!$AA40,'Cắt lồng'!$AE$327:$AE$515,'Cắt lồng'!CN$4:CN$4)</f>
        <v>0</v>
      </c>
      <c r="CO40" s="78" t="e">
        <f t="shared" si="122"/>
        <v>#DIV/0!</v>
      </c>
      <c r="CP40" s="79">
        <f t="array" ref="CP40">SUMIFS('Cắt lồng'!$AC$327:$AC$515,'Cắt lồng'!$AA$327:$AA$515,'Cắt lồng'!$AA40,'Cắt lồng'!$AE$327:$AE$515,'Cắt lồng'!CP$4:CP$4)</f>
        <v>0</v>
      </c>
      <c r="CQ40" s="79">
        <f t="array" ref="CQ40">SUMIFS('Cắt lồng'!$AH$327:$AH$515,'Cắt lồng'!$AA$327:$AA$515,'Cắt lồng'!$AA40,'Cắt lồng'!$AE$327:$AE$515,'Cắt lồng'!CQ$4:CQ$4)</f>
        <v>0</v>
      </c>
      <c r="CR40" s="78" t="e">
        <f t="shared" si="123"/>
        <v>#DIV/0!</v>
      </c>
      <c r="CS40" s="79">
        <f t="array" ref="CS40">SUMIFS('Cắt lồng'!$AC$327:$AC$515,'Cắt lồng'!$AA$327:$AA$515,'Cắt lồng'!$AA40,'Cắt lồng'!$AE$327:$AE$515,'Cắt lồng'!CS$4:CS$4)</f>
        <v>0</v>
      </c>
      <c r="CT40" s="79">
        <f t="array" ref="CT40">SUMIFS('Cắt lồng'!$AH$327:$AH$515,'Cắt lồng'!$AA$327:$AA$515,'Cắt lồng'!$AA40,'Cắt lồng'!$AE$327:$AE$515,'Cắt lồng'!CT$4:CT$4)</f>
        <v>0</v>
      </c>
      <c r="CU40" s="78" t="e">
        <f t="shared" si="124"/>
        <v>#DIV/0!</v>
      </c>
      <c r="CV40" s="79">
        <f t="array" ref="CV40">SUMIFS('Cắt lồng'!$AC$327:$AC$515,'Cắt lồng'!$AA$327:$AA$515,'Cắt lồng'!$AA40,'Cắt lồng'!$AE$327:$AE$515,'Cắt lồng'!CV$4:CV$4)</f>
        <v>0</v>
      </c>
      <c r="CW40" s="79">
        <f t="array" ref="CW40">SUMIFS('Cắt lồng'!$AH$327:$AH$515,'Cắt lồng'!$AA$327:$AA$515,'Cắt lồng'!$AA40,'Cắt lồng'!$AE$327:$AE$515,'Cắt lồng'!CW$4:CW$4)</f>
        <v>0</v>
      </c>
      <c r="CX40" s="78" t="e">
        <f t="shared" si="125"/>
        <v>#DIV/0!</v>
      </c>
      <c r="CY40" s="79">
        <f t="array" ref="CY40">SUMIFS('Cắt lồng'!$AC$327:$AC$515,'Cắt lồng'!$AA$327:$AA$515,'Cắt lồng'!$AA40,'Cắt lồng'!$AE$327:$AE$515,'Cắt lồng'!CY$4:CY$4)</f>
        <v>0</v>
      </c>
      <c r="CZ40" s="79">
        <f t="array" ref="CZ40">SUMIFS('Cắt lồng'!$AH$327:$AH$515,'Cắt lồng'!$AA$327:$AA$515,'Cắt lồng'!$AA40,'Cắt lồng'!$AE$327:$AE$515,'Cắt lồng'!CZ$4:CZ$4)</f>
        <v>0</v>
      </c>
      <c r="DA40" s="78" t="e">
        <f t="shared" si="126"/>
        <v>#DIV/0!</v>
      </c>
      <c r="DB40" s="79">
        <f t="array" ref="DB40">SUMIFS('Cắt lồng'!$AC$327:$AC$515,'Cắt lồng'!$AA$327:$AA$515,'Cắt lồng'!$AA40,'Cắt lồng'!$AE$327:$AE$515,'Cắt lồng'!DB$4:DB$4)</f>
        <v>0</v>
      </c>
      <c r="DC40" s="79">
        <f t="array" ref="DC40">SUMIFS('Cắt lồng'!$AH$327:$AH$515,'Cắt lồng'!$AA$327:$AA$515,'Cắt lồng'!$AA40,'Cắt lồng'!$AE$327:$AE$515,'Cắt lồng'!DC$4:DC$4)</f>
        <v>0</v>
      </c>
      <c r="DD40" s="78" t="e">
        <f t="shared" si="127"/>
        <v>#DIV/0!</v>
      </c>
      <c r="DE40" s="79">
        <f t="array" ref="DE40">SUMIFS('Cắt lồng'!$AC$327:$AC$515,'Cắt lồng'!$AA$327:$AA$515,'Cắt lồng'!$AA40,'Cắt lồng'!$AE$327:$AE$515,'Cắt lồng'!DE$4:DE$4)</f>
        <v>0</v>
      </c>
      <c r="DF40" s="79">
        <f t="array" ref="DF40">SUMIFS('Cắt lồng'!$AH$327:$AH$515,'Cắt lồng'!$AA$327:$AA$515,'Cắt lồng'!$AA40,'Cắt lồng'!$AE$327:$AE$515,'Cắt lồng'!DF$4:DF$4)</f>
        <v>0</v>
      </c>
      <c r="DG40" s="78" t="e">
        <f t="shared" si="128"/>
        <v>#DIV/0!</v>
      </c>
      <c r="DH40" s="79">
        <f t="array" ref="DH40">SUMIFS('Cắt lồng'!$AC$327:$AC$515,'Cắt lồng'!$AA$327:$AA$515,'Cắt lồng'!$AA40,'Cắt lồng'!$AE$327:$AE$515,'Cắt lồng'!DH$4:DH$4)</f>
        <v>0</v>
      </c>
      <c r="DI40" s="79">
        <f t="array" ref="DI40">SUMIFS('Cắt lồng'!$AH$327:$AH$515,'Cắt lồng'!$AA$327:$AA$515,'Cắt lồng'!$AA40,'Cắt lồng'!$AE$327:$AE$515,'Cắt lồng'!DI$4:DI$4)</f>
        <v>0</v>
      </c>
      <c r="DJ40" s="78" t="e">
        <f t="shared" si="129"/>
        <v>#DIV/0!</v>
      </c>
      <c r="DK40" s="79">
        <f t="array" ref="DK40">SUMIFS('Cắt lồng'!$AC$327:$AC$515,'Cắt lồng'!$AA$327:$AA$515,'Cắt lồng'!$AA40,'Cắt lồng'!$AE$327:$AE$515,'Cắt lồng'!DK$4:DK$4)</f>
        <v>0</v>
      </c>
      <c r="DL40" s="79">
        <f t="array" ref="DL40">SUMIFS('Cắt lồng'!$AH$327:$AH$515,'Cắt lồng'!$AA$327:$AA$515,'Cắt lồng'!$AA40,'Cắt lồng'!$AE$327:$AE$515,'Cắt lồng'!DL$4:DL$4)</f>
        <v>0</v>
      </c>
      <c r="DM40" s="78" t="e">
        <f t="shared" si="130"/>
        <v>#DIV/0!</v>
      </c>
      <c r="DN40" s="79">
        <f>SUMIFS('Cắt lồng'!$AC$327:$AC$515,'Cắt lồng'!$AA$327:$AA$515,'Cắt lồng'!$AA40,'Cắt lồng'!$AE$327:$AE$515,'Cắt lồng'!DN$4:DN$4)</f>
        <v>0</v>
      </c>
      <c r="DO40" s="79">
        <f t="array" ref="DO40">SUMIFS('Cắt lồng'!$AH$327:$AH$515,'Cắt lồng'!$AA$327:$AA$515,'Cắt lồng'!$AA40,'Cắt lồng'!$AE$327:$AE$515,'Cắt lồng'!DO$4:DO$4)</f>
        <v>0</v>
      </c>
      <c r="DP40" s="78" t="e">
        <f t="shared" si="131"/>
        <v>#DIV/0!</v>
      </c>
      <c r="DQ40" s="79">
        <f t="array" ref="DQ40">SUMIFS('Cắt lồng'!$AC$327:$AC$515,'Cắt lồng'!$AA$327:$AA$515,'Cắt lồng'!$AA40,'Cắt lồng'!$AE$327:$AE$515,'Cắt lồng'!DQ$4:DQ$4)</f>
        <v>0</v>
      </c>
      <c r="DR40" s="79">
        <f t="array" ref="DR40">SUMIFS('Cắt lồng'!$AH$327:$AH$515,'Cắt lồng'!$AA$327:$AA$515,'Cắt lồng'!$AA40,'Cắt lồng'!$AE$327:$AE$515,'Cắt lồng'!DR$4:DR$4)</f>
        <v>0</v>
      </c>
      <c r="DS40" s="78" t="e">
        <f t="shared" si="132"/>
        <v>#DIV/0!</v>
      </c>
      <c r="DT40" s="79">
        <f t="array" ref="DT40">SUMIFS('Cắt lồng'!$AC$327:$AC$515,'Cắt lồng'!$AA$327:$AA$515,'Cắt lồng'!$AA40,'Cắt lồng'!$AE$327:$AE$515,'Cắt lồng'!DT$4:DT$4)</f>
        <v>0</v>
      </c>
      <c r="DU40" s="79">
        <f t="array" ref="DU40">SUMIFS('Cắt lồng'!$AH$327:$AH$515,'Cắt lồng'!$AA$327:$AA$515,'Cắt lồng'!$AA40,'Cắt lồng'!$AE$327:$AE$515,'Cắt lồng'!DU$4:DU$4)</f>
        <v>0</v>
      </c>
      <c r="DV40" s="78" t="e">
        <f t="shared" si="133"/>
        <v>#DIV/0!</v>
      </c>
      <c r="DW40" s="79">
        <f t="array" ref="DW40">SUMIFS('Cắt lồng'!$AC$327:$AC$515,'Cắt lồng'!$AA$327:$AA$515,'Cắt lồng'!$AA40,'Cắt lồng'!$AE$327:$AE$515,'Cắt lồng'!DW$4:DW$4)</f>
        <v>0</v>
      </c>
      <c r="DX40" s="79">
        <f t="array" ref="DX40">SUMIFS('Cắt lồng'!$AH$327:$AH$515,'Cắt lồng'!$AA$327:$AA$515,'Cắt lồng'!$AA40,'Cắt lồng'!$AE$327:$AE$515,'Cắt lồng'!DX$4:DX$4)</f>
        <v>0</v>
      </c>
      <c r="DY40" s="78" t="e">
        <f t="shared" si="134"/>
        <v>#DIV/0!</v>
      </c>
      <c r="DZ40" s="79">
        <f t="array" ref="DZ40">SUMIFS('Cắt lồng'!$AC$327:$AC$515,'Cắt lồng'!$AA$327:$AA$515,'Cắt lồng'!$AA40,'Cắt lồng'!$AE$327:$AE$515,'Cắt lồng'!DZ$4:DZ$4)</f>
        <v>0</v>
      </c>
      <c r="EA40" s="79">
        <f t="array" ref="EA40">SUMIFS('Cắt lồng'!$AH$327:$AH$515,'Cắt lồng'!$AA$327:$AA$515,'Cắt lồng'!$AA40,'Cắt lồng'!$AE$327:$AE$515,'Cắt lồng'!EA$4:EA$4)</f>
        <v>0</v>
      </c>
      <c r="EB40" s="78" t="e">
        <f t="shared" si="135"/>
        <v>#DIV/0!</v>
      </c>
      <c r="EC40" s="79">
        <f t="array" ref="EC40">SUMIFS('Cắt lồng'!$AC$327:$AC$515,'Cắt lồng'!$AA$327:$AA$515,'Cắt lồng'!$AA40,'Cắt lồng'!$AE$327:$AE$515,'Cắt lồng'!EC$4:EC$4)</f>
        <v>0</v>
      </c>
      <c r="ED40" s="79">
        <f t="array" ref="ED40">SUMIFS('Cắt lồng'!$AH$327:$AH$515,'Cắt lồng'!$AA$327:$AA$515,'Cắt lồng'!$AA40,'Cắt lồng'!$AE$327:$AE$515,'Cắt lồng'!ED$4:ED$4)</f>
        <v>0</v>
      </c>
      <c r="EE40" s="78" t="e">
        <f t="shared" si="136"/>
        <v>#DIV/0!</v>
      </c>
      <c r="EF40" s="79">
        <f t="array" ref="EF40">SUMIFS('Cắt lồng'!$AC$327:$AC$515,'Cắt lồng'!$AA$327:$AA$515,'Cắt lồng'!$AA40,'Cắt lồng'!$AE$327:$AE$515,'Cắt lồng'!EF$4:EF$4)</f>
        <v>0</v>
      </c>
      <c r="EG40" s="79">
        <f t="array" ref="EG40">SUMIFS('Cắt lồng'!$AH$327:$AH$515,'Cắt lồng'!$AA$327:$AA$515,'Cắt lồng'!$AA40,'Cắt lồng'!$AE$327:$AE$515,'Cắt lồng'!EG$4:EG$4)</f>
        <v>0</v>
      </c>
      <c r="EH40" s="78" t="e">
        <f t="shared" si="137"/>
        <v>#DIV/0!</v>
      </c>
      <c r="EI40" s="79">
        <f t="array" ref="EI40">SUMIFS('Cắt lồng'!$AC$327:$AC$515,'Cắt lồng'!$AA$327:$AA$515,'Cắt lồng'!$AA40,'Cắt lồng'!$AE$327:$AE$515,'Cắt lồng'!EI$4:EI$4)</f>
        <v>0</v>
      </c>
      <c r="EJ40" s="79">
        <f t="array" ref="EJ40">SUMIFS('Cắt lồng'!$AH$327:$AH$515,'Cắt lồng'!$AA$327:$AA$515,'Cắt lồng'!$AA40,'Cắt lồng'!$AE$327:$AE$515,'Cắt lồng'!EJ$4:EJ$4)</f>
        <v>0</v>
      </c>
      <c r="EK40" s="78" t="e">
        <f t="shared" si="138"/>
        <v>#DIV/0!</v>
      </c>
    </row>
    <row r="41" spans="1:142" s="12" customFormat="1" ht="14.25" hidden="1" customHeight="1">
      <c r="A41" s="25">
        <v>36</v>
      </c>
      <c r="B41" s="26" t="s">
        <v>158</v>
      </c>
      <c r="C41" s="26" t="s">
        <v>158</v>
      </c>
      <c r="D41" s="63"/>
      <c r="E41" s="197"/>
      <c r="F41" s="56"/>
      <c r="G41" s="82">
        <f t="shared" si="79"/>
        <v>0</v>
      </c>
      <c r="H41" s="81">
        <f t="shared" si="80"/>
        <v>20.83</v>
      </c>
      <c r="I41" s="19">
        <f t="shared" si="81"/>
        <v>0</v>
      </c>
      <c r="J41" s="11">
        <f t="shared" si="82"/>
        <v>3.17</v>
      </c>
      <c r="K41" s="19">
        <f t="shared" si="83"/>
        <v>0</v>
      </c>
      <c r="L41" s="19">
        <f t="shared" si="84"/>
        <v>0</v>
      </c>
      <c r="M41" s="19">
        <f t="shared" si="85"/>
        <v>0</v>
      </c>
      <c r="N41" s="19">
        <f t="shared" si="86"/>
        <v>0.33</v>
      </c>
      <c r="O41" s="19">
        <f t="shared" si="87"/>
        <v>0</v>
      </c>
      <c r="P41" s="19">
        <f t="shared" si="88"/>
        <v>0</v>
      </c>
      <c r="Q41" s="19">
        <f t="shared" si="89"/>
        <v>0</v>
      </c>
      <c r="R41" s="19">
        <f t="shared" si="90"/>
        <v>0</v>
      </c>
      <c r="S41" s="19">
        <f t="shared" si="91"/>
        <v>0</v>
      </c>
      <c r="T41" s="19">
        <f t="shared" si="92"/>
        <v>2.5</v>
      </c>
      <c r="U41" s="19">
        <f t="shared" si="93"/>
        <v>0</v>
      </c>
      <c r="V41" s="19">
        <f t="shared" si="94"/>
        <v>0</v>
      </c>
      <c r="W41" s="19">
        <f t="shared" si="95"/>
        <v>0</v>
      </c>
      <c r="X41" s="19">
        <f t="shared" si="96"/>
        <v>0.34</v>
      </c>
      <c r="Y41" s="19">
        <f t="shared" si="97"/>
        <v>0</v>
      </c>
      <c r="Z41" s="19">
        <f t="shared" si="98"/>
        <v>0</v>
      </c>
      <c r="AA41" s="164" t="s">
        <v>21</v>
      </c>
      <c r="AB41" s="129" t="e">
        <f t="shared" si="21"/>
        <v>#VALUE!</v>
      </c>
      <c r="AC41" s="16">
        <f t="shared" si="22"/>
        <v>51240</v>
      </c>
      <c r="AD41" s="15" t="e">
        <f t="shared" si="99"/>
        <v>#VALUE!</v>
      </c>
      <c r="AE41" s="42"/>
      <c r="AF41" s="10">
        <f t="shared" si="100"/>
        <v>2459.9135861737882</v>
      </c>
      <c r="AG41" s="10"/>
      <c r="AH41" s="152">
        <f t="shared" ref="AH41:AH58" si="139">+SUM(AJ41:AT41)</f>
        <v>3</v>
      </c>
      <c r="AI41" s="54">
        <f t="shared" si="101"/>
        <v>5.8548009367681499E-5</v>
      </c>
      <c r="AJ41" s="25">
        <f t="shared" si="102"/>
        <v>0</v>
      </c>
      <c r="AK41" s="25">
        <f t="shared" si="103"/>
        <v>0</v>
      </c>
      <c r="AL41" s="25">
        <f t="shared" si="104"/>
        <v>0</v>
      </c>
      <c r="AM41" s="30">
        <f t="shared" si="73"/>
        <v>3</v>
      </c>
      <c r="AN41" s="30">
        <f t="shared" si="74"/>
        <v>0</v>
      </c>
      <c r="AO41" s="30">
        <f t="shared" si="75"/>
        <v>0</v>
      </c>
      <c r="AP41" s="30">
        <f t="shared" si="76"/>
        <v>0</v>
      </c>
      <c r="AQ41" s="30">
        <f t="shared" si="77"/>
        <v>0</v>
      </c>
      <c r="AR41" s="30">
        <f t="shared" si="105"/>
        <v>0</v>
      </c>
      <c r="AS41" s="30">
        <f t="shared" si="106"/>
        <v>0</v>
      </c>
      <c r="AT41" s="30">
        <f t="shared" si="78"/>
        <v>0</v>
      </c>
      <c r="AV41" s="79">
        <f t="shared" si="107"/>
        <v>20.83</v>
      </c>
      <c r="AW41" s="79">
        <f t="array" ref="AW41">SUMIFS('Cắt lồng'!$AC$327:$AC$515,'Cắt lồng'!$AA$327:$AA$515,'Cắt lồng'!$AA41,'Cắt lồng'!$AE$327:$AE$515,'Cắt lồng'!AW$4:AW$4)</f>
        <v>51240</v>
      </c>
      <c r="AX41" s="79">
        <f t="array" ref="AX41">SUMIFS('Cắt lồng'!$AH$327:$AH$515,'Cắt lồng'!$AA$327:$AA$515,'Cắt lồng'!$AA41,'Cắt lồng'!$AE$327:$AE$515,'Cắt lồng'!AX$4:AX$4)</f>
        <v>0</v>
      </c>
      <c r="AY41" s="78">
        <f t="shared" si="108"/>
        <v>0</v>
      </c>
      <c r="AZ41" s="79">
        <f t="array" ref="AZ41">SUMIFS('Cắt lồng'!$AC$327:$AC$515,'Cắt lồng'!$AA$327:$AA$515,'Cắt lồng'!$AA41,'Cắt lồng'!$AE$327:$AE$515,'Cắt lồng'!AZ$4:AZ$4)</f>
        <v>0</v>
      </c>
      <c r="BA41" s="79">
        <f t="array" ref="BA41">SUMIFS('Cắt lồng'!$AH$327:$AH$515,'Cắt lồng'!$AA$327:$AA$515,'Cắt lồng'!$AA41,'Cắt lồng'!$AE$327:$AE$515,'Cắt lồng'!BA$4:BA$4)</f>
        <v>0</v>
      </c>
      <c r="BB41" s="78" t="e">
        <f t="shared" si="109"/>
        <v>#DIV/0!</v>
      </c>
      <c r="BC41" s="79">
        <f t="array" ref="BC41">SUMIFS('Cắt lồng'!$AC$327:$AC$515,'Cắt lồng'!$AA$327:$AA$515,'Cắt lồng'!$AA41,'Cắt lồng'!$AE$327:$AE$515,'Cắt lồng'!BC$4:BC$4)</f>
        <v>0</v>
      </c>
      <c r="BD41" s="79">
        <f t="array" ref="BD41">SUMIFS('Cắt lồng'!$AH$327:$AH$515,'Cắt lồng'!$AA$327:$AA$515,'Cắt lồng'!$AA41,'Cắt lồng'!$AE$327:$AE$515,'Cắt lồng'!BD$4:BD$4)</f>
        <v>0</v>
      </c>
      <c r="BE41" s="78" t="e">
        <f t="shared" si="110"/>
        <v>#DIV/0!</v>
      </c>
      <c r="BF41" s="79">
        <f t="array" ref="BF41">SUMIFS('Cắt lồng'!$AC$327:$AC$515,'Cắt lồng'!$AA$327:$AA$515,'Cắt lồng'!$AA41,'Cắt lồng'!$AE$327:$AE$515,'Cắt lồng'!BF$4:BF$4)</f>
        <v>0</v>
      </c>
      <c r="BG41" s="79">
        <f t="array" ref="BG41">SUMIFS('Cắt lồng'!$AH$327:$AH$515,'Cắt lồng'!$AA$327:$AA$515,'Cắt lồng'!$AA41,'Cắt lồng'!$AE$327:$AE$515,'Cắt lồng'!BG$4:BG$4)</f>
        <v>0</v>
      </c>
      <c r="BH41" s="78" t="e">
        <f t="shared" si="111"/>
        <v>#DIV/0!</v>
      </c>
      <c r="BI41" s="79">
        <f t="array" ref="BI41">SUMIFS('Cắt lồng'!$AC$327:$AC$515,'Cắt lồng'!$AA$327:$AA$515,'Cắt lồng'!$AA41,'Cắt lồng'!$AE$327:$AE$515,'Cắt lồng'!BI$4:BI$4)</f>
        <v>0</v>
      </c>
      <c r="BJ41" s="79">
        <f t="array" ref="BJ41">SUMIFS('Cắt lồng'!$AH$327:$AH$515,'Cắt lồng'!$AA$327:$AA$515,'Cắt lồng'!$AA41,'Cắt lồng'!$AE$327:$AE$515,'Cắt lồng'!BJ$4:BJ$4)</f>
        <v>0</v>
      </c>
      <c r="BK41" s="78" t="e">
        <f t="shared" si="112"/>
        <v>#DIV/0!</v>
      </c>
      <c r="BL41" s="79">
        <f t="array" ref="BL41">SUMIFS('Cắt lồng'!$AC$327:$AC$515,'Cắt lồng'!$AA$327:$AA$515,'Cắt lồng'!$AA41,'Cắt lồng'!$AE$327:$AE$515,'Cắt lồng'!BL$4:BL$4)</f>
        <v>0</v>
      </c>
      <c r="BM41" s="79">
        <f t="array" ref="BM41">SUMIFS('Cắt lồng'!$AH$327:$AH$515,'Cắt lồng'!$AA$327:$AA$515,'Cắt lồng'!$AA41,'Cắt lồng'!$AE$327:$AE$515,'Cắt lồng'!BM$4:BM$4)</f>
        <v>0</v>
      </c>
      <c r="BN41" s="78" t="e">
        <f t="shared" si="113"/>
        <v>#DIV/0!</v>
      </c>
      <c r="BO41" s="79">
        <f t="array" ref="BO41">SUMIFS('Cắt lồng'!$AC$327:$AC$515,'Cắt lồng'!$AA$327:$AA$515,'Cắt lồng'!$AA41,'Cắt lồng'!$AE$327:$AE$515,'Cắt lồng'!BO$4:BO$4)</f>
        <v>0</v>
      </c>
      <c r="BP41" s="79">
        <f t="array" ref="BP41">SUMIFS('Cắt lồng'!$AH$327:$AH$515,'Cắt lồng'!$AA$327:$AA$515,'Cắt lồng'!$AA41,'Cắt lồng'!$AE$327:$AE$515,'Cắt lồng'!BP$4:BP$4)</f>
        <v>0</v>
      </c>
      <c r="BQ41" s="78" t="e">
        <f t="shared" si="114"/>
        <v>#DIV/0!</v>
      </c>
      <c r="BR41" s="79">
        <f t="array" ref="BR41">SUMIFS('Cắt lồng'!$AC$327:$AC$515,'Cắt lồng'!$AA$327:$AA$515,'Cắt lồng'!$AA41,'Cắt lồng'!$AE$327:$AE$515,'Cắt lồng'!BR$4:BR$4)</f>
        <v>0</v>
      </c>
      <c r="BS41" s="79">
        <f t="array" ref="BS41">SUMIFS('Cắt lồng'!$AH$327:$AH$515,'Cắt lồng'!$AA$327:$AA$515,'Cắt lồng'!$AA41,'Cắt lồng'!$AE$327:$AE$515,'Cắt lồng'!BS$4:BS$4)</f>
        <v>0</v>
      </c>
      <c r="BT41" s="78" t="e">
        <f t="shared" si="115"/>
        <v>#DIV/0!</v>
      </c>
      <c r="BU41" s="79">
        <f t="array" ref="BU41">SUMIFS('Cắt lồng'!$AC$327:$AC$515,'Cắt lồng'!$AA$327:$AA$515,'Cắt lồng'!$AA41,'Cắt lồng'!$AE$327:$AE$515,'Cắt lồng'!BU$4:BU$4)</f>
        <v>0</v>
      </c>
      <c r="BV41" s="79">
        <f t="array" ref="BV41">SUMIFS('Cắt lồng'!$AH$327:$AH$515,'Cắt lồng'!$AA$327:$AA$515,'Cắt lồng'!$AA41,'Cắt lồng'!$AE$327:$AE$515,'Cắt lồng'!BV$4:BV$4)</f>
        <v>0</v>
      </c>
      <c r="BW41" s="78" t="e">
        <f t="shared" si="116"/>
        <v>#DIV/0!</v>
      </c>
      <c r="BX41" s="79">
        <f t="array" ref="BX41">SUMIFS('Cắt lồng'!$AC$327:$AC$515,'Cắt lồng'!$AA$327:$AA$515,'Cắt lồng'!$AA41,'Cắt lồng'!$AE$327:$AE$515,'Cắt lồng'!BX$4:BX$4)</f>
        <v>0</v>
      </c>
      <c r="BY41" s="79">
        <f t="array" ref="BY41">SUMIFS('Cắt lồng'!$AH$327:$AH$515,'Cắt lồng'!$AA$327:$AA$515,'Cắt lồng'!$AA41,'Cắt lồng'!$AE$327:$AE$515,'Cắt lồng'!BY$4:BY$4)</f>
        <v>0</v>
      </c>
      <c r="BZ41" s="78" t="e">
        <f t="shared" si="117"/>
        <v>#DIV/0!</v>
      </c>
      <c r="CA41" s="79">
        <f t="array" ref="CA41">SUMIFS('Cắt lồng'!$AC$327:$AC$515,'Cắt lồng'!$AA$327:$AA$515,'Cắt lồng'!$AA41,'Cắt lồng'!$AE$327:$AE$515,'Cắt lồng'!CA$4:CA$4)</f>
        <v>0</v>
      </c>
      <c r="CB41" s="79">
        <f t="array" ref="CB41">SUMIFS('Cắt lồng'!$AH$327:$AH$515,'Cắt lồng'!$AA$327:$AA$515,'Cắt lồng'!$AA41,'Cắt lồng'!$AE$327:$AE$515,'Cắt lồng'!CB$4:CB$4)</f>
        <v>0</v>
      </c>
      <c r="CC41" s="78" t="e">
        <f t="shared" si="118"/>
        <v>#DIV/0!</v>
      </c>
      <c r="CD41" s="79">
        <f t="array" ref="CD41">SUMIFS('Cắt lồng'!$AC$327:$AC$515,'Cắt lồng'!$AA$327:$AA$515,'Cắt lồng'!$AA41,'Cắt lồng'!$AE$327:$AE$515,'Cắt lồng'!CD$4:CD$4)</f>
        <v>0</v>
      </c>
      <c r="CE41" s="79">
        <f t="array" ref="CE41">SUMIFS('Cắt lồng'!$AH$327:$AH$515,'Cắt lồng'!$AA$327:$AA$515,'Cắt lồng'!$AA41,'Cắt lồng'!$AE$327:$AE$515,'Cắt lồng'!CE$4:CE$4)</f>
        <v>0</v>
      </c>
      <c r="CF41" s="78" t="e">
        <f t="shared" si="119"/>
        <v>#DIV/0!</v>
      </c>
      <c r="CG41" s="79">
        <f t="array" ref="CG41">SUMIFS('Cắt lồng'!$AC$327:$AC$515,'Cắt lồng'!$AA$327:$AA$515,'Cắt lồng'!$AA41,'Cắt lồng'!$AE$327:$AE$515,'Cắt lồng'!CG$4:CG$4)</f>
        <v>0</v>
      </c>
      <c r="CH41" s="79">
        <f t="array" ref="CH41">SUMIFS('Cắt lồng'!$AH$327:$AH$515,'Cắt lồng'!$AA$327:$AA$515,'Cắt lồng'!$AA41,'Cắt lồng'!$AE$327:$AE$515,'Cắt lồng'!CH$4:CH$4)</f>
        <v>0</v>
      </c>
      <c r="CI41" s="78" t="e">
        <f t="shared" si="120"/>
        <v>#DIV/0!</v>
      </c>
      <c r="CJ41" s="79">
        <f t="array" ref="CJ41">SUMIFS('Cắt lồng'!$AC$327:$AC$515,'Cắt lồng'!$AA$327:$AA$515,'Cắt lồng'!$AA41,'Cắt lồng'!$AE$327:$AE$515,'Cắt lồng'!CJ$4:CJ$4)</f>
        <v>0</v>
      </c>
      <c r="CK41" s="79">
        <f t="array" ref="CK41">SUMIFS('Cắt lồng'!$AH$327:$AH$515,'Cắt lồng'!$AA$327:$AA$515,'Cắt lồng'!$AA41,'Cắt lồng'!$AE$327:$AE$515,'Cắt lồng'!CK$4:CK$4)</f>
        <v>0</v>
      </c>
      <c r="CL41" s="78" t="e">
        <f t="shared" si="121"/>
        <v>#DIV/0!</v>
      </c>
      <c r="CM41" s="79">
        <f t="array" ref="CM41">SUMIFS('Cắt lồng'!$AC$327:$AC$515,'Cắt lồng'!$AA$327:$AA$515,'Cắt lồng'!$AA41,'Cắt lồng'!$AE$327:$AE$515,'Cắt lồng'!CM$4:CM$4)</f>
        <v>0</v>
      </c>
      <c r="CN41" s="79">
        <f t="array" ref="CN41">SUMIFS('Cắt lồng'!$AH$327:$AH$515,'Cắt lồng'!$AA$327:$AA$515,'Cắt lồng'!$AA41,'Cắt lồng'!$AE$327:$AE$515,'Cắt lồng'!CN$4:CN$4)</f>
        <v>0</v>
      </c>
      <c r="CO41" s="78" t="e">
        <f t="shared" si="122"/>
        <v>#DIV/0!</v>
      </c>
      <c r="CP41" s="79">
        <f t="array" ref="CP41">SUMIFS('Cắt lồng'!$AC$327:$AC$515,'Cắt lồng'!$AA$327:$AA$515,'Cắt lồng'!$AA41,'Cắt lồng'!$AE$327:$AE$515,'Cắt lồng'!CP$4:CP$4)</f>
        <v>0</v>
      </c>
      <c r="CQ41" s="79">
        <f t="array" ref="CQ41">SUMIFS('Cắt lồng'!$AH$327:$AH$515,'Cắt lồng'!$AA$327:$AA$515,'Cắt lồng'!$AA41,'Cắt lồng'!$AE$327:$AE$515,'Cắt lồng'!CQ$4:CQ$4)</f>
        <v>0</v>
      </c>
      <c r="CR41" s="78" t="e">
        <f t="shared" si="123"/>
        <v>#DIV/0!</v>
      </c>
      <c r="CS41" s="79">
        <f t="array" ref="CS41">SUMIFS('Cắt lồng'!$AC$327:$AC$515,'Cắt lồng'!$AA$327:$AA$515,'Cắt lồng'!$AA41,'Cắt lồng'!$AE$327:$AE$515,'Cắt lồng'!CS$4:CS$4)</f>
        <v>0</v>
      </c>
      <c r="CT41" s="79">
        <f t="array" ref="CT41">SUMIFS('Cắt lồng'!$AH$327:$AH$515,'Cắt lồng'!$AA$327:$AA$515,'Cắt lồng'!$AA41,'Cắt lồng'!$AE$327:$AE$515,'Cắt lồng'!CT$4:CT$4)</f>
        <v>0</v>
      </c>
      <c r="CU41" s="78" t="e">
        <f t="shared" si="124"/>
        <v>#DIV/0!</v>
      </c>
      <c r="CV41" s="79">
        <f t="array" ref="CV41">SUMIFS('Cắt lồng'!$AC$327:$AC$515,'Cắt lồng'!$AA$327:$AA$515,'Cắt lồng'!$AA41,'Cắt lồng'!$AE$327:$AE$515,'Cắt lồng'!CV$4:CV$4)</f>
        <v>0</v>
      </c>
      <c r="CW41" s="79">
        <f t="array" ref="CW41">SUMIFS('Cắt lồng'!$AH$327:$AH$515,'Cắt lồng'!$AA$327:$AA$515,'Cắt lồng'!$AA41,'Cắt lồng'!$AE$327:$AE$515,'Cắt lồng'!CW$4:CW$4)</f>
        <v>0</v>
      </c>
      <c r="CX41" s="78" t="e">
        <f t="shared" si="125"/>
        <v>#DIV/0!</v>
      </c>
      <c r="CY41" s="79">
        <f t="array" ref="CY41">SUMIFS('Cắt lồng'!$AC$327:$AC$515,'Cắt lồng'!$AA$327:$AA$515,'Cắt lồng'!$AA41,'Cắt lồng'!$AE$327:$AE$515,'Cắt lồng'!CY$4:CY$4)</f>
        <v>0</v>
      </c>
      <c r="CZ41" s="79">
        <f t="array" ref="CZ41">SUMIFS('Cắt lồng'!$AH$327:$AH$515,'Cắt lồng'!$AA$327:$AA$515,'Cắt lồng'!$AA41,'Cắt lồng'!$AE$327:$AE$515,'Cắt lồng'!CZ$4:CZ$4)</f>
        <v>0</v>
      </c>
      <c r="DA41" s="78" t="e">
        <f t="shared" si="126"/>
        <v>#DIV/0!</v>
      </c>
      <c r="DB41" s="79">
        <f t="array" ref="DB41">SUMIFS('Cắt lồng'!$AC$327:$AC$515,'Cắt lồng'!$AA$327:$AA$515,'Cắt lồng'!$AA41,'Cắt lồng'!$AE$327:$AE$515,'Cắt lồng'!DB$4:DB$4)</f>
        <v>0</v>
      </c>
      <c r="DC41" s="79">
        <f t="array" ref="DC41">SUMIFS('Cắt lồng'!$AH$327:$AH$515,'Cắt lồng'!$AA$327:$AA$515,'Cắt lồng'!$AA41,'Cắt lồng'!$AE$327:$AE$515,'Cắt lồng'!DC$4:DC$4)</f>
        <v>0</v>
      </c>
      <c r="DD41" s="78" t="e">
        <f t="shared" si="127"/>
        <v>#DIV/0!</v>
      </c>
      <c r="DE41" s="79">
        <f t="array" ref="DE41">SUMIFS('Cắt lồng'!$AC$327:$AC$515,'Cắt lồng'!$AA$327:$AA$515,'Cắt lồng'!$AA41,'Cắt lồng'!$AE$327:$AE$515,'Cắt lồng'!DE$4:DE$4)</f>
        <v>0</v>
      </c>
      <c r="DF41" s="79">
        <f t="array" ref="DF41">SUMIFS('Cắt lồng'!$AH$327:$AH$515,'Cắt lồng'!$AA$327:$AA$515,'Cắt lồng'!$AA41,'Cắt lồng'!$AE$327:$AE$515,'Cắt lồng'!DF$4:DF$4)</f>
        <v>0</v>
      </c>
      <c r="DG41" s="78" t="e">
        <f t="shared" si="128"/>
        <v>#DIV/0!</v>
      </c>
      <c r="DH41" s="79">
        <f t="array" ref="DH41">SUMIFS('Cắt lồng'!$AC$327:$AC$515,'Cắt lồng'!$AA$327:$AA$515,'Cắt lồng'!$AA41,'Cắt lồng'!$AE$327:$AE$515,'Cắt lồng'!DH$4:DH$4)</f>
        <v>0</v>
      </c>
      <c r="DI41" s="79">
        <f t="array" ref="DI41">SUMIFS('Cắt lồng'!$AH$327:$AH$515,'Cắt lồng'!$AA$327:$AA$515,'Cắt lồng'!$AA41,'Cắt lồng'!$AE$327:$AE$515,'Cắt lồng'!DI$4:DI$4)</f>
        <v>0</v>
      </c>
      <c r="DJ41" s="78" t="e">
        <f t="shared" si="129"/>
        <v>#DIV/0!</v>
      </c>
      <c r="DK41" s="79">
        <f t="array" ref="DK41">SUMIFS('Cắt lồng'!$AC$327:$AC$515,'Cắt lồng'!$AA$327:$AA$515,'Cắt lồng'!$AA41,'Cắt lồng'!$AE$327:$AE$515,'Cắt lồng'!DK$4:DK$4)</f>
        <v>0</v>
      </c>
      <c r="DL41" s="79">
        <f t="array" ref="DL41">SUMIFS('Cắt lồng'!$AH$327:$AH$515,'Cắt lồng'!$AA$327:$AA$515,'Cắt lồng'!$AA41,'Cắt lồng'!$AE$327:$AE$515,'Cắt lồng'!DL$4:DL$4)</f>
        <v>0</v>
      </c>
      <c r="DM41" s="78" t="e">
        <f t="shared" si="130"/>
        <v>#DIV/0!</v>
      </c>
      <c r="DN41" s="79">
        <f>SUMIFS('Cắt lồng'!$AC$327:$AC$515,'Cắt lồng'!$AA$327:$AA$515,'Cắt lồng'!$AA41,'Cắt lồng'!$AE$327:$AE$515,'Cắt lồng'!DN$4:DN$4)</f>
        <v>0</v>
      </c>
      <c r="DO41" s="79">
        <f t="array" ref="DO41">SUMIFS('Cắt lồng'!$AH$327:$AH$515,'Cắt lồng'!$AA$327:$AA$515,'Cắt lồng'!$AA41,'Cắt lồng'!$AE$327:$AE$515,'Cắt lồng'!DO$4:DO$4)</f>
        <v>0</v>
      </c>
      <c r="DP41" s="78" t="e">
        <f t="shared" si="131"/>
        <v>#DIV/0!</v>
      </c>
      <c r="DQ41" s="79">
        <f t="array" ref="DQ41">SUMIFS('Cắt lồng'!$AC$327:$AC$515,'Cắt lồng'!$AA$327:$AA$515,'Cắt lồng'!$AA41,'Cắt lồng'!$AE$327:$AE$515,'Cắt lồng'!DQ$4:DQ$4)</f>
        <v>0</v>
      </c>
      <c r="DR41" s="79">
        <f t="array" ref="DR41">SUMIFS('Cắt lồng'!$AH$327:$AH$515,'Cắt lồng'!$AA$327:$AA$515,'Cắt lồng'!$AA41,'Cắt lồng'!$AE$327:$AE$515,'Cắt lồng'!DR$4:DR$4)</f>
        <v>0</v>
      </c>
      <c r="DS41" s="78" t="e">
        <f t="shared" si="132"/>
        <v>#DIV/0!</v>
      </c>
      <c r="DT41" s="79">
        <f t="array" ref="DT41">SUMIFS('Cắt lồng'!$AC$327:$AC$515,'Cắt lồng'!$AA$327:$AA$515,'Cắt lồng'!$AA41,'Cắt lồng'!$AE$327:$AE$515,'Cắt lồng'!DT$4:DT$4)</f>
        <v>0</v>
      </c>
      <c r="DU41" s="79">
        <f t="array" ref="DU41">SUMIFS('Cắt lồng'!$AH$327:$AH$515,'Cắt lồng'!$AA$327:$AA$515,'Cắt lồng'!$AA41,'Cắt lồng'!$AE$327:$AE$515,'Cắt lồng'!DU$4:DU$4)</f>
        <v>0</v>
      </c>
      <c r="DV41" s="78" t="e">
        <f t="shared" si="133"/>
        <v>#DIV/0!</v>
      </c>
      <c r="DW41" s="79">
        <f t="array" ref="DW41">SUMIFS('Cắt lồng'!$AC$327:$AC$515,'Cắt lồng'!$AA$327:$AA$515,'Cắt lồng'!$AA41,'Cắt lồng'!$AE$327:$AE$515,'Cắt lồng'!DW$4:DW$4)</f>
        <v>0</v>
      </c>
      <c r="DX41" s="79">
        <f t="array" ref="DX41">SUMIFS('Cắt lồng'!$AH$327:$AH$515,'Cắt lồng'!$AA$327:$AA$515,'Cắt lồng'!$AA41,'Cắt lồng'!$AE$327:$AE$515,'Cắt lồng'!DX$4:DX$4)</f>
        <v>0</v>
      </c>
      <c r="DY41" s="78" t="e">
        <f t="shared" si="134"/>
        <v>#DIV/0!</v>
      </c>
      <c r="DZ41" s="79">
        <f t="array" ref="DZ41">SUMIFS('Cắt lồng'!$AC$327:$AC$515,'Cắt lồng'!$AA$327:$AA$515,'Cắt lồng'!$AA41,'Cắt lồng'!$AE$327:$AE$515,'Cắt lồng'!DZ$4:DZ$4)</f>
        <v>0</v>
      </c>
      <c r="EA41" s="79">
        <f t="array" ref="EA41">SUMIFS('Cắt lồng'!$AH$327:$AH$515,'Cắt lồng'!$AA$327:$AA$515,'Cắt lồng'!$AA41,'Cắt lồng'!$AE$327:$AE$515,'Cắt lồng'!EA$4:EA$4)</f>
        <v>0</v>
      </c>
      <c r="EB41" s="78" t="e">
        <f t="shared" si="135"/>
        <v>#DIV/0!</v>
      </c>
      <c r="EC41" s="79">
        <f t="array" ref="EC41">SUMIFS('Cắt lồng'!$AC$327:$AC$515,'Cắt lồng'!$AA$327:$AA$515,'Cắt lồng'!$AA41,'Cắt lồng'!$AE$327:$AE$515,'Cắt lồng'!EC$4:EC$4)</f>
        <v>0</v>
      </c>
      <c r="ED41" s="79">
        <f t="array" ref="ED41">SUMIFS('Cắt lồng'!$AH$327:$AH$515,'Cắt lồng'!$AA$327:$AA$515,'Cắt lồng'!$AA41,'Cắt lồng'!$AE$327:$AE$515,'Cắt lồng'!ED$4:ED$4)</f>
        <v>0</v>
      </c>
      <c r="EE41" s="78" t="e">
        <f t="shared" si="136"/>
        <v>#DIV/0!</v>
      </c>
      <c r="EF41" s="79">
        <f t="array" ref="EF41">SUMIFS('Cắt lồng'!$AC$327:$AC$515,'Cắt lồng'!$AA$327:$AA$515,'Cắt lồng'!$AA41,'Cắt lồng'!$AE$327:$AE$515,'Cắt lồng'!EF$4:EF$4)</f>
        <v>0</v>
      </c>
      <c r="EG41" s="79">
        <f t="array" ref="EG41">SUMIFS('Cắt lồng'!$AH$327:$AH$515,'Cắt lồng'!$AA$327:$AA$515,'Cắt lồng'!$AA41,'Cắt lồng'!$AE$327:$AE$515,'Cắt lồng'!EG$4:EG$4)</f>
        <v>0</v>
      </c>
      <c r="EH41" s="78" t="e">
        <f t="shared" si="137"/>
        <v>#DIV/0!</v>
      </c>
      <c r="EI41" s="79">
        <f t="array" ref="EI41">SUMIFS('Cắt lồng'!$AC$327:$AC$515,'Cắt lồng'!$AA$327:$AA$515,'Cắt lồng'!$AA41,'Cắt lồng'!$AE$327:$AE$515,'Cắt lồng'!EI$4:EI$4)</f>
        <v>0</v>
      </c>
      <c r="EJ41" s="79">
        <f t="array" ref="EJ41">SUMIFS('Cắt lồng'!$AH$327:$AH$515,'Cắt lồng'!$AA$327:$AA$515,'Cắt lồng'!$AA41,'Cắt lồng'!$AE$327:$AE$515,'Cắt lồng'!EJ$4:EJ$4)</f>
        <v>0</v>
      </c>
      <c r="EK41" s="78" t="e">
        <f t="shared" si="138"/>
        <v>#DIV/0!</v>
      </c>
      <c r="EL41" s="172"/>
    </row>
    <row r="42" spans="1:142" s="12" customFormat="1" ht="14.25" hidden="1" customHeight="1">
      <c r="A42" s="25">
        <v>37</v>
      </c>
      <c r="B42" s="26" t="s">
        <v>153</v>
      </c>
      <c r="C42" s="26" t="s">
        <v>153</v>
      </c>
      <c r="D42" s="63"/>
      <c r="E42" s="197"/>
      <c r="F42" s="56"/>
      <c r="G42" s="82">
        <f t="shared" si="79"/>
        <v>0</v>
      </c>
      <c r="H42" s="81">
        <f t="shared" si="80"/>
        <v>0</v>
      </c>
      <c r="I42" s="19">
        <f t="shared" si="81"/>
        <v>0</v>
      </c>
      <c r="J42" s="11">
        <f t="shared" si="82"/>
        <v>0</v>
      </c>
      <c r="K42" s="19">
        <f t="shared" si="83"/>
        <v>0</v>
      </c>
      <c r="L42" s="19">
        <f t="shared" si="84"/>
        <v>0</v>
      </c>
      <c r="M42" s="19">
        <f t="shared" si="85"/>
        <v>0</v>
      </c>
      <c r="N42" s="19">
        <f t="shared" si="86"/>
        <v>0</v>
      </c>
      <c r="O42" s="19">
        <f t="shared" si="87"/>
        <v>0</v>
      </c>
      <c r="P42" s="19">
        <f t="shared" si="88"/>
        <v>0</v>
      </c>
      <c r="Q42" s="19">
        <f t="shared" si="89"/>
        <v>0</v>
      </c>
      <c r="R42" s="19">
        <f t="shared" si="90"/>
        <v>0</v>
      </c>
      <c r="S42" s="19">
        <f t="shared" si="91"/>
        <v>0</v>
      </c>
      <c r="T42" s="19">
        <f t="shared" si="92"/>
        <v>0</v>
      </c>
      <c r="U42" s="19">
        <f t="shared" si="93"/>
        <v>0</v>
      </c>
      <c r="V42" s="19">
        <f t="shared" si="94"/>
        <v>0</v>
      </c>
      <c r="W42" s="19">
        <f t="shared" si="95"/>
        <v>0</v>
      </c>
      <c r="X42" s="19">
        <f t="shared" si="96"/>
        <v>0</v>
      </c>
      <c r="Y42" s="19">
        <f t="shared" si="97"/>
        <v>0</v>
      </c>
      <c r="Z42" s="19">
        <f t="shared" si="98"/>
        <v>0</v>
      </c>
      <c r="AA42" s="164" t="s">
        <v>254</v>
      </c>
      <c r="AB42" s="129">
        <f t="shared" si="21"/>
        <v>0</v>
      </c>
      <c r="AC42" s="16">
        <f t="shared" si="22"/>
        <v>0</v>
      </c>
      <c r="AD42" s="15" t="e">
        <f t="shared" si="99"/>
        <v>#DIV/0!</v>
      </c>
      <c r="AE42" s="42"/>
      <c r="AF42" s="10" t="e">
        <f t="shared" si="100"/>
        <v>#DIV/0!</v>
      </c>
      <c r="AG42" s="10"/>
      <c r="AH42" s="152">
        <f t="shared" si="139"/>
        <v>0</v>
      </c>
      <c r="AI42" s="54" t="e">
        <f t="shared" si="101"/>
        <v>#DIV/0!</v>
      </c>
      <c r="AJ42" s="25">
        <f t="shared" si="102"/>
        <v>0</v>
      </c>
      <c r="AK42" s="25">
        <f t="shared" si="103"/>
        <v>0</v>
      </c>
      <c r="AL42" s="25">
        <f t="shared" si="104"/>
        <v>0</v>
      </c>
      <c r="AM42" s="30">
        <f t="shared" si="73"/>
        <v>0</v>
      </c>
      <c r="AN42" s="30">
        <f t="shared" si="74"/>
        <v>0</v>
      </c>
      <c r="AO42" s="30">
        <f t="shared" si="75"/>
        <v>0</v>
      </c>
      <c r="AP42" s="30">
        <f t="shared" si="76"/>
        <v>0</v>
      </c>
      <c r="AQ42" s="30">
        <f t="shared" si="77"/>
        <v>0</v>
      </c>
      <c r="AR42" s="30">
        <f t="shared" si="105"/>
        <v>0</v>
      </c>
      <c r="AS42" s="30">
        <f t="shared" si="106"/>
        <v>0</v>
      </c>
      <c r="AT42" s="30">
        <f t="shared" si="78"/>
        <v>0</v>
      </c>
      <c r="AV42" s="79">
        <f t="shared" si="107"/>
        <v>0</v>
      </c>
      <c r="AW42" s="79">
        <f t="array" ref="AW42">SUMIFS('Cắt lồng'!$AC$327:$AC$515,'Cắt lồng'!$AA$327:$AA$515,'Cắt lồng'!$AA42,'Cắt lồng'!$AE$327:$AE$515,'Cắt lồng'!AW$4:AW$4)</f>
        <v>0</v>
      </c>
      <c r="AX42" s="79">
        <f t="array" ref="AX42">SUMIFS('Cắt lồng'!$AH$327:$AH$515,'Cắt lồng'!$AA$327:$AA$515,'Cắt lồng'!$AA42,'Cắt lồng'!$AE$327:$AE$515,'Cắt lồng'!AX$4:AX$4)</f>
        <v>0</v>
      </c>
      <c r="AY42" s="78" t="e">
        <f t="shared" si="108"/>
        <v>#DIV/0!</v>
      </c>
      <c r="AZ42" s="79">
        <f t="array" ref="AZ42">SUMIFS('Cắt lồng'!$AC$327:$AC$515,'Cắt lồng'!$AA$327:$AA$515,'Cắt lồng'!$AA42,'Cắt lồng'!$AE$327:$AE$515,'Cắt lồng'!AZ$4:AZ$4)</f>
        <v>0</v>
      </c>
      <c r="BA42" s="79">
        <f t="array" ref="BA42">SUMIFS('Cắt lồng'!$AH$327:$AH$515,'Cắt lồng'!$AA$327:$AA$515,'Cắt lồng'!$AA42,'Cắt lồng'!$AE$327:$AE$515,'Cắt lồng'!BA$4:BA$4)</f>
        <v>0</v>
      </c>
      <c r="BB42" s="78" t="e">
        <f t="shared" si="109"/>
        <v>#DIV/0!</v>
      </c>
      <c r="BC42" s="79">
        <f t="array" ref="BC42">SUMIFS('Cắt lồng'!$AC$327:$AC$515,'Cắt lồng'!$AA$327:$AA$515,'Cắt lồng'!$AA42,'Cắt lồng'!$AE$327:$AE$515,'Cắt lồng'!BC$4:BC$4)</f>
        <v>0</v>
      </c>
      <c r="BD42" s="79">
        <f t="array" ref="BD42">SUMIFS('Cắt lồng'!$AH$327:$AH$515,'Cắt lồng'!$AA$327:$AA$515,'Cắt lồng'!$AA42,'Cắt lồng'!$AE$327:$AE$515,'Cắt lồng'!BD$4:BD$4)</f>
        <v>0</v>
      </c>
      <c r="BE42" s="78" t="e">
        <f t="shared" si="110"/>
        <v>#DIV/0!</v>
      </c>
      <c r="BF42" s="79">
        <f t="array" ref="BF42">SUMIFS('Cắt lồng'!$AC$327:$AC$515,'Cắt lồng'!$AA$327:$AA$515,'Cắt lồng'!$AA42,'Cắt lồng'!$AE$327:$AE$515,'Cắt lồng'!BF$4:BF$4)</f>
        <v>0</v>
      </c>
      <c r="BG42" s="79">
        <f t="array" ref="BG42">SUMIFS('Cắt lồng'!$AH$327:$AH$515,'Cắt lồng'!$AA$327:$AA$515,'Cắt lồng'!$AA42,'Cắt lồng'!$AE$327:$AE$515,'Cắt lồng'!BG$4:BG$4)</f>
        <v>0</v>
      </c>
      <c r="BH42" s="78" t="e">
        <f t="shared" si="111"/>
        <v>#DIV/0!</v>
      </c>
      <c r="BI42" s="79">
        <f t="array" ref="BI42">SUMIFS('Cắt lồng'!$AC$327:$AC$515,'Cắt lồng'!$AA$327:$AA$515,'Cắt lồng'!$AA42,'Cắt lồng'!$AE$327:$AE$515,'Cắt lồng'!BI$4:BI$4)</f>
        <v>0</v>
      </c>
      <c r="BJ42" s="79">
        <f t="array" ref="BJ42">SUMIFS('Cắt lồng'!$AH$327:$AH$515,'Cắt lồng'!$AA$327:$AA$515,'Cắt lồng'!$AA42,'Cắt lồng'!$AE$327:$AE$515,'Cắt lồng'!BJ$4:BJ$4)</f>
        <v>0</v>
      </c>
      <c r="BK42" s="78" t="e">
        <f t="shared" si="112"/>
        <v>#DIV/0!</v>
      </c>
      <c r="BL42" s="79">
        <f t="array" ref="BL42">SUMIFS('Cắt lồng'!$AC$327:$AC$515,'Cắt lồng'!$AA$327:$AA$515,'Cắt lồng'!$AA42,'Cắt lồng'!$AE$327:$AE$515,'Cắt lồng'!BL$4:BL$4)</f>
        <v>0</v>
      </c>
      <c r="BM42" s="79">
        <f t="array" ref="BM42">SUMIFS('Cắt lồng'!$AH$327:$AH$515,'Cắt lồng'!$AA$327:$AA$515,'Cắt lồng'!$AA42,'Cắt lồng'!$AE$327:$AE$515,'Cắt lồng'!BM$4:BM$4)</f>
        <v>0</v>
      </c>
      <c r="BN42" s="78" t="e">
        <f t="shared" si="113"/>
        <v>#DIV/0!</v>
      </c>
      <c r="BO42" s="79">
        <f t="array" ref="BO42">SUMIFS('Cắt lồng'!$AC$327:$AC$515,'Cắt lồng'!$AA$327:$AA$515,'Cắt lồng'!$AA42,'Cắt lồng'!$AE$327:$AE$515,'Cắt lồng'!BO$4:BO$4)</f>
        <v>0</v>
      </c>
      <c r="BP42" s="79">
        <f t="array" ref="BP42">SUMIFS('Cắt lồng'!$AH$327:$AH$515,'Cắt lồng'!$AA$327:$AA$515,'Cắt lồng'!$AA42,'Cắt lồng'!$AE$327:$AE$515,'Cắt lồng'!BP$4:BP$4)</f>
        <v>0</v>
      </c>
      <c r="BQ42" s="78" t="e">
        <f t="shared" si="114"/>
        <v>#DIV/0!</v>
      </c>
      <c r="BR42" s="79">
        <f t="array" ref="BR42">SUMIFS('Cắt lồng'!$AC$327:$AC$515,'Cắt lồng'!$AA$327:$AA$515,'Cắt lồng'!$AA42,'Cắt lồng'!$AE$327:$AE$515,'Cắt lồng'!BR$4:BR$4)</f>
        <v>0</v>
      </c>
      <c r="BS42" s="79">
        <f t="array" ref="BS42">SUMIFS('Cắt lồng'!$AH$327:$AH$515,'Cắt lồng'!$AA$327:$AA$515,'Cắt lồng'!$AA42,'Cắt lồng'!$AE$327:$AE$515,'Cắt lồng'!BS$4:BS$4)</f>
        <v>0</v>
      </c>
      <c r="BT42" s="78" t="e">
        <f t="shared" si="115"/>
        <v>#DIV/0!</v>
      </c>
      <c r="BU42" s="79">
        <f t="array" ref="BU42">SUMIFS('Cắt lồng'!$AC$327:$AC$515,'Cắt lồng'!$AA$327:$AA$515,'Cắt lồng'!$AA42,'Cắt lồng'!$AE$327:$AE$515,'Cắt lồng'!BU$4:BU$4)</f>
        <v>0</v>
      </c>
      <c r="BV42" s="79">
        <f t="array" ref="BV42">SUMIFS('Cắt lồng'!$AH$327:$AH$515,'Cắt lồng'!$AA$327:$AA$515,'Cắt lồng'!$AA42,'Cắt lồng'!$AE$327:$AE$515,'Cắt lồng'!BV$4:BV$4)</f>
        <v>0</v>
      </c>
      <c r="BW42" s="78" t="e">
        <f t="shared" si="116"/>
        <v>#DIV/0!</v>
      </c>
      <c r="BX42" s="79">
        <f t="array" ref="BX42">SUMIFS('Cắt lồng'!$AC$327:$AC$515,'Cắt lồng'!$AA$327:$AA$515,'Cắt lồng'!$AA42,'Cắt lồng'!$AE$327:$AE$515,'Cắt lồng'!BX$4:BX$4)</f>
        <v>0</v>
      </c>
      <c r="BY42" s="79">
        <f t="array" ref="BY42">SUMIFS('Cắt lồng'!$AH$327:$AH$515,'Cắt lồng'!$AA$327:$AA$515,'Cắt lồng'!$AA42,'Cắt lồng'!$AE$327:$AE$515,'Cắt lồng'!BY$4:BY$4)</f>
        <v>0</v>
      </c>
      <c r="BZ42" s="78" t="e">
        <f t="shared" si="117"/>
        <v>#DIV/0!</v>
      </c>
      <c r="CA42" s="79">
        <f t="array" ref="CA42">SUMIFS('Cắt lồng'!$AC$327:$AC$515,'Cắt lồng'!$AA$327:$AA$515,'Cắt lồng'!$AA42,'Cắt lồng'!$AE$327:$AE$515,'Cắt lồng'!CA$4:CA$4)</f>
        <v>0</v>
      </c>
      <c r="CB42" s="79">
        <f t="array" ref="CB42">SUMIFS('Cắt lồng'!$AH$327:$AH$515,'Cắt lồng'!$AA$327:$AA$515,'Cắt lồng'!$AA42,'Cắt lồng'!$AE$327:$AE$515,'Cắt lồng'!CB$4:CB$4)</f>
        <v>0</v>
      </c>
      <c r="CC42" s="78" t="e">
        <f t="shared" si="118"/>
        <v>#DIV/0!</v>
      </c>
      <c r="CD42" s="79">
        <f t="array" ref="CD42">SUMIFS('Cắt lồng'!$AC$327:$AC$515,'Cắt lồng'!$AA$327:$AA$515,'Cắt lồng'!$AA42,'Cắt lồng'!$AE$327:$AE$515,'Cắt lồng'!CD$4:CD$4)</f>
        <v>0</v>
      </c>
      <c r="CE42" s="79">
        <f t="array" ref="CE42">SUMIFS('Cắt lồng'!$AH$327:$AH$515,'Cắt lồng'!$AA$327:$AA$515,'Cắt lồng'!$AA42,'Cắt lồng'!$AE$327:$AE$515,'Cắt lồng'!CE$4:CE$4)</f>
        <v>0</v>
      </c>
      <c r="CF42" s="78" t="e">
        <f t="shared" si="119"/>
        <v>#DIV/0!</v>
      </c>
      <c r="CG42" s="79">
        <f t="array" ref="CG42">SUMIFS('Cắt lồng'!$AC$327:$AC$515,'Cắt lồng'!$AA$327:$AA$515,'Cắt lồng'!$AA42,'Cắt lồng'!$AE$327:$AE$515,'Cắt lồng'!CG$4:CG$4)</f>
        <v>0</v>
      </c>
      <c r="CH42" s="79">
        <f t="array" ref="CH42">SUMIFS('Cắt lồng'!$AH$327:$AH$515,'Cắt lồng'!$AA$327:$AA$515,'Cắt lồng'!$AA42,'Cắt lồng'!$AE$327:$AE$515,'Cắt lồng'!CH$4:CH$4)</f>
        <v>0</v>
      </c>
      <c r="CI42" s="78" t="e">
        <f t="shared" si="120"/>
        <v>#DIV/0!</v>
      </c>
      <c r="CJ42" s="79">
        <f t="array" ref="CJ42">SUMIFS('Cắt lồng'!$AC$327:$AC$515,'Cắt lồng'!$AA$327:$AA$515,'Cắt lồng'!$AA42,'Cắt lồng'!$AE$327:$AE$515,'Cắt lồng'!CJ$4:CJ$4)</f>
        <v>0</v>
      </c>
      <c r="CK42" s="79">
        <f t="array" ref="CK42">SUMIFS('Cắt lồng'!$AH$327:$AH$515,'Cắt lồng'!$AA$327:$AA$515,'Cắt lồng'!$AA42,'Cắt lồng'!$AE$327:$AE$515,'Cắt lồng'!CK$4:CK$4)</f>
        <v>0</v>
      </c>
      <c r="CL42" s="78" t="e">
        <f t="shared" si="121"/>
        <v>#DIV/0!</v>
      </c>
      <c r="CM42" s="79">
        <f t="array" ref="CM42">SUMIFS('Cắt lồng'!$AC$327:$AC$515,'Cắt lồng'!$AA$327:$AA$515,'Cắt lồng'!$AA42,'Cắt lồng'!$AE$327:$AE$515,'Cắt lồng'!CM$4:CM$4)</f>
        <v>0</v>
      </c>
      <c r="CN42" s="79">
        <f t="array" ref="CN42">SUMIFS('Cắt lồng'!$AH$327:$AH$515,'Cắt lồng'!$AA$327:$AA$515,'Cắt lồng'!$AA42,'Cắt lồng'!$AE$327:$AE$515,'Cắt lồng'!CN$4:CN$4)</f>
        <v>0</v>
      </c>
      <c r="CO42" s="78" t="e">
        <f t="shared" si="122"/>
        <v>#DIV/0!</v>
      </c>
      <c r="CP42" s="79">
        <f t="array" ref="CP42">SUMIFS('Cắt lồng'!$AC$327:$AC$515,'Cắt lồng'!$AA$327:$AA$515,'Cắt lồng'!$AA42,'Cắt lồng'!$AE$327:$AE$515,'Cắt lồng'!CP$4:CP$4)</f>
        <v>0</v>
      </c>
      <c r="CQ42" s="79">
        <f t="array" ref="CQ42">SUMIFS('Cắt lồng'!$AH$327:$AH$515,'Cắt lồng'!$AA$327:$AA$515,'Cắt lồng'!$AA42,'Cắt lồng'!$AE$327:$AE$515,'Cắt lồng'!CQ$4:CQ$4)</f>
        <v>0</v>
      </c>
      <c r="CR42" s="78" t="e">
        <f t="shared" si="123"/>
        <v>#DIV/0!</v>
      </c>
      <c r="CS42" s="79">
        <f t="array" ref="CS42">SUMIFS('Cắt lồng'!$AC$327:$AC$515,'Cắt lồng'!$AA$327:$AA$515,'Cắt lồng'!$AA42,'Cắt lồng'!$AE$327:$AE$515,'Cắt lồng'!CS$4:CS$4)</f>
        <v>0</v>
      </c>
      <c r="CT42" s="79">
        <f t="array" ref="CT42">SUMIFS('Cắt lồng'!$AH$327:$AH$515,'Cắt lồng'!$AA$327:$AA$515,'Cắt lồng'!$AA42,'Cắt lồng'!$AE$327:$AE$515,'Cắt lồng'!CT$4:CT$4)</f>
        <v>0</v>
      </c>
      <c r="CU42" s="78" t="e">
        <f t="shared" si="124"/>
        <v>#DIV/0!</v>
      </c>
      <c r="CV42" s="79">
        <f t="array" ref="CV42">SUMIFS('Cắt lồng'!$AC$327:$AC$515,'Cắt lồng'!$AA$327:$AA$515,'Cắt lồng'!$AA42,'Cắt lồng'!$AE$327:$AE$515,'Cắt lồng'!CV$4:CV$4)</f>
        <v>0</v>
      </c>
      <c r="CW42" s="79">
        <f t="array" ref="CW42">SUMIFS('Cắt lồng'!$AH$327:$AH$515,'Cắt lồng'!$AA$327:$AA$515,'Cắt lồng'!$AA42,'Cắt lồng'!$AE$327:$AE$515,'Cắt lồng'!CW$4:CW$4)</f>
        <v>0</v>
      </c>
      <c r="CX42" s="78" t="e">
        <f t="shared" si="125"/>
        <v>#DIV/0!</v>
      </c>
      <c r="CY42" s="79">
        <f t="array" ref="CY42">SUMIFS('Cắt lồng'!$AC$327:$AC$515,'Cắt lồng'!$AA$327:$AA$515,'Cắt lồng'!$AA42,'Cắt lồng'!$AE$327:$AE$515,'Cắt lồng'!CY$4:CY$4)</f>
        <v>0</v>
      </c>
      <c r="CZ42" s="79">
        <f t="array" ref="CZ42">SUMIFS('Cắt lồng'!$AH$327:$AH$515,'Cắt lồng'!$AA$327:$AA$515,'Cắt lồng'!$AA42,'Cắt lồng'!$AE$327:$AE$515,'Cắt lồng'!CZ$4:CZ$4)</f>
        <v>0</v>
      </c>
      <c r="DA42" s="78" t="e">
        <f t="shared" si="126"/>
        <v>#DIV/0!</v>
      </c>
      <c r="DB42" s="79">
        <f t="array" ref="DB42">SUMIFS('Cắt lồng'!$AC$327:$AC$515,'Cắt lồng'!$AA$327:$AA$515,'Cắt lồng'!$AA42,'Cắt lồng'!$AE$327:$AE$515,'Cắt lồng'!DB$4:DB$4)</f>
        <v>0</v>
      </c>
      <c r="DC42" s="79">
        <f t="array" ref="DC42">SUMIFS('Cắt lồng'!$AH$327:$AH$515,'Cắt lồng'!$AA$327:$AA$515,'Cắt lồng'!$AA42,'Cắt lồng'!$AE$327:$AE$515,'Cắt lồng'!DC$4:DC$4)</f>
        <v>0</v>
      </c>
      <c r="DD42" s="78" t="e">
        <f t="shared" si="127"/>
        <v>#DIV/0!</v>
      </c>
      <c r="DE42" s="79">
        <f t="array" ref="DE42">SUMIFS('Cắt lồng'!$AC$327:$AC$515,'Cắt lồng'!$AA$327:$AA$515,'Cắt lồng'!$AA42,'Cắt lồng'!$AE$327:$AE$515,'Cắt lồng'!DE$4:DE$4)</f>
        <v>0</v>
      </c>
      <c r="DF42" s="79">
        <f t="array" ref="DF42">SUMIFS('Cắt lồng'!$AH$327:$AH$515,'Cắt lồng'!$AA$327:$AA$515,'Cắt lồng'!$AA42,'Cắt lồng'!$AE$327:$AE$515,'Cắt lồng'!DF$4:DF$4)</f>
        <v>0</v>
      </c>
      <c r="DG42" s="78" t="e">
        <f t="shared" si="128"/>
        <v>#DIV/0!</v>
      </c>
      <c r="DH42" s="79">
        <f t="array" ref="DH42">SUMIFS('Cắt lồng'!$AC$327:$AC$515,'Cắt lồng'!$AA$327:$AA$515,'Cắt lồng'!$AA42,'Cắt lồng'!$AE$327:$AE$515,'Cắt lồng'!DH$4:DH$4)</f>
        <v>0</v>
      </c>
      <c r="DI42" s="79">
        <f t="array" ref="DI42">SUMIFS('Cắt lồng'!$AH$327:$AH$515,'Cắt lồng'!$AA$327:$AA$515,'Cắt lồng'!$AA42,'Cắt lồng'!$AE$327:$AE$515,'Cắt lồng'!DI$4:DI$4)</f>
        <v>0</v>
      </c>
      <c r="DJ42" s="78" t="e">
        <f t="shared" si="129"/>
        <v>#DIV/0!</v>
      </c>
      <c r="DK42" s="79">
        <f t="array" ref="DK42">SUMIFS('Cắt lồng'!$AC$327:$AC$515,'Cắt lồng'!$AA$327:$AA$515,'Cắt lồng'!$AA42,'Cắt lồng'!$AE$327:$AE$515,'Cắt lồng'!DK$4:DK$4)</f>
        <v>0</v>
      </c>
      <c r="DL42" s="79">
        <f t="array" ref="DL42">SUMIFS('Cắt lồng'!$AH$327:$AH$515,'Cắt lồng'!$AA$327:$AA$515,'Cắt lồng'!$AA42,'Cắt lồng'!$AE$327:$AE$515,'Cắt lồng'!DL$4:DL$4)</f>
        <v>0</v>
      </c>
      <c r="DM42" s="78" t="e">
        <f t="shared" si="130"/>
        <v>#DIV/0!</v>
      </c>
      <c r="DN42" s="79">
        <f>SUMIFS('Cắt lồng'!$AC$327:$AC$515,'Cắt lồng'!$AA$327:$AA$515,'Cắt lồng'!$AA42,'Cắt lồng'!$AE$327:$AE$515,'Cắt lồng'!DN$4:DN$4)</f>
        <v>0</v>
      </c>
      <c r="DO42" s="79">
        <f t="array" ref="DO42">SUMIFS('Cắt lồng'!$AH$327:$AH$515,'Cắt lồng'!$AA$327:$AA$515,'Cắt lồng'!$AA42,'Cắt lồng'!$AE$327:$AE$515,'Cắt lồng'!DO$4:DO$4)</f>
        <v>0</v>
      </c>
      <c r="DP42" s="78" t="e">
        <f t="shared" si="131"/>
        <v>#DIV/0!</v>
      </c>
      <c r="DQ42" s="79">
        <f t="array" ref="DQ42">SUMIFS('Cắt lồng'!$AC$327:$AC$515,'Cắt lồng'!$AA$327:$AA$515,'Cắt lồng'!$AA42,'Cắt lồng'!$AE$327:$AE$515,'Cắt lồng'!DQ$4:DQ$4)</f>
        <v>0</v>
      </c>
      <c r="DR42" s="79">
        <f t="array" ref="DR42">SUMIFS('Cắt lồng'!$AH$327:$AH$515,'Cắt lồng'!$AA$327:$AA$515,'Cắt lồng'!$AA42,'Cắt lồng'!$AE$327:$AE$515,'Cắt lồng'!DR$4:DR$4)</f>
        <v>0</v>
      </c>
      <c r="DS42" s="78" t="e">
        <f t="shared" si="132"/>
        <v>#DIV/0!</v>
      </c>
      <c r="DT42" s="79">
        <f t="array" ref="DT42">SUMIFS('Cắt lồng'!$AC$327:$AC$515,'Cắt lồng'!$AA$327:$AA$515,'Cắt lồng'!$AA42,'Cắt lồng'!$AE$327:$AE$515,'Cắt lồng'!DT$4:DT$4)</f>
        <v>0</v>
      </c>
      <c r="DU42" s="79">
        <f t="array" ref="DU42">SUMIFS('Cắt lồng'!$AH$327:$AH$515,'Cắt lồng'!$AA$327:$AA$515,'Cắt lồng'!$AA42,'Cắt lồng'!$AE$327:$AE$515,'Cắt lồng'!DU$4:DU$4)</f>
        <v>0</v>
      </c>
      <c r="DV42" s="78" t="e">
        <f t="shared" si="133"/>
        <v>#DIV/0!</v>
      </c>
      <c r="DW42" s="79">
        <f t="array" ref="DW42">SUMIFS('Cắt lồng'!$AC$327:$AC$515,'Cắt lồng'!$AA$327:$AA$515,'Cắt lồng'!$AA42,'Cắt lồng'!$AE$327:$AE$515,'Cắt lồng'!DW$4:DW$4)</f>
        <v>0</v>
      </c>
      <c r="DX42" s="79">
        <f t="array" ref="DX42">SUMIFS('Cắt lồng'!$AH$327:$AH$515,'Cắt lồng'!$AA$327:$AA$515,'Cắt lồng'!$AA42,'Cắt lồng'!$AE$327:$AE$515,'Cắt lồng'!DX$4:DX$4)</f>
        <v>0</v>
      </c>
      <c r="DY42" s="78" t="e">
        <f t="shared" si="134"/>
        <v>#DIV/0!</v>
      </c>
      <c r="DZ42" s="79">
        <f t="array" ref="DZ42">SUMIFS('Cắt lồng'!$AC$327:$AC$515,'Cắt lồng'!$AA$327:$AA$515,'Cắt lồng'!$AA42,'Cắt lồng'!$AE$327:$AE$515,'Cắt lồng'!DZ$4:DZ$4)</f>
        <v>0</v>
      </c>
      <c r="EA42" s="79">
        <f t="array" ref="EA42">SUMIFS('Cắt lồng'!$AH$327:$AH$515,'Cắt lồng'!$AA$327:$AA$515,'Cắt lồng'!$AA42,'Cắt lồng'!$AE$327:$AE$515,'Cắt lồng'!EA$4:EA$4)</f>
        <v>0</v>
      </c>
      <c r="EB42" s="78" t="e">
        <f t="shared" si="135"/>
        <v>#DIV/0!</v>
      </c>
      <c r="EC42" s="79">
        <f t="array" ref="EC42">SUMIFS('Cắt lồng'!$AC$327:$AC$515,'Cắt lồng'!$AA$327:$AA$515,'Cắt lồng'!$AA42,'Cắt lồng'!$AE$327:$AE$515,'Cắt lồng'!EC$4:EC$4)</f>
        <v>0</v>
      </c>
      <c r="ED42" s="79">
        <f t="array" ref="ED42">SUMIFS('Cắt lồng'!$AH$327:$AH$515,'Cắt lồng'!$AA$327:$AA$515,'Cắt lồng'!$AA42,'Cắt lồng'!$AE$327:$AE$515,'Cắt lồng'!ED$4:ED$4)</f>
        <v>0</v>
      </c>
      <c r="EE42" s="78" t="e">
        <f t="shared" si="136"/>
        <v>#DIV/0!</v>
      </c>
      <c r="EF42" s="79">
        <f t="array" ref="EF42">SUMIFS('Cắt lồng'!$AC$327:$AC$515,'Cắt lồng'!$AA$327:$AA$515,'Cắt lồng'!$AA42,'Cắt lồng'!$AE$327:$AE$515,'Cắt lồng'!EF$4:EF$4)</f>
        <v>0</v>
      </c>
      <c r="EG42" s="79">
        <f t="array" ref="EG42">SUMIFS('Cắt lồng'!$AH$327:$AH$515,'Cắt lồng'!$AA$327:$AA$515,'Cắt lồng'!$AA42,'Cắt lồng'!$AE$327:$AE$515,'Cắt lồng'!EG$4:EG$4)</f>
        <v>0</v>
      </c>
      <c r="EH42" s="78" t="e">
        <f t="shared" si="137"/>
        <v>#DIV/0!</v>
      </c>
      <c r="EI42" s="79">
        <f t="array" ref="EI42">SUMIFS('Cắt lồng'!$AC$327:$AC$515,'Cắt lồng'!$AA$327:$AA$515,'Cắt lồng'!$AA42,'Cắt lồng'!$AE$327:$AE$515,'Cắt lồng'!EI$4:EI$4)</f>
        <v>0</v>
      </c>
      <c r="EJ42" s="79">
        <f t="array" ref="EJ42">SUMIFS('Cắt lồng'!$AH$327:$AH$515,'Cắt lồng'!$AA$327:$AA$515,'Cắt lồng'!$AA42,'Cắt lồng'!$AE$327:$AE$515,'Cắt lồng'!EJ$4:EJ$4)</f>
        <v>0</v>
      </c>
      <c r="EK42" s="78" t="e">
        <f t="shared" si="138"/>
        <v>#DIV/0!</v>
      </c>
      <c r="EL42" s="172"/>
    </row>
    <row r="43" spans="1:142" s="12" customFormat="1" ht="14.25" hidden="1" customHeight="1">
      <c r="A43" s="25">
        <v>38</v>
      </c>
      <c r="B43" s="26">
        <v>1404</v>
      </c>
      <c r="C43" s="26">
        <v>1404</v>
      </c>
      <c r="D43" s="185">
        <f t="shared" ref="D43:D63" si="140">+AB43</f>
        <v>0</v>
      </c>
      <c r="E43" s="184">
        <f t="shared" ref="E43:E63" si="141">+AC43</f>
        <v>0</v>
      </c>
      <c r="F43" s="56"/>
      <c r="G43" s="82">
        <f t="shared" si="79"/>
        <v>0</v>
      </c>
      <c r="H43" s="81">
        <f t="shared" si="80"/>
        <v>0</v>
      </c>
      <c r="I43" s="19">
        <f t="shared" si="81"/>
        <v>0</v>
      </c>
      <c r="J43" s="11">
        <f t="shared" si="82"/>
        <v>0</v>
      </c>
      <c r="K43" s="19">
        <f t="shared" si="83"/>
        <v>0</v>
      </c>
      <c r="L43" s="19">
        <f t="shared" si="84"/>
        <v>0</v>
      </c>
      <c r="M43" s="19">
        <f t="shared" si="85"/>
        <v>0</v>
      </c>
      <c r="N43" s="19">
        <f t="shared" si="86"/>
        <v>0</v>
      </c>
      <c r="O43" s="19">
        <f t="shared" si="87"/>
        <v>0</v>
      </c>
      <c r="P43" s="19">
        <f t="shared" si="88"/>
        <v>0</v>
      </c>
      <c r="Q43" s="19">
        <f t="shared" si="89"/>
        <v>0</v>
      </c>
      <c r="R43" s="19">
        <f t="shared" si="90"/>
        <v>0</v>
      </c>
      <c r="S43" s="19">
        <f t="shared" si="91"/>
        <v>0</v>
      </c>
      <c r="T43" s="19">
        <f t="shared" si="92"/>
        <v>0</v>
      </c>
      <c r="U43" s="19">
        <f t="shared" si="93"/>
        <v>0</v>
      </c>
      <c r="V43" s="19">
        <f t="shared" si="94"/>
        <v>0</v>
      </c>
      <c r="W43" s="19">
        <f t="shared" si="95"/>
        <v>0</v>
      </c>
      <c r="X43" s="19">
        <f t="shared" si="96"/>
        <v>0</v>
      </c>
      <c r="Y43" s="19">
        <f t="shared" si="97"/>
        <v>0</v>
      </c>
      <c r="Z43" s="19">
        <f t="shared" si="98"/>
        <v>0</v>
      </c>
      <c r="AA43" s="164" t="s">
        <v>253</v>
      </c>
      <c r="AB43" s="129">
        <f t="shared" si="21"/>
        <v>0</v>
      </c>
      <c r="AC43" s="16">
        <f t="shared" si="22"/>
        <v>0</v>
      </c>
      <c r="AD43" s="15" t="e">
        <f t="shared" si="99"/>
        <v>#DIV/0!</v>
      </c>
      <c r="AE43" s="42"/>
      <c r="AF43" s="10" t="e">
        <f t="shared" si="100"/>
        <v>#DIV/0!</v>
      </c>
      <c r="AG43" s="10"/>
      <c r="AH43" s="152">
        <f t="shared" si="139"/>
        <v>0</v>
      </c>
      <c r="AI43" s="54" t="e">
        <f t="shared" si="101"/>
        <v>#DIV/0!</v>
      </c>
      <c r="AJ43" s="25">
        <f t="shared" si="102"/>
        <v>0</v>
      </c>
      <c r="AK43" s="25">
        <f t="shared" si="103"/>
        <v>0</v>
      </c>
      <c r="AL43" s="25">
        <f t="shared" si="104"/>
        <v>0</v>
      </c>
      <c r="AM43" s="30">
        <f t="shared" si="73"/>
        <v>0</v>
      </c>
      <c r="AN43" s="30">
        <f t="shared" si="74"/>
        <v>0</v>
      </c>
      <c r="AO43" s="30">
        <f t="shared" si="75"/>
        <v>0</v>
      </c>
      <c r="AP43" s="30">
        <f t="shared" si="76"/>
        <v>0</v>
      </c>
      <c r="AQ43" s="30">
        <f t="shared" si="77"/>
        <v>0</v>
      </c>
      <c r="AR43" s="30">
        <f t="shared" si="105"/>
        <v>0</v>
      </c>
      <c r="AS43" s="30">
        <f t="shared" si="106"/>
        <v>0</v>
      </c>
      <c r="AT43" s="30">
        <f t="shared" si="78"/>
        <v>0</v>
      </c>
      <c r="AV43" s="79">
        <f t="shared" si="107"/>
        <v>0</v>
      </c>
      <c r="AW43" s="79">
        <f t="array" ref="AW43">SUMIFS('Cắt lồng'!$AC$327:$AC$515,'Cắt lồng'!$AA$327:$AA$515,'Cắt lồng'!$AA43,'Cắt lồng'!$AE$327:$AE$515,'Cắt lồng'!AW$4:AW$4)</f>
        <v>0</v>
      </c>
      <c r="AX43" s="79">
        <f t="array" ref="AX43">SUMIFS('Cắt lồng'!$AH$327:$AH$515,'Cắt lồng'!$AA$327:$AA$515,'Cắt lồng'!$AA43,'Cắt lồng'!$AE$327:$AE$515,'Cắt lồng'!AX$4:AX$4)</f>
        <v>0</v>
      </c>
      <c r="AY43" s="78" t="e">
        <f t="shared" si="108"/>
        <v>#DIV/0!</v>
      </c>
      <c r="AZ43" s="79">
        <f t="array" ref="AZ43">SUMIFS('Cắt lồng'!$AC$327:$AC$515,'Cắt lồng'!$AA$327:$AA$515,'Cắt lồng'!$AA43,'Cắt lồng'!$AE$327:$AE$515,'Cắt lồng'!AZ$4:AZ$4)</f>
        <v>0</v>
      </c>
      <c r="BA43" s="79">
        <f t="array" ref="BA43">SUMIFS('Cắt lồng'!$AH$327:$AH$515,'Cắt lồng'!$AA$327:$AA$515,'Cắt lồng'!$AA43,'Cắt lồng'!$AE$327:$AE$515,'Cắt lồng'!BA$4:BA$4)</f>
        <v>0</v>
      </c>
      <c r="BB43" s="78" t="e">
        <f t="shared" si="109"/>
        <v>#DIV/0!</v>
      </c>
      <c r="BC43" s="79">
        <f t="array" ref="BC43">SUMIFS('Cắt lồng'!$AC$327:$AC$515,'Cắt lồng'!$AA$327:$AA$515,'Cắt lồng'!$AA43,'Cắt lồng'!$AE$327:$AE$515,'Cắt lồng'!BC$4:BC$4)</f>
        <v>0</v>
      </c>
      <c r="BD43" s="79">
        <f t="array" ref="BD43">SUMIFS('Cắt lồng'!$AH$327:$AH$515,'Cắt lồng'!$AA$327:$AA$515,'Cắt lồng'!$AA43,'Cắt lồng'!$AE$327:$AE$515,'Cắt lồng'!BD$4:BD$4)</f>
        <v>0</v>
      </c>
      <c r="BE43" s="78" t="e">
        <f t="shared" si="110"/>
        <v>#DIV/0!</v>
      </c>
      <c r="BF43" s="79">
        <f t="array" ref="BF43">SUMIFS('Cắt lồng'!$AC$327:$AC$515,'Cắt lồng'!$AA$327:$AA$515,'Cắt lồng'!$AA43,'Cắt lồng'!$AE$327:$AE$515,'Cắt lồng'!BF$4:BF$4)</f>
        <v>0</v>
      </c>
      <c r="BG43" s="79">
        <f t="array" ref="BG43">SUMIFS('Cắt lồng'!$AH$327:$AH$515,'Cắt lồng'!$AA$327:$AA$515,'Cắt lồng'!$AA43,'Cắt lồng'!$AE$327:$AE$515,'Cắt lồng'!BG$4:BG$4)</f>
        <v>0</v>
      </c>
      <c r="BH43" s="78" t="e">
        <f t="shared" si="111"/>
        <v>#DIV/0!</v>
      </c>
      <c r="BI43" s="79">
        <f t="array" ref="BI43">SUMIFS('Cắt lồng'!$AC$327:$AC$515,'Cắt lồng'!$AA$327:$AA$515,'Cắt lồng'!$AA43,'Cắt lồng'!$AE$327:$AE$515,'Cắt lồng'!BI$4:BI$4)</f>
        <v>0</v>
      </c>
      <c r="BJ43" s="79">
        <f t="array" ref="BJ43">SUMIFS('Cắt lồng'!$AH$327:$AH$515,'Cắt lồng'!$AA$327:$AA$515,'Cắt lồng'!$AA43,'Cắt lồng'!$AE$327:$AE$515,'Cắt lồng'!BJ$4:BJ$4)</f>
        <v>0</v>
      </c>
      <c r="BK43" s="78" t="e">
        <f t="shared" si="112"/>
        <v>#DIV/0!</v>
      </c>
      <c r="BL43" s="79">
        <f t="array" ref="BL43">SUMIFS('Cắt lồng'!$AC$327:$AC$515,'Cắt lồng'!$AA$327:$AA$515,'Cắt lồng'!$AA43,'Cắt lồng'!$AE$327:$AE$515,'Cắt lồng'!BL$4:BL$4)</f>
        <v>0</v>
      </c>
      <c r="BM43" s="79">
        <f t="array" ref="BM43">SUMIFS('Cắt lồng'!$AH$327:$AH$515,'Cắt lồng'!$AA$327:$AA$515,'Cắt lồng'!$AA43,'Cắt lồng'!$AE$327:$AE$515,'Cắt lồng'!BM$4:BM$4)</f>
        <v>0</v>
      </c>
      <c r="BN43" s="78" t="e">
        <f t="shared" si="113"/>
        <v>#DIV/0!</v>
      </c>
      <c r="BO43" s="79">
        <f t="array" ref="BO43">SUMIFS('Cắt lồng'!$AC$327:$AC$515,'Cắt lồng'!$AA$327:$AA$515,'Cắt lồng'!$AA43,'Cắt lồng'!$AE$327:$AE$515,'Cắt lồng'!BO$4:BO$4)</f>
        <v>0</v>
      </c>
      <c r="BP43" s="79">
        <f t="array" ref="BP43">SUMIFS('Cắt lồng'!$AH$327:$AH$515,'Cắt lồng'!$AA$327:$AA$515,'Cắt lồng'!$AA43,'Cắt lồng'!$AE$327:$AE$515,'Cắt lồng'!BP$4:BP$4)</f>
        <v>0</v>
      </c>
      <c r="BQ43" s="78" t="e">
        <f t="shared" si="114"/>
        <v>#DIV/0!</v>
      </c>
      <c r="BR43" s="79">
        <f t="array" ref="BR43">SUMIFS('Cắt lồng'!$AC$327:$AC$515,'Cắt lồng'!$AA$327:$AA$515,'Cắt lồng'!$AA43,'Cắt lồng'!$AE$327:$AE$515,'Cắt lồng'!BR$4:BR$4)</f>
        <v>0</v>
      </c>
      <c r="BS43" s="79">
        <f t="array" ref="BS43">SUMIFS('Cắt lồng'!$AH$327:$AH$515,'Cắt lồng'!$AA$327:$AA$515,'Cắt lồng'!$AA43,'Cắt lồng'!$AE$327:$AE$515,'Cắt lồng'!BS$4:BS$4)</f>
        <v>0</v>
      </c>
      <c r="BT43" s="78" t="e">
        <f t="shared" si="115"/>
        <v>#DIV/0!</v>
      </c>
      <c r="BU43" s="79">
        <f t="array" ref="BU43">SUMIFS('Cắt lồng'!$AC$327:$AC$515,'Cắt lồng'!$AA$327:$AA$515,'Cắt lồng'!$AA43,'Cắt lồng'!$AE$327:$AE$515,'Cắt lồng'!BU$4:BU$4)</f>
        <v>0</v>
      </c>
      <c r="BV43" s="79">
        <f t="array" ref="BV43">SUMIFS('Cắt lồng'!$AH$327:$AH$515,'Cắt lồng'!$AA$327:$AA$515,'Cắt lồng'!$AA43,'Cắt lồng'!$AE$327:$AE$515,'Cắt lồng'!BV$4:BV$4)</f>
        <v>0</v>
      </c>
      <c r="BW43" s="78" t="e">
        <f t="shared" si="116"/>
        <v>#DIV/0!</v>
      </c>
      <c r="BX43" s="79">
        <f t="array" ref="BX43">SUMIFS('Cắt lồng'!$AC$327:$AC$515,'Cắt lồng'!$AA$327:$AA$515,'Cắt lồng'!$AA43,'Cắt lồng'!$AE$327:$AE$515,'Cắt lồng'!BX$4:BX$4)</f>
        <v>0</v>
      </c>
      <c r="BY43" s="79">
        <f t="array" ref="BY43">SUMIFS('Cắt lồng'!$AH$327:$AH$515,'Cắt lồng'!$AA$327:$AA$515,'Cắt lồng'!$AA43,'Cắt lồng'!$AE$327:$AE$515,'Cắt lồng'!BY$4:BY$4)</f>
        <v>0</v>
      </c>
      <c r="BZ43" s="78" t="e">
        <f t="shared" si="117"/>
        <v>#DIV/0!</v>
      </c>
      <c r="CA43" s="79">
        <f t="array" ref="CA43">SUMIFS('Cắt lồng'!$AC$327:$AC$515,'Cắt lồng'!$AA$327:$AA$515,'Cắt lồng'!$AA43,'Cắt lồng'!$AE$327:$AE$515,'Cắt lồng'!CA$4:CA$4)</f>
        <v>0</v>
      </c>
      <c r="CB43" s="79">
        <f t="array" ref="CB43">SUMIFS('Cắt lồng'!$AH$327:$AH$515,'Cắt lồng'!$AA$327:$AA$515,'Cắt lồng'!$AA43,'Cắt lồng'!$AE$327:$AE$515,'Cắt lồng'!CB$4:CB$4)</f>
        <v>0</v>
      </c>
      <c r="CC43" s="78" t="e">
        <f t="shared" si="118"/>
        <v>#DIV/0!</v>
      </c>
      <c r="CD43" s="79">
        <f t="array" ref="CD43">SUMIFS('Cắt lồng'!$AC$327:$AC$515,'Cắt lồng'!$AA$327:$AA$515,'Cắt lồng'!$AA43,'Cắt lồng'!$AE$327:$AE$515,'Cắt lồng'!CD$4:CD$4)</f>
        <v>0</v>
      </c>
      <c r="CE43" s="79">
        <f t="array" ref="CE43">SUMIFS('Cắt lồng'!$AH$327:$AH$515,'Cắt lồng'!$AA$327:$AA$515,'Cắt lồng'!$AA43,'Cắt lồng'!$AE$327:$AE$515,'Cắt lồng'!CE$4:CE$4)</f>
        <v>0</v>
      </c>
      <c r="CF43" s="78" t="e">
        <f t="shared" si="119"/>
        <v>#DIV/0!</v>
      </c>
      <c r="CG43" s="79">
        <f t="array" ref="CG43">SUMIFS('Cắt lồng'!$AC$327:$AC$515,'Cắt lồng'!$AA$327:$AA$515,'Cắt lồng'!$AA43,'Cắt lồng'!$AE$327:$AE$515,'Cắt lồng'!CG$4:CG$4)</f>
        <v>0</v>
      </c>
      <c r="CH43" s="79">
        <f t="array" ref="CH43">SUMIFS('Cắt lồng'!$AH$327:$AH$515,'Cắt lồng'!$AA$327:$AA$515,'Cắt lồng'!$AA43,'Cắt lồng'!$AE$327:$AE$515,'Cắt lồng'!CH$4:CH$4)</f>
        <v>0</v>
      </c>
      <c r="CI43" s="78" t="e">
        <f t="shared" si="120"/>
        <v>#DIV/0!</v>
      </c>
      <c r="CJ43" s="79">
        <f t="array" ref="CJ43">SUMIFS('Cắt lồng'!$AC$327:$AC$515,'Cắt lồng'!$AA$327:$AA$515,'Cắt lồng'!$AA43,'Cắt lồng'!$AE$327:$AE$515,'Cắt lồng'!CJ$4:CJ$4)</f>
        <v>0</v>
      </c>
      <c r="CK43" s="79">
        <f t="array" ref="CK43">SUMIFS('Cắt lồng'!$AH$327:$AH$515,'Cắt lồng'!$AA$327:$AA$515,'Cắt lồng'!$AA43,'Cắt lồng'!$AE$327:$AE$515,'Cắt lồng'!CK$4:CK$4)</f>
        <v>0</v>
      </c>
      <c r="CL43" s="78" t="e">
        <f t="shared" si="121"/>
        <v>#DIV/0!</v>
      </c>
      <c r="CM43" s="79">
        <f t="array" ref="CM43">SUMIFS('Cắt lồng'!$AC$327:$AC$515,'Cắt lồng'!$AA$327:$AA$515,'Cắt lồng'!$AA43,'Cắt lồng'!$AE$327:$AE$515,'Cắt lồng'!CM$4:CM$4)</f>
        <v>0</v>
      </c>
      <c r="CN43" s="79">
        <f t="array" ref="CN43">SUMIFS('Cắt lồng'!$AH$327:$AH$515,'Cắt lồng'!$AA$327:$AA$515,'Cắt lồng'!$AA43,'Cắt lồng'!$AE$327:$AE$515,'Cắt lồng'!CN$4:CN$4)</f>
        <v>0</v>
      </c>
      <c r="CO43" s="78" t="e">
        <f t="shared" si="122"/>
        <v>#DIV/0!</v>
      </c>
      <c r="CP43" s="79">
        <f t="array" ref="CP43">SUMIFS('Cắt lồng'!$AC$327:$AC$515,'Cắt lồng'!$AA$327:$AA$515,'Cắt lồng'!$AA43,'Cắt lồng'!$AE$327:$AE$515,'Cắt lồng'!CP$4:CP$4)</f>
        <v>0</v>
      </c>
      <c r="CQ43" s="79">
        <f t="array" ref="CQ43">SUMIFS('Cắt lồng'!$AH$327:$AH$515,'Cắt lồng'!$AA$327:$AA$515,'Cắt lồng'!$AA43,'Cắt lồng'!$AE$327:$AE$515,'Cắt lồng'!CQ$4:CQ$4)</f>
        <v>0</v>
      </c>
      <c r="CR43" s="78" t="e">
        <f t="shared" si="123"/>
        <v>#DIV/0!</v>
      </c>
      <c r="CS43" s="79">
        <f t="array" ref="CS43">SUMIFS('Cắt lồng'!$AC$327:$AC$515,'Cắt lồng'!$AA$327:$AA$515,'Cắt lồng'!$AA43,'Cắt lồng'!$AE$327:$AE$515,'Cắt lồng'!CS$4:CS$4)</f>
        <v>0</v>
      </c>
      <c r="CT43" s="79">
        <f t="array" ref="CT43">SUMIFS('Cắt lồng'!$AH$327:$AH$515,'Cắt lồng'!$AA$327:$AA$515,'Cắt lồng'!$AA43,'Cắt lồng'!$AE$327:$AE$515,'Cắt lồng'!CT$4:CT$4)</f>
        <v>0</v>
      </c>
      <c r="CU43" s="78" t="e">
        <f t="shared" si="124"/>
        <v>#DIV/0!</v>
      </c>
      <c r="CV43" s="79">
        <f t="array" ref="CV43">SUMIFS('Cắt lồng'!$AC$327:$AC$515,'Cắt lồng'!$AA$327:$AA$515,'Cắt lồng'!$AA43,'Cắt lồng'!$AE$327:$AE$515,'Cắt lồng'!CV$4:CV$4)</f>
        <v>0</v>
      </c>
      <c r="CW43" s="79">
        <f t="array" ref="CW43">SUMIFS('Cắt lồng'!$AH$327:$AH$515,'Cắt lồng'!$AA$327:$AA$515,'Cắt lồng'!$AA43,'Cắt lồng'!$AE$327:$AE$515,'Cắt lồng'!CW$4:CW$4)</f>
        <v>0</v>
      </c>
      <c r="CX43" s="78" t="e">
        <f t="shared" si="125"/>
        <v>#DIV/0!</v>
      </c>
      <c r="CY43" s="79">
        <f t="array" ref="CY43">SUMIFS('Cắt lồng'!$AC$327:$AC$515,'Cắt lồng'!$AA$327:$AA$515,'Cắt lồng'!$AA43,'Cắt lồng'!$AE$327:$AE$515,'Cắt lồng'!CY$4:CY$4)</f>
        <v>0</v>
      </c>
      <c r="CZ43" s="79">
        <f t="array" ref="CZ43">SUMIFS('Cắt lồng'!$AH$327:$AH$515,'Cắt lồng'!$AA$327:$AA$515,'Cắt lồng'!$AA43,'Cắt lồng'!$AE$327:$AE$515,'Cắt lồng'!CZ$4:CZ$4)</f>
        <v>0</v>
      </c>
      <c r="DA43" s="78" t="e">
        <f t="shared" si="126"/>
        <v>#DIV/0!</v>
      </c>
      <c r="DB43" s="79">
        <f t="array" ref="DB43">SUMIFS('Cắt lồng'!$AC$327:$AC$515,'Cắt lồng'!$AA$327:$AA$515,'Cắt lồng'!$AA43,'Cắt lồng'!$AE$327:$AE$515,'Cắt lồng'!DB$4:DB$4)</f>
        <v>0</v>
      </c>
      <c r="DC43" s="79">
        <f t="array" ref="DC43">SUMIFS('Cắt lồng'!$AH$327:$AH$515,'Cắt lồng'!$AA$327:$AA$515,'Cắt lồng'!$AA43,'Cắt lồng'!$AE$327:$AE$515,'Cắt lồng'!DC$4:DC$4)</f>
        <v>0</v>
      </c>
      <c r="DD43" s="78" t="e">
        <f t="shared" si="127"/>
        <v>#DIV/0!</v>
      </c>
      <c r="DE43" s="79">
        <f t="array" ref="DE43">SUMIFS('Cắt lồng'!$AC$327:$AC$515,'Cắt lồng'!$AA$327:$AA$515,'Cắt lồng'!$AA43,'Cắt lồng'!$AE$327:$AE$515,'Cắt lồng'!DE$4:DE$4)</f>
        <v>0</v>
      </c>
      <c r="DF43" s="79">
        <f t="array" ref="DF43">SUMIFS('Cắt lồng'!$AH$327:$AH$515,'Cắt lồng'!$AA$327:$AA$515,'Cắt lồng'!$AA43,'Cắt lồng'!$AE$327:$AE$515,'Cắt lồng'!DF$4:DF$4)</f>
        <v>0</v>
      </c>
      <c r="DG43" s="78" t="e">
        <f t="shared" si="128"/>
        <v>#DIV/0!</v>
      </c>
      <c r="DH43" s="79">
        <f t="array" ref="DH43">SUMIFS('Cắt lồng'!$AC$327:$AC$515,'Cắt lồng'!$AA$327:$AA$515,'Cắt lồng'!$AA43,'Cắt lồng'!$AE$327:$AE$515,'Cắt lồng'!DH$4:DH$4)</f>
        <v>0</v>
      </c>
      <c r="DI43" s="79">
        <f t="array" ref="DI43">SUMIFS('Cắt lồng'!$AH$327:$AH$515,'Cắt lồng'!$AA$327:$AA$515,'Cắt lồng'!$AA43,'Cắt lồng'!$AE$327:$AE$515,'Cắt lồng'!DI$4:DI$4)</f>
        <v>0</v>
      </c>
      <c r="DJ43" s="78" t="e">
        <f t="shared" si="129"/>
        <v>#DIV/0!</v>
      </c>
      <c r="DK43" s="79">
        <f t="array" ref="DK43">SUMIFS('Cắt lồng'!$AC$327:$AC$515,'Cắt lồng'!$AA$327:$AA$515,'Cắt lồng'!$AA43,'Cắt lồng'!$AE$327:$AE$515,'Cắt lồng'!DK$4:DK$4)</f>
        <v>0</v>
      </c>
      <c r="DL43" s="79">
        <f t="array" ref="DL43">SUMIFS('Cắt lồng'!$AH$327:$AH$515,'Cắt lồng'!$AA$327:$AA$515,'Cắt lồng'!$AA43,'Cắt lồng'!$AE$327:$AE$515,'Cắt lồng'!DL$4:DL$4)</f>
        <v>0</v>
      </c>
      <c r="DM43" s="78" t="e">
        <f t="shared" si="130"/>
        <v>#DIV/0!</v>
      </c>
      <c r="DN43" s="79">
        <f>SUMIFS('Cắt lồng'!$AC$327:$AC$515,'Cắt lồng'!$AA$327:$AA$515,'Cắt lồng'!$AA43,'Cắt lồng'!$AE$327:$AE$515,'Cắt lồng'!DN$4:DN$4)</f>
        <v>0</v>
      </c>
      <c r="DO43" s="79">
        <f t="array" ref="DO43">SUMIFS('Cắt lồng'!$AH$327:$AH$515,'Cắt lồng'!$AA$327:$AA$515,'Cắt lồng'!$AA43,'Cắt lồng'!$AE$327:$AE$515,'Cắt lồng'!DO$4:DO$4)</f>
        <v>0</v>
      </c>
      <c r="DP43" s="78" t="e">
        <f t="shared" si="131"/>
        <v>#DIV/0!</v>
      </c>
      <c r="DQ43" s="79">
        <f t="array" ref="DQ43">SUMIFS('Cắt lồng'!$AC$327:$AC$515,'Cắt lồng'!$AA$327:$AA$515,'Cắt lồng'!$AA43,'Cắt lồng'!$AE$327:$AE$515,'Cắt lồng'!DQ$4:DQ$4)</f>
        <v>0</v>
      </c>
      <c r="DR43" s="79">
        <f t="array" ref="DR43">SUMIFS('Cắt lồng'!$AH$327:$AH$515,'Cắt lồng'!$AA$327:$AA$515,'Cắt lồng'!$AA43,'Cắt lồng'!$AE$327:$AE$515,'Cắt lồng'!DR$4:DR$4)</f>
        <v>0</v>
      </c>
      <c r="DS43" s="78" t="e">
        <f t="shared" si="132"/>
        <v>#DIV/0!</v>
      </c>
      <c r="DT43" s="79">
        <f t="array" ref="DT43">SUMIFS('Cắt lồng'!$AC$327:$AC$515,'Cắt lồng'!$AA$327:$AA$515,'Cắt lồng'!$AA43,'Cắt lồng'!$AE$327:$AE$515,'Cắt lồng'!DT$4:DT$4)</f>
        <v>0</v>
      </c>
      <c r="DU43" s="79">
        <f t="array" ref="DU43">SUMIFS('Cắt lồng'!$AH$327:$AH$515,'Cắt lồng'!$AA$327:$AA$515,'Cắt lồng'!$AA43,'Cắt lồng'!$AE$327:$AE$515,'Cắt lồng'!DU$4:DU$4)</f>
        <v>0</v>
      </c>
      <c r="DV43" s="78" t="e">
        <f t="shared" si="133"/>
        <v>#DIV/0!</v>
      </c>
      <c r="DW43" s="79">
        <f t="array" ref="DW43">SUMIFS('Cắt lồng'!$AC$327:$AC$515,'Cắt lồng'!$AA$327:$AA$515,'Cắt lồng'!$AA43,'Cắt lồng'!$AE$327:$AE$515,'Cắt lồng'!DW$4:DW$4)</f>
        <v>0</v>
      </c>
      <c r="DX43" s="79">
        <f t="array" ref="DX43">SUMIFS('Cắt lồng'!$AH$327:$AH$515,'Cắt lồng'!$AA$327:$AA$515,'Cắt lồng'!$AA43,'Cắt lồng'!$AE$327:$AE$515,'Cắt lồng'!DX$4:DX$4)</f>
        <v>0</v>
      </c>
      <c r="DY43" s="78" t="e">
        <f t="shared" si="134"/>
        <v>#DIV/0!</v>
      </c>
      <c r="DZ43" s="79">
        <f t="array" ref="DZ43">SUMIFS('Cắt lồng'!$AC$327:$AC$515,'Cắt lồng'!$AA$327:$AA$515,'Cắt lồng'!$AA43,'Cắt lồng'!$AE$327:$AE$515,'Cắt lồng'!DZ$4:DZ$4)</f>
        <v>0</v>
      </c>
      <c r="EA43" s="79">
        <f t="array" ref="EA43">SUMIFS('Cắt lồng'!$AH$327:$AH$515,'Cắt lồng'!$AA$327:$AA$515,'Cắt lồng'!$AA43,'Cắt lồng'!$AE$327:$AE$515,'Cắt lồng'!EA$4:EA$4)</f>
        <v>0</v>
      </c>
      <c r="EB43" s="78" t="e">
        <f t="shared" si="135"/>
        <v>#DIV/0!</v>
      </c>
      <c r="EC43" s="79">
        <f t="array" ref="EC43">SUMIFS('Cắt lồng'!$AC$327:$AC$515,'Cắt lồng'!$AA$327:$AA$515,'Cắt lồng'!$AA43,'Cắt lồng'!$AE$327:$AE$515,'Cắt lồng'!EC$4:EC$4)</f>
        <v>0</v>
      </c>
      <c r="ED43" s="79">
        <f t="array" ref="ED43">SUMIFS('Cắt lồng'!$AH$327:$AH$515,'Cắt lồng'!$AA$327:$AA$515,'Cắt lồng'!$AA43,'Cắt lồng'!$AE$327:$AE$515,'Cắt lồng'!ED$4:ED$4)</f>
        <v>0</v>
      </c>
      <c r="EE43" s="78" t="e">
        <f t="shared" si="136"/>
        <v>#DIV/0!</v>
      </c>
      <c r="EF43" s="79">
        <f t="array" ref="EF43">SUMIFS('Cắt lồng'!$AC$327:$AC$515,'Cắt lồng'!$AA$327:$AA$515,'Cắt lồng'!$AA43,'Cắt lồng'!$AE$327:$AE$515,'Cắt lồng'!EF$4:EF$4)</f>
        <v>0</v>
      </c>
      <c r="EG43" s="79">
        <f t="array" ref="EG43">SUMIFS('Cắt lồng'!$AH$327:$AH$515,'Cắt lồng'!$AA$327:$AA$515,'Cắt lồng'!$AA43,'Cắt lồng'!$AE$327:$AE$515,'Cắt lồng'!EG$4:EG$4)</f>
        <v>0</v>
      </c>
      <c r="EH43" s="78" t="e">
        <f t="shared" si="137"/>
        <v>#DIV/0!</v>
      </c>
      <c r="EI43" s="79">
        <f t="array" ref="EI43">SUMIFS('Cắt lồng'!$AC$327:$AC$515,'Cắt lồng'!$AA$327:$AA$515,'Cắt lồng'!$AA43,'Cắt lồng'!$AE$327:$AE$515,'Cắt lồng'!EI$4:EI$4)</f>
        <v>0</v>
      </c>
      <c r="EJ43" s="79">
        <f t="array" ref="EJ43">SUMIFS('Cắt lồng'!$AH$327:$AH$515,'Cắt lồng'!$AA$327:$AA$515,'Cắt lồng'!$AA43,'Cắt lồng'!$AE$327:$AE$515,'Cắt lồng'!EJ$4:EJ$4)</f>
        <v>0</v>
      </c>
      <c r="EK43" s="78" t="e">
        <f t="shared" si="138"/>
        <v>#DIV/0!</v>
      </c>
      <c r="EL43" s="172"/>
    </row>
    <row r="44" spans="1:142" s="12" customFormat="1" ht="14.25" hidden="1" customHeight="1">
      <c r="A44" s="25">
        <v>39</v>
      </c>
      <c r="B44" s="26" t="s">
        <v>146</v>
      </c>
      <c r="C44" s="26" t="s">
        <v>146</v>
      </c>
      <c r="D44" s="185">
        <f t="shared" si="140"/>
        <v>0</v>
      </c>
      <c r="E44" s="184">
        <f t="shared" si="141"/>
        <v>0</v>
      </c>
      <c r="F44" s="56"/>
      <c r="G44" s="82">
        <f t="shared" si="79"/>
        <v>0</v>
      </c>
      <c r="H44" s="81">
        <f t="shared" si="80"/>
        <v>0</v>
      </c>
      <c r="I44" s="19">
        <f t="shared" si="81"/>
        <v>0</v>
      </c>
      <c r="J44" s="11">
        <f t="shared" si="82"/>
        <v>0</v>
      </c>
      <c r="K44" s="19">
        <f t="shared" si="83"/>
        <v>0</v>
      </c>
      <c r="L44" s="19">
        <f t="shared" si="84"/>
        <v>0</v>
      </c>
      <c r="M44" s="19">
        <f t="shared" si="85"/>
        <v>0</v>
      </c>
      <c r="N44" s="19">
        <f t="shared" si="86"/>
        <v>0</v>
      </c>
      <c r="O44" s="19">
        <f t="shared" si="87"/>
        <v>0</v>
      </c>
      <c r="P44" s="19">
        <f t="shared" si="88"/>
        <v>0</v>
      </c>
      <c r="Q44" s="19">
        <f t="shared" si="89"/>
        <v>0</v>
      </c>
      <c r="R44" s="19">
        <f t="shared" si="90"/>
        <v>0</v>
      </c>
      <c r="S44" s="19">
        <f t="shared" si="91"/>
        <v>0</v>
      </c>
      <c r="T44" s="19">
        <f t="shared" si="92"/>
        <v>0</v>
      </c>
      <c r="U44" s="19">
        <f t="shared" si="93"/>
        <v>0</v>
      </c>
      <c r="V44" s="19">
        <f t="shared" si="94"/>
        <v>0</v>
      </c>
      <c r="W44" s="19">
        <f t="shared" si="95"/>
        <v>0</v>
      </c>
      <c r="X44" s="19">
        <f t="shared" si="96"/>
        <v>0</v>
      </c>
      <c r="Y44" s="19">
        <f t="shared" si="97"/>
        <v>0</v>
      </c>
      <c r="Z44" s="19">
        <f t="shared" si="98"/>
        <v>0</v>
      </c>
      <c r="AA44" s="164" t="s">
        <v>252</v>
      </c>
      <c r="AB44" s="129">
        <f t="shared" si="21"/>
        <v>0</v>
      </c>
      <c r="AC44" s="16">
        <f t="shared" si="22"/>
        <v>0</v>
      </c>
      <c r="AD44" s="15" t="e">
        <f t="shared" si="99"/>
        <v>#DIV/0!</v>
      </c>
      <c r="AE44" s="42"/>
      <c r="AF44" s="10" t="e">
        <f t="shared" si="100"/>
        <v>#DIV/0!</v>
      </c>
      <c r="AG44" s="10"/>
      <c r="AH44" s="152">
        <f t="shared" si="139"/>
        <v>0</v>
      </c>
      <c r="AI44" s="54" t="e">
        <f t="shared" si="101"/>
        <v>#DIV/0!</v>
      </c>
      <c r="AJ44" s="25">
        <f t="shared" si="102"/>
        <v>0</v>
      </c>
      <c r="AK44" s="25">
        <f t="shared" si="103"/>
        <v>0</v>
      </c>
      <c r="AL44" s="25">
        <f t="shared" si="104"/>
        <v>0</v>
      </c>
      <c r="AM44" s="30">
        <f t="shared" si="73"/>
        <v>0</v>
      </c>
      <c r="AN44" s="30">
        <f t="shared" si="74"/>
        <v>0</v>
      </c>
      <c r="AO44" s="30">
        <f t="shared" si="75"/>
        <v>0</v>
      </c>
      <c r="AP44" s="30">
        <f t="shared" si="76"/>
        <v>0</v>
      </c>
      <c r="AQ44" s="30">
        <f t="shared" si="77"/>
        <v>0</v>
      </c>
      <c r="AR44" s="30">
        <f t="shared" si="105"/>
        <v>0</v>
      </c>
      <c r="AS44" s="30">
        <f t="shared" si="106"/>
        <v>0</v>
      </c>
      <c r="AT44" s="30">
        <f t="shared" si="78"/>
        <v>0</v>
      </c>
      <c r="AV44" s="79">
        <f t="shared" si="107"/>
        <v>0</v>
      </c>
      <c r="AW44" s="79">
        <f t="array" ref="AW44">SUMIFS('Cắt lồng'!$AC$327:$AC$515,'Cắt lồng'!$AA$327:$AA$515,'Cắt lồng'!$AA44,'Cắt lồng'!$AE$327:$AE$515,'Cắt lồng'!AW$4:AW$4)</f>
        <v>0</v>
      </c>
      <c r="AX44" s="79">
        <f t="array" ref="AX44">SUMIFS('Cắt lồng'!$AH$327:$AH$515,'Cắt lồng'!$AA$327:$AA$515,'Cắt lồng'!$AA44,'Cắt lồng'!$AE$327:$AE$515,'Cắt lồng'!AX$4:AX$4)</f>
        <v>0</v>
      </c>
      <c r="AY44" s="78" t="e">
        <f t="shared" si="108"/>
        <v>#DIV/0!</v>
      </c>
      <c r="AZ44" s="79">
        <f t="array" ref="AZ44">SUMIFS('Cắt lồng'!$AC$327:$AC$515,'Cắt lồng'!$AA$327:$AA$515,'Cắt lồng'!$AA44,'Cắt lồng'!$AE$327:$AE$515,'Cắt lồng'!AZ$4:AZ$4)</f>
        <v>0</v>
      </c>
      <c r="BA44" s="79">
        <f t="array" ref="BA44">SUMIFS('Cắt lồng'!$AH$327:$AH$515,'Cắt lồng'!$AA$327:$AA$515,'Cắt lồng'!$AA44,'Cắt lồng'!$AE$327:$AE$515,'Cắt lồng'!BA$4:BA$4)</f>
        <v>0</v>
      </c>
      <c r="BB44" s="78" t="e">
        <f t="shared" si="109"/>
        <v>#DIV/0!</v>
      </c>
      <c r="BC44" s="79">
        <f t="array" ref="BC44">SUMIFS('Cắt lồng'!$AC$327:$AC$515,'Cắt lồng'!$AA$327:$AA$515,'Cắt lồng'!$AA44,'Cắt lồng'!$AE$327:$AE$515,'Cắt lồng'!BC$4:BC$4)</f>
        <v>0</v>
      </c>
      <c r="BD44" s="79">
        <f t="array" ref="BD44">SUMIFS('Cắt lồng'!$AH$327:$AH$515,'Cắt lồng'!$AA$327:$AA$515,'Cắt lồng'!$AA44,'Cắt lồng'!$AE$327:$AE$515,'Cắt lồng'!BD$4:BD$4)</f>
        <v>0</v>
      </c>
      <c r="BE44" s="78" t="e">
        <f t="shared" si="110"/>
        <v>#DIV/0!</v>
      </c>
      <c r="BF44" s="79">
        <f t="array" ref="BF44">SUMIFS('Cắt lồng'!$AC$327:$AC$515,'Cắt lồng'!$AA$327:$AA$515,'Cắt lồng'!$AA44,'Cắt lồng'!$AE$327:$AE$515,'Cắt lồng'!BF$4:BF$4)</f>
        <v>0</v>
      </c>
      <c r="BG44" s="79">
        <f t="array" ref="BG44">SUMIFS('Cắt lồng'!$AH$327:$AH$515,'Cắt lồng'!$AA$327:$AA$515,'Cắt lồng'!$AA44,'Cắt lồng'!$AE$327:$AE$515,'Cắt lồng'!BG$4:BG$4)</f>
        <v>0</v>
      </c>
      <c r="BH44" s="78" t="e">
        <f t="shared" si="111"/>
        <v>#DIV/0!</v>
      </c>
      <c r="BI44" s="79">
        <f t="array" ref="BI44">SUMIFS('Cắt lồng'!$AC$327:$AC$515,'Cắt lồng'!$AA$327:$AA$515,'Cắt lồng'!$AA44,'Cắt lồng'!$AE$327:$AE$515,'Cắt lồng'!BI$4:BI$4)</f>
        <v>0</v>
      </c>
      <c r="BJ44" s="79">
        <f t="array" ref="BJ44">SUMIFS('Cắt lồng'!$AH$327:$AH$515,'Cắt lồng'!$AA$327:$AA$515,'Cắt lồng'!$AA44,'Cắt lồng'!$AE$327:$AE$515,'Cắt lồng'!BJ$4:BJ$4)</f>
        <v>0</v>
      </c>
      <c r="BK44" s="78" t="e">
        <f t="shared" si="112"/>
        <v>#DIV/0!</v>
      </c>
      <c r="BL44" s="79">
        <f t="array" ref="BL44">SUMIFS('Cắt lồng'!$AC$327:$AC$515,'Cắt lồng'!$AA$327:$AA$515,'Cắt lồng'!$AA44,'Cắt lồng'!$AE$327:$AE$515,'Cắt lồng'!BL$4:BL$4)</f>
        <v>0</v>
      </c>
      <c r="BM44" s="79">
        <f t="array" ref="BM44">SUMIFS('Cắt lồng'!$AH$327:$AH$515,'Cắt lồng'!$AA$327:$AA$515,'Cắt lồng'!$AA44,'Cắt lồng'!$AE$327:$AE$515,'Cắt lồng'!BM$4:BM$4)</f>
        <v>0</v>
      </c>
      <c r="BN44" s="78" t="e">
        <f t="shared" si="113"/>
        <v>#DIV/0!</v>
      </c>
      <c r="BO44" s="79">
        <f t="array" ref="BO44">SUMIFS('Cắt lồng'!$AC$327:$AC$515,'Cắt lồng'!$AA$327:$AA$515,'Cắt lồng'!$AA44,'Cắt lồng'!$AE$327:$AE$515,'Cắt lồng'!BO$4:BO$4)</f>
        <v>0</v>
      </c>
      <c r="BP44" s="79">
        <f t="array" ref="BP44">SUMIFS('Cắt lồng'!$AH$327:$AH$515,'Cắt lồng'!$AA$327:$AA$515,'Cắt lồng'!$AA44,'Cắt lồng'!$AE$327:$AE$515,'Cắt lồng'!BP$4:BP$4)</f>
        <v>0</v>
      </c>
      <c r="BQ44" s="78" t="e">
        <f t="shared" si="114"/>
        <v>#DIV/0!</v>
      </c>
      <c r="BR44" s="79">
        <f t="array" ref="BR44">SUMIFS('Cắt lồng'!$AC$327:$AC$515,'Cắt lồng'!$AA$327:$AA$515,'Cắt lồng'!$AA44,'Cắt lồng'!$AE$327:$AE$515,'Cắt lồng'!BR$4:BR$4)</f>
        <v>0</v>
      </c>
      <c r="BS44" s="79">
        <f t="array" ref="BS44">SUMIFS('Cắt lồng'!$AH$327:$AH$515,'Cắt lồng'!$AA$327:$AA$515,'Cắt lồng'!$AA44,'Cắt lồng'!$AE$327:$AE$515,'Cắt lồng'!BS$4:BS$4)</f>
        <v>0</v>
      </c>
      <c r="BT44" s="78" t="e">
        <f t="shared" si="115"/>
        <v>#DIV/0!</v>
      </c>
      <c r="BU44" s="79">
        <f t="array" ref="BU44">SUMIFS('Cắt lồng'!$AC$327:$AC$515,'Cắt lồng'!$AA$327:$AA$515,'Cắt lồng'!$AA44,'Cắt lồng'!$AE$327:$AE$515,'Cắt lồng'!BU$4:BU$4)</f>
        <v>0</v>
      </c>
      <c r="BV44" s="79">
        <f t="array" ref="BV44">SUMIFS('Cắt lồng'!$AH$327:$AH$515,'Cắt lồng'!$AA$327:$AA$515,'Cắt lồng'!$AA44,'Cắt lồng'!$AE$327:$AE$515,'Cắt lồng'!BV$4:BV$4)</f>
        <v>0</v>
      </c>
      <c r="BW44" s="78" t="e">
        <f t="shared" si="116"/>
        <v>#DIV/0!</v>
      </c>
      <c r="BX44" s="79">
        <f t="array" ref="BX44">SUMIFS('Cắt lồng'!$AC$327:$AC$515,'Cắt lồng'!$AA$327:$AA$515,'Cắt lồng'!$AA44,'Cắt lồng'!$AE$327:$AE$515,'Cắt lồng'!BX$4:BX$4)</f>
        <v>0</v>
      </c>
      <c r="BY44" s="79">
        <f t="array" ref="BY44">SUMIFS('Cắt lồng'!$AH$327:$AH$515,'Cắt lồng'!$AA$327:$AA$515,'Cắt lồng'!$AA44,'Cắt lồng'!$AE$327:$AE$515,'Cắt lồng'!BY$4:BY$4)</f>
        <v>0</v>
      </c>
      <c r="BZ44" s="78" t="e">
        <f t="shared" si="117"/>
        <v>#DIV/0!</v>
      </c>
      <c r="CA44" s="79">
        <f t="array" ref="CA44">SUMIFS('Cắt lồng'!$AC$327:$AC$515,'Cắt lồng'!$AA$327:$AA$515,'Cắt lồng'!$AA44,'Cắt lồng'!$AE$327:$AE$515,'Cắt lồng'!CA$4:CA$4)</f>
        <v>0</v>
      </c>
      <c r="CB44" s="79">
        <f t="array" ref="CB44">SUMIFS('Cắt lồng'!$AH$327:$AH$515,'Cắt lồng'!$AA$327:$AA$515,'Cắt lồng'!$AA44,'Cắt lồng'!$AE$327:$AE$515,'Cắt lồng'!CB$4:CB$4)</f>
        <v>0</v>
      </c>
      <c r="CC44" s="78" t="e">
        <f t="shared" si="118"/>
        <v>#DIV/0!</v>
      </c>
      <c r="CD44" s="79">
        <f t="array" ref="CD44">SUMIFS('Cắt lồng'!$AC$327:$AC$515,'Cắt lồng'!$AA$327:$AA$515,'Cắt lồng'!$AA44,'Cắt lồng'!$AE$327:$AE$515,'Cắt lồng'!CD$4:CD$4)</f>
        <v>0</v>
      </c>
      <c r="CE44" s="79">
        <f t="array" ref="CE44">SUMIFS('Cắt lồng'!$AH$327:$AH$515,'Cắt lồng'!$AA$327:$AA$515,'Cắt lồng'!$AA44,'Cắt lồng'!$AE$327:$AE$515,'Cắt lồng'!CE$4:CE$4)</f>
        <v>0</v>
      </c>
      <c r="CF44" s="78" t="e">
        <f t="shared" si="119"/>
        <v>#DIV/0!</v>
      </c>
      <c r="CG44" s="79">
        <f t="array" ref="CG44">SUMIFS('Cắt lồng'!$AC$327:$AC$515,'Cắt lồng'!$AA$327:$AA$515,'Cắt lồng'!$AA44,'Cắt lồng'!$AE$327:$AE$515,'Cắt lồng'!CG$4:CG$4)</f>
        <v>0</v>
      </c>
      <c r="CH44" s="79">
        <f t="array" ref="CH44">SUMIFS('Cắt lồng'!$AH$327:$AH$515,'Cắt lồng'!$AA$327:$AA$515,'Cắt lồng'!$AA44,'Cắt lồng'!$AE$327:$AE$515,'Cắt lồng'!CH$4:CH$4)</f>
        <v>0</v>
      </c>
      <c r="CI44" s="78" t="e">
        <f t="shared" si="120"/>
        <v>#DIV/0!</v>
      </c>
      <c r="CJ44" s="79">
        <f t="array" ref="CJ44">SUMIFS('Cắt lồng'!$AC$327:$AC$515,'Cắt lồng'!$AA$327:$AA$515,'Cắt lồng'!$AA44,'Cắt lồng'!$AE$327:$AE$515,'Cắt lồng'!CJ$4:CJ$4)</f>
        <v>0</v>
      </c>
      <c r="CK44" s="79">
        <f t="array" ref="CK44">SUMIFS('Cắt lồng'!$AH$327:$AH$515,'Cắt lồng'!$AA$327:$AA$515,'Cắt lồng'!$AA44,'Cắt lồng'!$AE$327:$AE$515,'Cắt lồng'!CK$4:CK$4)</f>
        <v>0</v>
      </c>
      <c r="CL44" s="78" t="e">
        <f t="shared" si="121"/>
        <v>#DIV/0!</v>
      </c>
      <c r="CM44" s="79">
        <f t="array" ref="CM44">SUMIFS('Cắt lồng'!$AC$327:$AC$515,'Cắt lồng'!$AA$327:$AA$515,'Cắt lồng'!$AA44,'Cắt lồng'!$AE$327:$AE$515,'Cắt lồng'!CM$4:CM$4)</f>
        <v>0</v>
      </c>
      <c r="CN44" s="79">
        <f t="array" ref="CN44">SUMIFS('Cắt lồng'!$AH$327:$AH$515,'Cắt lồng'!$AA$327:$AA$515,'Cắt lồng'!$AA44,'Cắt lồng'!$AE$327:$AE$515,'Cắt lồng'!CN$4:CN$4)</f>
        <v>0</v>
      </c>
      <c r="CO44" s="78" t="e">
        <f t="shared" si="122"/>
        <v>#DIV/0!</v>
      </c>
      <c r="CP44" s="79">
        <f t="array" ref="CP44">SUMIFS('Cắt lồng'!$AC$327:$AC$515,'Cắt lồng'!$AA$327:$AA$515,'Cắt lồng'!$AA44,'Cắt lồng'!$AE$327:$AE$515,'Cắt lồng'!CP$4:CP$4)</f>
        <v>0</v>
      </c>
      <c r="CQ44" s="79">
        <f t="array" ref="CQ44">SUMIFS('Cắt lồng'!$AH$327:$AH$515,'Cắt lồng'!$AA$327:$AA$515,'Cắt lồng'!$AA44,'Cắt lồng'!$AE$327:$AE$515,'Cắt lồng'!CQ$4:CQ$4)</f>
        <v>0</v>
      </c>
      <c r="CR44" s="78" t="e">
        <f t="shared" si="123"/>
        <v>#DIV/0!</v>
      </c>
      <c r="CS44" s="79">
        <f t="array" ref="CS44">SUMIFS('Cắt lồng'!$AC$327:$AC$515,'Cắt lồng'!$AA$327:$AA$515,'Cắt lồng'!$AA44,'Cắt lồng'!$AE$327:$AE$515,'Cắt lồng'!CS$4:CS$4)</f>
        <v>0</v>
      </c>
      <c r="CT44" s="79">
        <f t="array" ref="CT44">SUMIFS('Cắt lồng'!$AH$327:$AH$515,'Cắt lồng'!$AA$327:$AA$515,'Cắt lồng'!$AA44,'Cắt lồng'!$AE$327:$AE$515,'Cắt lồng'!CT$4:CT$4)</f>
        <v>0</v>
      </c>
      <c r="CU44" s="78" t="e">
        <f t="shared" si="124"/>
        <v>#DIV/0!</v>
      </c>
      <c r="CV44" s="79">
        <f t="array" ref="CV44">SUMIFS('Cắt lồng'!$AC$327:$AC$515,'Cắt lồng'!$AA$327:$AA$515,'Cắt lồng'!$AA44,'Cắt lồng'!$AE$327:$AE$515,'Cắt lồng'!CV$4:CV$4)</f>
        <v>0</v>
      </c>
      <c r="CW44" s="79">
        <f t="array" ref="CW44">SUMIFS('Cắt lồng'!$AH$327:$AH$515,'Cắt lồng'!$AA$327:$AA$515,'Cắt lồng'!$AA44,'Cắt lồng'!$AE$327:$AE$515,'Cắt lồng'!CW$4:CW$4)</f>
        <v>0</v>
      </c>
      <c r="CX44" s="78" t="e">
        <f t="shared" si="125"/>
        <v>#DIV/0!</v>
      </c>
      <c r="CY44" s="79">
        <f t="array" ref="CY44">SUMIFS('Cắt lồng'!$AC$327:$AC$515,'Cắt lồng'!$AA$327:$AA$515,'Cắt lồng'!$AA44,'Cắt lồng'!$AE$327:$AE$515,'Cắt lồng'!CY$4:CY$4)</f>
        <v>0</v>
      </c>
      <c r="CZ44" s="79">
        <f t="array" ref="CZ44">SUMIFS('Cắt lồng'!$AH$327:$AH$515,'Cắt lồng'!$AA$327:$AA$515,'Cắt lồng'!$AA44,'Cắt lồng'!$AE$327:$AE$515,'Cắt lồng'!CZ$4:CZ$4)</f>
        <v>0</v>
      </c>
      <c r="DA44" s="78" t="e">
        <f t="shared" si="126"/>
        <v>#DIV/0!</v>
      </c>
      <c r="DB44" s="79">
        <f t="array" ref="DB44">SUMIFS('Cắt lồng'!$AC$327:$AC$515,'Cắt lồng'!$AA$327:$AA$515,'Cắt lồng'!$AA44,'Cắt lồng'!$AE$327:$AE$515,'Cắt lồng'!DB$4:DB$4)</f>
        <v>0</v>
      </c>
      <c r="DC44" s="79">
        <f t="array" ref="DC44">SUMIFS('Cắt lồng'!$AH$327:$AH$515,'Cắt lồng'!$AA$327:$AA$515,'Cắt lồng'!$AA44,'Cắt lồng'!$AE$327:$AE$515,'Cắt lồng'!DC$4:DC$4)</f>
        <v>0</v>
      </c>
      <c r="DD44" s="78" t="e">
        <f t="shared" si="127"/>
        <v>#DIV/0!</v>
      </c>
      <c r="DE44" s="79">
        <f t="array" ref="DE44">SUMIFS('Cắt lồng'!$AC$327:$AC$515,'Cắt lồng'!$AA$327:$AA$515,'Cắt lồng'!$AA44,'Cắt lồng'!$AE$327:$AE$515,'Cắt lồng'!DE$4:DE$4)</f>
        <v>0</v>
      </c>
      <c r="DF44" s="79">
        <f t="array" ref="DF44">SUMIFS('Cắt lồng'!$AH$327:$AH$515,'Cắt lồng'!$AA$327:$AA$515,'Cắt lồng'!$AA44,'Cắt lồng'!$AE$327:$AE$515,'Cắt lồng'!DF$4:DF$4)</f>
        <v>0</v>
      </c>
      <c r="DG44" s="78" t="e">
        <f t="shared" si="128"/>
        <v>#DIV/0!</v>
      </c>
      <c r="DH44" s="79">
        <f t="array" ref="DH44">SUMIFS('Cắt lồng'!$AC$327:$AC$515,'Cắt lồng'!$AA$327:$AA$515,'Cắt lồng'!$AA44,'Cắt lồng'!$AE$327:$AE$515,'Cắt lồng'!DH$4:DH$4)</f>
        <v>0</v>
      </c>
      <c r="DI44" s="79">
        <f t="array" ref="DI44">SUMIFS('Cắt lồng'!$AH$327:$AH$515,'Cắt lồng'!$AA$327:$AA$515,'Cắt lồng'!$AA44,'Cắt lồng'!$AE$327:$AE$515,'Cắt lồng'!DI$4:DI$4)</f>
        <v>0</v>
      </c>
      <c r="DJ44" s="78" t="e">
        <f t="shared" si="129"/>
        <v>#DIV/0!</v>
      </c>
      <c r="DK44" s="79">
        <f t="array" ref="DK44">SUMIFS('Cắt lồng'!$AC$327:$AC$515,'Cắt lồng'!$AA$327:$AA$515,'Cắt lồng'!$AA44,'Cắt lồng'!$AE$327:$AE$515,'Cắt lồng'!DK$4:DK$4)</f>
        <v>0</v>
      </c>
      <c r="DL44" s="79">
        <f t="array" ref="DL44">SUMIFS('Cắt lồng'!$AH$327:$AH$515,'Cắt lồng'!$AA$327:$AA$515,'Cắt lồng'!$AA44,'Cắt lồng'!$AE$327:$AE$515,'Cắt lồng'!DL$4:DL$4)</f>
        <v>0</v>
      </c>
      <c r="DM44" s="78" t="e">
        <f t="shared" si="130"/>
        <v>#DIV/0!</v>
      </c>
      <c r="DN44" s="79">
        <f>SUMIFS('Cắt lồng'!$AC$327:$AC$515,'Cắt lồng'!$AA$327:$AA$515,'Cắt lồng'!$AA44,'Cắt lồng'!$AE$327:$AE$515,'Cắt lồng'!DN$4:DN$4)</f>
        <v>0</v>
      </c>
      <c r="DO44" s="79">
        <f t="array" ref="DO44">SUMIFS('Cắt lồng'!$AH$327:$AH$515,'Cắt lồng'!$AA$327:$AA$515,'Cắt lồng'!$AA44,'Cắt lồng'!$AE$327:$AE$515,'Cắt lồng'!DO$4:DO$4)</f>
        <v>0</v>
      </c>
      <c r="DP44" s="78" t="e">
        <f t="shared" si="131"/>
        <v>#DIV/0!</v>
      </c>
      <c r="DQ44" s="79">
        <f t="array" ref="DQ44">SUMIFS('Cắt lồng'!$AC$327:$AC$515,'Cắt lồng'!$AA$327:$AA$515,'Cắt lồng'!$AA44,'Cắt lồng'!$AE$327:$AE$515,'Cắt lồng'!DQ$4:DQ$4)</f>
        <v>0</v>
      </c>
      <c r="DR44" s="79">
        <f t="array" ref="DR44">SUMIFS('Cắt lồng'!$AH$327:$AH$515,'Cắt lồng'!$AA$327:$AA$515,'Cắt lồng'!$AA44,'Cắt lồng'!$AE$327:$AE$515,'Cắt lồng'!DR$4:DR$4)</f>
        <v>0</v>
      </c>
      <c r="DS44" s="78" t="e">
        <f t="shared" si="132"/>
        <v>#DIV/0!</v>
      </c>
      <c r="DT44" s="79">
        <f t="array" ref="DT44">SUMIFS('Cắt lồng'!$AC$327:$AC$515,'Cắt lồng'!$AA$327:$AA$515,'Cắt lồng'!$AA44,'Cắt lồng'!$AE$327:$AE$515,'Cắt lồng'!DT$4:DT$4)</f>
        <v>0</v>
      </c>
      <c r="DU44" s="79">
        <f t="array" ref="DU44">SUMIFS('Cắt lồng'!$AH$327:$AH$515,'Cắt lồng'!$AA$327:$AA$515,'Cắt lồng'!$AA44,'Cắt lồng'!$AE$327:$AE$515,'Cắt lồng'!DU$4:DU$4)</f>
        <v>0</v>
      </c>
      <c r="DV44" s="78" t="e">
        <f t="shared" si="133"/>
        <v>#DIV/0!</v>
      </c>
      <c r="DW44" s="79">
        <f t="array" ref="DW44">SUMIFS('Cắt lồng'!$AC$327:$AC$515,'Cắt lồng'!$AA$327:$AA$515,'Cắt lồng'!$AA44,'Cắt lồng'!$AE$327:$AE$515,'Cắt lồng'!DW$4:DW$4)</f>
        <v>0</v>
      </c>
      <c r="DX44" s="79">
        <f t="array" ref="DX44">SUMIFS('Cắt lồng'!$AH$327:$AH$515,'Cắt lồng'!$AA$327:$AA$515,'Cắt lồng'!$AA44,'Cắt lồng'!$AE$327:$AE$515,'Cắt lồng'!DX$4:DX$4)</f>
        <v>0</v>
      </c>
      <c r="DY44" s="78" t="e">
        <f t="shared" si="134"/>
        <v>#DIV/0!</v>
      </c>
      <c r="DZ44" s="79">
        <f t="array" ref="DZ44">SUMIFS('Cắt lồng'!$AC$327:$AC$515,'Cắt lồng'!$AA$327:$AA$515,'Cắt lồng'!$AA44,'Cắt lồng'!$AE$327:$AE$515,'Cắt lồng'!DZ$4:DZ$4)</f>
        <v>0</v>
      </c>
      <c r="EA44" s="79">
        <f t="array" ref="EA44">SUMIFS('Cắt lồng'!$AH$327:$AH$515,'Cắt lồng'!$AA$327:$AA$515,'Cắt lồng'!$AA44,'Cắt lồng'!$AE$327:$AE$515,'Cắt lồng'!EA$4:EA$4)</f>
        <v>0</v>
      </c>
      <c r="EB44" s="78" t="e">
        <f t="shared" si="135"/>
        <v>#DIV/0!</v>
      </c>
      <c r="EC44" s="79">
        <f t="array" ref="EC44">SUMIFS('Cắt lồng'!$AC$327:$AC$515,'Cắt lồng'!$AA$327:$AA$515,'Cắt lồng'!$AA44,'Cắt lồng'!$AE$327:$AE$515,'Cắt lồng'!EC$4:EC$4)</f>
        <v>0</v>
      </c>
      <c r="ED44" s="79">
        <f t="array" ref="ED44">SUMIFS('Cắt lồng'!$AH$327:$AH$515,'Cắt lồng'!$AA$327:$AA$515,'Cắt lồng'!$AA44,'Cắt lồng'!$AE$327:$AE$515,'Cắt lồng'!ED$4:ED$4)</f>
        <v>0</v>
      </c>
      <c r="EE44" s="78" t="e">
        <f t="shared" si="136"/>
        <v>#DIV/0!</v>
      </c>
      <c r="EF44" s="79">
        <f t="array" ref="EF44">SUMIFS('Cắt lồng'!$AC$327:$AC$515,'Cắt lồng'!$AA$327:$AA$515,'Cắt lồng'!$AA44,'Cắt lồng'!$AE$327:$AE$515,'Cắt lồng'!EF$4:EF$4)</f>
        <v>0</v>
      </c>
      <c r="EG44" s="79">
        <f t="array" ref="EG44">SUMIFS('Cắt lồng'!$AH$327:$AH$515,'Cắt lồng'!$AA$327:$AA$515,'Cắt lồng'!$AA44,'Cắt lồng'!$AE$327:$AE$515,'Cắt lồng'!EG$4:EG$4)</f>
        <v>0</v>
      </c>
      <c r="EH44" s="78" t="e">
        <f t="shared" si="137"/>
        <v>#DIV/0!</v>
      </c>
      <c r="EI44" s="79">
        <f t="array" ref="EI44">SUMIFS('Cắt lồng'!$AC$327:$AC$515,'Cắt lồng'!$AA$327:$AA$515,'Cắt lồng'!$AA44,'Cắt lồng'!$AE$327:$AE$515,'Cắt lồng'!EI$4:EI$4)</f>
        <v>0</v>
      </c>
      <c r="EJ44" s="79">
        <f t="array" ref="EJ44">SUMIFS('Cắt lồng'!$AH$327:$AH$515,'Cắt lồng'!$AA$327:$AA$515,'Cắt lồng'!$AA44,'Cắt lồng'!$AE$327:$AE$515,'Cắt lồng'!EJ$4:EJ$4)</f>
        <v>0</v>
      </c>
      <c r="EK44" s="78" t="e">
        <f t="shared" si="138"/>
        <v>#DIV/0!</v>
      </c>
      <c r="EL44" s="172"/>
    </row>
    <row r="45" spans="1:142" s="12" customFormat="1" ht="14.25" hidden="1" customHeight="1">
      <c r="A45" s="25">
        <v>40</v>
      </c>
      <c r="B45" s="26"/>
      <c r="C45" s="26"/>
      <c r="D45" s="185">
        <f t="shared" si="140"/>
        <v>0</v>
      </c>
      <c r="E45" s="184">
        <f t="shared" si="141"/>
        <v>0</v>
      </c>
      <c r="F45" s="56"/>
      <c r="G45" s="82">
        <f t="shared" si="79"/>
        <v>0</v>
      </c>
      <c r="H45" s="81">
        <f t="shared" si="80"/>
        <v>0</v>
      </c>
      <c r="I45" s="19">
        <f t="shared" si="81"/>
        <v>0</v>
      </c>
      <c r="J45" s="11">
        <f t="shared" si="82"/>
        <v>0</v>
      </c>
      <c r="K45" s="19">
        <f t="shared" si="83"/>
        <v>0</v>
      </c>
      <c r="L45" s="19">
        <f t="shared" si="84"/>
        <v>0</v>
      </c>
      <c r="M45" s="19">
        <f t="shared" si="85"/>
        <v>0</v>
      </c>
      <c r="N45" s="19">
        <f t="shared" si="86"/>
        <v>0</v>
      </c>
      <c r="O45" s="19">
        <f t="shared" si="87"/>
        <v>0</v>
      </c>
      <c r="P45" s="19">
        <f t="shared" si="88"/>
        <v>0</v>
      </c>
      <c r="Q45" s="19">
        <f t="shared" si="89"/>
        <v>0</v>
      </c>
      <c r="R45" s="19">
        <f t="shared" si="90"/>
        <v>0</v>
      </c>
      <c r="S45" s="19">
        <f t="shared" si="91"/>
        <v>0</v>
      </c>
      <c r="T45" s="19">
        <f t="shared" si="92"/>
        <v>0</v>
      </c>
      <c r="U45" s="19">
        <f t="shared" si="93"/>
        <v>0</v>
      </c>
      <c r="V45" s="19">
        <f t="shared" si="94"/>
        <v>0</v>
      </c>
      <c r="W45" s="19">
        <f t="shared" si="95"/>
        <v>0</v>
      </c>
      <c r="X45" s="19">
        <f t="shared" si="96"/>
        <v>0</v>
      </c>
      <c r="Y45" s="19">
        <f t="shared" si="97"/>
        <v>0</v>
      </c>
      <c r="Z45" s="19">
        <f t="shared" si="98"/>
        <v>0</v>
      </c>
      <c r="AA45" s="164" t="s">
        <v>251</v>
      </c>
      <c r="AB45" s="129">
        <f t="shared" si="21"/>
        <v>0</v>
      </c>
      <c r="AC45" s="16">
        <f t="shared" si="22"/>
        <v>0</v>
      </c>
      <c r="AD45" s="15" t="e">
        <f t="shared" si="99"/>
        <v>#DIV/0!</v>
      </c>
      <c r="AE45" s="42"/>
      <c r="AF45" s="10" t="e">
        <f t="shared" si="100"/>
        <v>#DIV/0!</v>
      </c>
      <c r="AG45" s="10"/>
      <c r="AH45" s="152">
        <f t="shared" si="139"/>
        <v>0</v>
      </c>
      <c r="AI45" s="54" t="e">
        <f t="shared" si="101"/>
        <v>#DIV/0!</v>
      </c>
      <c r="AJ45" s="25">
        <f t="shared" si="102"/>
        <v>0</v>
      </c>
      <c r="AK45" s="25">
        <f t="shared" si="103"/>
        <v>0</v>
      </c>
      <c r="AL45" s="25">
        <f t="shared" si="104"/>
        <v>0</v>
      </c>
      <c r="AM45" s="30">
        <f t="shared" si="73"/>
        <v>0</v>
      </c>
      <c r="AN45" s="30">
        <f t="shared" si="74"/>
        <v>0</v>
      </c>
      <c r="AO45" s="30">
        <f t="shared" si="75"/>
        <v>0</v>
      </c>
      <c r="AP45" s="30">
        <f t="shared" si="76"/>
        <v>0</v>
      </c>
      <c r="AQ45" s="30">
        <f t="shared" si="77"/>
        <v>0</v>
      </c>
      <c r="AR45" s="30">
        <f t="shared" si="105"/>
        <v>0</v>
      </c>
      <c r="AS45" s="30">
        <f t="shared" si="106"/>
        <v>0</v>
      </c>
      <c r="AT45" s="30">
        <f t="shared" si="78"/>
        <v>0</v>
      </c>
      <c r="AV45" s="79">
        <f t="shared" si="107"/>
        <v>0</v>
      </c>
      <c r="AW45" s="79">
        <f t="array" ref="AW45">SUMIFS('Cắt lồng'!$AC$327:$AC$515,'Cắt lồng'!$AA$327:$AA$515,'Cắt lồng'!$AA45,'Cắt lồng'!$AE$327:$AE$515,'Cắt lồng'!AW$4:AW$4)</f>
        <v>0</v>
      </c>
      <c r="AX45" s="79">
        <f t="array" ref="AX45">SUMIFS('Cắt lồng'!$AH$327:$AH$515,'Cắt lồng'!$AA$327:$AA$515,'Cắt lồng'!$AA45,'Cắt lồng'!$AE$327:$AE$515,'Cắt lồng'!AX$4:AX$4)</f>
        <v>0</v>
      </c>
      <c r="AY45" s="78" t="e">
        <f t="shared" si="108"/>
        <v>#DIV/0!</v>
      </c>
      <c r="AZ45" s="79">
        <f t="array" ref="AZ45">SUMIFS('Cắt lồng'!$AC$327:$AC$515,'Cắt lồng'!$AA$327:$AA$515,'Cắt lồng'!$AA45,'Cắt lồng'!$AE$327:$AE$515,'Cắt lồng'!AZ$4:AZ$4)</f>
        <v>0</v>
      </c>
      <c r="BA45" s="79">
        <f t="array" ref="BA45">SUMIFS('Cắt lồng'!$AH$327:$AH$515,'Cắt lồng'!$AA$327:$AA$515,'Cắt lồng'!$AA45,'Cắt lồng'!$AE$327:$AE$515,'Cắt lồng'!BA$4:BA$4)</f>
        <v>0</v>
      </c>
      <c r="BB45" s="78" t="e">
        <f t="shared" si="109"/>
        <v>#DIV/0!</v>
      </c>
      <c r="BC45" s="79">
        <f t="array" ref="BC45">SUMIFS('Cắt lồng'!$AC$327:$AC$515,'Cắt lồng'!$AA$327:$AA$515,'Cắt lồng'!$AA45,'Cắt lồng'!$AE$327:$AE$515,'Cắt lồng'!BC$4:BC$4)</f>
        <v>0</v>
      </c>
      <c r="BD45" s="79">
        <f t="array" ref="BD45">SUMIFS('Cắt lồng'!$AH$327:$AH$515,'Cắt lồng'!$AA$327:$AA$515,'Cắt lồng'!$AA45,'Cắt lồng'!$AE$327:$AE$515,'Cắt lồng'!BD$4:BD$4)</f>
        <v>0</v>
      </c>
      <c r="BE45" s="78" t="e">
        <f t="shared" si="110"/>
        <v>#DIV/0!</v>
      </c>
      <c r="BF45" s="79">
        <f t="array" ref="BF45">SUMIFS('Cắt lồng'!$AC$327:$AC$515,'Cắt lồng'!$AA$327:$AA$515,'Cắt lồng'!$AA45,'Cắt lồng'!$AE$327:$AE$515,'Cắt lồng'!BF$4:BF$4)</f>
        <v>0</v>
      </c>
      <c r="BG45" s="79">
        <f t="array" ref="BG45">SUMIFS('Cắt lồng'!$AH$327:$AH$515,'Cắt lồng'!$AA$327:$AA$515,'Cắt lồng'!$AA45,'Cắt lồng'!$AE$327:$AE$515,'Cắt lồng'!BG$4:BG$4)</f>
        <v>0</v>
      </c>
      <c r="BH45" s="78" t="e">
        <f t="shared" si="111"/>
        <v>#DIV/0!</v>
      </c>
      <c r="BI45" s="79">
        <f t="array" ref="BI45">SUMIFS('Cắt lồng'!$AC$327:$AC$515,'Cắt lồng'!$AA$327:$AA$515,'Cắt lồng'!$AA45,'Cắt lồng'!$AE$327:$AE$515,'Cắt lồng'!BI$4:BI$4)</f>
        <v>0</v>
      </c>
      <c r="BJ45" s="79">
        <f t="array" ref="BJ45">SUMIFS('Cắt lồng'!$AH$327:$AH$515,'Cắt lồng'!$AA$327:$AA$515,'Cắt lồng'!$AA45,'Cắt lồng'!$AE$327:$AE$515,'Cắt lồng'!BJ$4:BJ$4)</f>
        <v>0</v>
      </c>
      <c r="BK45" s="78" t="e">
        <f t="shared" si="112"/>
        <v>#DIV/0!</v>
      </c>
      <c r="BL45" s="79">
        <f t="array" ref="BL45">SUMIFS('Cắt lồng'!$AC$327:$AC$515,'Cắt lồng'!$AA$327:$AA$515,'Cắt lồng'!$AA45,'Cắt lồng'!$AE$327:$AE$515,'Cắt lồng'!BL$4:BL$4)</f>
        <v>0</v>
      </c>
      <c r="BM45" s="79">
        <f t="array" ref="BM45">SUMIFS('Cắt lồng'!$AH$327:$AH$515,'Cắt lồng'!$AA$327:$AA$515,'Cắt lồng'!$AA45,'Cắt lồng'!$AE$327:$AE$515,'Cắt lồng'!BM$4:BM$4)</f>
        <v>0</v>
      </c>
      <c r="BN45" s="78" t="e">
        <f t="shared" si="113"/>
        <v>#DIV/0!</v>
      </c>
      <c r="BO45" s="79">
        <f t="array" ref="BO45">SUMIFS('Cắt lồng'!$AC$327:$AC$515,'Cắt lồng'!$AA$327:$AA$515,'Cắt lồng'!$AA45,'Cắt lồng'!$AE$327:$AE$515,'Cắt lồng'!BO$4:BO$4)</f>
        <v>0</v>
      </c>
      <c r="BP45" s="79">
        <f t="array" ref="BP45">SUMIFS('Cắt lồng'!$AH$327:$AH$515,'Cắt lồng'!$AA$327:$AA$515,'Cắt lồng'!$AA45,'Cắt lồng'!$AE$327:$AE$515,'Cắt lồng'!BP$4:BP$4)</f>
        <v>0</v>
      </c>
      <c r="BQ45" s="78" t="e">
        <f t="shared" si="114"/>
        <v>#DIV/0!</v>
      </c>
      <c r="BR45" s="79">
        <f t="array" ref="BR45">SUMIFS('Cắt lồng'!$AC$327:$AC$515,'Cắt lồng'!$AA$327:$AA$515,'Cắt lồng'!$AA45,'Cắt lồng'!$AE$327:$AE$515,'Cắt lồng'!BR$4:BR$4)</f>
        <v>0</v>
      </c>
      <c r="BS45" s="79">
        <f t="array" ref="BS45">SUMIFS('Cắt lồng'!$AH$327:$AH$515,'Cắt lồng'!$AA$327:$AA$515,'Cắt lồng'!$AA45,'Cắt lồng'!$AE$327:$AE$515,'Cắt lồng'!BS$4:BS$4)</f>
        <v>0</v>
      </c>
      <c r="BT45" s="78" t="e">
        <f t="shared" si="115"/>
        <v>#DIV/0!</v>
      </c>
      <c r="BU45" s="79">
        <f t="array" ref="BU45">SUMIFS('Cắt lồng'!$AC$327:$AC$515,'Cắt lồng'!$AA$327:$AA$515,'Cắt lồng'!$AA45,'Cắt lồng'!$AE$327:$AE$515,'Cắt lồng'!BU$4:BU$4)</f>
        <v>0</v>
      </c>
      <c r="BV45" s="79">
        <f t="array" ref="BV45">SUMIFS('Cắt lồng'!$AH$327:$AH$515,'Cắt lồng'!$AA$327:$AA$515,'Cắt lồng'!$AA45,'Cắt lồng'!$AE$327:$AE$515,'Cắt lồng'!BV$4:BV$4)</f>
        <v>0</v>
      </c>
      <c r="BW45" s="78" t="e">
        <f t="shared" si="116"/>
        <v>#DIV/0!</v>
      </c>
      <c r="BX45" s="79">
        <f t="array" ref="BX45">SUMIFS('Cắt lồng'!$AC$327:$AC$515,'Cắt lồng'!$AA$327:$AA$515,'Cắt lồng'!$AA45,'Cắt lồng'!$AE$327:$AE$515,'Cắt lồng'!BX$4:BX$4)</f>
        <v>0</v>
      </c>
      <c r="BY45" s="79">
        <f t="array" ref="BY45">SUMIFS('Cắt lồng'!$AH$327:$AH$515,'Cắt lồng'!$AA$327:$AA$515,'Cắt lồng'!$AA45,'Cắt lồng'!$AE$327:$AE$515,'Cắt lồng'!BY$4:BY$4)</f>
        <v>0</v>
      </c>
      <c r="BZ45" s="78" t="e">
        <f t="shared" si="117"/>
        <v>#DIV/0!</v>
      </c>
      <c r="CA45" s="79">
        <f t="array" ref="CA45">SUMIFS('Cắt lồng'!$AC$327:$AC$515,'Cắt lồng'!$AA$327:$AA$515,'Cắt lồng'!$AA45,'Cắt lồng'!$AE$327:$AE$515,'Cắt lồng'!CA$4:CA$4)</f>
        <v>0</v>
      </c>
      <c r="CB45" s="79">
        <f t="array" ref="CB45">SUMIFS('Cắt lồng'!$AH$327:$AH$515,'Cắt lồng'!$AA$327:$AA$515,'Cắt lồng'!$AA45,'Cắt lồng'!$AE$327:$AE$515,'Cắt lồng'!CB$4:CB$4)</f>
        <v>0</v>
      </c>
      <c r="CC45" s="78" t="e">
        <f t="shared" si="118"/>
        <v>#DIV/0!</v>
      </c>
      <c r="CD45" s="79">
        <f t="array" ref="CD45">SUMIFS('Cắt lồng'!$AC$327:$AC$515,'Cắt lồng'!$AA$327:$AA$515,'Cắt lồng'!$AA45,'Cắt lồng'!$AE$327:$AE$515,'Cắt lồng'!CD$4:CD$4)</f>
        <v>0</v>
      </c>
      <c r="CE45" s="79">
        <f t="array" ref="CE45">SUMIFS('Cắt lồng'!$AH$327:$AH$515,'Cắt lồng'!$AA$327:$AA$515,'Cắt lồng'!$AA45,'Cắt lồng'!$AE$327:$AE$515,'Cắt lồng'!CE$4:CE$4)</f>
        <v>0</v>
      </c>
      <c r="CF45" s="78" t="e">
        <f t="shared" si="119"/>
        <v>#DIV/0!</v>
      </c>
      <c r="CG45" s="79">
        <f t="array" ref="CG45">SUMIFS('Cắt lồng'!$AC$327:$AC$515,'Cắt lồng'!$AA$327:$AA$515,'Cắt lồng'!$AA45,'Cắt lồng'!$AE$327:$AE$515,'Cắt lồng'!CG$4:CG$4)</f>
        <v>0</v>
      </c>
      <c r="CH45" s="79">
        <f t="array" ref="CH45">SUMIFS('Cắt lồng'!$AH$327:$AH$515,'Cắt lồng'!$AA$327:$AA$515,'Cắt lồng'!$AA45,'Cắt lồng'!$AE$327:$AE$515,'Cắt lồng'!CH$4:CH$4)</f>
        <v>0</v>
      </c>
      <c r="CI45" s="78" t="e">
        <f t="shared" si="120"/>
        <v>#DIV/0!</v>
      </c>
      <c r="CJ45" s="79">
        <f t="array" ref="CJ45">SUMIFS('Cắt lồng'!$AC$327:$AC$515,'Cắt lồng'!$AA$327:$AA$515,'Cắt lồng'!$AA45,'Cắt lồng'!$AE$327:$AE$515,'Cắt lồng'!CJ$4:CJ$4)</f>
        <v>0</v>
      </c>
      <c r="CK45" s="79">
        <f t="array" ref="CK45">SUMIFS('Cắt lồng'!$AH$327:$AH$515,'Cắt lồng'!$AA$327:$AA$515,'Cắt lồng'!$AA45,'Cắt lồng'!$AE$327:$AE$515,'Cắt lồng'!CK$4:CK$4)</f>
        <v>0</v>
      </c>
      <c r="CL45" s="78" t="e">
        <f t="shared" si="121"/>
        <v>#DIV/0!</v>
      </c>
      <c r="CM45" s="79">
        <f t="array" ref="CM45">SUMIFS('Cắt lồng'!$AC$327:$AC$515,'Cắt lồng'!$AA$327:$AA$515,'Cắt lồng'!$AA45,'Cắt lồng'!$AE$327:$AE$515,'Cắt lồng'!CM$4:CM$4)</f>
        <v>0</v>
      </c>
      <c r="CN45" s="79">
        <f t="array" ref="CN45">SUMIFS('Cắt lồng'!$AH$327:$AH$515,'Cắt lồng'!$AA$327:$AA$515,'Cắt lồng'!$AA45,'Cắt lồng'!$AE$327:$AE$515,'Cắt lồng'!CN$4:CN$4)</f>
        <v>0</v>
      </c>
      <c r="CO45" s="78" t="e">
        <f t="shared" si="122"/>
        <v>#DIV/0!</v>
      </c>
      <c r="CP45" s="79">
        <f t="array" ref="CP45">SUMIFS('Cắt lồng'!$AC$327:$AC$515,'Cắt lồng'!$AA$327:$AA$515,'Cắt lồng'!$AA45,'Cắt lồng'!$AE$327:$AE$515,'Cắt lồng'!CP$4:CP$4)</f>
        <v>0</v>
      </c>
      <c r="CQ45" s="79">
        <f t="array" ref="CQ45">SUMIFS('Cắt lồng'!$AH$327:$AH$515,'Cắt lồng'!$AA$327:$AA$515,'Cắt lồng'!$AA45,'Cắt lồng'!$AE$327:$AE$515,'Cắt lồng'!CQ$4:CQ$4)</f>
        <v>0</v>
      </c>
      <c r="CR45" s="78" t="e">
        <f t="shared" si="123"/>
        <v>#DIV/0!</v>
      </c>
      <c r="CS45" s="79">
        <f t="array" ref="CS45">SUMIFS('Cắt lồng'!$AC$327:$AC$515,'Cắt lồng'!$AA$327:$AA$515,'Cắt lồng'!$AA45,'Cắt lồng'!$AE$327:$AE$515,'Cắt lồng'!CS$4:CS$4)</f>
        <v>0</v>
      </c>
      <c r="CT45" s="79">
        <f t="array" ref="CT45">SUMIFS('Cắt lồng'!$AH$327:$AH$515,'Cắt lồng'!$AA$327:$AA$515,'Cắt lồng'!$AA45,'Cắt lồng'!$AE$327:$AE$515,'Cắt lồng'!CT$4:CT$4)</f>
        <v>0</v>
      </c>
      <c r="CU45" s="78" t="e">
        <f t="shared" si="124"/>
        <v>#DIV/0!</v>
      </c>
      <c r="CV45" s="79">
        <f t="array" ref="CV45">SUMIFS('Cắt lồng'!$AC$327:$AC$515,'Cắt lồng'!$AA$327:$AA$515,'Cắt lồng'!$AA45,'Cắt lồng'!$AE$327:$AE$515,'Cắt lồng'!CV$4:CV$4)</f>
        <v>0</v>
      </c>
      <c r="CW45" s="79">
        <f t="array" ref="CW45">SUMIFS('Cắt lồng'!$AH$327:$AH$515,'Cắt lồng'!$AA$327:$AA$515,'Cắt lồng'!$AA45,'Cắt lồng'!$AE$327:$AE$515,'Cắt lồng'!CW$4:CW$4)</f>
        <v>0</v>
      </c>
      <c r="CX45" s="78" t="e">
        <f t="shared" si="125"/>
        <v>#DIV/0!</v>
      </c>
      <c r="CY45" s="79">
        <f t="array" ref="CY45">SUMIFS('Cắt lồng'!$AC$327:$AC$515,'Cắt lồng'!$AA$327:$AA$515,'Cắt lồng'!$AA45,'Cắt lồng'!$AE$327:$AE$515,'Cắt lồng'!CY$4:CY$4)</f>
        <v>0</v>
      </c>
      <c r="CZ45" s="79">
        <f t="array" ref="CZ45">SUMIFS('Cắt lồng'!$AH$327:$AH$515,'Cắt lồng'!$AA$327:$AA$515,'Cắt lồng'!$AA45,'Cắt lồng'!$AE$327:$AE$515,'Cắt lồng'!CZ$4:CZ$4)</f>
        <v>0</v>
      </c>
      <c r="DA45" s="78" t="e">
        <f t="shared" si="126"/>
        <v>#DIV/0!</v>
      </c>
      <c r="DB45" s="79">
        <f t="array" ref="DB45">SUMIFS('Cắt lồng'!$AC$327:$AC$515,'Cắt lồng'!$AA$327:$AA$515,'Cắt lồng'!$AA45,'Cắt lồng'!$AE$327:$AE$515,'Cắt lồng'!DB$4:DB$4)</f>
        <v>0</v>
      </c>
      <c r="DC45" s="79">
        <f t="array" ref="DC45">SUMIFS('Cắt lồng'!$AH$327:$AH$515,'Cắt lồng'!$AA$327:$AA$515,'Cắt lồng'!$AA45,'Cắt lồng'!$AE$327:$AE$515,'Cắt lồng'!DC$4:DC$4)</f>
        <v>0</v>
      </c>
      <c r="DD45" s="78" t="e">
        <f t="shared" si="127"/>
        <v>#DIV/0!</v>
      </c>
      <c r="DE45" s="79">
        <f t="array" ref="DE45">SUMIFS('Cắt lồng'!$AC$327:$AC$515,'Cắt lồng'!$AA$327:$AA$515,'Cắt lồng'!$AA45,'Cắt lồng'!$AE$327:$AE$515,'Cắt lồng'!DE$4:DE$4)</f>
        <v>0</v>
      </c>
      <c r="DF45" s="79">
        <f t="array" ref="DF45">SUMIFS('Cắt lồng'!$AH$327:$AH$515,'Cắt lồng'!$AA$327:$AA$515,'Cắt lồng'!$AA45,'Cắt lồng'!$AE$327:$AE$515,'Cắt lồng'!DF$4:DF$4)</f>
        <v>0</v>
      </c>
      <c r="DG45" s="78" t="e">
        <f t="shared" si="128"/>
        <v>#DIV/0!</v>
      </c>
      <c r="DH45" s="79">
        <f t="array" ref="DH45">SUMIFS('Cắt lồng'!$AC$327:$AC$515,'Cắt lồng'!$AA$327:$AA$515,'Cắt lồng'!$AA45,'Cắt lồng'!$AE$327:$AE$515,'Cắt lồng'!DH$4:DH$4)</f>
        <v>0</v>
      </c>
      <c r="DI45" s="79">
        <f t="array" ref="DI45">SUMIFS('Cắt lồng'!$AH$327:$AH$515,'Cắt lồng'!$AA$327:$AA$515,'Cắt lồng'!$AA45,'Cắt lồng'!$AE$327:$AE$515,'Cắt lồng'!DI$4:DI$4)</f>
        <v>0</v>
      </c>
      <c r="DJ45" s="78" t="e">
        <f t="shared" si="129"/>
        <v>#DIV/0!</v>
      </c>
      <c r="DK45" s="79">
        <f t="array" ref="DK45">SUMIFS('Cắt lồng'!$AC$327:$AC$515,'Cắt lồng'!$AA$327:$AA$515,'Cắt lồng'!$AA45,'Cắt lồng'!$AE$327:$AE$515,'Cắt lồng'!DK$4:DK$4)</f>
        <v>0</v>
      </c>
      <c r="DL45" s="79">
        <f t="array" ref="DL45">SUMIFS('Cắt lồng'!$AH$327:$AH$515,'Cắt lồng'!$AA$327:$AA$515,'Cắt lồng'!$AA45,'Cắt lồng'!$AE$327:$AE$515,'Cắt lồng'!DL$4:DL$4)</f>
        <v>0</v>
      </c>
      <c r="DM45" s="78" t="e">
        <f t="shared" si="130"/>
        <v>#DIV/0!</v>
      </c>
      <c r="DN45" s="79">
        <f>SUMIFS('Cắt lồng'!$AC$327:$AC$515,'Cắt lồng'!$AA$327:$AA$515,'Cắt lồng'!$AA45,'Cắt lồng'!$AE$327:$AE$515,'Cắt lồng'!DN$4:DN$4)</f>
        <v>0</v>
      </c>
      <c r="DO45" s="79">
        <f t="array" ref="DO45">SUMIFS('Cắt lồng'!$AH$327:$AH$515,'Cắt lồng'!$AA$327:$AA$515,'Cắt lồng'!$AA45,'Cắt lồng'!$AE$327:$AE$515,'Cắt lồng'!DO$4:DO$4)</f>
        <v>0</v>
      </c>
      <c r="DP45" s="78" t="e">
        <f t="shared" si="131"/>
        <v>#DIV/0!</v>
      </c>
      <c r="DQ45" s="79">
        <f t="array" ref="DQ45">SUMIFS('Cắt lồng'!$AC$327:$AC$515,'Cắt lồng'!$AA$327:$AA$515,'Cắt lồng'!$AA45,'Cắt lồng'!$AE$327:$AE$515,'Cắt lồng'!DQ$4:DQ$4)</f>
        <v>0</v>
      </c>
      <c r="DR45" s="79">
        <f t="array" ref="DR45">SUMIFS('Cắt lồng'!$AH$327:$AH$515,'Cắt lồng'!$AA$327:$AA$515,'Cắt lồng'!$AA45,'Cắt lồng'!$AE$327:$AE$515,'Cắt lồng'!DR$4:DR$4)</f>
        <v>0</v>
      </c>
      <c r="DS45" s="78" t="e">
        <f t="shared" si="132"/>
        <v>#DIV/0!</v>
      </c>
      <c r="DT45" s="79">
        <f t="array" ref="DT45">SUMIFS('Cắt lồng'!$AC$327:$AC$515,'Cắt lồng'!$AA$327:$AA$515,'Cắt lồng'!$AA45,'Cắt lồng'!$AE$327:$AE$515,'Cắt lồng'!DT$4:DT$4)</f>
        <v>0</v>
      </c>
      <c r="DU45" s="79">
        <f t="array" ref="DU45">SUMIFS('Cắt lồng'!$AH$327:$AH$515,'Cắt lồng'!$AA$327:$AA$515,'Cắt lồng'!$AA45,'Cắt lồng'!$AE$327:$AE$515,'Cắt lồng'!DU$4:DU$4)</f>
        <v>0</v>
      </c>
      <c r="DV45" s="78" t="e">
        <f t="shared" si="133"/>
        <v>#DIV/0!</v>
      </c>
      <c r="DW45" s="79">
        <f t="array" ref="DW45">SUMIFS('Cắt lồng'!$AC$327:$AC$515,'Cắt lồng'!$AA$327:$AA$515,'Cắt lồng'!$AA45,'Cắt lồng'!$AE$327:$AE$515,'Cắt lồng'!DW$4:DW$4)</f>
        <v>0</v>
      </c>
      <c r="DX45" s="79">
        <f t="array" ref="DX45">SUMIFS('Cắt lồng'!$AH$327:$AH$515,'Cắt lồng'!$AA$327:$AA$515,'Cắt lồng'!$AA45,'Cắt lồng'!$AE$327:$AE$515,'Cắt lồng'!DX$4:DX$4)</f>
        <v>0</v>
      </c>
      <c r="DY45" s="78" t="e">
        <f t="shared" si="134"/>
        <v>#DIV/0!</v>
      </c>
      <c r="DZ45" s="79">
        <f t="array" ref="DZ45">SUMIFS('Cắt lồng'!$AC$327:$AC$515,'Cắt lồng'!$AA$327:$AA$515,'Cắt lồng'!$AA45,'Cắt lồng'!$AE$327:$AE$515,'Cắt lồng'!DZ$4:DZ$4)</f>
        <v>0</v>
      </c>
      <c r="EA45" s="79">
        <f t="array" ref="EA45">SUMIFS('Cắt lồng'!$AH$327:$AH$515,'Cắt lồng'!$AA$327:$AA$515,'Cắt lồng'!$AA45,'Cắt lồng'!$AE$327:$AE$515,'Cắt lồng'!EA$4:EA$4)</f>
        <v>0</v>
      </c>
      <c r="EB45" s="78" t="e">
        <f t="shared" si="135"/>
        <v>#DIV/0!</v>
      </c>
      <c r="EC45" s="79">
        <f t="array" ref="EC45">SUMIFS('Cắt lồng'!$AC$327:$AC$515,'Cắt lồng'!$AA$327:$AA$515,'Cắt lồng'!$AA45,'Cắt lồng'!$AE$327:$AE$515,'Cắt lồng'!EC$4:EC$4)</f>
        <v>0</v>
      </c>
      <c r="ED45" s="79">
        <f t="array" ref="ED45">SUMIFS('Cắt lồng'!$AH$327:$AH$515,'Cắt lồng'!$AA$327:$AA$515,'Cắt lồng'!$AA45,'Cắt lồng'!$AE$327:$AE$515,'Cắt lồng'!ED$4:ED$4)</f>
        <v>0</v>
      </c>
      <c r="EE45" s="78" t="e">
        <f t="shared" si="136"/>
        <v>#DIV/0!</v>
      </c>
      <c r="EF45" s="79">
        <f t="array" ref="EF45">SUMIFS('Cắt lồng'!$AC$327:$AC$515,'Cắt lồng'!$AA$327:$AA$515,'Cắt lồng'!$AA45,'Cắt lồng'!$AE$327:$AE$515,'Cắt lồng'!EF$4:EF$4)</f>
        <v>0</v>
      </c>
      <c r="EG45" s="79">
        <f t="array" ref="EG45">SUMIFS('Cắt lồng'!$AH$327:$AH$515,'Cắt lồng'!$AA$327:$AA$515,'Cắt lồng'!$AA45,'Cắt lồng'!$AE$327:$AE$515,'Cắt lồng'!EG$4:EG$4)</f>
        <v>0</v>
      </c>
      <c r="EH45" s="78" t="e">
        <f t="shared" si="137"/>
        <v>#DIV/0!</v>
      </c>
      <c r="EI45" s="79">
        <f t="array" ref="EI45">SUMIFS('Cắt lồng'!$AC$327:$AC$515,'Cắt lồng'!$AA$327:$AA$515,'Cắt lồng'!$AA45,'Cắt lồng'!$AE$327:$AE$515,'Cắt lồng'!EI$4:EI$4)</f>
        <v>0</v>
      </c>
      <c r="EJ45" s="79">
        <f t="array" ref="EJ45">SUMIFS('Cắt lồng'!$AH$327:$AH$515,'Cắt lồng'!$AA$327:$AA$515,'Cắt lồng'!$AA45,'Cắt lồng'!$AE$327:$AE$515,'Cắt lồng'!EJ$4:EJ$4)</f>
        <v>0</v>
      </c>
      <c r="EK45" s="78" t="e">
        <f t="shared" si="138"/>
        <v>#DIV/0!</v>
      </c>
      <c r="EL45" s="172"/>
    </row>
    <row r="46" spans="1:142" s="12" customFormat="1" ht="14.25" hidden="1" customHeight="1">
      <c r="A46" s="25">
        <v>41</v>
      </c>
      <c r="B46" s="26"/>
      <c r="C46" s="26"/>
      <c r="D46" s="185">
        <f t="shared" si="140"/>
        <v>0</v>
      </c>
      <c r="E46" s="184">
        <f t="shared" si="141"/>
        <v>0</v>
      </c>
      <c r="F46" s="56"/>
      <c r="G46" s="82">
        <f t="shared" si="79"/>
        <v>0</v>
      </c>
      <c r="H46" s="81">
        <f t="shared" si="80"/>
        <v>0</v>
      </c>
      <c r="I46" s="19">
        <f t="shared" si="81"/>
        <v>0</v>
      </c>
      <c r="J46" s="11">
        <f t="shared" si="82"/>
        <v>0</v>
      </c>
      <c r="K46" s="19">
        <f t="shared" si="83"/>
        <v>0</v>
      </c>
      <c r="L46" s="19">
        <f t="shared" si="84"/>
        <v>0</v>
      </c>
      <c r="M46" s="19">
        <f t="shared" si="85"/>
        <v>0</v>
      </c>
      <c r="N46" s="19">
        <f t="shared" si="86"/>
        <v>0</v>
      </c>
      <c r="O46" s="19">
        <f t="shared" si="87"/>
        <v>0</v>
      </c>
      <c r="P46" s="19">
        <f t="shared" si="88"/>
        <v>0</v>
      </c>
      <c r="Q46" s="19">
        <f t="shared" si="89"/>
        <v>0</v>
      </c>
      <c r="R46" s="19">
        <f t="shared" si="90"/>
        <v>0</v>
      </c>
      <c r="S46" s="19">
        <f t="shared" si="91"/>
        <v>0</v>
      </c>
      <c r="T46" s="19">
        <f t="shared" si="92"/>
        <v>0</v>
      </c>
      <c r="U46" s="19">
        <f t="shared" si="93"/>
        <v>0</v>
      </c>
      <c r="V46" s="19">
        <f t="shared" si="94"/>
        <v>0</v>
      </c>
      <c r="W46" s="19">
        <f t="shared" si="95"/>
        <v>0</v>
      </c>
      <c r="X46" s="19">
        <f t="shared" si="96"/>
        <v>0</v>
      </c>
      <c r="Y46" s="19">
        <f t="shared" si="97"/>
        <v>0</v>
      </c>
      <c r="Z46" s="19">
        <f t="shared" si="98"/>
        <v>0</v>
      </c>
      <c r="AA46" s="164" t="s">
        <v>250</v>
      </c>
      <c r="AB46" s="129">
        <f t="shared" si="21"/>
        <v>0</v>
      </c>
      <c r="AC46" s="16">
        <f t="shared" si="22"/>
        <v>0</v>
      </c>
      <c r="AD46" s="15" t="e">
        <f t="shared" si="99"/>
        <v>#DIV/0!</v>
      </c>
      <c r="AE46" s="42"/>
      <c r="AF46" s="10" t="e">
        <f t="shared" si="100"/>
        <v>#DIV/0!</v>
      </c>
      <c r="AG46" s="10"/>
      <c r="AH46" s="152">
        <f t="shared" si="139"/>
        <v>0</v>
      </c>
      <c r="AI46" s="54" t="e">
        <f t="shared" si="101"/>
        <v>#DIV/0!</v>
      </c>
      <c r="AJ46" s="25">
        <f t="shared" si="102"/>
        <v>0</v>
      </c>
      <c r="AK46" s="25">
        <f t="shared" si="103"/>
        <v>0</v>
      </c>
      <c r="AL46" s="25">
        <f t="shared" si="104"/>
        <v>0</v>
      </c>
      <c r="AM46" s="30">
        <f t="shared" si="73"/>
        <v>0</v>
      </c>
      <c r="AN46" s="30">
        <f t="shared" si="74"/>
        <v>0</v>
      </c>
      <c r="AO46" s="30">
        <f t="shared" si="75"/>
        <v>0</v>
      </c>
      <c r="AP46" s="30">
        <f t="shared" si="76"/>
        <v>0</v>
      </c>
      <c r="AQ46" s="30">
        <f t="shared" si="77"/>
        <v>0</v>
      </c>
      <c r="AR46" s="30">
        <f t="shared" si="105"/>
        <v>0</v>
      </c>
      <c r="AS46" s="30">
        <f t="shared" si="106"/>
        <v>0</v>
      </c>
      <c r="AT46" s="30">
        <f t="shared" si="78"/>
        <v>0</v>
      </c>
      <c r="AV46" s="79">
        <f t="shared" si="107"/>
        <v>0</v>
      </c>
      <c r="AW46" s="79">
        <f t="array" ref="AW46">SUMIFS('Cắt lồng'!$AC$327:$AC$515,'Cắt lồng'!$AA$327:$AA$515,'Cắt lồng'!$AA46,'Cắt lồng'!$AE$327:$AE$515,'Cắt lồng'!AW$4:AW$4)</f>
        <v>0</v>
      </c>
      <c r="AX46" s="79">
        <f t="array" ref="AX46">SUMIFS('Cắt lồng'!$AH$327:$AH$515,'Cắt lồng'!$AA$327:$AA$515,'Cắt lồng'!$AA46,'Cắt lồng'!$AE$327:$AE$515,'Cắt lồng'!AX$4:AX$4)</f>
        <v>0</v>
      </c>
      <c r="AY46" s="78" t="e">
        <f t="shared" si="108"/>
        <v>#DIV/0!</v>
      </c>
      <c r="AZ46" s="79">
        <f t="array" ref="AZ46">SUMIFS('Cắt lồng'!$AC$327:$AC$515,'Cắt lồng'!$AA$327:$AA$515,'Cắt lồng'!$AA46,'Cắt lồng'!$AE$327:$AE$515,'Cắt lồng'!AZ$4:AZ$4)</f>
        <v>0</v>
      </c>
      <c r="BA46" s="79">
        <f t="array" ref="BA46">SUMIFS('Cắt lồng'!$AH$327:$AH$515,'Cắt lồng'!$AA$327:$AA$515,'Cắt lồng'!$AA46,'Cắt lồng'!$AE$327:$AE$515,'Cắt lồng'!BA$4:BA$4)</f>
        <v>0</v>
      </c>
      <c r="BB46" s="78" t="e">
        <f t="shared" si="109"/>
        <v>#DIV/0!</v>
      </c>
      <c r="BC46" s="79">
        <f t="array" ref="BC46">SUMIFS('Cắt lồng'!$AC$327:$AC$515,'Cắt lồng'!$AA$327:$AA$515,'Cắt lồng'!$AA46,'Cắt lồng'!$AE$327:$AE$515,'Cắt lồng'!BC$4:BC$4)</f>
        <v>0</v>
      </c>
      <c r="BD46" s="79">
        <f t="array" ref="BD46">SUMIFS('Cắt lồng'!$AH$327:$AH$515,'Cắt lồng'!$AA$327:$AA$515,'Cắt lồng'!$AA46,'Cắt lồng'!$AE$327:$AE$515,'Cắt lồng'!BD$4:BD$4)</f>
        <v>0</v>
      </c>
      <c r="BE46" s="78" t="e">
        <f t="shared" si="110"/>
        <v>#DIV/0!</v>
      </c>
      <c r="BF46" s="79">
        <f t="array" ref="BF46">SUMIFS('Cắt lồng'!$AC$327:$AC$515,'Cắt lồng'!$AA$327:$AA$515,'Cắt lồng'!$AA46,'Cắt lồng'!$AE$327:$AE$515,'Cắt lồng'!BF$4:BF$4)</f>
        <v>0</v>
      </c>
      <c r="BG46" s="79">
        <f t="array" ref="BG46">SUMIFS('Cắt lồng'!$AH$327:$AH$515,'Cắt lồng'!$AA$327:$AA$515,'Cắt lồng'!$AA46,'Cắt lồng'!$AE$327:$AE$515,'Cắt lồng'!BG$4:BG$4)</f>
        <v>0</v>
      </c>
      <c r="BH46" s="78" t="e">
        <f t="shared" si="111"/>
        <v>#DIV/0!</v>
      </c>
      <c r="BI46" s="79">
        <f t="array" ref="BI46">SUMIFS('Cắt lồng'!$AC$327:$AC$515,'Cắt lồng'!$AA$327:$AA$515,'Cắt lồng'!$AA46,'Cắt lồng'!$AE$327:$AE$515,'Cắt lồng'!BI$4:BI$4)</f>
        <v>0</v>
      </c>
      <c r="BJ46" s="79">
        <f t="array" ref="BJ46">SUMIFS('Cắt lồng'!$AH$327:$AH$515,'Cắt lồng'!$AA$327:$AA$515,'Cắt lồng'!$AA46,'Cắt lồng'!$AE$327:$AE$515,'Cắt lồng'!BJ$4:BJ$4)</f>
        <v>0</v>
      </c>
      <c r="BK46" s="78" t="e">
        <f t="shared" si="112"/>
        <v>#DIV/0!</v>
      </c>
      <c r="BL46" s="79">
        <f t="array" ref="BL46">SUMIFS('Cắt lồng'!$AC$327:$AC$515,'Cắt lồng'!$AA$327:$AA$515,'Cắt lồng'!$AA46,'Cắt lồng'!$AE$327:$AE$515,'Cắt lồng'!BL$4:BL$4)</f>
        <v>0</v>
      </c>
      <c r="BM46" s="79">
        <f t="array" ref="BM46">SUMIFS('Cắt lồng'!$AH$327:$AH$515,'Cắt lồng'!$AA$327:$AA$515,'Cắt lồng'!$AA46,'Cắt lồng'!$AE$327:$AE$515,'Cắt lồng'!BM$4:BM$4)</f>
        <v>0</v>
      </c>
      <c r="BN46" s="78" t="e">
        <f t="shared" si="113"/>
        <v>#DIV/0!</v>
      </c>
      <c r="BO46" s="79">
        <f t="array" ref="BO46">SUMIFS('Cắt lồng'!$AC$327:$AC$515,'Cắt lồng'!$AA$327:$AA$515,'Cắt lồng'!$AA46,'Cắt lồng'!$AE$327:$AE$515,'Cắt lồng'!BO$4:BO$4)</f>
        <v>0</v>
      </c>
      <c r="BP46" s="79">
        <f t="array" ref="BP46">SUMIFS('Cắt lồng'!$AH$327:$AH$515,'Cắt lồng'!$AA$327:$AA$515,'Cắt lồng'!$AA46,'Cắt lồng'!$AE$327:$AE$515,'Cắt lồng'!BP$4:BP$4)</f>
        <v>0</v>
      </c>
      <c r="BQ46" s="78" t="e">
        <f t="shared" si="114"/>
        <v>#DIV/0!</v>
      </c>
      <c r="BR46" s="79">
        <f t="array" ref="BR46">SUMIFS('Cắt lồng'!$AC$327:$AC$515,'Cắt lồng'!$AA$327:$AA$515,'Cắt lồng'!$AA46,'Cắt lồng'!$AE$327:$AE$515,'Cắt lồng'!BR$4:BR$4)</f>
        <v>0</v>
      </c>
      <c r="BS46" s="79">
        <f t="array" ref="BS46">SUMIFS('Cắt lồng'!$AH$327:$AH$515,'Cắt lồng'!$AA$327:$AA$515,'Cắt lồng'!$AA46,'Cắt lồng'!$AE$327:$AE$515,'Cắt lồng'!BS$4:BS$4)</f>
        <v>0</v>
      </c>
      <c r="BT46" s="78" t="e">
        <f t="shared" si="115"/>
        <v>#DIV/0!</v>
      </c>
      <c r="BU46" s="79">
        <f t="array" ref="BU46">SUMIFS('Cắt lồng'!$AC$327:$AC$515,'Cắt lồng'!$AA$327:$AA$515,'Cắt lồng'!$AA46,'Cắt lồng'!$AE$327:$AE$515,'Cắt lồng'!BU$4:BU$4)</f>
        <v>0</v>
      </c>
      <c r="BV46" s="79">
        <f t="array" ref="BV46">SUMIFS('Cắt lồng'!$AH$327:$AH$515,'Cắt lồng'!$AA$327:$AA$515,'Cắt lồng'!$AA46,'Cắt lồng'!$AE$327:$AE$515,'Cắt lồng'!BV$4:BV$4)</f>
        <v>0</v>
      </c>
      <c r="BW46" s="78" t="e">
        <f t="shared" si="116"/>
        <v>#DIV/0!</v>
      </c>
      <c r="BX46" s="79">
        <f t="array" ref="BX46">SUMIFS('Cắt lồng'!$AC$327:$AC$515,'Cắt lồng'!$AA$327:$AA$515,'Cắt lồng'!$AA46,'Cắt lồng'!$AE$327:$AE$515,'Cắt lồng'!BX$4:BX$4)</f>
        <v>0</v>
      </c>
      <c r="BY46" s="79">
        <f t="array" ref="BY46">SUMIFS('Cắt lồng'!$AH$327:$AH$515,'Cắt lồng'!$AA$327:$AA$515,'Cắt lồng'!$AA46,'Cắt lồng'!$AE$327:$AE$515,'Cắt lồng'!BY$4:BY$4)</f>
        <v>0</v>
      </c>
      <c r="BZ46" s="78" t="e">
        <f t="shared" si="117"/>
        <v>#DIV/0!</v>
      </c>
      <c r="CA46" s="79">
        <f t="array" ref="CA46">SUMIFS('Cắt lồng'!$AC$327:$AC$515,'Cắt lồng'!$AA$327:$AA$515,'Cắt lồng'!$AA46,'Cắt lồng'!$AE$327:$AE$515,'Cắt lồng'!CA$4:CA$4)</f>
        <v>0</v>
      </c>
      <c r="CB46" s="79">
        <f t="array" ref="CB46">SUMIFS('Cắt lồng'!$AH$327:$AH$515,'Cắt lồng'!$AA$327:$AA$515,'Cắt lồng'!$AA46,'Cắt lồng'!$AE$327:$AE$515,'Cắt lồng'!CB$4:CB$4)</f>
        <v>0</v>
      </c>
      <c r="CC46" s="78" t="e">
        <f t="shared" si="118"/>
        <v>#DIV/0!</v>
      </c>
      <c r="CD46" s="79">
        <f t="array" ref="CD46">SUMIFS('Cắt lồng'!$AC$327:$AC$515,'Cắt lồng'!$AA$327:$AA$515,'Cắt lồng'!$AA46,'Cắt lồng'!$AE$327:$AE$515,'Cắt lồng'!CD$4:CD$4)</f>
        <v>0</v>
      </c>
      <c r="CE46" s="79">
        <f t="array" ref="CE46">SUMIFS('Cắt lồng'!$AH$327:$AH$515,'Cắt lồng'!$AA$327:$AA$515,'Cắt lồng'!$AA46,'Cắt lồng'!$AE$327:$AE$515,'Cắt lồng'!CE$4:CE$4)</f>
        <v>0</v>
      </c>
      <c r="CF46" s="78" t="e">
        <f t="shared" si="119"/>
        <v>#DIV/0!</v>
      </c>
      <c r="CG46" s="79">
        <f t="array" ref="CG46">SUMIFS('Cắt lồng'!$AC$327:$AC$515,'Cắt lồng'!$AA$327:$AA$515,'Cắt lồng'!$AA46,'Cắt lồng'!$AE$327:$AE$515,'Cắt lồng'!CG$4:CG$4)</f>
        <v>0</v>
      </c>
      <c r="CH46" s="79">
        <f t="array" ref="CH46">SUMIFS('Cắt lồng'!$AH$327:$AH$515,'Cắt lồng'!$AA$327:$AA$515,'Cắt lồng'!$AA46,'Cắt lồng'!$AE$327:$AE$515,'Cắt lồng'!CH$4:CH$4)</f>
        <v>0</v>
      </c>
      <c r="CI46" s="78" t="e">
        <f t="shared" si="120"/>
        <v>#DIV/0!</v>
      </c>
      <c r="CJ46" s="79">
        <f t="array" ref="CJ46">SUMIFS('Cắt lồng'!$AC$327:$AC$515,'Cắt lồng'!$AA$327:$AA$515,'Cắt lồng'!$AA46,'Cắt lồng'!$AE$327:$AE$515,'Cắt lồng'!CJ$4:CJ$4)</f>
        <v>0</v>
      </c>
      <c r="CK46" s="79">
        <f t="array" ref="CK46">SUMIFS('Cắt lồng'!$AH$327:$AH$515,'Cắt lồng'!$AA$327:$AA$515,'Cắt lồng'!$AA46,'Cắt lồng'!$AE$327:$AE$515,'Cắt lồng'!CK$4:CK$4)</f>
        <v>0</v>
      </c>
      <c r="CL46" s="78" t="e">
        <f t="shared" si="121"/>
        <v>#DIV/0!</v>
      </c>
      <c r="CM46" s="79">
        <f t="array" ref="CM46">SUMIFS('Cắt lồng'!$AC$327:$AC$515,'Cắt lồng'!$AA$327:$AA$515,'Cắt lồng'!$AA46,'Cắt lồng'!$AE$327:$AE$515,'Cắt lồng'!CM$4:CM$4)</f>
        <v>0</v>
      </c>
      <c r="CN46" s="79">
        <f t="array" ref="CN46">SUMIFS('Cắt lồng'!$AH$327:$AH$515,'Cắt lồng'!$AA$327:$AA$515,'Cắt lồng'!$AA46,'Cắt lồng'!$AE$327:$AE$515,'Cắt lồng'!CN$4:CN$4)</f>
        <v>0</v>
      </c>
      <c r="CO46" s="78" t="e">
        <f t="shared" si="122"/>
        <v>#DIV/0!</v>
      </c>
      <c r="CP46" s="79">
        <f t="array" ref="CP46">SUMIFS('Cắt lồng'!$AC$327:$AC$515,'Cắt lồng'!$AA$327:$AA$515,'Cắt lồng'!$AA46,'Cắt lồng'!$AE$327:$AE$515,'Cắt lồng'!CP$4:CP$4)</f>
        <v>0</v>
      </c>
      <c r="CQ46" s="79">
        <f t="array" ref="CQ46">SUMIFS('Cắt lồng'!$AH$327:$AH$515,'Cắt lồng'!$AA$327:$AA$515,'Cắt lồng'!$AA46,'Cắt lồng'!$AE$327:$AE$515,'Cắt lồng'!CQ$4:CQ$4)</f>
        <v>0</v>
      </c>
      <c r="CR46" s="78" t="e">
        <f t="shared" si="123"/>
        <v>#DIV/0!</v>
      </c>
      <c r="CS46" s="79">
        <f t="array" ref="CS46">SUMIFS('Cắt lồng'!$AC$327:$AC$515,'Cắt lồng'!$AA$327:$AA$515,'Cắt lồng'!$AA46,'Cắt lồng'!$AE$327:$AE$515,'Cắt lồng'!CS$4:CS$4)</f>
        <v>0</v>
      </c>
      <c r="CT46" s="79">
        <f t="array" ref="CT46">SUMIFS('Cắt lồng'!$AH$327:$AH$515,'Cắt lồng'!$AA$327:$AA$515,'Cắt lồng'!$AA46,'Cắt lồng'!$AE$327:$AE$515,'Cắt lồng'!CT$4:CT$4)</f>
        <v>0</v>
      </c>
      <c r="CU46" s="78" t="e">
        <f t="shared" si="124"/>
        <v>#DIV/0!</v>
      </c>
      <c r="CV46" s="79">
        <f t="array" ref="CV46">SUMIFS('Cắt lồng'!$AC$327:$AC$515,'Cắt lồng'!$AA$327:$AA$515,'Cắt lồng'!$AA46,'Cắt lồng'!$AE$327:$AE$515,'Cắt lồng'!CV$4:CV$4)</f>
        <v>0</v>
      </c>
      <c r="CW46" s="79">
        <f t="array" ref="CW46">SUMIFS('Cắt lồng'!$AH$327:$AH$515,'Cắt lồng'!$AA$327:$AA$515,'Cắt lồng'!$AA46,'Cắt lồng'!$AE$327:$AE$515,'Cắt lồng'!CW$4:CW$4)</f>
        <v>0</v>
      </c>
      <c r="CX46" s="78" t="e">
        <f t="shared" si="125"/>
        <v>#DIV/0!</v>
      </c>
      <c r="CY46" s="79">
        <f t="array" ref="CY46">SUMIFS('Cắt lồng'!$AC$327:$AC$515,'Cắt lồng'!$AA$327:$AA$515,'Cắt lồng'!$AA46,'Cắt lồng'!$AE$327:$AE$515,'Cắt lồng'!CY$4:CY$4)</f>
        <v>0</v>
      </c>
      <c r="CZ46" s="79">
        <f t="array" ref="CZ46">SUMIFS('Cắt lồng'!$AH$327:$AH$515,'Cắt lồng'!$AA$327:$AA$515,'Cắt lồng'!$AA46,'Cắt lồng'!$AE$327:$AE$515,'Cắt lồng'!CZ$4:CZ$4)</f>
        <v>0</v>
      </c>
      <c r="DA46" s="78" t="e">
        <f t="shared" si="126"/>
        <v>#DIV/0!</v>
      </c>
      <c r="DB46" s="79">
        <f t="array" ref="DB46">SUMIFS('Cắt lồng'!$AC$327:$AC$515,'Cắt lồng'!$AA$327:$AA$515,'Cắt lồng'!$AA46,'Cắt lồng'!$AE$327:$AE$515,'Cắt lồng'!DB$4:DB$4)</f>
        <v>0</v>
      </c>
      <c r="DC46" s="79">
        <f t="array" ref="DC46">SUMIFS('Cắt lồng'!$AH$327:$AH$515,'Cắt lồng'!$AA$327:$AA$515,'Cắt lồng'!$AA46,'Cắt lồng'!$AE$327:$AE$515,'Cắt lồng'!DC$4:DC$4)</f>
        <v>0</v>
      </c>
      <c r="DD46" s="78" t="e">
        <f t="shared" si="127"/>
        <v>#DIV/0!</v>
      </c>
      <c r="DE46" s="79">
        <f t="array" ref="DE46">SUMIFS('Cắt lồng'!$AC$327:$AC$515,'Cắt lồng'!$AA$327:$AA$515,'Cắt lồng'!$AA46,'Cắt lồng'!$AE$327:$AE$515,'Cắt lồng'!DE$4:DE$4)</f>
        <v>0</v>
      </c>
      <c r="DF46" s="79">
        <f t="array" ref="DF46">SUMIFS('Cắt lồng'!$AH$327:$AH$515,'Cắt lồng'!$AA$327:$AA$515,'Cắt lồng'!$AA46,'Cắt lồng'!$AE$327:$AE$515,'Cắt lồng'!DF$4:DF$4)</f>
        <v>0</v>
      </c>
      <c r="DG46" s="78" t="e">
        <f t="shared" si="128"/>
        <v>#DIV/0!</v>
      </c>
      <c r="DH46" s="79">
        <f t="array" ref="DH46">SUMIFS('Cắt lồng'!$AC$327:$AC$515,'Cắt lồng'!$AA$327:$AA$515,'Cắt lồng'!$AA46,'Cắt lồng'!$AE$327:$AE$515,'Cắt lồng'!DH$4:DH$4)</f>
        <v>0</v>
      </c>
      <c r="DI46" s="79">
        <f t="array" ref="DI46">SUMIFS('Cắt lồng'!$AH$327:$AH$515,'Cắt lồng'!$AA$327:$AA$515,'Cắt lồng'!$AA46,'Cắt lồng'!$AE$327:$AE$515,'Cắt lồng'!DI$4:DI$4)</f>
        <v>0</v>
      </c>
      <c r="DJ46" s="78" t="e">
        <f t="shared" si="129"/>
        <v>#DIV/0!</v>
      </c>
      <c r="DK46" s="79">
        <f t="array" ref="DK46">SUMIFS('Cắt lồng'!$AC$327:$AC$515,'Cắt lồng'!$AA$327:$AA$515,'Cắt lồng'!$AA46,'Cắt lồng'!$AE$327:$AE$515,'Cắt lồng'!DK$4:DK$4)</f>
        <v>0</v>
      </c>
      <c r="DL46" s="79">
        <f t="array" ref="DL46">SUMIFS('Cắt lồng'!$AH$327:$AH$515,'Cắt lồng'!$AA$327:$AA$515,'Cắt lồng'!$AA46,'Cắt lồng'!$AE$327:$AE$515,'Cắt lồng'!DL$4:DL$4)</f>
        <v>0</v>
      </c>
      <c r="DM46" s="78" t="e">
        <f t="shared" si="130"/>
        <v>#DIV/0!</v>
      </c>
      <c r="DN46" s="79">
        <f>SUMIFS('Cắt lồng'!$AC$327:$AC$515,'Cắt lồng'!$AA$327:$AA$515,'Cắt lồng'!$AA46,'Cắt lồng'!$AE$327:$AE$515,'Cắt lồng'!DN$4:DN$4)</f>
        <v>0</v>
      </c>
      <c r="DO46" s="79">
        <f t="array" ref="DO46">SUMIFS('Cắt lồng'!$AH$327:$AH$515,'Cắt lồng'!$AA$327:$AA$515,'Cắt lồng'!$AA46,'Cắt lồng'!$AE$327:$AE$515,'Cắt lồng'!DO$4:DO$4)</f>
        <v>0</v>
      </c>
      <c r="DP46" s="78" t="e">
        <f t="shared" si="131"/>
        <v>#DIV/0!</v>
      </c>
      <c r="DQ46" s="79">
        <f t="array" ref="DQ46">SUMIFS('Cắt lồng'!$AC$327:$AC$515,'Cắt lồng'!$AA$327:$AA$515,'Cắt lồng'!$AA46,'Cắt lồng'!$AE$327:$AE$515,'Cắt lồng'!DQ$4:DQ$4)</f>
        <v>0</v>
      </c>
      <c r="DR46" s="79">
        <f t="array" ref="DR46">SUMIFS('Cắt lồng'!$AH$327:$AH$515,'Cắt lồng'!$AA$327:$AA$515,'Cắt lồng'!$AA46,'Cắt lồng'!$AE$327:$AE$515,'Cắt lồng'!DR$4:DR$4)</f>
        <v>0</v>
      </c>
      <c r="DS46" s="78" t="e">
        <f t="shared" si="132"/>
        <v>#DIV/0!</v>
      </c>
      <c r="DT46" s="79">
        <f t="array" ref="DT46">SUMIFS('Cắt lồng'!$AC$327:$AC$515,'Cắt lồng'!$AA$327:$AA$515,'Cắt lồng'!$AA46,'Cắt lồng'!$AE$327:$AE$515,'Cắt lồng'!DT$4:DT$4)</f>
        <v>0</v>
      </c>
      <c r="DU46" s="79">
        <f t="array" ref="DU46">SUMIFS('Cắt lồng'!$AH$327:$AH$515,'Cắt lồng'!$AA$327:$AA$515,'Cắt lồng'!$AA46,'Cắt lồng'!$AE$327:$AE$515,'Cắt lồng'!DU$4:DU$4)</f>
        <v>0</v>
      </c>
      <c r="DV46" s="78" t="e">
        <f t="shared" si="133"/>
        <v>#DIV/0!</v>
      </c>
      <c r="DW46" s="79">
        <f t="array" ref="DW46">SUMIFS('Cắt lồng'!$AC$327:$AC$515,'Cắt lồng'!$AA$327:$AA$515,'Cắt lồng'!$AA46,'Cắt lồng'!$AE$327:$AE$515,'Cắt lồng'!DW$4:DW$4)</f>
        <v>0</v>
      </c>
      <c r="DX46" s="79">
        <f t="array" ref="DX46">SUMIFS('Cắt lồng'!$AH$327:$AH$515,'Cắt lồng'!$AA$327:$AA$515,'Cắt lồng'!$AA46,'Cắt lồng'!$AE$327:$AE$515,'Cắt lồng'!DX$4:DX$4)</f>
        <v>0</v>
      </c>
      <c r="DY46" s="78" t="e">
        <f t="shared" si="134"/>
        <v>#DIV/0!</v>
      </c>
      <c r="DZ46" s="79">
        <f t="array" ref="DZ46">SUMIFS('Cắt lồng'!$AC$327:$AC$515,'Cắt lồng'!$AA$327:$AA$515,'Cắt lồng'!$AA46,'Cắt lồng'!$AE$327:$AE$515,'Cắt lồng'!DZ$4:DZ$4)</f>
        <v>0</v>
      </c>
      <c r="EA46" s="79">
        <f t="array" ref="EA46">SUMIFS('Cắt lồng'!$AH$327:$AH$515,'Cắt lồng'!$AA$327:$AA$515,'Cắt lồng'!$AA46,'Cắt lồng'!$AE$327:$AE$515,'Cắt lồng'!EA$4:EA$4)</f>
        <v>0</v>
      </c>
      <c r="EB46" s="78" t="e">
        <f t="shared" si="135"/>
        <v>#DIV/0!</v>
      </c>
      <c r="EC46" s="79">
        <f t="array" ref="EC46">SUMIFS('Cắt lồng'!$AC$327:$AC$515,'Cắt lồng'!$AA$327:$AA$515,'Cắt lồng'!$AA46,'Cắt lồng'!$AE$327:$AE$515,'Cắt lồng'!EC$4:EC$4)</f>
        <v>0</v>
      </c>
      <c r="ED46" s="79">
        <f t="array" ref="ED46">SUMIFS('Cắt lồng'!$AH$327:$AH$515,'Cắt lồng'!$AA$327:$AA$515,'Cắt lồng'!$AA46,'Cắt lồng'!$AE$327:$AE$515,'Cắt lồng'!ED$4:ED$4)</f>
        <v>0</v>
      </c>
      <c r="EE46" s="78" t="e">
        <f t="shared" si="136"/>
        <v>#DIV/0!</v>
      </c>
      <c r="EF46" s="79">
        <f t="array" ref="EF46">SUMIFS('Cắt lồng'!$AC$327:$AC$515,'Cắt lồng'!$AA$327:$AA$515,'Cắt lồng'!$AA46,'Cắt lồng'!$AE$327:$AE$515,'Cắt lồng'!EF$4:EF$4)</f>
        <v>0</v>
      </c>
      <c r="EG46" s="79">
        <f t="array" ref="EG46">SUMIFS('Cắt lồng'!$AH$327:$AH$515,'Cắt lồng'!$AA$327:$AA$515,'Cắt lồng'!$AA46,'Cắt lồng'!$AE$327:$AE$515,'Cắt lồng'!EG$4:EG$4)</f>
        <v>0</v>
      </c>
      <c r="EH46" s="78" t="e">
        <f t="shared" si="137"/>
        <v>#DIV/0!</v>
      </c>
      <c r="EI46" s="79">
        <f t="array" ref="EI46">SUMIFS('Cắt lồng'!$AC$327:$AC$515,'Cắt lồng'!$AA$327:$AA$515,'Cắt lồng'!$AA46,'Cắt lồng'!$AE$327:$AE$515,'Cắt lồng'!EI$4:EI$4)</f>
        <v>0</v>
      </c>
      <c r="EJ46" s="79">
        <f t="array" ref="EJ46">SUMIFS('Cắt lồng'!$AH$327:$AH$515,'Cắt lồng'!$AA$327:$AA$515,'Cắt lồng'!$AA46,'Cắt lồng'!$AE$327:$AE$515,'Cắt lồng'!EJ$4:EJ$4)</f>
        <v>0</v>
      </c>
      <c r="EK46" s="78" t="e">
        <f t="shared" si="138"/>
        <v>#DIV/0!</v>
      </c>
      <c r="EL46" s="172"/>
    </row>
    <row r="47" spans="1:142" s="12" customFormat="1" ht="14.25" hidden="1" customHeight="1">
      <c r="A47" s="25">
        <v>42</v>
      </c>
      <c r="B47" s="26"/>
      <c r="C47" s="26"/>
      <c r="D47" s="185">
        <f t="shared" si="140"/>
        <v>0</v>
      </c>
      <c r="E47" s="184">
        <f t="shared" si="141"/>
        <v>0</v>
      </c>
      <c r="F47" s="56"/>
      <c r="G47" s="82">
        <f t="shared" si="79"/>
        <v>0</v>
      </c>
      <c r="H47" s="81">
        <f t="shared" si="80"/>
        <v>0</v>
      </c>
      <c r="I47" s="19">
        <f t="shared" si="81"/>
        <v>0</v>
      </c>
      <c r="J47" s="11">
        <f t="shared" si="82"/>
        <v>0</v>
      </c>
      <c r="K47" s="19">
        <f t="shared" si="83"/>
        <v>0</v>
      </c>
      <c r="L47" s="19">
        <f t="shared" si="84"/>
        <v>0</v>
      </c>
      <c r="M47" s="19">
        <f t="shared" si="85"/>
        <v>0</v>
      </c>
      <c r="N47" s="19">
        <f t="shared" si="86"/>
        <v>0</v>
      </c>
      <c r="O47" s="19">
        <f t="shared" si="87"/>
        <v>0</v>
      </c>
      <c r="P47" s="19">
        <f t="shared" si="88"/>
        <v>0</v>
      </c>
      <c r="Q47" s="19">
        <f t="shared" si="89"/>
        <v>0</v>
      </c>
      <c r="R47" s="19">
        <f t="shared" si="90"/>
        <v>0</v>
      </c>
      <c r="S47" s="19">
        <f t="shared" si="91"/>
        <v>0</v>
      </c>
      <c r="T47" s="19">
        <f t="shared" si="92"/>
        <v>0</v>
      </c>
      <c r="U47" s="19">
        <f t="shared" si="93"/>
        <v>0</v>
      </c>
      <c r="V47" s="19">
        <f t="shared" si="94"/>
        <v>0</v>
      </c>
      <c r="W47" s="19">
        <f t="shared" si="95"/>
        <v>0</v>
      </c>
      <c r="X47" s="19">
        <f t="shared" si="96"/>
        <v>0</v>
      </c>
      <c r="Y47" s="19">
        <f t="shared" si="97"/>
        <v>0</v>
      </c>
      <c r="Z47" s="19">
        <f t="shared" si="98"/>
        <v>0</v>
      </c>
      <c r="AA47" s="164" t="s">
        <v>249</v>
      </c>
      <c r="AB47" s="129">
        <f t="shared" si="21"/>
        <v>0</v>
      </c>
      <c r="AC47" s="16">
        <f t="shared" si="22"/>
        <v>0</v>
      </c>
      <c r="AD47" s="15" t="e">
        <f t="shared" si="99"/>
        <v>#DIV/0!</v>
      </c>
      <c r="AE47" s="42"/>
      <c r="AF47" s="10" t="e">
        <f t="shared" si="100"/>
        <v>#DIV/0!</v>
      </c>
      <c r="AG47" s="10"/>
      <c r="AH47" s="152">
        <f t="shared" si="139"/>
        <v>0</v>
      </c>
      <c r="AI47" s="54" t="e">
        <f t="shared" si="101"/>
        <v>#DIV/0!</v>
      </c>
      <c r="AJ47" s="25">
        <f t="shared" si="102"/>
        <v>0</v>
      </c>
      <c r="AK47" s="25">
        <f t="shared" si="103"/>
        <v>0</v>
      </c>
      <c r="AL47" s="25">
        <f t="shared" si="104"/>
        <v>0</v>
      </c>
      <c r="AM47" s="30">
        <f t="shared" si="73"/>
        <v>0</v>
      </c>
      <c r="AN47" s="30">
        <f t="shared" si="74"/>
        <v>0</v>
      </c>
      <c r="AO47" s="30">
        <f t="shared" si="75"/>
        <v>0</v>
      </c>
      <c r="AP47" s="30">
        <f t="shared" si="76"/>
        <v>0</v>
      </c>
      <c r="AQ47" s="30">
        <f t="shared" si="77"/>
        <v>0</v>
      </c>
      <c r="AR47" s="30">
        <f t="shared" si="105"/>
        <v>0</v>
      </c>
      <c r="AS47" s="30">
        <f t="shared" si="106"/>
        <v>0</v>
      </c>
      <c r="AT47" s="30">
        <f t="shared" si="78"/>
        <v>0</v>
      </c>
      <c r="AV47" s="79">
        <f t="shared" si="107"/>
        <v>0</v>
      </c>
      <c r="AW47" s="79">
        <f t="array" ref="AW47">SUMIFS('Cắt lồng'!$AC$327:$AC$515,'Cắt lồng'!$AA$327:$AA$515,'Cắt lồng'!$AA47,'Cắt lồng'!$AE$327:$AE$515,'Cắt lồng'!AW$4:AW$4)</f>
        <v>0</v>
      </c>
      <c r="AX47" s="79">
        <f t="array" ref="AX47">SUMIFS('Cắt lồng'!$AH$327:$AH$515,'Cắt lồng'!$AA$327:$AA$515,'Cắt lồng'!$AA47,'Cắt lồng'!$AE$327:$AE$515,'Cắt lồng'!AX$4:AX$4)</f>
        <v>0</v>
      </c>
      <c r="AY47" s="78" t="e">
        <f t="shared" si="108"/>
        <v>#DIV/0!</v>
      </c>
      <c r="AZ47" s="79">
        <f t="array" ref="AZ47">SUMIFS('Cắt lồng'!$AC$327:$AC$515,'Cắt lồng'!$AA$327:$AA$515,'Cắt lồng'!$AA47,'Cắt lồng'!$AE$327:$AE$515,'Cắt lồng'!AZ$4:AZ$4)</f>
        <v>0</v>
      </c>
      <c r="BA47" s="79">
        <f t="array" ref="BA47">SUMIFS('Cắt lồng'!$AH$327:$AH$515,'Cắt lồng'!$AA$327:$AA$515,'Cắt lồng'!$AA47,'Cắt lồng'!$AE$327:$AE$515,'Cắt lồng'!BA$4:BA$4)</f>
        <v>0</v>
      </c>
      <c r="BB47" s="78" t="e">
        <f t="shared" si="109"/>
        <v>#DIV/0!</v>
      </c>
      <c r="BC47" s="79">
        <f t="array" ref="BC47">SUMIFS('Cắt lồng'!$AC$327:$AC$515,'Cắt lồng'!$AA$327:$AA$515,'Cắt lồng'!$AA47,'Cắt lồng'!$AE$327:$AE$515,'Cắt lồng'!BC$4:BC$4)</f>
        <v>0</v>
      </c>
      <c r="BD47" s="79">
        <f t="array" ref="BD47">SUMIFS('Cắt lồng'!$AH$327:$AH$515,'Cắt lồng'!$AA$327:$AA$515,'Cắt lồng'!$AA47,'Cắt lồng'!$AE$327:$AE$515,'Cắt lồng'!BD$4:BD$4)</f>
        <v>0</v>
      </c>
      <c r="BE47" s="78" t="e">
        <f t="shared" si="110"/>
        <v>#DIV/0!</v>
      </c>
      <c r="BF47" s="79">
        <f t="array" ref="BF47">SUMIFS('Cắt lồng'!$AC$327:$AC$515,'Cắt lồng'!$AA$327:$AA$515,'Cắt lồng'!$AA47,'Cắt lồng'!$AE$327:$AE$515,'Cắt lồng'!BF$4:BF$4)</f>
        <v>0</v>
      </c>
      <c r="BG47" s="79">
        <f t="array" ref="BG47">SUMIFS('Cắt lồng'!$AH$327:$AH$515,'Cắt lồng'!$AA$327:$AA$515,'Cắt lồng'!$AA47,'Cắt lồng'!$AE$327:$AE$515,'Cắt lồng'!BG$4:BG$4)</f>
        <v>0</v>
      </c>
      <c r="BH47" s="78" t="e">
        <f t="shared" si="111"/>
        <v>#DIV/0!</v>
      </c>
      <c r="BI47" s="79">
        <f t="array" ref="BI47">SUMIFS('Cắt lồng'!$AC$327:$AC$515,'Cắt lồng'!$AA$327:$AA$515,'Cắt lồng'!$AA47,'Cắt lồng'!$AE$327:$AE$515,'Cắt lồng'!BI$4:BI$4)</f>
        <v>0</v>
      </c>
      <c r="BJ47" s="79">
        <f t="array" ref="BJ47">SUMIFS('Cắt lồng'!$AH$327:$AH$515,'Cắt lồng'!$AA$327:$AA$515,'Cắt lồng'!$AA47,'Cắt lồng'!$AE$327:$AE$515,'Cắt lồng'!BJ$4:BJ$4)</f>
        <v>0</v>
      </c>
      <c r="BK47" s="78" t="e">
        <f t="shared" si="112"/>
        <v>#DIV/0!</v>
      </c>
      <c r="BL47" s="79">
        <f t="array" ref="BL47">SUMIFS('Cắt lồng'!$AC$327:$AC$515,'Cắt lồng'!$AA$327:$AA$515,'Cắt lồng'!$AA47,'Cắt lồng'!$AE$327:$AE$515,'Cắt lồng'!BL$4:BL$4)</f>
        <v>0</v>
      </c>
      <c r="BM47" s="79">
        <f t="array" ref="BM47">SUMIFS('Cắt lồng'!$AH$327:$AH$515,'Cắt lồng'!$AA$327:$AA$515,'Cắt lồng'!$AA47,'Cắt lồng'!$AE$327:$AE$515,'Cắt lồng'!BM$4:BM$4)</f>
        <v>0</v>
      </c>
      <c r="BN47" s="78" t="e">
        <f t="shared" si="113"/>
        <v>#DIV/0!</v>
      </c>
      <c r="BO47" s="79">
        <f t="array" ref="BO47">SUMIFS('Cắt lồng'!$AC$327:$AC$515,'Cắt lồng'!$AA$327:$AA$515,'Cắt lồng'!$AA47,'Cắt lồng'!$AE$327:$AE$515,'Cắt lồng'!BO$4:BO$4)</f>
        <v>0</v>
      </c>
      <c r="BP47" s="79">
        <f t="array" ref="BP47">SUMIFS('Cắt lồng'!$AH$327:$AH$515,'Cắt lồng'!$AA$327:$AA$515,'Cắt lồng'!$AA47,'Cắt lồng'!$AE$327:$AE$515,'Cắt lồng'!BP$4:BP$4)</f>
        <v>0</v>
      </c>
      <c r="BQ47" s="78" t="e">
        <f t="shared" si="114"/>
        <v>#DIV/0!</v>
      </c>
      <c r="BR47" s="79">
        <f t="array" ref="BR47">SUMIFS('Cắt lồng'!$AC$327:$AC$515,'Cắt lồng'!$AA$327:$AA$515,'Cắt lồng'!$AA47,'Cắt lồng'!$AE$327:$AE$515,'Cắt lồng'!BR$4:BR$4)</f>
        <v>0</v>
      </c>
      <c r="BS47" s="79">
        <f t="array" ref="BS47">SUMIFS('Cắt lồng'!$AH$327:$AH$515,'Cắt lồng'!$AA$327:$AA$515,'Cắt lồng'!$AA47,'Cắt lồng'!$AE$327:$AE$515,'Cắt lồng'!BS$4:BS$4)</f>
        <v>0</v>
      </c>
      <c r="BT47" s="78" t="e">
        <f t="shared" si="115"/>
        <v>#DIV/0!</v>
      </c>
      <c r="BU47" s="79">
        <f t="array" ref="BU47">SUMIFS('Cắt lồng'!$AC$327:$AC$515,'Cắt lồng'!$AA$327:$AA$515,'Cắt lồng'!$AA47,'Cắt lồng'!$AE$327:$AE$515,'Cắt lồng'!BU$4:BU$4)</f>
        <v>0</v>
      </c>
      <c r="BV47" s="79">
        <f t="array" ref="BV47">SUMIFS('Cắt lồng'!$AH$327:$AH$515,'Cắt lồng'!$AA$327:$AA$515,'Cắt lồng'!$AA47,'Cắt lồng'!$AE$327:$AE$515,'Cắt lồng'!BV$4:BV$4)</f>
        <v>0</v>
      </c>
      <c r="BW47" s="78" t="e">
        <f t="shared" si="116"/>
        <v>#DIV/0!</v>
      </c>
      <c r="BX47" s="79">
        <f t="array" ref="BX47">SUMIFS('Cắt lồng'!$AC$327:$AC$515,'Cắt lồng'!$AA$327:$AA$515,'Cắt lồng'!$AA47,'Cắt lồng'!$AE$327:$AE$515,'Cắt lồng'!BX$4:BX$4)</f>
        <v>0</v>
      </c>
      <c r="BY47" s="79">
        <f t="array" ref="BY47">SUMIFS('Cắt lồng'!$AH$327:$AH$515,'Cắt lồng'!$AA$327:$AA$515,'Cắt lồng'!$AA47,'Cắt lồng'!$AE$327:$AE$515,'Cắt lồng'!BY$4:BY$4)</f>
        <v>0</v>
      </c>
      <c r="BZ47" s="78" t="e">
        <f t="shared" si="117"/>
        <v>#DIV/0!</v>
      </c>
      <c r="CA47" s="79">
        <f t="array" ref="CA47">SUMIFS('Cắt lồng'!$AC$327:$AC$515,'Cắt lồng'!$AA$327:$AA$515,'Cắt lồng'!$AA47,'Cắt lồng'!$AE$327:$AE$515,'Cắt lồng'!CA$4:CA$4)</f>
        <v>0</v>
      </c>
      <c r="CB47" s="79">
        <f t="array" ref="CB47">SUMIFS('Cắt lồng'!$AH$327:$AH$515,'Cắt lồng'!$AA$327:$AA$515,'Cắt lồng'!$AA47,'Cắt lồng'!$AE$327:$AE$515,'Cắt lồng'!CB$4:CB$4)</f>
        <v>0</v>
      </c>
      <c r="CC47" s="78" t="e">
        <f t="shared" si="118"/>
        <v>#DIV/0!</v>
      </c>
      <c r="CD47" s="79">
        <f t="array" ref="CD47">SUMIFS('Cắt lồng'!$AC$327:$AC$515,'Cắt lồng'!$AA$327:$AA$515,'Cắt lồng'!$AA47,'Cắt lồng'!$AE$327:$AE$515,'Cắt lồng'!CD$4:CD$4)</f>
        <v>0</v>
      </c>
      <c r="CE47" s="79">
        <f t="array" ref="CE47">SUMIFS('Cắt lồng'!$AH$327:$AH$515,'Cắt lồng'!$AA$327:$AA$515,'Cắt lồng'!$AA47,'Cắt lồng'!$AE$327:$AE$515,'Cắt lồng'!CE$4:CE$4)</f>
        <v>0</v>
      </c>
      <c r="CF47" s="78" t="e">
        <f t="shared" si="119"/>
        <v>#DIV/0!</v>
      </c>
      <c r="CG47" s="79">
        <f t="array" ref="CG47">SUMIFS('Cắt lồng'!$AC$327:$AC$515,'Cắt lồng'!$AA$327:$AA$515,'Cắt lồng'!$AA47,'Cắt lồng'!$AE$327:$AE$515,'Cắt lồng'!CG$4:CG$4)</f>
        <v>0</v>
      </c>
      <c r="CH47" s="79">
        <f t="array" ref="CH47">SUMIFS('Cắt lồng'!$AH$327:$AH$515,'Cắt lồng'!$AA$327:$AA$515,'Cắt lồng'!$AA47,'Cắt lồng'!$AE$327:$AE$515,'Cắt lồng'!CH$4:CH$4)</f>
        <v>0</v>
      </c>
      <c r="CI47" s="78" t="e">
        <f t="shared" si="120"/>
        <v>#DIV/0!</v>
      </c>
      <c r="CJ47" s="79">
        <f t="array" ref="CJ47">SUMIFS('Cắt lồng'!$AC$327:$AC$515,'Cắt lồng'!$AA$327:$AA$515,'Cắt lồng'!$AA47,'Cắt lồng'!$AE$327:$AE$515,'Cắt lồng'!CJ$4:CJ$4)</f>
        <v>0</v>
      </c>
      <c r="CK47" s="79">
        <f t="array" ref="CK47">SUMIFS('Cắt lồng'!$AH$327:$AH$515,'Cắt lồng'!$AA$327:$AA$515,'Cắt lồng'!$AA47,'Cắt lồng'!$AE$327:$AE$515,'Cắt lồng'!CK$4:CK$4)</f>
        <v>0</v>
      </c>
      <c r="CL47" s="78" t="e">
        <f t="shared" si="121"/>
        <v>#DIV/0!</v>
      </c>
      <c r="CM47" s="79">
        <f t="array" ref="CM47">SUMIFS('Cắt lồng'!$AC$327:$AC$515,'Cắt lồng'!$AA$327:$AA$515,'Cắt lồng'!$AA47,'Cắt lồng'!$AE$327:$AE$515,'Cắt lồng'!CM$4:CM$4)</f>
        <v>0</v>
      </c>
      <c r="CN47" s="79">
        <f t="array" ref="CN47">SUMIFS('Cắt lồng'!$AH$327:$AH$515,'Cắt lồng'!$AA$327:$AA$515,'Cắt lồng'!$AA47,'Cắt lồng'!$AE$327:$AE$515,'Cắt lồng'!CN$4:CN$4)</f>
        <v>0</v>
      </c>
      <c r="CO47" s="78" t="e">
        <f t="shared" si="122"/>
        <v>#DIV/0!</v>
      </c>
      <c r="CP47" s="79">
        <f t="array" ref="CP47">SUMIFS('Cắt lồng'!$AC$327:$AC$515,'Cắt lồng'!$AA$327:$AA$515,'Cắt lồng'!$AA47,'Cắt lồng'!$AE$327:$AE$515,'Cắt lồng'!CP$4:CP$4)</f>
        <v>0</v>
      </c>
      <c r="CQ47" s="79">
        <f t="array" ref="CQ47">SUMIFS('Cắt lồng'!$AH$327:$AH$515,'Cắt lồng'!$AA$327:$AA$515,'Cắt lồng'!$AA47,'Cắt lồng'!$AE$327:$AE$515,'Cắt lồng'!CQ$4:CQ$4)</f>
        <v>0</v>
      </c>
      <c r="CR47" s="78" t="e">
        <f t="shared" si="123"/>
        <v>#DIV/0!</v>
      </c>
      <c r="CS47" s="79">
        <f t="array" ref="CS47">SUMIFS('Cắt lồng'!$AC$327:$AC$515,'Cắt lồng'!$AA$327:$AA$515,'Cắt lồng'!$AA47,'Cắt lồng'!$AE$327:$AE$515,'Cắt lồng'!CS$4:CS$4)</f>
        <v>0</v>
      </c>
      <c r="CT47" s="79">
        <f t="array" ref="CT47">SUMIFS('Cắt lồng'!$AH$327:$AH$515,'Cắt lồng'!$AA$327:$AA$515,'Cắt lồng'!$AA47,'Cắt lồng'!$AE$327:$AE$515,'Cắt lồng'!CT$4:CT$4)</f>
        <v>0</v>
      </c>
      <c r="CU47" s="78" t="e">
        <f t="shared" si="124"/>
        <v>#DIV/0!</v>
      </c>
      <c r="CV47" s="79">
        <f t="array" ref="CV47">SUMIFS('Cắt lồng'!$AC$327:$AC$515,'Cắt lồng'!$AA$327:$AA$515,'Cắt lồng'!$AA47,'Cắt lồng'!$AE$327:$AE$515,'Cắt lồng'!CV$4:CV$4)</f>
        <v>0</v>
      </c>
      <c r="CW47" s="79">
        <f t="array" ref="CW47">SUMIFS('Cắt lồng'!$AH$327:$AH$515,'Cắt lồng'!$AA$327:$AA$515,'Cắt lồng'!$AA47,'Cắt lồng'!$AE$327:$AE$515,'Cắt lồng'!CW$4:CW$4)</f>
        <v>0</v>
      </c>
      <c r="CX47" s="78" t="e">
        <f t="shared" si="125"/>
        <v>#DIV/0!</v>
      </c>
      <c r="CY47" s="79">
        <f t="array" ref="CY47">SUMIFS('Cắt lồng'!$AC$327:$AC$515,'Cắt lồng'!$AA$327:$AA$515,'Cắt lồng'!$AA47,'Cắt lồng'!$AE$327:$AE$515,'Cắt lồng'!CY$4:CY$4)</f>
        <v>0</v>
      </c>
      <c r="CZ47" s="79">
        <f t="array" ref="CZ47">SUMIFS('Cắt lồng'!$AH$327:$AH$515,'Cắt lồng'!$AA$327:$AA$515,'Cắt lồng'!$AA47,'Cắt lồng'!$AE$327:$AE$515,'Cắt lồng'!CZ$4:CZ$4)</f>
        <v>0</v>
      </c>
      <c r="DA47" s="78" t="e">
        <f t="shared" si="126"/>
        <v>#DIV/0!</v>
      </c>
      <c r="DB47" s="79">
        <f t="array" ref="DB47">SUMIFS('Cắt lồng'!$AC$327:$AC$515,'Cắt lồng'!$AA$327:$AA$515,'Cắt lồng'!$AA47,'Cắt lồng'!$AE$327:$AE$515,'Cắt lồng'!DB$4:DB$4)</f>
        <v>0</v>
      </c>
      <c r="DC47" s="79">
        <f t="array" ref="DC47">SUMIFS('Cắt lồng'!$AH$327:$AH$515,'Cắt lồng'!$AA$327:$AA$515,'Cắt lồng'!$AA47,'Cắt lồng'!$AE$327:$AE$515,'Cắt lồng'!DC$4:DC$4)</f>
        <v>0</v>
      </c>
      <c r="DD47" s="78" t="e">
        <f t="shared" si="127"/>
        <v>#DIV/0!</v>
      </c>
      <c r="DE47" s="79">
        <f t="array" ref="DE47">SUMIFS('Cắt lồng'!$AC$327:$AC$515,'Cắt lồng'!$AA$327:$AA$515,'Cắt lồng'!$AA47,'Cắt lồng'!$AE$327:$AE$515,'Cắt lồng'!DE$4:DE$4)</f>
        <v>0</v>
      </c>
      <c r="DF47" s="79">
        <f t="array" ref="DF47">SUMIFS('Cắt lồng'!$AH$327:$AH$515,'Cắt lồng'!$AA$327:$AA$515,'Cắt lồng'!$AA47,'Cắt lồng'!$AE$327:$AE$515,'Cắt lồng'!DF$4:DF$4)</f>
        <v>0</v>
      </c>
      <c r="DG47" s="78" t="e">
        <f t="shared" si="128"/>
        <v>#DIV/0!</v>
      </c>
      <c r="DH47" s="79">
        <f t="array" ref="DH47">SUMIFS('Cắt lồng'!$AC$327:$AC$515,'Cắt lồng'!$AA$327:$AA$515,'Cắt lồng'!$AA47,'Cắt lồng'!$AE$327:$AE$515,'Cắt lồng'!DH$4:DH$4)</f>
        <v>0</v>
      </c>
      <c r="DI47" s="79">
        <f t="array" ref="DI47">SUMIFS('Cắt lồng'!$AH$327:$AH$515,'Cắt lồng'!$AA$327:$AA$515,'Cắt lồng'!$AA47,'Cắt lồng'!$AE$327:$AE$515,'Cắt lồng'!DI$4:DI$4)</f>
        <v>0</v>
      </c>
      <c r="DJ47" s="78" t="e">
        <f t="shared" si="129"/>
        <v>#DIV/0!</v>
      </c>
      <c r="DK47" s="79">
        <f t="array" ref="DK47">SUMIFS('Cắt lồng'!$AC$327:$AC$515,'Cắt lồng'!$AA$327:$AA$515,'Cắt lồng'!$AA47,'Cắt lồng'!$AE$327:$AE$515,'Cắt lồng'!DK$4:DK$4)</f>
        <v>0</v>
      </c>
      <c r="DL47" s="79">
        <f t="array" ref="DL47">SUMIFS('Cắt lồng'!$AH$327:$AH$515,'Cắt lồng'!$AA$327:$AA$515,'Cắt lồng'!$AA47,'Cắt lồng'!$AE$327:$AE$515,'Cắt lồng'!DL$4:DL$4)</f>
        <v>0</v>
      </c>
      <c r="DM47" s="78" t="e">
        <f t="shared" si="130"/>
        <v>#DIV/0!</v>
      </c>
      <c r="DN47" s="79">
        <f>SUMIFS('Cắt lồng'!$AC$327:$AC$515,'Cắt lồng'!$AA$327:$AA$515,'Cắt lồng'!$AA47,'Cắt lồng'!$AE$327:$AE$515,'Cắt lồng'!DN$4:DN$4)</f>
        <v>0</v>
      </c>
      <c r="DO47" s="79">
        <f t="array" ref="DO47">SUMIFS('Cắt lồng'!$AH$327:$AH$515,'Cắt lồng'!$AA$327:$AA$515,'Cắt lồng'!$AA47,'Cắt lồng'!$AE$327:$AE$515,'Cắt lồng'!DO$4:DO$4)</f>
        <v>0</v>
      </c>
      <c r="DP47" s="78" t="e">
        <f t="shared" si="131"/>
        <v>#DIV/0!</v>
      </c>
      <c r="DQ47" s="79">
        <f t="array" ref="DQ47">SUMIFS('Cắt lồng'!$AC$327:$AC$515,'Cắt lồng'!$AA$327:$AA$515,'Cắt lồng'!$AA47,'Cắt lồng'!$AE$327:$AE$515,'Cắt lồng'!DQ$4:DQ$4)</f>
        <v>0</v>
      </c>
      <c r="DR47" s="79">
        <f t="array" ref="DR47">SUMIFS('Cắt lồng'!$AH$327:$AH$515,'Cắt lồng'!$AA$327:$AA$515,'Cắt lồng'!$AA47,'Cắt lồng'!$AE$327:$AE$515,'Cắt lồng'!DR$4:DR$4)</f>
        <v>0</v>
      </c>
      <c r="DS47" s="78" t="e">
        <f t="shared" si="132"/>
        <v>#DIV/0!</v>
      </c>
      <c r="DT47" s="79">
        <f t="array" ref="DT47">SUMIFS('Cắt lồng'!$AC$327:$AC$515,'Cắt lồng'!$AA$327:$AA$515,'Cắt lồng'!$AA47,'Cắt lồng'!$AE$327:$AE$515,'Cắt lồng'!DT$4:DT$4)</f>
        <v>0</v>
      </c>
      <c r="DU47" s="79">
        <f t="array" ref="DU47">SUMIFS('Cắt lồng'!$AH$327:$AH$515,'Cắt lồng'!$AA$327:$AA$515,'Cắt lồng'!$AA47,'Cắt lồng'!$AE$327:$AE$515,'Cắt lồng'!DU$4:DU$4)</f>
        <v>0</v>
      </c>
      <c r="DV47" s="78" t="e">
        <f t="shared" si="133"/>
        <v>#DIV/0!</v>
      </c>
      <c r="DW47" s="79">
        <f t="array" ref="DW47">SUMIFS('Cắt lồng'!$AC$327:$AC$515,'Cắt lồng'!$AA$327:$AA$515,'Cắt lồng'!$AA47,'Cắt lồng'!$AE$327:$AE$515,'Cắt lồng'!DW$4:DW$4)</f>
        <v>0</v>
      </c>
      <c r="DX47" s="79">
        <f t="array" ref="DX47">SUMIFS('Cắt lồng'!$AH$327:$AH$515,'Cắt lồng'!$AA$327:$AA$515,'Cắt lồng'!$AA47,'Cắt lồng'!$AE$327:$AE$515,'Cắt lồng'!DX$4:DX$4)</f>
        <v>0</v>
      </c>
      <c r="DY47" s="78" t="e">
        <f t="shared" si="134"/>
        <v>#DIV/0!</v>
      </c>
      <c r="DZ47" s="79">
        <f t="array" ref="DZ47">SUMIFS('Cắt lồng'!$AC$327:$AC$515,'Cắt lồng'!$AA$327:$AA$515,'Cắt lồng'!$AA47,'Cắt lồng'!$AE$327:$AE$515,'Cắt lồng'!DZ$4:DZ$4)</f>
        <v>0</v>
      </c>
      <c r="EA47" s="79">
        <f t="array" ref="EA47">SUMIFS('Cắt lồng'!$AH$327:$AH$515,'Cắt lồng'!$AA$327:$AA$515,'Cắt lồng'!$AA47,'Cắt lồng'!$AE$327:$AE$515,'Cắt lồng'!EA$4:EA$4)</f>
        <v>0</v>
      </c>
      <c r="EB47" s="78" t="e">
        <f t="shared" si="135"/>
        <v>#DIV/0!</v>
      </c>
      <c r="EC47" s="79">
        <f t="array" ref="EC47">SUMIFS('Cắt lồng'!$AC$327:$AC$515,'Cắt lồng'!$AA$327:$AA$515,'Cắt lồng'!$AA47,'Cắt lồng'!$AE$327:$AE$515,'Cắt lồng'!EC$4:EC$4)</f>
        <v>0</v>
      </c>
      <c r="ED47" s="79">
        <f t="array" ref="ED47">SUMIFS('Cắt lồng'!$AH$327:$AH$515,'Cắt lồng'!$AA$327:$AA$515,'Cắt lồng'!$AA47,'Cắt lồng'!$AE$327:$AE$515,'Cắt lồng'!ED$4:ED$4)</f>
        <v>0</v>
      </c>
      <c r="EE47" s="78" t="e">
        <f t="shared" si="136"/>
        <v>#DIV/0!</v>
      </c>
      <c r="EF47" s="79">
        <f t="array" ref="EF47">SUMIFS('Cắt lồng'!$AC$327:$AC$515,'Cắt lồng'!$AA$327:$AA$515,'Cắt lồng'!$AA47,'Cắt lồng'!$AE$327:$AE$515,'Cắt lồng'!EF$4:EF$4)</f>
        <v>0</v>
      </c>
      <c r="EG47" s="79">
        <f t="array" ref="EG47">SUMIFS('Cắt lồng'!$AH$327:$AH$515,'Cắt lồng'!$AA$327:$AA$515,'Cắt lồng'!$AA47,'Cắt lồng'!$AE$327:$AE$515,'Cắt lồng'!EG$4:EG$4)</f>
        <v>0</v>
      </c>
      <c r="EH47" s="78" t="e">
        <f t="shared" si="137"/>
        <v>#DIV/0!</v>
      </c>
      <c r="EI47" s="79">
        <f t="array" ref="EI47">SUMIFS('Cắt lồng'!$AC$327:$AC$515,'Cắt lồng'!$AA$327:$AA$515,'Cắt lồng'!$AA47,'Cắt lồng'!$AE$327:$AE$515,'Cắt lồng'!EI$4:EI$4)</f>
        <v>0</v>
      </c>
      <c r="EJ47" s="79">
        <f t="array" ref="EJ47">SUMIFS('Cắt lồng'!$AH$327:$AH$515,'Cắt lồng'!$AA$327:$AA$515,'Cắt lồng'!$AA47,'Cắt lồng'!$AE$327:$AE$515,'Cắt lồng'!EJ$4:EJ$4)</f>
        <v>0</v>
      </c>
      <c r="EK47" s="78" t="e">
        <f t="shared" si="138"/>
        <v>#DIV/0!</v>
      </c>
      <c r="EL47" s="172"/>
    </row>
    <row r="48" spans="1:142" s="12" customFormat="1" ht="14.25" hidden="1" customHeight="1">
      <c r="A48" s="25">
        <v>40</v>
      </c>
      <c r="B48" s="26"/>
      <c r="C48" s="26"/>
      <c r="D48" s="185">
        <f t="shared" si="140"/>
        <v>0</v>
      </c>
      <c r="E48" s="184">
        <f t="shared" si="141"/>
        <v>0</v>
      </c>
      <c r="F48" s="56"/>
      <c r="G48" s="82">
        <f t="shared" si="79"/>
        <v>0</v>
      </c>
      <c r="H48" s="81">
        <f t="shared" si="80"/>
        <v>0</v>
      </c>
      <c r="I48" s="19">
        <f t="shared" si="81"/>
        <v>0</v>
      </c>
      <c r="J48" s="11">
        <f t="shared" si="82"/>
        <v>0</v>
      </c>
      <c r="K48" s="19">
        <f t="shared" si="83"/>
        <v>0</v>
      </c>
      <c r="L48" s="19">
        <f t="shared" si="84"/>
        <v>0</v>
      </c>
      <c r="M48" s="19">
        <f t="shared" si="85"/>
        <v>0</v>
      </c>
      <c r="N48" s="19">
        <f t="shared" si="86"/>
        <v>0</v>
      </c>
      <c r="O48" s="19">
        <f t="shared" si="87"/>
        <v>0</v>
      </c>
      <c r="P48" s="19">
        <f t="shared" si="88"/>
        <v>0</v>
      </c>
      <c r="Q48" s="19">
        <f t="shared" si="89"/>
        <v>0</v>
      </c>
      <c r="R48" s="19">
        <f t="shared" si="90"/>
        <v>0</v>
      </c>
      <c r="S48" s="19">
        <f t="shared" si="91"/>
        <v>0</v>
      </c>
      <c r="T48" s="19">
        <f t="shared" si="92"/>
        <v>0</v>
      </c>
      <c r="U48" s="19">
        <f t="shared" si="93"/>
        <v>0</v>
      </c>
      <c r="V48" s="19">
        <f t="shared" si="94"/>
        <v>0</v>
      </c>
      <c r="W48" s="19">
        <f t="shared" si="95"/>
        <v>0</v>
      </c>
      <c r="X48" s="19">
        <f t="shared" si="96"/>
        <v>0</v>
      </c>
      <c r="Y48" s="19">
        <f t="shared" si="97"/>
        <v>0</v>
      </c>
      <c r="Z48" s="19">
        <f t="shared" si="98"/>
        <v>0</v>
      </c>
      <c r="AA48" s="164" t="s">
        <v>248</v>
      </c>
      <c r="AB48" s="129">
        <f t="shared" si="21"/>
        <v>0</v>
      </c>
      <c r="AC48" s="16">
        <f t="shared" si="22"/>
        <v>0</v>
      </c>
      <c r="AD48" s="15" t="e">
        <f t="shared" si="99"/>
        <v>#DIV/0!</v>
      </c>
      <c r="AE48" s="42"/>
      <c r="AF48" s="10" t="e">
        <f t="shared" si="100"/>
        <v>#DIV/0!</v>
      </c>
      <c r="AG48" s="10"/>
      <c r="AH48" s="152">
        <f t="shared" si="139"/>
        <v>0</v>
      </c>
      <c r="AI48" s="54" t="e">
        <f t="shared" si="101"/>
        <v>#DIV/0!</v>
      </c>
      <c r="AJ48" s="25">
        <f t="shared" si="102"/>
        <v>0</v>
      </c>
      <c r="AK48" s="25">
        <f t="shared" si="103"/>
        <v>0</v>
      </c>
      <c r="AL48" s="25">
        <f t="shared" si="104"/>
        <v>0</v>
      </c>
      <c r="AM48" s="30">
        <f t="shared" si="73"/>
        <v>0</v>
      </c>
      <c r="AN48" s="30">
        <f t="shared" si="74"/>
        <v>0</v>
      </c>
      <c r="AO48" s="30">
        <f t="shared" si="75"/>
        <v>0</v>
      </c>
      <c r="AP48" s="30">
        <f t="shared" si="76"/>
        <v>0</v>
      </c>
      <c r="AQ48" s="30">
        <f t="shared" si="77"/>
        <v>0</v>
      </c>
      <c r="AR48" s="30">
        <f t="shared" si="105"/>
        <v>0</v>
      </c>
      <c r="AS48" s="30">
        <f t="shared" si="106"/>
        <v>0</v>
      </c>
      <c r="AT48" s="30">
        <f t="shared" si="78"/>
        <v>0</v>
      </c>
      <c r="AV48" s="79">
        <f t="shared" si="107"/>
        <v>0</v>
      </c>
      <c r="AW48" s="79">
        <f t="array" ref="AW48">SUMIFS('Cắt lồng'!$AC$327:$AC$515,'Cắt lồng'!$AA$327:$AA$515,'Cắt lồng'!$AA48,'Cắt lồng'!$AE$327:$AE$515,'Cắt lồng'!AW$4:AW$4)</f>
        <v>0</v>
      </c>
      <c r="AX48" s="79">
        <f t="array" ref="AX48">SUMIFS('Cắt lồng'!$AH$327:$AH$515,'Cắt lồng'!$AA$327:$AA$515,'Cắt lồng'!$AA48,'Cắt lồng'!$AE$327:$AE$515,'Cắt lồng'!AX$4:AX$4)</f>
        <v>0</v>
      </c>
      <c r="AY48" s="78" t="e">
        <f t="shared" si="108"/>
        <v>#DIV/0!</v>
      </c>
      <c r="AZ48" s="79">
        <f t="array" ref="AZ48">SUMIFS('Cắt lồng'!$AC$327:$AC$515,'Cắt lồng'!$AA$327:$AA$515,'Cắt lồng'!$AA48,'Cắt lồng'!$AE$327:$AE$515,'Cắt lồng'!AZ$4:AZ$4)</f>
        <v>0</v>
      </c>
      <c r="BA48" s="79">
        <f t="array" ref="BA48">SUMIFS('Cắt lồng'!$AH$327:$AH$515,'Cắt lồng'!$AA$327:$AA$515,'Cắt lồng'!$AA48,'Cắt lồng'!$AE$327:$AE$515,'Cắt lồng'!BA$4:BA$4)</f>
        <v>0</v>
      </c>
      <c r="BB48" s="78" t="e">
        <f t="shared" si="109"/>
        <v>#DIV/0!</v>
      </c>
      <c r="BC48" s="79">
        <f t="array" ref="BC48">SUMIFS('Cắt lồng'!$AC$327:$AC$515,'Cắt lồng'!$AA$327:$AA$515,'Cắt lồng'!$AA48,'Cắt lồng'!$AE$327:$AE$515,'Cắt lồng'!BC$4:BC$4)</f>
        <v>0</v>
      </c>
      <c r="BD48" s="79">
        <f t="array" ref="BD48">SUMIFS('Cắt lồng'!$AH$327:$AH$515,'Cắt lồng'!$AA$327:$AA$515,'Cắt lồng'!$AA48,'Cắt lồng'!$AE$327:$AE$515,'Cắt lồng'!BD$4:BD$4)</f>
        <v>0</v>
      </c>
      <c r="BE48" s="78" t="e">
        <f t="shared" si="110"/>
        <v>#DIV/0!</v>
      </c>
      <c r="BF48" s="79">
        <f t="array" ref="BF48">SUMIFS('Cắt lồng'!$AC$327:$AC$515,'Cắt lồng'!$AA$327:$AA$515,'Cắt lồng'!$AA48,'Cắt lồng'!$AE$327:$AE$515,'Cắt lồng'!BF$4:BF$4)</f>
        <v>0</v>
      </c>
      <c r="BG48" s="79">
        <f t="array" ref="BG48">SUMIFS('Cắt lồng'!$AH$327:$AH$515,'Cắt lồng'!$AA$327:$AA$515,'Cắt lồng'!$AA48,'Cắt lồng'!$AE$327:$AE$515,'Cắt lồng'!BG$4:BG$4)</f>
        <v>0</v>
      </c>
      <c r="BH48" s="78" t="e">
        <f t="shared" si="111"/>
        <v>#DIV/0!</v>
      </c>
      <c r="BI48" s="79">
        <f t="array" ref="BI48">SUMIFS('Cắt lồng'!$AC$327:$AC$515,'Cắt lồng'!$AA$327:$AA$515,'Cắt lồng'!$AA48,'Cắt lồng'!$AE$327:$AE$515,'Cắt lồng'!BI$4:BI$4)</f>
        <v>0</v>
      </c>
      <c r="BJ48" s="79">
        <f t="array" ref="BJ48">SUMIFS('Cắt lồng'!$AH$327:$AH$515,'Cắt lồng'!$AA$327:$AA$515,'Cắt lồng'!$AA48,'Cắt lồng'!$AE$327:$AE$515,'Cắt lồng'!BJ$4:BJ$4)</f>
        <v>0</v>
      </c>
      <c r="BK48" s="78" t="e">
        <f t="shared" si="112"/>
        <v>#DIV/0!</v>
      </c>
      <c r="BL48" s="79">
        <f t="array" ref="BL48">SUMIFS('Cắt lồng'!$AC$327:$AC$515,'Cắt lồng'!$AA$327:$AA$515,'Cắt lồng'!$AA48,'Cắt lồng'!$AE$327:$AE$515,'Cắt lồng'!BL$4:BL$4)</f>
        <v>0</v>
      </c>
      <c r="BM48" s="79">
        <f t="array" ref="BM48">SUMIFS('Cắt lồng'!$AH$327:$AH$515,'Cắt lồng'!$AA$327:$AA$515,'Cắt lồng'!$AA48,'Cắt lồng'!$AE$327:$AE$515,'Cắt lồng'!BM$4:BM$4)</f>
        <v>0</v>
      </c>
      <c r="BN48" s="78" t="e">
        <f t="shared" si="113"/>
        <v>#DIV/0!</v>
      </c>
      <c r="BO48" s="79">
        <f t="array" ref="BO48">SUMIFS('Cắt lồng'!$AC$327:$AC$515,'Cắt lồng'!$AA$327:$AA$515,'Cắt lồng'!$AA48,'Cắt lồng'!$AE$327:$AE$515,'Cắt lồng'!BO$4:BO$4)</f>
        <v>0</v>
      </c>
      <c r="BP48" s="79">
        <f t="array" ref="BP48">SUMIFS('Cắt lồng'!$AH$327:$AH$515,'Cắt lồng'!$AA$327:$AA$515,'Cắt lồng'!$AA48,'Cắt lồng'!$AE$327:$AE$515,'Cắt lồng'!BP$4:BP$4)</f>
        <v>0</v>
      </c>
      <c r="BQ48" s="78" t="e">
        <f t="shared" si="114"/>
        <v>#DIV/0!</v>
      </c>
      <c r="BR48" s="79">
        <f t="array" ref="BR48">SUMIFS('Cắt lồng'!$AC$327:$AC$515,'Cắt lồng'!$AA$327:$AA$515,'Cắt lồng'!$AA48,'Cắt lồng'!$AE$327:$AE$515,'Cắt lồng'!BR$4:BR$4)</f>
        <v>0</v>
      </c>
      <c r="BS48" s="79">
        <f t="array" ref="BS48">SUMIFS('Cắt lồng'!$AH$327:$AH$515,'Cắt lồng'!$AA$327:$AA$515,'Cắt lồng'!$AA48,'Cắt lồng'!$AE$327:$AE$515,'Cắt lồng'!BS$4:BS$4)</f>
        <v>0</v>
      </c>
      <c r="BT48" s="78" t="e">
        <f t="shared" si="115"/>
        <v>#DIV/0!</v>
      </c>
      <c r="BU48" s="79">
        <f t="array" ref="BU48">SUMIFS('Cắt lồng'!$AC$327:$AC$515,'Cắt lồng'!$AA$327:$AA$515,'Cắt lồng'!$AA48,'Cắt lồng'!$AE$327:$AE$515,'Cắt lồng'!BU$4:BU$4)</f>
        <v>0</v>
      </c>
      <c r="BV48" s="79">
        <f t="array" ref="BV48">SUMIFS('Cắt lồng'!$AH$327:$AH$515,'Cắt lồng'!$AA$327:$AA$515,'Cắt lồng'!$AA48,'Cắt lồng'!$AE$327:$AE$515,'Cắt lồng'!BV$4:BV$4)</f>
        <v>0</v>
      </c>
      <c r="BW48" s="78" t="e">
        <f t="shared" si="116"/>
        <v>#DIV/0!</v>
      </c>
      <c r="BX48" s="79">
        <f t="array" ref="BX48">SUMIFS('Cắt lồng'!$AC$327:$AC$515,'Cắt lồng'!$AA$327:$AA$515,'Cắt lồng'!$AA48,'Cắt lồng'!$AE$327:$AE$515,'Cắt lồng'!BX$4:BX$4)</f>
        <v>0</v>
      </c>
      <c r="BY48" s="79">
        <f t="array" ref="BY48">SUMIFS('Cắt lồng'!$AH$327:$AH$515,'Cắt lồng'!$AA$327:$AA$515,'Cắt lồng'!$AA48,'Cắt lồng'!$AE$327:$AE$515,'Cắt lồng'!BY$4:BY$4)</f>
        <v>0</v>
      </c>
      <c r="BZ48" s="78" t="e">
        <f t="shared" si="117"/>
        <v>#DIV/0!</v>
      </c>
      <c r="CA48" s="79">
        <f t="array" ref="CA48">SUMIFS('Cắt lồng'!$AC$327:$AC$515,'Cắt lồng'!$AA$327:$AA$515,'Cắt lồng'!$AA48,'Cắt lồng'!$AE$327:$AE$515,'Cắt lồng'!CA$4:CA$4)</f>
        <v>0</v>
      </c>
      <c r="CB48" s="79">
        <f t="array" ref="CB48">SUMIFS('Cắt lồng'!$AH$327:$AH$515,'Cắt lồng'!$AA$327:$AA$515,'Cắt lồng'!$AA48,'Cắt lồng'!$AE$327:$AE$515,'Cắt lồng'!CB$4:CB$4)</f>
        <v>0</v>
      </c>
      <c r="CC48" s="78" t="e">
        <f t="shared" si="118"/>
        <v>#DIV/0!</v>
      </c>
      <c r="CD48" s="79">
        <f t="array" ref="CD48">SUMIFS('Cắt lồng'!$AC$327:$AC$515,'Cắt lồng'!$AA$327:$AA$515,'Cắt lồng'!$AA48,'Cắt lồng'!$AE$327:$AE$515,'Cắt lồng'!CD$4:CD$4)</f>
        <v>0</v>
      </c>
      <c r="CE48" s="79">
        <f t="array" ref="CE48">SUMIFS('Cắt lồng'!$AH$327:$AH$515,'Cắt lồng'!$AA$327:$AA$515,'Cắt lồng'!$AA48,'Cắt lồng'!$AE$327:$AE$515,'Cắt lồng'!CE$4:CE$4)</f>
        <v>0</v>
      </c>
      <c r="CF48" s="78" t="e">
        <f t="shared" si="119"/>
        <v>#DIV/0!</v>
      </c>
      <c r="CG48" s="79">
        <f t="array" ref="CG48">SUMIFS('Cắt lồng'!$AC$327:$AC$515,'Cắt lồng'!$AA$327:$AA$515,'Cắt lồng'!$AA48,'Cắt lồng'!$AE$327:$AE$515,'Cắt lồng'!CG$4:CG$4)</f>
        <v>0</v>
      </c>
      <c r="CH48" s="79">
        <f t="array" ref="CH48">SUMIFS('Cắt lồng'!$AH$327:$AH$515,'Cắt lồng'!$AA$327:$AA$515,'Cắt lồng'!$AA48,'Cắt lồng'!$AE$327:$AE$515,'Cắt lồng'!CH$4:CH$4)</f>
        <v>0</v>
      </c>
      <c r="CI48" s="78" t="e">
        <f t="shared" si="120"/>
        <v>#DIV/0!</v>
      </c>
      <c r="CJ48" s="79">
        <f t="array" ref="CJ48">SUMIFS('Cắt lồng'!$AC$327:$AC$515,'Cắt lồng'!$AA$327:$AA$515,'Cắt lồng'!$AA48,'Cắt lồng'!$AE$327:$AE$515,'Cắt lồng'!CJ$4:CJ$4)</f>
        <v>0</v>
      </c>
      <c r="CK48" s="79">
        <f t="array" ref="CK48">SUMIFS('Cắt lồng'!$AH$327:$AH$515,'Cắt lồng'!$AA$327:$AA$515,'Cắt lồng'!$AA48,'Cắt lồng'!$AE$327:$AE$515,'Cắt lồng'!CK$4:CK$4)</f>
        <v>0</v>
      </c>
      <c r="CL48" s="78" t="e">
        <f t="shared" si="121"/>
        <v>#DIV/0!</v>
      </c>
      <c r="CM48" s="79">
        <f t="array" ref="CM48">SUMIFS('Cắt lồng'!$AC$327:$AC$515,'Cắt lồng'!$AA$327:$AA$515,'Cắt lồng'!$AA48,'Cắt lồng'!$AE$327:$AE$515,'Cắt lồng'!CM$4:CM$4)</f>
        <v>0</v>
      </c>
      <c r="CN48" s="79">
        <f t="array" ref="CN48">SUMIFS('Cắt lồng'!$AH$327:$AH$515,'Cắt lồng'!$AA$327:$AA$515,'Cắt lồng'!$AA48,'Cắt lồng'!$AE$327:$AE$515,'Cắt lồng'!CN$4:CN$4)</f>
        <v>0</v>
      </c>
      <c r="CO48" s="78" t="e">
        <f t="shared" si="122"/>
        <v>#DIV/0!</v>
      </c>
      <c r="CP48" s="79">
        <f t="array" ref="CP48">SUMIFS('Cắt lồng'!$AC$327:$AC$515,'Cắt lồng'!$AA$327:$AA$515,'Cắt lồng'!$AA48,'Cắt lồng'!$AE$327:$AE$515,'Cắt lồng'!CP$4:CP$4)</f>
        <v>0</v>
      </c>
      <c r="CQ48" s="79">
        <f t="array" ref="CQ48">SUMIFS('Cắt lồng'!$AH$327:$AH$515,'Cắt lồng'!$AA$327:$AA$515,'Cắt lồng'!$AA48,'Cắt lồng'!$AE$327:$AE$515,'Cắt lồng'!CQ$4:CQ$4)</f>
        <v>0</v>
      </c>
      <c r="CR48" s="78" t="e">
        <f t="shared" si="123"/>
        <v>#DIV/0!</v>
      </c>
      <c r="CS48" s="79">
        <f t="array" ref="CS48">SUMIFS('Cắt lồng'!$AC$327:$AC$515,'Cắt lồng'!$AA$327:$AA$515,'Cắt lồng'!$AA48,'Cắt lồng'!$AE$327:$AE$515,'Cắt lồng'!CS$4:CS$4)</f>
        <v>0</v>
      </c>
      <c r="CT48" s="79">
        <f t="array" ref="CT48">SUMIFS('Cắt lồng'!$AH$327:$AH$515,'Cắt lồng'!$AA$327:$AA$515,'Cắt lồng'!$AA48,'Cắt lồng'!$AE$327:$AE$515,'Cắt lồng'!CT$4:CT$4)</f>
        <v>0</v>
      </c>
      <c r="CU48" s="78" t="e">
        <f t="shared" si="124"/>
        <v>#DIV/0!</v>
      </c>
      <c r="CV48" s="79">
        <f t="array" ref="CV48">SUMIFS('Cắt lồng'!$AC$327:$AC$515,'Cắt lồng'!$AA$327:$AA$515,'Cắt lồng'!$AA48,'Cắt lồng'!$AE$327:$AE$515,'Cắt lồng'!CV$4:CV$4)</f>
        <v>0</v>
      </c>
      <c r="CW48" s="79">
        <f t="array" ref="CW48">SUMIFS('Cắt lồng'!$AH$327:$AH$515,'Cắt lồng'!$AA$327:$AA$515,'Cắt lồng'!$AA48,'Cắt lồng'!$AE$327:$AE$515,'Cắt lồng'!CW$4:CW$4)</f>
        <v>0</v>
      </c>
      <c r="CX48" s="78" t="e">
        <f t="shared" si="125"/>
        <v>#DIV/0!</v>
      </c>
      <c r="CY48" s="79">
        <f t="array" ref="CY48">SUMIFS('Cắt lồng'!$AC$327:$AC$515,'Cắt lồng'!$AA$327:$AA$515,'Cắt lồng'!$AA48,'Cắt lồng'!$AE$327:$AE$515,'Cắt lồng'!CY$4:CY$4)</f>
        <v>0</v>
      </c>
      <c r="CZ48" s="79">
        <f t="array" ref="CZ48">SUMIFS('Cắt lồng'!$AH$327:$AH$515,'Cắt lồng'!$AA$327:$AA$515,'Cắt lồng'!$AA48,'Cắt lồng'!$AE$327:$AE$515,'Cắt lồng'!CZ$4:CZ$4)</f>
        <v>0</v>
      </c>
      <c r="DA48" s="78" t="e">
        <f t="shared" si="126"/>
        <v>#DIV/0!</v>
      </c>
      <c r="DB48" s="79">
        <f t="array" ref="DB48">SUMIFS('Cắt lồng'!$AC$327:$AC$515,'Cắt lồng'!$AA$327:$AA$515,'Cắt lồng'!$AA48,'Cắt lồng'!$AE$327:$AE$515,'Cắt lồng'!DB$4:DB$4)</f>
        <v>0</v>
      </c>
      <c r="DC48" s="79">
        <f t="array" ref="DC48">SUMIFS('Cắt lồng'!$AH$327:$AH$515,'Cắt lồng'!$AA$327:$AA$515,'Cắt lồng'!$AA48,'Cắt lồng'!$AE$327:$AE$515,'Cắt lồng'!DC$4:DC$4)</f>
        <v>0</v>
      </c>
      <c r="DD48" s="78" t="e">
        <f t="shared" si="127"/>
        <v>#DIV/0!</v>
      </c>
      <c r="DE48" s="79">
        <f t="array" ref="DE48">SUMIFS('Cắt lồng'!$AC$327:$AC$515,'Cắt lồng'!$AA$327:$AA$515,'Cắt lồng'!$AA48,'Cắt lồng'!$AE$327:$AE$515,'Cắt lồng'!DE$4:DE$4)</f>
        <v>0</v>
      </c>
      <c r="DF48" s="79">
        <f t="array" ref="DF48">SUMIFS('Cắt lồng'!$AH$327:$AH$515,'Cắt lồng'!$AA$327:$AA$515,'Cắt lồng'!$AA48,'Cắt lồng'!$AE$327:$AE$515,'Cắt lồng'!DF$4:DF$4)</f>
        <v>0</v>
      </c>
      <c r="DG48" s="78" t="e">
        <f t="shared" si="128"/>
        <v>#DIV/0!</v>
      </c>
      <c r="DH48" s="79">
        <f t="array" ref="DH48">SUMIFS('Cắt lồng'!$AC$327:$AC$515,'Cắt lồng'!$AA$327:$AA$515,'Cắt lồng'!$AA48,'Cắt lồng'!$AE$327:$AE$515,'Cắt lồng'!DH$4:DH$4)</f>
        <v>0</v>
      </c>
      <c r="DI48" s="79">
        <f t="array" ref="DI48">SUMIFS('Cắt lồng'!$AH$327:$AH$515,'Cắt lồng'!$AA$327:$AA$515,'Cắt lồng'!$AA48,'Cắt lồng'!$AE$327:$AE$515,'Cắt lồng'!DI$4:DI$4)</f>
        <v>0</v>
      </c>
      <c r="DJ48" s="78" t="e">
        <f t="shared" si="129"/>
        <v>#DIV/0!</v>
      </c>
      <c r="DK48" s="79">
        <f t="array" ref="DK48">SUMIFS('Cắt lồng'!$AC$327:$AC$515,'Cắt lồng'!$AA$327:$AA$515,'Cắt lồng'!$AA48,'Cắt lồng'!$AE$327:$AE$515,'Cắt lồng'!DK$4:DK$4)</f>
        <v>0</v>
      </c>
      <c r="DL48" s="79">
        <f t="array" ref="DL48">SUMIFS('Cắt lồng'!$AH$327:$AH$515,'Cắt lồng'!$AA$327:$AA$515,'Cắt lồng'!$AA48,'Cắt lồng'!$AE$327:$AE$515,'Cắt lồng'!DL$4:DL$4)</f>
        <v>0</v>
      </c>
      <c r="DM48" s="78" t="e">
        <f t="shared" si="130"/>
        <v>#DIV/0!</v>
      </c>
      <c r="DN48" s="79">
        <f>SUMIFS('Cắt lồng'!$AC$327:$AC$515,'Cắt lồng'!$AA$327:$AA$515,'Cắt lồng'!$AA48,'Cắt lồng'!$AE$327:$AE$515,'Cắt lồng'!DN$4:DN$4)</f>
        <v>0</v>
      </c>
      <c r="DO48" s="79">
        <f t="array" ref="DO48">SUMIFS('Cắt lồng'!$AH$327:$AH$515,'Cắt lồng'!$AA$327:$AA$515,'Cắt lồng'!$AA48,'Cắt lồng'!$AE$327:$AE$515,'Cắt lồng'!DO$4:DO$4)</f>
        <v>0</v>
      </c>
      <c r="DP48" s="78" t="e">
        <f t="shared" si="131"/>
        <v>#DIV/0!</v>
      </c>
      <c r="DQ48" s="79">
        <f t="array" ref="DQ48">SUMIFS('Cắt lồng'!$AC$327:$AC$515,'Cắt lồng'!$AA$327:$AA$515,'Cắt lồng'!$AA48,'Cắt lồng'!$AE$327:$AE$515,'Cắt lồng'!DQ$4:DQ$4)</f>
        <v>0</v>
      </c>
      <c r="DR48" s="79">
        <f t="array" ref="DR48">SUMIFS('Cắt lồng'!$AH$327:$AH$515,'Cắt lồng'!$AA$327:$AA$515,'Cắt lồng'!$AA48,'Cắt lồng'!$AE$327:$AE$515,'Cắt lồng'!DR$4:DR$4)</f>
        <v>0</v>
      </c>
      <c r="DS48" s="78" t="e">
        <f t="shared" si="132"/>
        <v>#DIV/0!</v>
      </c>
      <c r="DT48" s="79">
        <f t="array" ref="DT48">SUMIFS('Cắt lồng'!$AC$327:$AC$515,'Cắt lồng'!$AA$327:$AA$515,'Cắt lồng'!$AA48,'Cắt lồng'!$AE$327:$AE$515,'Cắt lồng'!DT$4:DT$4)</f>
        <v>0</v>
      </c>
      <c r="DU48" s="79">
        <f t="array" ref="DU48">SUMIFS('Cắt lồng'!$AH$327:$AH$515,'Cắt lồng'!$AA$327:$AA$515,'Cắt lồng'!$AA48,'Cắt lồng'!$AE$327:$AE$515,'Cắt lồng'!DU$4:DU$4)</f>
        <v>0</v>
      </c>
      <c r="DV48" s="78" t="e">
        <f t="shared" si="133"/>
        <v>#DIV/0!</v>
      </c>
      <c r="DW48" s="79">
        <f t="array" ref="DW48">SUMIFS('Cắt lồng'!$AC$327:$AC$515,'Cắt lồng'!$AA$327:$AA$515,'Cắt lồng'!$AA48,'Cắt lồng'!$AE$327:$AE$515,'Cắt lồng'!DW$4:DW$4)</f>
        <v>0</v>
      </c>
      <c r="DX48" s="79">
        <f t="array" ref="DX48">SUMIFS('Cắt lồng'!$AH$327:$AH$515,'Cắt lồng'!$AA$327:$AA$515,'Cắt lồng'!$AA48,'Cắt lồng'!$AE$327:$AE$515,'Cắt lồng'!DX$4:DX$4)</f>
        <v>0</v>
      </c>
      <c r="DY48" s="78" t="e">
        <f t="shared" si="134"/>
        <v>#DIV/0!</v>
      </c>
      <c r="DZ48" s="79">
        <f t="array" ref="DZ48">SUMIFS('Cắt lồng'!$AC$327:$AC$515,'Cắt lồng'!$AA$327:$AA$515,'Cắt lồng'!$AA48,'Cắt lồng'!$AE$327:$AE$515,'Cắt lồng'!DZ$4:DZ$4)</f>
        <v>0</v>
      </c>
      <c r="EA48" s="79">
        <f t="array" ref="EA48">SUMIFS('Cắt lồng'!$AH$327:$AH$515,'Cắt lồng'!$AA$327:$AA$515,'Cắt lồng'!$AA48,'Cắt lồng'!$AE$327:$AE$515,'Cắt lồng'!EA$4:EA$4)</f>
        <v>0</v>
      </c>
      <c r="EB48" s="78" t="e">
        <f t="shared" si="135"/>
        <v>#DIV/0!</v>
      </c>
      <c r="EC48" s="79">
        <f t="array" ref="EC48">SUMIFS('Cắt lồng'!$AC$327:$AC$515,'Cắt lồng'!$AA$327:$AA$515,'Cắt lồng'!$AA48,'Cắt lồng'!$AE$327:$AE$515,'Cắt lồng'!EC$4:EC$4)</f>
        <v>0</v>
      </c>
      <c r="ED48" s="79">
        <f t="array" ref="ED48">SUMIFS('Cắt lồng'!$AH$327:$AH$515,'Cắt lồng'!$AA$327:$AA$515,'Cắt lồng'!$AA48,'Cắt lồng'!$AE$327:$AE$515,'Cắt lồng'!ED$4:ED$4)</f>
        <v>0</v>
      </c>
      <c r="EE48" s="78" t="e">
        <f t="shared" si="136"/>
        <v>#DIV/0!</v>
      </c>
      <c r="EF48" s="79">
        <f t="array" ref="EF48">SUMIFS('Cắt lồng'!$AC$327:$AC$515,'Cắt lồng'!$AA$327:$AA$515,'Cắt lồng'!$AA48,'Cắt lồng'!$AE$327:$AE$515,'Cắt lồng'!EF$4:EF$4)</f>
        <v>0</v>
      </c>
      <c r="EG48" s="79">
        <f t="array" ref="EG48">SUMIFS('Cắt lồng'!$AH$327:$AH$515,'Cắt lồng'!$AA$327:$AA$515,'Cắt lồng'!$AA48,'Cắt lồng'!$AE$327:$AE$515,'Cắt lồng'!EG$4:EG$4)</f>
        <v>0</v>
      </c>
      <c r="EH48" s="78" t="e">
        <f t="shared" si="137"/>
        <v>#DIV/0!</v>
      </c>
      <c r="EI48" s="79">
        <f t="array" ref="EI48">SUMIFS('Cắt lồng'!$AC$327:$AC$515,'Cắt lồng'!$AA$327:$AA$515,'Cắt lồng'!$AA48,'Cắt lồng'!$AE$327:$AE$515,'Cắt lồng'!EI$4:EI$4)</f>
        <v>0</v>
      </c>
      <c r="EJ48" s="79">
        <f t="array" ref="EJ48">SUMIFS('Cắt lồng'!$AH$327:$AH$515,'Cắt lồng'!$AA$327:$AA$515,'Cắt lồng'!$AA48,'Cắt lồng'!$AE$327:$AE$515,'Cắt lồng'!EJ$4:EJ$4)</f>
        <v>0</v>
      </c>
      <c r="EK48" s="78" t="e">
        <f t="shared" si="138"/>
        <v>#DIV/0!</v>
      </c>
      <c r="EL48" s="172"/>
    </row>
    <row r="49" spans="1:181" s="12" customFormat="1" ht="14.25" hidden="1" customHeight="1">
      <c r="A49" s="25">
        <v>41</v>
      </c>
      <c r="B49" s="26"/>
      <c r="C49" s="26"/>
      <c r="D49" s="185">
        <f t="shared" si="140"/>
        <v>0</v>
      </c>
      <c r="E49" s="184">
        <f t="shared" si="141"/>
        <v>0</v>
      </c>
      <c r="F49" s="56"/>
      <c r="G49" s="82">
        <f t="shared" si="79"/>
        <v>0</v>
      </c>
      <c r="H49" s="81">
        <f t="shared" si="80"/>
        <v>0</v>
      </c>
      <c r="I49" s="19">
        <f t="shared" si="81"/>
        <v>0</v>
      </c>
      <c r="J49" s="11">
        <f t="shared" si="82"/>
        <v>0</v>
      </c>
      <c r="K49" s="19">
        <f t="shared" si="83"/>
        <v>0</v>
      </c>
      <c r="L49" s="19">
        <f t="shared" si="84"/>
        <v>0</v>
      </c>
      <c r="M49" s="19">
        <f t="shared" si="85"/>
        <v>0</v>
      </c>
      <c r="N49" s="19">
        <f t="shared" si="86"/>
        <v>0</v>
      </c>
      <c r="O49" s="19">
        <f t="shared" si="87"/>
        <v>0</v>
      </c>
      <c r="P49" s="19">
        <f t="shared" si="88"/>
        <v>0</v>
      </c>
      <c r="Q49" s="19">
        <f t="shared" si="89"/>
        <v>0</v>
      </c>
      <c r="R49" s="19">
        <f t="shared" si="90"/>
        <v>0</v>
      </c>
      <c r="S49" s="19">
        <f t="shared" si="91"/>
        <v>0</v>
      </c>
      <c r="T49" s="19">
        <f t="shared" si="92"/>
        <v>0</v>
      </c>
      <c r="U49" s="19">
        <f t="shared" si="93"/>
        <v>0</v>
      </c>
      <c r="V49" s="19">
        <f t="shared" si="94"/>
        <v>0</v>
      </c>
      <c r="W49" s="19">
        <f t="shared" si="95"/>
        <v>0</v>
      </c>
      <c r="X49" s="19">
        <f t="shared" si="96"/>
        <v>0</v>
      </c>
      <c r="Y49" s="19">
        <f t="shared" si="97"/>
        <v>0</v>
      </c>
      <c r="Z49" s="19">
        <f t="shared" si="98"/>
        <v>0</v>
      </c>
      <c r="AA49" s="164" t="s">
        <v>144</v>
      </c>
      <c r="AB49" s="129">
        <f t="shared" si="21"/>
        <v>0</v>
      </c>
      <c r="AC49" s="16">
        <f t="shared" si="22"/>
        <v>0</v>
      </c>
      <c r="AD49" s="15" t="e">
        <f t="shared" si="99"/>
        <v>#DIV/0!</v>
      </c>
      <c r="AE49" s="42"/>
      <c r="AF49" s="10" t="e">
        <f t="shared" si="100"/>
        <v>#DIV/0!</v>
      </c>
      <c r="AG49" s="10"/>
      <c r="AH49" s="152">
        <f t="shared" si="139"/>
        <v>0</v>
      </c>
      <c r="AI49" s="54" t="e">
        <f t="shared" si="101"/>
        <v>#DIV/0!</v>
      </c>
      <c r="AJ49" s="25">
        <f t="shared" si="102"/>
        <v>0</v>
      </c>
      <c r="AK49" s="25">
        <f t="shared" si="103"/>
        <v>0</v>
      </c>
      <c r="AL49" s="25">
        <f t="shared" si="104"/>
        <v>0</v>
      </c>
      <c r="AM49" s="30">
        <f t="shared" si="73"/>
        <v>0</v>
      </c>
      <c r="AN49" s="30">
        <f t="shared" si="74"/>
        <v>0</v>
      </c>
      <c r="AO49" s="30">
        <f t="shared" si="75"/>
        <v>0</v>
      </c>
      <c r="AP49" s="30">
        <f t="shared" si="76"/>
        <v>0</v>
      </c>
      <c r="AQ49" s="30">
        <f t="shared" si="77"/>
        <v>0</v>
      </c>
      <c r="AR49" s="30">
        <f t="shared" si="105"/>
        <v>0</v>
      </c>
      <c r="AS49" s="30">
        <f t="shared" si="106"/>
        <v>0</v>
      </c>
      <c r="AT49" s="30">
        <f t="shared" si="78"/>
        <v>0</v>
      </c>
      <c r="AV49" s="79">
        <f t="shared" si="107"/>
        <v>0</v>
      </c>
      <c r="AW49" s="79">
        <f t="array" ref="AW49">SUMIFS('Cắt lồng'!$AC$327:$AC$515,'Cắt lồng'!$AA$327:$AA$515,'Cắt lồng'!$AA49,'Cắt lồng'!$AE$327:$AE$515,'Cắt lồng'!AW$4:AW$4)</f>
        <v>0</v>
      </c>
      <c r="AX49" s="79">
        <f t="array" ref="AX49">SUMIFS('Cắt lồng'!$AH$327:$AH$515,'Cắt lồng'!$AA$327:$AA$515,'Cắt lồng'!$AA49,'Cắt lồng'!$AE$327:$AE$515,'Cắt lồng'!AX$4:AX$4)</f>
        <v>0</v>
      </c>
      <c r="AY49" s="78" t="e">
        <f t="shared" si="108"/>
        <v>#DIV/0!</v>
      </c>
      <c r="AZ49" s="79">
        <f t="array" ref="AZ49">SUMIFS('Cắt lồng'!$AC$327:$AC$515,'Cắt lồng'!$AA$327:$AA$515,'Cắt lồng'!$AA49,'Cắt lồng'!$AE$327:$AE$515,'Cắt lồng'!AZ$4:AZ$4)</f>
        <v>0</v>
      </c>
      <c r="BA49" s="79">
        <f t="array" ref="BA49">SUMIFS('Cắt lồng'!$AH$327:$AH$515,'Cắt lồng'!$AA$327:$AA$515,'Cắt lồng'!$AA49,'Cắt lồng'!$AE$327:$AE$515,'Cắt lồng'!BA$4:BA$4)</f>
        <v>0</v>
      </c>
      <c r="BB49" s="78" t="e">
        <f t="shared" si="109"/>
        <v>#DIV/0!</v>
      </c>
      <c r="BC49" s="79">
        <f t="array" ref="BC49">SUMIFS('Cắt lồng'!$AC$327:$AC$515,'Cắt lồng'!$AA$327:$AA$515,'Cắt lồng'!$AA49,'Cắt lồng'!$AE$327:$AE$515,'Cắt lồng'!BC$4:BC$4)</f>
        <v>0</v>
      </c>
      <c r="BD49" s="79">
        <f t="array" ref="BD49">SUMIFS('Cắt lồng'!$AH$327:$AH$515,'Cắt lồng'!$AA$327:$AA$515,'Cắt lồng'!$AA49,'Cắt lồng'!$AE$327:$AE$515,'Cắt lồng'!BD$4:BD$4)</f>
        <v>0</v>
      </c>
      <c r="BE49" s="78" t="e">
        <f t="shared" si="110"/>
        <v>#DIV/0!</v>
      </c>
      <c r="BF49" s="79">
        <f t="array" ref="BF49">SUMIFS('Cắt lồng'!$AC$327:$AC$515,'Cắt lồng'!$AA$327:$AA$515,'Cắt lồng'!$AA49,'Cắt lồng'!$AE$327:$AE$515,'Cắt lồng'!BF$4:BF$4)</f>
        <v>0</v>
      </c>
      <c r="BG49" s="79">
        <f t="array" ref="BG49">SUMIFS('Cắt lồng'!$AH$327:$AH$515,'Cắt lồng'!$AA$327:$AA$515,'Cắt lồng'!$AA49,'Cắt lồng'!$AE$327:$AE$515,'Cắt lồng'!BG$4:BG$4)</f>
        <v>0</v>
      </c>
      <c r="BH49" s="78" t="e">
        <f t="shared" si="111"/>
        <v>#DIV/0!</v>
      </c>
      <c r="BI49" s="79">
        <f t="array" ref="BI49">SUMIFS('Cắt lồng'!$AC$327:$AC$515,'Cắt lồng'!$AA$327:$AA$515,'Cắt lồng'!$AA49,'Cắt lồng'!$AE$327:$AE$515,'Cắt lồng'!BI$4:BI$4)</f>
        <v>0</v>
      </c>
      <c r="BJ49" s="79">
        <f t="array" ref="BJ49">SUMIFS('Cắt lồng'!$AH$327:$AH$515,'Cắt lồng'!$AA$327:$AA$515,'Cắt lồng'!$AA49,'Cắt lồng'!$AE$327:$AE$515,'Cắt lồng'!BJ$4:BJ$4)</f>
        <v>0</v>
      </c>
      <c r="BK49" s="78" t="e">
        <f t="shared" si="112"/>
        <v>#DIV/0!</v>
      </c>
      <c r="BL49" s="79">
        <f t="array" ref="BL49">SUMIFS('Cắt lồng'!$AC$327:$AC$515,'Cắt lồng'!$AA$327:$AA$515,'Cắt lồng'!$AA49,'Cắt lồng'!$AE$327:$AE$515,'Cắt lồng'!BL$4:BL$4)</f>
        <v>0</v>
      </c>
      <c r="BM49" s="79">
        <f t="array" ref="BM49">SUMIFS('Cắt lồng'!$AH$327:$AH$515,'Cắt lồng'!$AA$327:$AA$515,'Cắt lồng'!$AA49,'Cắt lồng'!$AE$327:$AE$515,'Cắt lồng'!BM$4:BM$4)</f>
        <v>0</v>
      </c>
      <c r="BN49" s="78" t="e">
        <f t="shared" si="113"/>
        <v>#DIV/0!</v>
      </c>
      <c r="BO49" s="79">
        <f t="array" ref="BO49">SUMIFS('Cắt lồng'!$AC$327:$AC$515,'Cắt lồng'!$AA$327:$AA$515,'Cắt lồng'!$AA49,'Cắt lồng'!$AE$327:$AE$515,'Cắt lồng'!BO$4:BO$4)</f>
        <v>0</v>
      </c>
      <c r="BP49" s="79">
        <f t="array" ref="BP49">SUMIFS('Cắt lồng'!$AH$327:$AH$515,'Cắt lồng'!$AA$327:$AA$515,'Cắt lồng'!$AA49,'Cắt lồng'!$AE$327:$AE$515,'Cắt lồng'!BP$4:BP$4)</f>
        <v>0</v>
      </c>
      <c r="BQ49" s="78" t="e">
        <f t="shared" si="114"/>
        <v>#DIV/0!</v>
      </c>
      <c r="BR49" s="79">
        <f t="array" ref="BR49">SUMIFS('Cắt lồng'!$AC$327:$AC$515,'Cắt lồng'!$AA$327:$AA$515,'Cắt lồng'!$AA49,'Cắt lồng'!$AE$327:$AE$515,'Cắt lồng'!BR$4:BR$4)</f>
        <v>0</v>
      </c>
      <c r="BS49" s="79">
        <f t="array" ref="BS49">SUMIFS('Cắt lồng'!$AH$327:$AH$515,'Cắt lồng'!$AA$327:$AA$515,'Cắt lồng'!$AA49,'Cắt lồng'!$AE$327:$AE$515,'Cắt lồng'!BS$4:BS$4)</f>
        <v>0</v>
      </c>
      <c r="BT49" s="78" t="e">
        <f t="shared" si="115"/>
        <v>#DIV/0!</v>
      </c>
      <c r="BU49" s="79">
        <f t="array" ref="BU49">SUMIFS('Cắt lồng'!$AC$327:$AC$515,'Cắt lồng'!$AA$327:$AA$515,'Cắt lồng'!$AA49,'Cắt lồng'!$AE$327:$AE$515,'Cắt lồng'!BU$4:BU$4)</f>
        <v>0</v>
      </c>
      <c r="BV49" s="79">
        <f t="array" ref="BV49">SUMIFS('Cắt lồng'!$AH$327:$AH$515,'Cắt lồng'!$AA$327:$AA$515,'Cắt lồng'!$AA49,'Cắt lồng'!$AE$327:$AE$515,'Cắt lồng'!BV$4:BV$4)</f>
        <v>0</v>
      </c>
      <c r="BW49" s="78" t="e">
        <f t="shared" si="116"/>
        <v>#DIV/0!</v>
      </c>
      <c r="BX49" s="79">
        <f t="array" ref="BX49">SUMIFS('Cắt lồng'!$AC$327:$AC$515,'Cắt lồng'!$AA$327:$AA$515,'Cắt lồng'!$AA49,'Cắt lồng'!$AE$327:$AE$515,'Cắt lồng'!BX$4:BX$4)</f>
        <v>0</v>
      </c>
      <c r="BY49" s="79">
        <f t="array" ref="BY49">SUMIFS('Cắt lồng'!$AH$327:$AH$515,'Cắt lồng'!$AA$327:$AA$515,'Cắt lồng'!$AA49,'Cắt lồng'!$AE$327:$AE$515,'Cắt lồng'!BY$4:BY$4)</f>
        <v>0</v>
      </c>
      <c r="BZ49" s="78" t="e">
        <f t="shared" si="117"/>
        <v>#DIV/0!</v>
      </c>
      <c r="CA49" s="79">
        <f t="array" ref="CA49">SUMIFS('Cắt lồng'!$AC$327:$AC$515,'Cắt lồng'!$AA$327:$AA$515,'Cắt lồng'!$AA49,'Cắt lồng'!$AE$327:$AE$515,'Cắt lồng'!CA$4:CA$4)</f>
        <v>0</v>
      </c>
      <c r="CB49" s="79">
        <f t="array" ref="CB49">SUMIFS('Cắt lồng'!$AH$327:$AH$515,'Cắt lồng'!$AA$327:$AA$515,'Cắt lồng'!$AA49,'Cắt lồng'!$AE$327:$AE$515,'Cắt lồng'!CB$4:CB$4)</f>
        <v>0</v>
      </c>
      <c r="CC49" s="78" t="e">
        <f t="shared" si="118"/>
        <v>#DIV/0!</v>
      </c>
      <c r="CD49" s="79">
        <f t="array" ref="CD49">SUMIFS('Cắt lồng'!$AC$327:$AC$515,'Cắt lồng'!$AA$327:$AA$515,'Cắt lồng'!$AA49,'Cắt lồng'!$AE$327:$AE$515,'Cắt lồng'!CD$4:CD$4)</f>
        <v>0</v>
      </c>
      <c r="CE49" s="79">
        <f t="array" ref="CE49">SUMIFS('Cắt lồng'!$AH$327:$AH$515,'Cắt lồng'!$AA$327:$AA$515,'Cắt lồng'!$AA49,'Cắt lồng'!$AE$327:$AE$515,'Cắt lồng'!CE$4:CE$4)</f>
        <v>0</v>
      </c>
      <c r="CF49" s="78" t="e">
        <f t="shared" si="119"/>
        <v>#DIV/0!</v>
      </c>
      <c r="CG49" s="79">
        <f t="array" ref="CG49">SUMIFS('Cắt lồng'!$AC$327:$AC$515,'Cắt lồng'!$AA$327:$AA$515,'Cắt lồng'!$AA49,'Cắt lồng'!$AE$327:$AE$515,'Cắt lồng'!CG$4:CG$4)</f>
        <v>0</v>
      </c>
      <c r="CH49" s="79">
        <f t="array" ref="CH49">SUMIFS('Cắt lồng'!$AH$327:$AH$515,'Cắt lồng'!$AA$327:$AA$515,'Cắt lồng'!$AA49,'Cắt lồng'!$AE$327:$AE$515,'Cắt lồng'!CH$4:CH$4)</f>
        <v>0</v>
      </c>
      <c r="CI49" s="78" t="e">
        <f t="shared" si="120"/>
        <v>#DIV/0!</v>
      </c>
      <c r="CJ49" s="79">
        <f t="array" ref="CJ49">SUMIFS('Cắt lồng'!$AC$327:$AC$515,'Cắt lồng'!$AA$327:$AA$515,'Cắt lồng'!$AA49,'Cắt lồng'!$AE$327:$AE$515,'Cắt lồng'!CJ$4:CJ$4)</f>
        <v>0</v>
      </c>
      <c r="CK49" s="79">
        <f t="array" ref="CK49">SUMIFS('Cắt lồng'!$AH$327:$AH$515,'Cắt lồng'!$AA$327:$AA$515,'Cắt lồng'!$AA49,'Cắt lồng'!$AE$327:$AE$515,'Cắt lồng'!CK$4:CK$4)</f>
        <v>0</v>
      </c>
      <c r="CL49" s="78" t="e">
        <f t="shared" si="121"/>
        <v>#DIV/0!</v>
      </c>
      <c r="CM49" s="79">
        <f t="array" ref="CM49">SUMIFS('Cắt lồng'!$AC$327:$AC$515,'Cắt lồng'!$AA$327:$AA$515,'Cắt lồng'!$AA49,'Cắt lồng'!$AE$327:$AE$515,'Cắt lồng'!CM$4:CM$4)</f>
        <v>0</v>
      </c>
      <c r="CN49" s="79">
        <f t="array" ref="CN49">SUMIFS('Cắt lồng'!$AH$327:$AH$515,'Cắt lồng'!$AA$327:$AA$515,'Cắt lồng'!$AA49,'Cắt lồng'!$AE$327:$AE$515,'Cắt lồng'!CN$4:CN$4)</f>
        <v>0</v>
      </c>
      <c r="CO49" s="78" t="e">
        <f t="shared" si="122"/>
        <v>#DIV/0!</v>
      </c>
      <c r="CP49" s="79">
        <f t="array" ref="CP49">SUMIFS('Cắt lồng'!$AC$327:$AC$515,'Cắt lồng'!$AA$327:$AA$515,'Cắt lồng'!$AA49,'Cắt lồng'!$AE$327:$AE$515,'Cắt lồng'!CP$4:CP$4)</f>
        <v>0</v>
      </c>
      <c r="CQ49" s="79">
        <f t="array" ref="CQ49">SUMIFS('Cắt lồng'!$AH$327:$AH$515,'Cắt lồng'!$AA$327:$AA$515,'Cắt lồng'!$AA49,'Cắt lồng'!$AE$327:$AE$515,'Cắt lồng'!CQ$4:CQ$4)</f>
        <v>0</v>
      </c>
      <c r="CR49" s="78" t="e">
        <f t="shared" si="123"/>
        <v>#DIV/0!</v>
      </c>
      <c r="CS49" s="79">
        <f t="array" ref="CS49">SUMIFS('Cắt lồng'!$AC$327:$AC$515,'Cắt lồng'!$AA$327:$AA$515,'Cắt lồng'!$AA49,'Cắt lồng'!$AE$327:$AE$515,'Cắt lồng'!CS$4:CS$4)</f>
        <v>0</v>
      </c>
      <c r="CT49" s="79">
        <f t="array" ref="CT49">SUMIFS('Cắt lồng'!$AH$327:$AH$515,'Cắt lồng'!$AA$327:$AA$515,'Cắt lồng'!$AA49,'Cắt lồng'!$AE$327:$AE$515,'Cắt lồng'!CT$4:CT$4)</f>
        <v>0</v>
      </c>
      <c r="CU49" s="78" t="e">
        <f t="shared" si="124"/>
        <v>#DIV/0!</v>
      </c>
      <c r="CV49" s="79">
        <f t="array" ref="CV49">SUMIFS('Cắt lồng'!$AC$327:$AC$515,'Cắt lồng'!$AA$327:$AA$515,'Cắt lồng'!$AA49,'Cắt lồng'!$AE$327:$AE$515,'Cắt lồng'!CV$4:CV$4)</f>
        <v>0</v>
      </c>
      <c r="CW49" s="79">
        <f t="array" ref="CW49">SUMIFS('Cắt lồng'!$AH$327:$AH$515,'Cắt lồng'!$AA$327:$AA$515,'Cắt lồng'!$AA49,'Cắt lồng'!$AE$327:$AE$515,'Cắt lồng'!CW$4:CW$4)</f>
        <v>0</v>
      </c>
      <c r="CX49" s="78" t="e">
        <f t="shared" si="125"/>
        <v>#DIV/0!</v>
      </c>
      <c r="CY49" s="79">
        <f t="array" ref="CY49">SUMIFS('Cắt lồng'!$AC$327:$AC$515,'Cắt lồng'!$AA$327:$AA$515,'Cắt lồng'!$AA49,'Cắt lồng'!$AE$327:$AE$515,'Cắt lồng'!CY$4:CY$4)</f>
        <v>0</v>
      </c>
      <c r="CZ49" s="79">
        <f t="array" ref="CZ49">SUMIFS('Cắt lồng'!$AH$327:$AH$515,'Cắt lồng'!$AA$327:$AA$515,'Cắt lồng'!$AA49,'Cắt lồng'!$AE$327:$AE$515,'Cắt lồng'!CZ$4:CZ$4)</f>
        <v>0</v>
      </c>
      <c r="DA49" s="78" t="e">
        <f t="shared" si="126"/>
        <v>#DIV/0!</v>
      </c>
      <c r="DB49" s="79">
        <f t="array" ref="DB49">SUMIFS('Cắt lồng'!$AC$327:$AC$515,'Cắt lồng'!$AA$327:$AA$515,'Cắt lồng'!$AA49,'Cắt lồng'!$AE$327:$AE$515,'Cắt lồng'!DB$4:DB$4)</f>
        <v>0</v>
      </c>
      <c r="DC49" s="79">
        <f t="array" ref="DC49">SUMIFS('Cắt lồng'!$AH$327:$AH$515,'Cắt lồng'!$AA$327:$AA$515,'Cắt lồng'!$AA49,'Cắt lồng'!$AE$327:$AE$515,'Cắt lồng'!DC$4:DC$4)</f>
        <v>0</v>
      </c>
      <c r="DD49" s="78" t="e">
        <f t="shared" si="127"/>
        <v>#DIV/0!</v>
      </c>
      <c r="DE49" s="79">
        <f t="array" ref="DE49">SUMIFS('Cắt lồng'!$AC$327:$AC$515,'Cắt lồng'!$AA$327:$AA$515,'Cắt lồng'!$AA49,'Cắt lồng'!$AE$327:$AE$515,'Cắt lồng'!DE$4:DE$4)</f>
        <v>0</v>
      </c>
      <c r="DF49" s="79">
        <f t="array" ref="DF49">SUMIFS('Cắt lồng'!$AH$327:$AH$515,'Cắt lồng'!$AA$327:$AA$515,'Cắt lồng'!$AA49,'Cắt lồng'!$AE$327:$AE$515,'Cắt lồng'!DF$4:DF$4)</f>
        <v>0</v>
      </c>
      <c r="DG49" s="78" t="e">
        <f t="shared" si="128"/>
        <v>#DIV/0!</v>
      </c>
      <c r="DH49" s="79">
        <f t="array" ref="DH49">SUMIFS('Cắt lồng'!$AC$327:$AC$515,'Cắt lồng'!$AA$327:$AA$515,'Cắt lồng'!$AA49,'Cắt lồng'!$AE$327:$AE$515,'Cắt lồng'!DH$4:DH$4)</f>
        <v>0</v>
      </c>
      <c r="DI49" s="79">
        <f t="array" ref="DI49">SUMIFS('Cắt lồng'!$AH$327:$AH$515,'Cắt lồng'!$AA$327:$AA$515,'Cắt lồng'!$AA49,'Cắt lồng'!$AE$327:$AE$515,'Cắt lồng'!DI$4:DI$4)</f>
        <v>0</v>
      </c>
      <c r="DJ49" s="78" t="e">
        <f t="shared" si="129"/>
        <v>#DIV/0!</v>
      </c>
      <c r="DK49" s="79">
        <f t="array" ref="DK49">SUMIFS('Cắt lồng'!$AC$327:$AC$515,'Cắt lồng'!$AA$327:$AA$515,'Cắt lồng'!$AA49,'Cắt lồng'!$AE$327:$AE$515,'Cắt lồng'!DK$4:DK$4)</f>
        <v>0</v>
      </c>
      <c r="DL49" s="79">
        <f t="array" ref="DL49">SUMIFS('Cắt lồng'!$AH$327:$AH$515,'Cắt lồng'!$AA$327:$AA$515,'Cắt lồng'!$AA49,'Cắt lồng'!$AE$327:$AE$515,'Cắt lồng'!DL$4:DL$4)</f>
        <v>0</v>
      </c>
      <c r="DM49" s="78" t="e">
        <f t="shared" si="130"/>
        <v>#DIV/0!</v>
      </c>
      <c r="DN49" s="79">
        <f>SUMIFS('Cắt lồng'!$AC$327:$AC$515,'Cắt lồng'!$AA$327:$AA$515,'Cắt lồng'!$AA49,'Cắt lồng'!$AE$327:$AE$515,'Cắt lồng'!DN$4:DN$4)</f>
        <v>0</v>
      </c>
      <c r="DO49" s="79">
        <f t="array" ref="DO49">SUMIFS('Cắt lồng'!$AH$327:$AH$515,'Cắt lồng'!$AA$327:$AA$515,'Cắt lồng'!$AA49,'Cắt lồng'!$AE$327:$AE$515,'Cắt lồng'!DO$4:DO$4)</f>
        <v>0</v>
      </c>
      <c r="DP49" s="78" t="e">
        <f t="shared" si="131"/>
        <v>#DIV/0!</v>
      </c>
      <c r="DQ49" s="79">
        <f t="array" ref="DQ49">SUMIFS('Cắt lồng'!$AC$327:$AC$515,'Cắt lồng'!$AA$327:$AA$515,'Cắt lồng'!$AA49,'Cắt lồng'!$AE$327:$AE$515,'Cắt lồng'!DQ$4:DQ$4)</f>
        <v>0</v>
      </c>
      <c r="DR49" s="79">
        <f t="array" ref="DR49">SUMIFS('Cắt lồng'!$AH$327:$AH$515,'Cắt lồng'!$AA$327:$AA$515,'Cắt lồng'!$AA49,'Cắt lồng'!$AE$327:$AE$515,'Cắt lồng'!DR$4:DR$4)</f>
        <v>0</v>
      </c>
      <c r="DS49" s="78" t="e">
        <f t="shared" si="132"/>
        <v>#DIV/0!</v>
      </c>
      <c r="DT49" s="79">
        <f t="array" ref="DT49">SUMIFS('Cắt lồng'!$AC$327:$AC$515,'Cắt lồng'!$AA$327:$AA$515,'Cắt lồng'!$AA49,'Cắt lồng'!$AE$327:$AE$515,'Cắt lồng'!DT$4:DT$4)</f>
        <v>0</v>
      </c>
      <c r="DU49" s="79">
        <f t="array" ref="DU49">SUMIFS('Cắt lồng'!$AH$327:$AH$515,'Cắt lồng'!$AA$327:$AA$515,'Cắt lồng'!$AA49,'Cắt lồng'!$AE$327:$AE$515,'Cắt lồng'!DU$4:DU$4)</f>
        <v>0</v>
      </c>
      <c r="DV49" s="78" t="e">
        <f t="shared" si="133"/>
        <v>#DIV/0!</v>
      </c>
      <c r="DW49" s="79">
        <f t="array" ref="DW49">SUMIFS('Cắt lồng'!$AC$327:$AC$515,'Cắt lồng'!$AA$327:$AA$515,'Cắt lồng'!$AA49,'Cắt lồng'!$AE$327:$AE$515,'Cắt lồng'!DW$4:DW$4)</f>
        <v>0</v>
      </c>
      <c r="DX49" s="79">
        <f t="array" ref="DX49">SUMIFS('Cắt lồng'!$AH$327:$AH$515,'Cắt lồng'!$AA$327:$AA$515,'Cắt lồng'!$AA49,'Cắt lồng'!$AE$327:$AE$515,'Cắt lồng'!DX$4:DX$4)</f>
        <v>0</v>
      </c>
      <c r="DY49" s="78" t="e">
        <f t="shared" si="134"/>
        <v>#DIV/0!</v>
      </c>
      <c r="DZ49" s="79">
        <f t="array" ref="DZ49">SUMIFS('Cắt lồng'!$AC$327:$AC$515,'Cắt lồng'!$AA$327:$AA$515,'Cắt lồng'!$AA49,'Cắt lồng'!$AE$327:$AE$515,'Cắt lồng'!DZ$4:DZ$4)</f>
        <v>0</v>
      </c>
      <c r="EA49" s="79">
        <f t="array" ref="EA49">SUMIFS('Cắt lồng'!$AH$327:$AH$515,'Cắt lồng'!$AA$327:$AA$515,'Cắt lồng'!$AA49,'Cắt lồng'!$AE$327:$AE$515,'Cắt lồng'!EA$4:EA$4)</f>
        <v>0</v>
      </c>
      <c r="EB49" s="78" t="e">
        <f t="shared" si="135"/>
        <v>#DIV/0!</v>
      </c>
      <c r="EC49" s="79">
        <f t="array" ref="EC49">SUMIFS('Cắt lồng'!$AC$327:$AC$515,'Cắt lồng'!$AA$327:$AA$515,'Cắt lồng'!$AA49,'Cắt lồng'!$AE$327:$AE$515,'Cắt lồng'!EC$4:EC$4)</f>
        <v>0</v>
      </c>
      <c r="ED49" s="79">
        <f t="array" ref="ED49">SUMIFS('Cắt lồng'!$AH$327:$AH$515,'Cắt lồng'!$AA$327:$AA$515,'Cắt lồng'!$AA49,'Cắt lồng'!$AE$327:$AE$515,'Cắt lồng'!ED$4:ED$4)</f>
        <v>0</v>
      </c>
      <c r="EE49" s="78" t="e">
        <f t="shared" si="136"/>
        <v>#DIV/0!</v>
      </c>
      <c r="EF49" s="79">
        <f t="array" ref="EF49">SUMIFS('Cắt lồng'!$AC$327:$AC$515,'Cắt lồng'!$AA$327:$AA$515,'Cắt lồng'!$AA49,'Cắt lồng'!$AE$327:$AE$515,'Cắt lồng'!EF$4:EF$4)</f>
        <v>0</v>
      </c>
      <c r="EG49" s="79">
        <f t="array" ref="EG49">SUMIFS('Cắt lồng'!$AH$327:$AH$515,'Cắt lồng'!$AA$327:$AA$515,'Cắt lồng'!$AA49,'Cắt lồng'!$AE$327:$AE$515,'Cắt lồng'!EG$4:EG$4)</f>
        <v>0</v>
      </c>
      <c r="EH49" s="78" t="e">
        <f t="shared" si="137"/>
        <v>#DIV/0!</v>
      </c>
      <c r="EI49" s="79">
        <f t="array" ref="EI49">SUMIFS('Cắt lồng'!$AC$327:$AC$515,'Cắt lồng'!$AA$327:$AA$515,'Cắt lồng'!$AA49,'Cắt lồng'!$AE$327:$AE$515,'Cắt lồng'!EI$4:EI$4)</f>
        <v>0</v>
      </c>
      <c r="EJ49" s="79">
        <f t="array" ref="EJ49">SUMIFS('Cắt lồng'!$AH$327:$AH$515,'Cắt lồng'!$AA$327:$AA$515,'Cắt lồng'!$AA49,'Cắt lồng'!$AE$327:$AE$515,'Cắt lồng'!EJ$4:EJ$4)</f>
        <v>0</v>
      </c>
      <c r="EK49" s="78" t="e">
        <f t="shared" si="138"/>
        <v>#DIV/0!</v>
      </c>
      <c r="EL49" s="172"/>
    </row>
    <row r="50" spans="1:181" s="12" customFormat="1" ht="14.25" hidden="1" customHeight="1">
      <c r="A50" s="25">
        <v>42</v>
      </c>
      <c r="B50" s="26"/>
      <c r="C50" s="26"/>
      <c r="D50" s="185">
        <f t="shared" si="140"/>
        <v>0</v>
      </c>
      <c r="E50" s="184">
        <f t="shared" si="141"/>
        <v>0</v>
      </c>
      <c r="F50" s="56"/>
      <c r="G50" s="82">
        <f t="shared" si="79"/>
        <v>0</v>
      </c>
      <c r="H50" s="81">
        <f t="shared" si="80"/>
        <v>0</v>
      </c>
      <c r="I50" s="19">
        <f t="shared" si="81"/>
        <v>0</v>
      </c>
      <c r="J50" s="11">
        <f t="shared" si="82"/>
        <v>0</v>
      </c>
      <c r="K50" s="19">
        <f t="shared" si="83"/>
        <v>0</v>
      </c>
      <c r="L50" s="19">
        <f t="shared" si="84"/>
        <v>0</v>
      </c>
      <c r="M50" s="19">
        <f t="shared" si="85"/>
        <v>0</v>
      </c>
      <c r="N50" s="19">
        <f t="shared" si="86"/>
        <v>0</v>
      </c>
      <c r="O50" s="19">
        <f t="shared" si="87"/>
        <v>0</v>
      </c>
      <c r="P50" s="19">
        <f t="shared" si="88"/>
        <v>0</v>
      </c>
      <c r="Q50" s="19">
        <f t="shared" si="89"/>
        <v>0</v>
      </c>
      <c r="R50" s="19">
        <f t="shared" si="90"/>
        <v>0</v>
      </c>
      <c r="S50" s="19">
        <f t="shared" si="91"/>
        <v>0</v>
      </c>
      <c r="T50" s="19">
        <f t="shared" si="92"/>
        <v>0</v>
      </c>
      <c r="U50" s="19">
        <f t="shared" si="93"/>
        <v>0</v>
      </c>
      <c r="V50" s="19">
        <f t="shared" si="94"/>
        <v>0</v>
      </c>
      <c r="W50" s="19">
        <f t="shared" si="95"/>
        <v>0</v>
      </c>
      <c r="X50" s="19">
        <f t="shared" si="96"/>
        <v>0</v>
      </c>
      <c r="Y50" s="19">
        <f t="shared" si="97"/>
        <v>0</v>
      </c>
      <c r="Z50" s="19">
        <f t="shared" si="98"/>
        <v>0</v>
      </c>
      <c r="AA50" s="164" t="s">
        <v>142</v>
      </c>
      <c r="AB50" s="129">
        <f t="shared" si="21"/>
        <v>0</v>
      </c>
      <c r="AC50" s="16">
        <f t="shared" si="22"/>
        <v>0</v>
      </c>
      <c r="AD50" s="15" t="e">
        <f t="shared" si="99"/>
        <v>#DIV/0!</v>
      </c>
      <c r="AE50" s="42"/>
      <c r="AF50" s="10" t="e">
        <f t="shared" si="100"/>
        <v>#DIV/0!</v>
      </c>
      <c r="AG50" s="10"/>
      <c r="AH50" s="152">
        <f t="shared" si="139"/>
        <v>0</v>
      </c>
      <c r="AI50" s="54" t="e">
        <f t="shared" si="101"/>
        <v>#DIV/0!</v>
      </c>
      <c r="AJ50" s="25">
        <f t="shared" si="102"/>
        <v>0</v>
      </c>
      <c r="AK50" s="25">
        <f t="shared" si="103"/>
        <v>0</v>
      </c>
      <c r="AL50" s="25">
        <f t="shared" si="104"/>
        <v>0</v>
      </c>
      <c r="AM50" s="30">
        <f t="shared" si="73"/>
        <v>0</v>
      </c>
      <c r="AN50" s="30">
        <f t="shared" si="74"/>
        <v>0</v>
      </c>
      <c r="AO50" s="30">
        <f t="shared" si="75"/>
        <v>0</v>
      </c>
      <c r="AP50" s="30">
        <f t="shared" si="76"/>
        <v>0</v>
      </c>
      <c r="AQ50" s="30">
        <f t="shared" si="77"/>
        <v>0</v>
      </c>
      <c r="AR50" s="30">
        <f t="shared" si="105"/>
        <v>0</v>
      </c>
      <c r="AS50" s="30">
        <f t="shared" si="106"/>
        <v>0</v>
      </c>
      <c r="AT50" s="30">
        <f t="shared" si="78"/>
        <v>0</v>
      </c>
      <c r="AV50" s="79">
        <f t="shared" si="107"/>
        <v>0</v>
      </c>
      <c r="AW50" s="79">
        <f t="array" ref="AW50">SUMIFS('Cắt lồng'!$AC$327:$AC$515,'Cắt lồng'!$AA$327:$AA$515,'Cắt lồng'!$AA50,'Cắt lồng'!$AE$327:$AE$515,'Cắt lồng'!AW$4:AW$4)</f>
        <v>0</v>
      </c>
      <c r="AX50" s="79">
        <f t="array" ref="AX50">SUMIFS('Cắt lồng'!$AH$327:$AH$515,'Cắt lồng'!$AA$327:$AA$515,'Cắt lồng'!$AA50,'Cắt lồng'!$AE$327:$AE$515,'Cắt lồng'!AX$4:AX$4)</f>
        <v>0</v>
      </c>
      <c r="AY50" s="78" t="e">
        <f t="shared" si="108"/>
        <v>#DIV/0!</v>
      </c>
      <c r="AZ50" s="79">
        <f t="array" ref="AZ50">SUMIFS('Cắt lồng'!$AC$327:$AC$515,'Cắt lồng'!$AA$327:$AA$515,'Cắt lồng'!$AA50,'Cắt lồng'!$AE$327:$AE$515,'Cắt lồng'!AZ$4:AZ$4)</f>
        <v>0</v>
      </c>
      <c r="BA50" s="79">
        <f t="array" ref="BA50">SUMIFS('Cắt lồng'!$AH$327:$AH$515,'Cắt lồng'!$AA$327:$AA$515,'Cắt lồng'!$AA50,'Cắt lồng'!$AE$327:$AE$515,'Cắt lồng'!BA$4:BA$4)</f>
        <v>0</v>
      </c>
      <c r="BB50" s="78" t="e">
        <f t="shared" si="109"/>
        <v>#DIV/0!</v>
      </c>
      <c r="BC50" s="79">
        <f t="array" ref="BC50">SUMIFS('Cắt lồng'!$AC$327:$AC$515,'Cắt lồng'!$AA$327:$AA$515,'Cắt lồng'!$AA50,'Cắt lồng'!$AE$327:$AE$515,'Cắt lồng'!BC$4:BC$4)</f>
        <v>0</v>
      </c>
      <c r="BD50" s="79">
        <f t="array" ref="BD50">SUMIFS('Cắt lồng'!$AH$327:$AH$515,'Cắt lồng'!$AA$327:$AA$515,'Cắt lồng'!$AA50,'Cắt lồng'!$AE$327:$AE$515,'Cắt lồng'!BD$4:BD$4)</f>
        <v>0</v>
      </c>
      <c r="BE50" s="78" t="e">
        <f t="shared" si="110"/>
        <v>#DIV/0!</v>
      </c>
      <c r="BF50" s="79">
        <f t="array" ref="BF50">SUMIFS('Cắt lồng'!$AC$327:$AC$515,'Cắt lồng'!$AA$327:$AA$515,'Cắt lồng'!$AA50,'Cắt lồng'!$AE$327:$AE$515,'Cắt lồng'!BF$4:BF$4)</f>
        <v>0</v>
      </c>
      <c r="BG50" s="79">
        <f t="array" ref="BG50">SUMIFS('Cắt lồng'!$AH$327:$AH$515,'Cắt lồng'!$AA$327:$AA$515,'Cắt lồng'!$AA50,'Cắt lồng'!$AE$327:$AE$515,'Cắt lồng'!BG$4:BG$4)</f>
        <v>0</v>
      </c>
      <c r="BH50" s="78" t="e">
        <f t="shared" si="111"/>
        <v>#DIV/0!</v>
      </c>
      <c r="BI50" s="79">
        <f t="array" ref="BI50">SUMIFS('Cắt lồng'!$AC$327:$AC$515,'Cắt lồng'!$AA$327:$AA$515,'Cắt lồng'!$AA50,'Cắt lồng'!$AE$327:$AE$515,'Cắt lồng'!BI$4:BI$4)</f>
        <v>0</v>
      </c>
      <c r="BJ50" s="79">
        <f t="array" ref="BJ50">SUMIFS('Cắt lồng'!$AH$327:$AH$515,'Cắt lồng'!$AA$327:$AA$515,'Cắt lồng'!$AA50,'Cắt lồng'!$AE$327:$AE$515,'Cắt lồng'!BJ$4:BJ$4)</f>
        <v>0</v>
      </c>
      <c r="BK50" s="78" t="e">
        <f t="shared" si="112"/>
        <v>#DIV/0!</v>
      </c>
      <c r="BL50" s="79">
        <f t="array" ref="BL50">SUMIFS('Cắt lồng'!$AC$327:$AC$515,'Cắt lồng'!$AA$327:$AA$515,'Cắt lồng'!$AA50,'Cắt lồng'!$AE$327:$AE$515,'Cắt lồng'!BL$4:BL$4)</f>
        <v>0</v>
      </c>
      <c r="BM50" s="79">
        <f t="array" ref="BM50">SUMIFS('Cắt lồng'!$AH$327:$AH$515,'Cắt lồng'!$AA$327:$AA$515,'Cắt lồng'!$AA50,'Cắt lồng'!$AE$327:$AE$515,'Cắt lồng'!BM$4:BM$4)</f>
        <v>0</v>
      </c>
      <c r="BN50" s="78" t="e">
        <f t="shared" si="113"/>
        <v>#DIV/0!</v>
      </c>
      <c r="BO50" s="79">
        <f t="array" ref="BO50">SUMIFS('Cắt lồng'!$AC$327:$AC$515,'Cắt lồng'!$AA$327:$AA$515,'Cắt lồng'!$AA50,'Cắt lồng'!$AE$327:$AE$515,'Cắt lồng'!BO$4:BO$4)</f>
        <v>0</v>
      </c>
      <c r="BP50" s="79">
        <f t="array" ref="BP50">SUMIFS('Cắt lồng'!$AH$327:$AH$515,'Cắt lồng'!$AA$327:$AA$515,'Cắt lồng'!$AA50,'Cắt lồng'!$AE$327:$AE$515,'Cắt lồng'!BP$4:BP$4)</f>
        <v>0</v>
      </c>
      <c r="BQ50" s="78" t="e">
        <f t="shared" si="114"/>
        <v>#DIV/0!</v>
      </c>
      <c r="BR50" s="79">
        <f t="array" ref="BR50">SUMIFS('Cắt lồng'!$AC$327:$AC$515,'Cắt lồng'!$AA$327:$AA$515,'Cắt lồng'!$AA50,'Cắt lồng'!$AE$327:$AE$515,'Cắt lồng'!BR$4:BR$4)</f>
        <v>0</v>
      </c>
      <c r="BS50" s="79">
        <f t="array" ref="BS50">SUMIFS('Cắt lồng'!$AH$327:$AH$515,'Cắt lồng'!$AA$327:$AA$515,'Cắt lồng'!$AA50,'Cắt lồng'!$AE$327:$AE$515,'Cắt lồng'!BS$4:BS$4)</f>
        <v>0</v>
      </c>
      <c r="BT50" s="78" t="e">
        <f t="shared" si="115"/>
        <v>#DIV/0!</v>
      </c>
      <c r="BU50" s="79">
        <f t="array" ref="BU50">SUMIFS('Cắt lồng'!$AC$327:$AC$515,'Cắt lồng'!$AA$327:$AA$515,'Cắt lồng'!$AA50,'Cắt lồng'!$AE$327:$AE$515,'Cắt lồng'!BU$4:BU$4)</f>
        <v>0</v>
      </c>
      <c r="BV50" s="79">
        <f t="array" ref="BV50">SUMIFS('Cắt lồng'!$AH$327:$AH$515,'Cắt lồng'!$AA$327:$AA$515,'Cắt lồng'!$AA50,'Cắt lồng'!$AE$327:$AE$515,'Cắt lồng'!BV$4:BV$4)</f>
        <v>0</v>
      </c>
      <c r="BW50" s="78" t="e">
        <f t="shared" si="116"/>
        <v>#DIV/0!</v>
      </c>
      <c r="BX50" s="79">
        <f t="array" ref="BX50">SUMIFS('Cắt lồng'!$AC$327:$AC$515,'Cắt lồng'!$AA$327:$AA$515,'Cắt lồng'!$AA50,'Cắt lồng'!$AE$327:$AE$515,'Cắt lồng'!BX$4:BX$4)</f>
        <v>0</v>
      </c>
      <c r="BY50" s="79">
        <f t="array" ref="BY50">SUMIFS('Cắt lồng'!$AH$327:$AH$515,'Cắt lồng'!$AA$327:$AA$515,'Cắt lồng'!$AA50,'Cắt lồng'!$AE$327:$AE$515,'Cắt lồng'!BY$4:BY$4)</f>
        <v>0</v>
      </c>
      <c r="BZ50" s="78" t="e">
        <f t="shared" si="117"/>
        <v>#DIV/0!</v>
      </c>
      <c r="CA50" s="79">
        <f t="array" ref="CA50">SUMIFS('Cắt lồng'!$AC$327:$AC$515,'Cắt lồng'!$AA$327:$AA$515,'Cắt lồng'!$AA50,'Cắt lồng'!$AE$327:$AE$515,'Cắt lồng'!CA$4:CA$4)</f>
        <v>0</v>
      </c>
      <c r="CB50" s="79">
        <f t="array" ref="CB50">SUMIFS('Cắt lồng'!$AH$327:$AH$515,'Cắt lồng'!$AA$327:$AA$515,'Cắt lồng'!$AA50,'Cắt lồng'!$AE$327:$AE$515,'Cắt lồng'!CB$4:CB$4)</f>
        <v>0</v>
      </c>
      <c r="CC50" s="78" t="e">
        <f t="shared" si="118"/>
        <v>#DIV/0!</v>
      </c>
      <c r="CD50" s="79">
        <f t="array" ref="CD50">SUMIFS('Cắt lồng'!$AC$327:$AC$515,'Cắt lồng'!$AA$327:$AA$515,'Cắt lồng'!$AA50,'Cắt lồng'!$AE$327:$AE$515,'Cắt lồng'!CD$4:CD$4)</f>
        <v>0</v>
      </c>
      <c r="CE50" s="79">
        <f t="array" ref="CE50">SUMIFS('Cắt lồng'!$AH$327:$AH$515,'Cắt lồng'!$AA$327:$AA$515,'Cắt lồng'!$AA50,'Cắt lồng'!$AE$327:$AE$515,'Cắt lồng'!CE$4:CE$4)</f>
        <v>0</v>
      </c>
      <c r="CF50" s="78" t="e">
        <f t="shared" si="119"/>
        <v>#DIV/0!</v>
      </c>
      <c r="CG50" s="79">
        <f t="array" ref="CG50">SUMIFS('Cắt lồng'!$AC$327:$AC$515,'Cắt lồng'!$AA$327:$AA$515,'Cắt lồng'!$AA50,'Cắt lồng'!$AE$327:$AE$515,'Cắt lồng'!CG$4:CG$4)</f>
        <v>0</v>
      </c>
      <c r="CH50" s="79">
        <f t="array" ref="CH50">SUMIFS('Cắt lồng'!$AH$327:$AH$515,'Cắt lồng'!$AA$327:$AA$515,'Cắt lồng'!$AA50,'Cắt lồng'!$AE$327:$AE$515,'Cắt lồng'!CH$4:CH$4)</f>
        <v>0</v>
      </c>
      <c r="CI50" s="78" t="e">
        <f t="shared" si="120"/>
        <v>#DIV/0!</v>
      </c>
      <c r="CJ50" s="79">
        <f>SUMIFS('Cắt lồng'!$AC$327:$AC$515,'Cắt lồng'!$AA$327:$AA$515,'Cắt lồng'!$AA50,'Cắt lồng'!$AE$327:$AE$515,'Cắt lồng'!CJ$4:CJ$4)</f>
        <v>0</v>
      </c>
      <c r="CK50" s="79">
        <f t="array" ref="CK50">SUMIFS('Cắt lồng'!$AH$327:$AH$515,'Cắt lồng'!$AA$327:$AA$515,'Cắt lồng'!$AA50,'Cắt lồng'!$AE$327:$AE$515,'Cắt lồng'!CK$4:CK$4)</f>
        <v>0</v>
      </c>
      <c r="CL50" s="78" t="e">
        <f t="shared" si="121"/>
        <v>#DIV/0!</v>
      </c>
      <c r="CM50" s="79">
        <f t="array" ref="CM50">SUMIFS('Cắt lồng'!$AC$327:$AC$515,'Cắt lồng'!$AA$327:$AA$515,'Cắt lồng'!$AA50,'Cắt lồng'!$AE$327:$AE$515,'Cắt lồng'!CM$4:CM$4)</f>
        <v>0</v>
      </c>
      <c r="CN50" s="79">
        <f t="array" ref="CN50">SUMIFS('Cắt lồng'!$AH$327:$AH$515,'Cắt lồng'!$AA$327:$AA$515,'Cắt lồng'!$AA50,'Cắt lồng'!$AE$327:$AE$515,'Cắt lồng'!CN$4:CN$4)</f>
        <v>0</v>
      </c>
      <c r="CO50" s="78" t="e">
        <f t="shared" si="122"/>
        <v>#DIV/0!</v>
      </c>
      <c r="CP50" s="79">
        <f t="array" ref="CP50">SUMIFS('Cắt lồng'!$AC$327:$AC$515,'Cắt lồng'!$AA$327:$AA$515,'Cắt lồng'!$AA50,'Cắt lồng'!$AE$327:$AE$515,'Cắt lồng'!CP$4:CP$4)</f>
        <v>0</v>
      </c>
      <c r="CQ50" s="79">
        <f t="array" ref="CQ50">SUMIFS('Cắt lồng'!$AH$327:$AH$515,'Cắt lồng'!$AA$327:$AA$515,'Cắt lồng'!$AA50,'Cắt lồng'!$AE$327:$AE$515,'Cắt lồng'!CQ$4:CQ$4)</f>
        <v>0</v>
      </c>
      <c r="CR50" s="78" t="e">
        <f t="shared" si="123"/>
        <v>#DIV/0!</v>
      </c>
      <c r="CS50" s="79">
        <f t="array" ref="CS50">SUMIFS('Cắt lồng'!$AC$327:$AC$515,'Cắt lồng'!$AA$327:$AA$515,'Cắt lồng'!$AA50,'Cắt lồng'!$AE$327:$AE$515,'Cắt lồng'!CS$4:CS$4)</f>
        <v>0</v>
      </c>
      <c r="CT50" s="79">
        <f t="array" ref="CT50">SUMIFS('Cắt lồng'!$AH$327:$AH$515,'Cắt lồng'!$AA$327:$AA$515,'Cắt lồng'!$AA50,'Cắt lồng'!$AE$327:$AE$515,'Cắt lồng'!CT$4:CT$4)</f>
        <v>0</v>
      </c>
      <c r="CU50" s="78" t="e">
        <f t="shared" si="124"/>
        <v>#DIV/0!</v>
      </c>
      <c r="CV50" s="79">
        <f t="array" ref="CV50">SUMIFS('Cắt lồng'!$AC$327:$AC$515,'Cắt lồng'!$AA$327:$AA$515,'Cắt lồng'!$AA50,'Cắt lồng'!$AE$327:$AE$515,'Cắt lồng'!CV$4:CV$4)</f>
        <v>0</v>
      </c>
      <c r="CW50" s="79">
        <f t="array" ref="CW50">SUMIFS('Cắt lồng'!$AH$327:$AH$515,'Cắt lồng'!$AA$327:$AA$515,'Cắt lồng'!$AA50,'Cắt lồng'!$AE$327:$AE$515,'Cắt lồng'!CW$4:CW$4)</f>
        <v>0</v>
      </c>
      <c r="CX50" s="78" t="e">
        <f t="shared" si="125"/>
        <v>#DIV/0!</v>
      </c>
      <c r="CY50" s="79">
        <f t="array" ref="CY50">SUMIFS('Cắt lồng'!$AC$327:$AC$515,'Cắt lồng'!$AA$327:$AA$515,'Cắt lồng'!$AA50,'Cắt lồng'!$AE$327:$AE$515,'Cắt lồng'!CY$4:CY$4)</f>
        <v>0</v>
      </c>
      <c r="CZ50" s="79">
        <f t="array" ref="CZ50">SUMIFS('Cắt lồng'!$AH$327:$AH$515,'Cắt lồng'!$AA$327:$AA$515,'Cắt lồng'!$AA50,'Cắt lồng'!$AE$327:$AE$515,'Cắt lồng'!CZ$4:CZ$4)</f>
        <v>0</v>
      </c>
      <c r="DA50" s="78" t="e">
        <f t="shared" si="126"/>
        <v>#DIV/0!</v>
      </c>
      <c r="DB50" s="79">
        <f t="array" ref="DB50">SUMIFS('Cắt lồng'!$AC$327:$AC$515,'Cắt lồng'!$AA$327:$AA$515,'Cắt lồng'!$AA50,'Cắt lồng'!$AE$327:$AE$515,'Cắt lồng'!DB$4:DB$4)</f>
        <v>0</v>
      </c>
      <c r="DC50" s="79">
        <f t="array" ref="DC50">SUMIFS('Cắt lồng'!$AH$327:$AH$515,'Cắt lồng'!$AA$327:$AA$515,'Cắt lồng'!$AA50,'Cắt lồng'!$AE$327:$AE$515,'Cắt lồng'!DC$4:DC$4)</f>
        <v>0</v>
      </c>
      <c r="DD50" s="78" t="e">
        <f t="shared" si="127"/>
        <v>#DIV/0!</v>
      </c>
      <c r="DE50" s="79">
        <f t="array" ref="DE50">SUMIFS('Cắt lồng'!$AC$327:$AC$515,'Cắt lồng'!$AA$327:$AA$515,'Cắt lồng'!$AA50,'Cắt lồng'!$AE$327:$AE$515,'Cắt lồng'!DE$4:DE$4)</f>
        <v>0</v>
      </c>
      <c r="DF50" s="79">
        <f t="array" ref="DF50">SUMIFS('Cắt lồng'!$AH$327:$AH$515,'Cắt lồng'!$AA$327:$AA$515,'Cắt lồng'!$AA50,'Cắt lồng'!$AE$327:$AE$515,'Cắt lồng'!DF$4:DF$4)</f>
        <v>0</v>
      </c>
      <c r="DG50" s="78" t="e">
        <f t="shared" si="128"/>
        <v>#DIV/0!</v>
      </c>
      <c r="DH50" s="79">
        <f t="array" ref="DH50">SUMIFS('Cắt lồng'!$AC$327:$AC$515,'Cắt lồng'!$AA$327:$AA$515,'Cắt lồng'!$AA50,'Cắt lồng'!$AE$327:$AE$515,'Cắt lồng'!DH$4:DH$4)</f>
        <v>0</v>
      </c>
      <c r="DI50" s="79">
        <f t="array" ref="DI50">SUMIFS('Cắt lồng'!$AH$327:$AH$515,'Cắt lồng'!$AA$327:$AA$515,'Cắt lồng'!$AA50,'Cắt lồng'!$AE$327:$AE$515,'Cắt lồng'!DI$4:DI$4)</f>
        <v>0</v>
      </c>
      <c r="DJ50" s="78" t="e">
        <f t="shared" si="129"/>
        <v>#DIV/0!</v>
      </c>
      <c r="DK50" s="79">
        <f t="array" ref="DK50">SUMIFS('Cắt lồng'!$AC$327:$AC$515,'Cắt lồng'!$AA$327:$AA$515,'Cắt lồng'!$AA50,'Cắt lồng'!$AE$327:$AE$515,'Cắt lồng'!DK$4:DK$4)</f>
        <v>0</v>
      </c>
      <c r="DL50" s="79">
        <f t="array" ref="DL50">SUMIFS('Cắt lồng'!$AH$327:$AH$515,'Cắt lồng'!$AA$327:$AA$515,'Cắt lồng'!$AA50,'Cắt lồng'!$AE$327:$AE$515,'Cắt lồng'!DL$4:DL$4)</f>
        <v>0</v>
      </c>
      <c r="DM50" s="78" t="e">
        <f t="shared" si="130"/>
        <v>#DIV/0!</v>
      </c>
      <c r="DN50" s="79">
        <f>SUMIFS('Cắt lồng'!$AC$327:$AC$515,'Cắt lồng'!$AA$327:$AA$515,'Cắt lồng'!$AA50,'Cắt lồng'!$AE$327:$AE$515,'Cắt lồng'!DN$4:DN$4)</f>
        <v>0</v>
      </c>
      <c r="DO50" s="79">
        <f t="array" ref="DO50">SUMIFS('Cắt lồng'!$AH$327:$AH$515,'Cắt lồng'!$AA$327:$AA$515,'Cắt lồng'!$AA50,'Cắt lồng'!$AE$327:$AE$515,'Cắt lồng'!DO$4:DO$4)</f>
        <v>0</v>
      </c>
      <c r="DP50" s="78" t="e">
        <f t="shared" si="131"/>
        <v>#DIV/0!</v>
      </c>
      <c r="DQ50" s="79">
        <f t="array" ref="DQ50">SUMIFS('Cắt lồng'!$AC$327:$AC$515,'Cắt lồng'!$AA$327:$AA$515,'Cắt lồng'!$AA50,'Cắt lồng'!$AE$327:$AE$515,'Cắt lồng'!DQ$4:DQ$4)</f>
        <v>0</v>
      </c>
      <c r="DR50" s="79">
        <f t="array" ref="DR50">SUMIFS('Cắt lồng'!$AH$327:$AH$515,'Cắt lồng'!$AA$327:$AA$515,'Cắt lồng'!$AA50,'Cắt lồng'!$AE$327:$AE$515,'Cắt lồng'!DR$4:DR$4)</f>
        <v>0</v>
      </c>
      <c r="DS50" s="78" t="e">
        <f t="shared" si="132"/>
        <v>#DIV/0!</v>
      </c>
      <c r="DT50" s="79">
        <f t="array" ref="DT50">SUMIFS('Cắt lồng'!$AC$327:$AC$515,'Cắt lồng'!$AA$327:$AA$515,'Cắt lồng'!$AA50,'Cắt lồng'!$AE$327:$AE$515,'Cắt lồng'!DT$4:DT$4)</f>
        <v>0</v>
      </c>
      <c r="DU50" s="79">
        <f t="array" ref="DU50">SUMIFS('Cắt lồng'!$AH$327:$AH$515,'Cắt lồng'!$AA$327:$AA$515,'Cắt lồng'!$AA50,'Cắt lồng'!$AE$327:$AE$515,'Cắt lồng'!DU$4:DU$4)</f>
        <v>0</v>
      </c>
      <c r="DV50" s="78" t="e">
        <f t="shared" si="133"/>
        <v>#DIV/0!</v>
      </c>
      <c r="DW50" s="79">
        <f t="array" ref="DW50">SUMIFS('Cắt lồng'!$AC$327:$AC$515,'Cắt lồng'!$AA$327:$AA$515,'Cắt lồng'!$AA50,'Cắt lồng'!$AE$327:$AE$515,'Cắt lồng'!DW$4:DW$4)</f>
        <v>0</v>
      </c>
      <c r="DX50" s="79">
        <f t="array" ref="DX50">SUMIFS('Cắt lồng'!$AH$327:$AH$515,'Cắt lồng'!$AA$327:$AA$515,'Cắt lồng'!$AA50,'Cắt lồng'!$AE$327:$AE$515,'Cắt lồng'!DX$4:DX$4)</f>
        <v>0</v>
      </c>
      <c r="DY50" s="78" t="e">
        <f t="shared" si="134"/>
        <v>#DIV/0!</v>
      </c>
      <c r="DZ50" s="79">
        <f t="array" ref="DZ50">SUMIFS('Cắt lồng'!$AC$327:$AC$515,'Cắt lồng'!$AA$327:$AA$515,'Cắt lồng'!$AA50,'Cắt lồng'!$AE$327:$AE$515,'Cắt lồng'!DZ$4:DZ$4)</f>
        <v>0</v>
      </c>
      <c r="EA50" s="79">
        <f t="array" ref="EA50">SUMIFS('Cắt lồng'!$AH$327:$AH$515,'Cắt lồng'!$AA$327:$AA$515,'Cắt lồng'!$AA50,'Cắt lồng'!$AE$327:$AE$515,'Cắt lồng'!EA$4:EA$4)</f>
        <v>0</v>
      </c>
      <c r="EB50" s="78" t="e">
        <f t="shared" si="135"/>
        <v>#DIV/0!</v>
      </c>
      <c r="EC50" s="79">
        <f t="array" ref="EC50">SUMIFS('Cắt lồng'!$AC$327:$AC$515,'Cắt lồng'!$AA$327:$AA$515,'Cắt lồng'!$AA50,'Cắt lồng'!$AE$327:$AE$515,'Cắt lồng'!EC$4:EC$4)</f>
        <v>0</v>
      </c>
      <c r="ED50" s="79">
        <f t="array" ref="ED50">SUMIFS('Cắt lồng'!$AH$327:$AH$515,'Cắt lồng'!$AA$327:$AA$515,'Cắt lồng'!$AA50,'Cắt lồng'!$AE$327:$AE$515,'Cắt lồng'!ED$4:ED$4)</f>
        <v>0</v>
      </c>
      <c r="EE50" s="78" t="e">
        <f t="shared" si="136"/>
        <v>#DIV/0!</v>
      </c>
      <c r="EF50" s="79">
        <f t="array" ref="EF50">SUMIFS('Cắt lồng'!$AC$327:$AC$515,'Cắt lồng'!$AA$327:$AA$515,'Cắt lồng'!$AA50,'Cắt lồng'!$AE$327:$AE$515,'Cắt lồng'!EF$4:EF$4)</f>
        <v>0</v>
      </c>
      <c r="EG50" s="79">
        <f t="array" ref="EG50">SUMIFS('Cắt lồng'!$AH$327:$AH$515,'Cắt lồng'!$AA$327:$AA$515,'Cắt lồng'!$AA50,'Cắt lồng'!$AE$327:$AE$515,'Cắt lồng'!EG$4:EG$4)</f>
        <v>0</v>
      </c>
      <c r="EH50" s="78" t="e">
        <f t="shared" si="137"/>
        <v>#DIV/0!</v>
      </c>
      <c r="EI50" s="79">
        <f t="array" ref="EI50">SUMIFS('Cắt lồng'!$AC$327:$AC$515,'Cắt lồng'!$AA$327:$AA$515,'Cắt lồng'!$AA50,'Cắt lồng'!$AE$327:$AE$515,'Cắt lồng'!EI$4:EI$4)</f>
        <v>0</v>
      </c>
      <c r="EJ50" s="79">
        <f t="array" ref="EJ50">SUMIFS('Cắt lồng'!$AH$327:$AH$515,'Cắt lồng'!$AA$327:$AA$515,'Cắt lồng'!$AA50,'Cắt lồng'!$AE$327:$AE$515,'Cắt lồng'!EJ$4:EJ$4)</f>
        <v>0</v>
      </c>
      <c r="EK50" s="78" t="e">
        <f t="shared" si="138"/>
        <v>#DIV/0!</v>
      </c>
      <c r="EL50" s="172"/>
    </row>
    <row r="51" spans="1:181" s="83" customFormat="1" ht="14.25" hidden="1" customHeight="1">
      <c r="A51" s="30">
        <v>43</v>
      </c>
      <c r="B51" s="26" t="s">
        <v>148</v>
      </c>
      <c r="C51" s="26" t="s">
        <v>148</v>
      </c>
      <c r="D51" s="196">
        <f t="shared" si="140"/>
        <v>0</v>
      </c>
      <c r="E51" s="195">
        <f t="shared" si="141"/>
        <v>0</v>
      </c>
      <c r="F51" s="194"/>
      <c r="G51" s="82">
        <f t="shared" si="79"/>
        <v>0</v>
      </c>
      <c r="H51" s="81">
        <f t="shared" si="80"/>
        <v>0</v>
      </c>
      <c r="I51" s="19">
        <f t="shared" si="81"/>
        <v>0</v>
      </c>
      <c r="J51" s="11">
        <f t="shared" si="82"/>
        <v>0</v>
      </c>
      <c r="K51" s="19">
        <f t="shared" si="83"/>
        <v>0</v>
      </c>
      <c r="L51" s="19">
        <f t="shared" si="84"/>
        <v>0</v>
      </c>
      <c r="M51" s="19">
        <f t="shared" si="85"/>
        <v>0</v>
      </c>
      <c r="N51" s="19">
        <f t="shared" si="86"/>
        <v>0</v>
      </c>
      <c r="O51" s="19">
        <f t="shared" si="87"/>
        <v>0</v>
      </c>
      <c r="P51" s="19">
        <f t="shared" si="88"/>
        <v>0</v>
      </c>
      <c r="Q51" s="19">
        <f t="shared" si="89"/>
        <v>0</v>
      </c>
      <c r="R51" s="19">
        <f t="shared" si="90"/>
        <v>0</v>
      </c>
      <c r="S51" s="19">
        <f t="shared" si="91"/>
        <v>0</v>
      </c>
      <c r="T51" s="19">
        <f t="shared" si="92"/>
        <v>0</v>
      </c>
      <c r="U51" s="19">
        <f t="shared" si="93"/>
        <v>0</v>
      </c>
      <c r="V51" s="19">
        <f t="shared" si="94"/>
        <v>0</v>
      </c>
      <c r="W51" s="19">
        <f t="shared" si="95"/>
        <v>0</v>
      </c>
      <c r="X51" s="19">
        <f t="shared" si="96"/>
        <v>0</v>
      </c>
      <c r="Y51" s="19">
        <f t="shared" si="97"/>
        <v>0</v>
      </c>
      <c r="Z51" s="19">
        <f t="shared" si="98"/>
        <v>0</v>
      </c>
      <c r="AA51" s="164" t="s">
        <v>140</v>
      </c>
      <c r="AB51" s="129"/>
      <c r="AC51" s="16"/>
      <c r="AD51" s="191" t="e">
        <f t="shared" si="99"/>
        <v>#DIV/0!</v>
      </c>
      <c r="AE51" s="42"/>
      <c r="AF51" s="189" t="e">
        <f t="shared" si="100"/>
        <v>#DIV/0!</v>
      </c>
      <c r="AG51" s="189"/>
      <c r="AH51" s="189">
        <f t="shared" si="139"/>
        <v>0</v>
      </c>
      <c r="AI51" s="126" t="e">
        <f t="shared" si="101"/>
        <v>#DIV/0!</v>
      </c>
      <c r="AJ51" s="30">
        <f t="shared" si="102"/>
        <v>0</v>
      </c>
      <c r="AK51" s="30">
        <f t="shared" si="103"/>
        <v>0</v>
      </c>
      <c r="AL51" s="30">
        <f t="shared" si="104"/>
        <v>0</v>
      </c>
      <c r="AM51" s="30">
        <f t="shared" si="73"/>
        <v>0</v>
      </c>
      <c r="AN51" s="30">
        <f t="shared" si="74"/>
        <v>0</v>
      </c>
      <c r="AO51" s="30">
        <f t="shared" si="75"/>
        <v>0</v>
      </c>
      <c r="AP51" s="30">
        <f t="shared" si="76"/>
        <v>0</v>
      </c>
      <c r="AQ51" s="30">
        <f t="shared" si="77"/>
        <v>0</v>
      </c>
      <c r="AR51" s="30">
        <f t="shared" si="105"/>
        <v>0</v>
      </c>
      <c r="AS51" s="30">
        <f t="shared" si="106"/>
        <v>0</v>
      </c>
      <c r="AT51" s="30">
        <f t="shared" si="78"/>
        <v>0</v>
      </c>
      <c r="AU51" s="80"/>
      <c r="AV51" s="110">
        <f t="shared" si="107"/>
        <v>0</v>
      </c>
      <c r="AW51" s="110">
        <f t="array" ref="AW51">SUMIFS('Cắt lồng'!$AC$327:$AC$515,'Cắt lồng'!$AA$327:$AA$515,'Cắt lồng'!$AA51,'Cắt lồng'!$AE$327:$AE$515,'Cắt lồng'!AW$4:AW$4)</f>
        <v>0</v>
      </c>
      <c r="AX51" s="110">
        <f t="array" ref="AX51">SUMIFS('Cắt lồng'!$AH$327:$AH$515,'Cắt lồng'!$AA$327:$AA$515,'Cắt lồng'!$AA51,'Cắt lồng'!$AE$327:$AE$515,'Cắt lồng'!AX$4:AX$4)</f>
        <v>0</v>
      </c>
      <c r="AY51" s="109" t="e">
        <f t="shared" si="108"/>
        <v>#DIV/0!</v>
      </c>
      <c r="AZ51" s="110">
        <f t="array" ref="AZ51">SUMIFS('Cắt lồng'!$AC$327:$AC$515,'Cắt lồng'!$AA$327:$AA$515,'Cắt lồng'!$AA51,'Cắt lồng'!$AE$327:$AE$515,'Cắt lồng'!AZ$4:AZ$4)</f>
        <v>0</v>
      </c>
      <c r="BA51" s="110">
        <f t="array" ref="BA51">SUMIFS('Cắt lồng'!$AH$327:$AH$515,'Cắt lồng'!$AA$327:$AA$515,'Cắt lồng'!$AA51,'Cắt lồng'!$AE$327:$AE$515,'Cắt lồng'!BA$4:BA$4)</f>
        <v>0</v>
      </c>
      <c r="BB51" s="109" t="e">
        <f t="shared" si="109"/>
        <v>#DIV/0!</v>
      </c>
      <c r="BC51" s="110">
        <f t="array" ref="BC51">SUMIFS('Cắt lồng'!$AC$327:$AC$515,'Cắt lồng'!$AA$327:$AA$515,'Cắt lồng'!$AA51,'Cắt lồng'!$AE$327:$AE$515,'Cắt lồng'!BC$4:BC$4)</f>
        <v>0</v>
      </c>
      <c r="BD51" s="110">
        <f t="array" ref="BD51">SUMIFS('Cắt lồng'!$AH$327:$AH$515,'Cắt lồng'!$AA$327:$AA$515,'Cắt lồng'!$AA51,'Cắt lồng'!$AE$327:$AE$515,'Cắt lồng'!BD$4:BD$4)</f>
        <v>0</v>
      </c>
      <c r="BE51" s="109" t="e">
        <f t="shared" si="110"/>
        <v>#DIV/0!</v>
      </c>
      <c r="BF51" s="110">
        <f t="array" ref="BF51">SUMIFS('Cắt lồng'!$AC$327:$AC$515,'Cắt lồng'!$AA$327:$AA$515,'Cắt lồng'!$AA51,'Cắt lồng'!$AE$327:$AE$515,'Cắt lồng'!BF$4:BF$4)</f>
        <v>0</v>
      </c>
      <c r="BG51" s="110">
        <f t="array" ref="BG51">SUMIFS('Cắt lồng'!$AH$327:$AH$515,'Cắt lồng'!$AA$327:$AA$515,'Cắt lồng'!$AA51,'Cắt lồng'!$AE$327:$AE$515,'Cắt lồng'!BG$4:BG$4)</f>
        <v>0</v>
      </c>
      <c r="BH51" s="109" t="e">
        <f t="shared" si="111"/>
        <v>#DIV/0!</v>
      </c>
      <c r="BI51" s="110">
        <f t="array" ref="BI51">SUMIFS('Cắt lồng'!$AC$327:$AC$515,'Cắt lồng'!$AA$327:$AA$515,'Cắt lồng'!$AA51,'Cắt lồng'!$AE$327:$AE$515,'Cắt lồng'!BI$4:BI$4)</f>
        <v>0</v>
      </c>
      <c r="BJ51" s="110">
        <f t="array" ref="BJ51">SUMIFS('Cắt lồng'!$AH$327:$AH$515,'Cắt lồng'!$AA$327:$AA$515,'Cắt lồng'!$AA51,'Cắt lồng'!$AE$327:$AE$515,'Cắt lồng'!BJ$4:BJ$4)</f>
        <v>0</v>
      </c>
      <c r="BK51" s="109" t="e">
        <f t="shared" si="112"/>
        <v>#DIV/0!</v>
      </c>
      <c r="BL51" s="110">
        <f t="array" ref="BL51">SUMIFS('Cắt lồng'!$AC$327:$AC$515,'Cắt lồng'!$AA$327:$AA$515,'Cắt lồng'!$AA51,'Cắt lồng'!$AE$327:$AE$515,'Cắt lồng'!BL$4:BL$4)</f>
        <v>0</v>
      </c>
      <c r="BM51" s="110">
        <f t="array" ref="BM51">SUMIFS('Cắt lồng'!$AH$327:$AH$515,'Cắt lồng'!$AA$327:$AA$515,'Cắt lồng'!$AA51,'Cắt lồng'!$AE$327:$AE$515,'Cắt lồng'!BM$4:BM$4)</f>
        <v>0</v>
      </c>
      <c r="BN51" s="109" t="e">
        <f t="shared" si="113"/>
        <v>#DIV/0!</v>
      </c>
      <c r="BO51" s="110">
        <f t="array" ref="BO51">SUMIFS('Cắt lồng'!$AC$327:$AC$515,'Cắt lồng'!$AA$327:$AA$515,'Cắt lồng'!$AA51,'Cắt lồng'!$AE$327:$AE$515,'Cắt lồng'!BO$4:BO$4)</f>
        <v>0</v>
      </c>
      <c r="BP51" s="110">
        <f t="array" ref="BP51">SUMIFS('Cắt lồng'!$AH$327:$AH$515,'Cắt lồng'!$AA$327:$AA$515,'Cắt lồng'!$AA51,'Cắt lồng'!$AE$327:$AE$515,'Cắt lồng'!BP$4:BP$4)</f>
        <v>0</v>
      </c>
      <c r="BQ51" s="109" t="e">
        <f t="shared" si="114"/>
        <v>#DIV/0!</v>
      </c>
      <c r="BR51" s="110">
        <f t="array" ref="BR51">SUMIFS('Cắt lồng'!$AC$327:$AC$515,'Cắt lồng'!$AA$327:$AA$515,'Cắt lồng'!$AA51,'Cắt lồng'!$AE$327:$AE$515,'Cắt lồng'!BR$4:BR$4)</f>
        <v>0</v>
      </c>
      <c r="BS51" s="110">
        <f t="array" ref="BS51">SUMIFS('Cắt lồng'!$AH$327:$AH$515,'Cắt lồng'!$AA$327:$AA$515,'Cắt lồng'!$AA51,'Cắt lồng'!$AE$327:$AE$515,'Cắt lồng'!BS$4:BS$4)</f>
        <v>0</v>
      </c>
      <c r="BT51" s="109" t="e">
        <f t="shared" si="115"/>
        <v>#DIV/0!</v>
      </c>
      <c r="BU51" s="110">
        <f t="array" ref="BU51">SUMIFS('Cắt lồng'!$AC$327:$AC$515,'Cắt lồng'!$AA$327:$AA$515,'Cắt lồng'!$AA51,'Cắt lồng'!$AE$327:$AE$515,'Cắt lồng'!BU$4:BU$4)</f>
        <v>0</v>
      </c>
      <c r="BV51" s="110">
        <f t="array" ref="BV51">SUMIFS('Cắt lồng'!$AH$327:$AH$515,'Cắt lồng'!$AA$327:$AA$515,'Cắt lồng'!$AA51,'Cắt lồng'!$AE$327:$AE$515,'Cắt lồng'!BV$4:BV$4)</f>
        <v>0</v>
      </c>
      <c r="BW51" s="109" t="e">
        <f t="shared" si="116"/>
        <v>#DIV/0!</v>
      </c>
      <c r="BX51" s="110">
        <f t="array" ref="BX51">SUMIFS('Cắt lồng'!$AC$327:$AC$515,'Cắt lồng'!$AA$327:$AA$515,'Cắt lồng'!$AA51,'Cắt lồng'!$AE$327:$AE$515,'Cắt lồng'!BX$4:BX$4)</f>
        <v>0</v>
      </c>
      <c r="BY51" s="110">
        <f t="array" ref="BY51">SUMIFS('Cắt lồng'!$AH$327:$AH$515,'Cắt lồng'!$AA$327:$AA$515,'Cắt lồng'!$AA51,'Cắt lồng'!$AE$327:$AE$515,'Cắt lồng'!BY$4:BY$4)</f>
        <v>0</v>
      </c>
      <c r="BZ51" s="109" t="e">
        <f t="shared" si="117"/>
        <v>#DIV/0!</v>
      </c>
      <c r="CA51" s="110">
        <f t="array" ref="CA51">SUMIFS('Cắt lồng'!$AC$327:$AC$515,'Cắt lồng'!$AA$327:$AA$515,'Cắt lồng'!$AA51,'Cắt lồng'!$AE$327:$AE$515,'Cắt lồng'!CA$4:CA$4)</f>
        <v>0</v>
      </c>
      <c r="CB51" s="110">
        <f t="array" ref="CB51">SUMIFS('Cắt lồng'!$AH$327:$AH$515,'Cắt lồng'!$AA$327:$AA$515,'Cắt lồng'!$AA51,'Cắt lồng'!$AE$327:$AE$515,'Cắt lồng'!CB$4:CB$4)</f>
        <v>0</v>
      </c>
      <c r="CC51" s="109" t="e">
        <f t="shared" si="118"/>
        <v>#DIV/0!</v>
      </c>
      <c r="CD51" s="110">
        <f t="array" ref="CD51">SUMIFS('Cắt lồng'!$AC$327:$AC$515,'Cắt lồng'!$AA$327:$AA$515,'Cắt lồng'!$AA51,'Cắt lồng'!$AE$327:$AE$515,'Cắt lồng'!CD$4:CD$4)</f>
        <v>0</v>
      </c>
      <c r="CE51" s="110">
        <f t="array" ref="CE51">SUMIFS('Cắt lồng'!$AH$327:$AH$515,'Cắt lồng'!$AA$327:$AA$515,'Cắt lồng'!$AA51,'Cắt lồng'!$AE$327:$AE$515,'Cắt lồng'!CE$4:CE$4)</f>
        <v>0</v>
      </c>
      <c r="CF51" s="109" t="e">
        <f t="shared" si="119"/>
        <v>#DIV/0!</v>
      </c>
      <c r="CG51" s="110">
        <f t="array" ref="CG51">SUMIFS('Cắt lồng'!$AC$327:$AC$515,'Cắt lồng'!$AA$327:$AA$515,'Cắt lồng'!$AA51,'Cắt lồng'!$AE$327:$AE$515,'Cắt lồng'!CG$4:CG$4)</f>
        <v>0</v>
      </c>
      <c r="CH51" s="110">
        <f t="array" ref="CH51">SUMIFS('Cắt lồng'!$AH$327:$AH$515,'Cắt lồng'!$AA$327:$AA$515,'Cắt lồng'!$AA51,'Cắt lồng'!$AE$327:$AE$515,'Cắt lồng'!CH$4:CH$4)</f>
        <v>0</v>
      </c>
      <c r="CI51" s="109" t="e">
        <f t="shared" si="120"/>
        <v>#DIV/0!</v>
      </c>
      <c r="CJ51" s="110">
        <f>SUMIFS('Cắt lồng'!$AC$327:$AC$515,'Cắt lồng'!$AA$327:$AA$515,'Cắt lồng'!$AA51,'Cắt lồng'!$AE$327:$AE$515,'Cắt lồng'!CJ$4:CJ$4)</f>
        <v>0</v>
      </c>
      <c r="CK51" s="110">
        <f t="array" ref="CK51">SUMIFS('Cắt lồng'!$AH$327:$AH$515,'Cắt lồng'!$AA$327:$AA$515,'Cắt lồng'!$AA51,'Cắt lồng'!$AE$327:$AE$515,'Cắt lồng'!CK$4:CK$4)</f>
        <v>0</v>
      </c>
      <c r="CL51" s="109" t="e">
        <f t="shared" si="121"/>
        <v>#DIV/0!</v>
      </c>
      <c r="CM51" s="110">
        <f t="array" ref="CM51">SUMIFS('Cắt lồng'!$AC$327:$AC$515,'Cắt lồng'!$AA$327:$AA$515,'Cắt lồng'!$AA51,'Cắt lồng'!$AE$327:$AE$515,'Cắt lồng'!CM$4:CM$4)</f>
        <v>0</v>
      </c>
      <c r="CN51" s="110">
        <f t="array" ref="CN51">SUMIFS('Cắt lồng'!$AH$327:$AH$515,'Cắt lồng'!$AA$327:$AA$515,'Cắt lồng'!$AA51,'Cắt lồng'!$AE$327:$AE$515,'Cắt lồng'!CN$4:CN$4)</f>
        <v>0</v>
      </c>
      <c r="CO51" s="109" t="e">
        <f t="shared" si="122"/>
        <v>#DIV/0!</v>
      </c>
      <c r="CP51" s="110">
        <f t="array" ref="CP51">SUMIFS('Cắt lồng'!$AC$327:$AC$515,'Cắt lồng'!$AA$327:$AA$515,'Cắt lồng'!$AA51,'Cắt lồng'!$AE$327:$AE$515,'Cắt lồng'!CP$4:CP$4)</f>
        <v>0</v>
      </c>
      <c r="CQ51" s="110">
        <f t="array" ref="CQ51">SUMIFS('Cắt lồng'!$AH$327:$AH$515,'Cắt lồng'!$AA$327:$AA$515,'Cắt lồng'!$AA51,'Cắt lồng'!$AE$327:$AE$515,'Cắt lồng'!CQ$4:CQ$4)</f>
        <v>0</v>
      </c>
      <c r="CR51" s="109" t="e">
        <f t="shared" si="123"/>
        <v>#DIV/0!</v>
      </c>
      <c r="CS51" s="110">
        <f t="array" ref="CS51">SUMIFS('Cắt lồng'!$AC$327:$AC$515,'Cắt lồng'!$AA$327:$AA$515,'Cắt lồng'!$AA51,'Cắt lồng'!$AE$327:$AE$515,'Cắt lồng'!CS$4:CS$4)</f>
        <v>0</v>
      </c>
      <c r="CT51" s="110">
        <f t="array" ref="CT51">SUMIFS('Cắt lồng'!$AH$327:$AH$515,'Cắt lồng'!$AA$327:$AA$515,'Cắt lồng'!$AA51,'Cắt lồng'!$AE$327:$AE$515,'Cắt lồng'!CT$4:CT$4)</f>
        <v>0</v>
      </c>
      <c r="CU51" s="109" t="e">
        <f t="shared" si="124"/>
        <v>#DIV/0!</v>
      </c>
      <c r="CV51" s="110">
        <f t="array" ref="CV51">SUMIFS('Cắt lồng'!$AC$327:$AC$515,'Cắt lồng'!$AA$327:$AA$515,'Cắt lồng'!$AA51,'Cắt lồng'!$AE$327:$AE$515,'Cắt lồng'!CV$4:CV$4)</f>
        <v>0</v>
      </c>
      <c r="CW51" s="110">
        <f t="array" ref="CW51">SUMIFS('Cắt lồng'!$AH$327:$AH$515,'Cắt lồng'!$AA$327:$AA$515,'Cắt lồng'!$AA51,'Cắt lồng'!$AE$327:$AE$515,'Cắt lồng'!CW$4:CW$4)</f>
        <v>0</v>
      </c>
      <c r="CX51" s="109" t="e">
        <f t="shared" si="125"/>
        <v>#DIV/0!</v>
      </c>
      <c r="CY51" s="110">
        <f t="array" ref="CY51">SUMIFS('Cắt lồng'!$AC$327:$AC$515,'Cắt lồng'!$AA$327:$AA$515,'Cắt lồng'!$AA51,'Cắt lồng'!$AE$327:$AE$515,'Cắt lồng'!CY$4:CY$4)</f>
        <v>0</v>
      </c>
      <c r="CZ51" s="110">
        <f t="array" ref="CZ51">SUMIFS('Cắt lồng'!$AH$327:$AH$515,'Cắt lồng'!$AA$327:$AA$515,'Cắt lồng'!$AA51,'Cắt lồng'!$AE$327:$AE$515,'Cắt lồng'!CZ$4:CZ$4)</f>
        <v>0</v>
      </c>
      <c r="DA51" s="109" t="e">
        <f t="shared" si="126"/>
        <v>#DIV/0!</v>
      </c>
      <c r="DB51" s="110">
        <f t="array" ref="DB51">SUMIFS('Cắt lồng'!$AC$327:$AC$515,'Cắt lồng'!$AA$327:$AA$515,'Cắt lồng'!$AA51,'Cắt lồng'!$AE$327:$AE$515,'Cắt lồng'!DB$4:DB$4)</f>
        <v>0</v>
      </c>
      <c r="DC51" s="110">
        <f t="array" ref="DC51">SUMIFS('Cắt lồng'!$AH$327:$AH$515,'Cắt lồng'!$AA$327:$AA$515,'Cắt lồng'!$AA51,'Cắt lồng'!$AE$327:$AE$515,'Cắt lồng'!DC$4:DC$4)</f>
        <v>0</v>
      </c>
      <c r="DD51" s="109" t="e">
        <f t="shared" si="127"/>
        <v>#DIV/0!</v>
      </c>
      <c r="DE51" s="110">
        <f t="array" ref="DE51">SUMIFS('Cắt lồng'!$AC$327:$AC$515,'Cắt lồng'!$AA$327:$AA$515,'Cắt lồng'!$AA51,'Cắt lồng'!$AE$327:$AE$515,'Cắt lồng'!DE$4:DE$4)</f>
        <v>0</v>
      </c>
      <c r="DF51" s="110">
        <f t="array" ref="DF51">SUMIFS('Cắt lồng'!$AH$327:$AH$515,'Cắt lồng'!$AA$327:$AA$515,'Cắt lồng'!$AA51,'Cắt lồng'!$AE$327:$AE$515,'Cắt lồng'!DF$4:DF$4)</f>
        <v>0</v>
      </c>
      <c r="DG51" s="109" t="e">
        <f t="shared" si="128"/>
        <v>#DIV/0!</v>
      </c>
      <c r="DH51" s="110">
        <f t="array" ref="DH51">SUMIFS('Cắt lồng'!$AC$327:$AC$515,'Cắt lồng'!$AA$327:$AA$515,'Cắt lồng'!$AA51,'Cắt lồng'!$AE$327:$AE$515,'Cắt lồng'!DH$4:DH$4)</f>
        <v>0</v>
      </c>
      <c r="DI51" s="110">
        <f t="array" ref="DI51">SUMIFS('Cắt lồng'!$AH$327:$AH$515,'Cắt lồng'!$AA$327:$AA$515,'Cắt lồng'!$AA51,'Cắt lồng'!$AE$327:$AE$515,'Cắt lồng'!DI$4:DI$4)</f>
        <v>0</v>
      </c>
      <c r="DJ51" s="109" t="e">
        <f t="shared" si="129"/>
        <v>#DIV/0!</v>
      </c>
      <c r="DK51" s="110">
        <f t="array" ref="DK51">SUMIFS('Cắt lồng'!$AC$327:$AC$515,'Cắt lồng'!$AA$327:$AA$515,'Cắt lồng'!$AA51,'Cắt lồng'!$AE$327:$AE$515,'Cắt lồng'!DK$4:DK$4)</f>
        <v>0</v>
      </c>
      <c r="DL51" s="110">
        <f t="array" ref="DL51">SUMIFS('Cắt lồng'!$AH$327:$AH$515,'Cắt lồng'!$AA$327:$AA$515,'Cắt lồng'!$AA51,'Cắt lồng'!$AE$327:$AE$515,'Cắt lồng'!DL$4:DL$4)</f>
        <v>0</v>
      </c>
      <c r="DM51" s="109" t="e">
        <f t="shared" si="130"/>
        <v>#DIV/0!</v>
      </c>
      <c r="DN51" s="79">
        <f>SUMIFS('Cắt lồng'!$AC$327:$AC$515,'Cắt lồng'!$AA$327:$AA$515,'Cắt lồng'!$AA51,'Cắt lồng'!$AE$327:$AE$515,'Cắt lồng'!DN$4:DN$4)</f>
        <v>0</v>
      </c>
      <c r="DO51" s="79">
        <f t="array" ref="DO51">SUMIFS('Cắt lồng'!$AH$327:$AH$515,'Cắt lồng'!$AA$327:$AA$515,'Cắt lồng'!$AA51,'Cắt lồng'!$AE$327:$AE$515,'Cắt lồng'!DO$4:DO$4)</f>
        <v>0</v>
      </c>
      <c r="DP51" s="109" t="e">
        <f t="shared" si="131"/>
        <v>#DIV/0!</v>
      </c>
      <c r="DQ51" s="110">
        <f t="array" ref="DQ51">SUMIFS('Cắt lồng'!$AC$327:$AC$515,'Cắt lồng'!$AA$327:$AA$515,'Cắt lồng'!$AA51,'Cắt lồng'!$AE$327:$AE$515,'Cắt lồng'!DQ$4:DQ$4)</f>
        <v>0</v>
      </c>
      <c r="DR51" s="110">
        <f t="array" ref="DR51">SUMIFS('Cắt lồng'!$AH$327:$AH$515,'Cắt lồng'!$AA$327:$AA$515,'Cắt lồng'!$AA51,'Cắt lồng'!$AE$327:$AE$515,'Cắt lồng'!DR$4:DR$4)</f>
        <v>0</v>
      </c>
      <c r="DS51" s="109" t="e">
        <f t="shared" si="132"/>
        <v>#DIV/0!</v>
      </c>
      <c r="DT51" s="110">
        <f t="array" ref="DT51">SUMIFS('Cắt lồng'!$AC$327:$AC$515,'Cắt lồng'!$AA$327:$AA$515,'Cắt lồng'!$AA51,'Cắt lồng'!$AE$327:$AE$515,'Cắt lồng'!DT$4:DT$4)</f>
        <v>0</v>
      </c>
      <c r="DU51" s="110">
        <f t="array" ref="DU51">SUMIFS('Cắt lồng'!$AH$327:$AH$515,'Cắt lồng'!$AA$327:$AA$515,'Cắt lồng'!$AA51,'Cắt lồng'!$AE$327:$AE$515,'Cắt lồng'!DU$4:DU$4)</f>
        <v>0</v>
      </c>
      <c r="DV51" s="109" t="e">
        <f t="shared" si="133"/>
        <v>#DIV/0!</v>
      </c>
      <c r="DW51" s="110">
        <f t="array" ref="DW51">SUMIFS('Cắt lồng'!$AC$327:$AC$515,'Cắt lồng'!$AA$327:$AA$515,'Cắt lồng'!$AA51,'Cắt lồng'!$AE$327:$AE$515,'Cắt lồng'!DW$4:DW$4)</f>
        <v>0</v>
      </c>
      <c r="DX51" s="110">
        <f t="array" ref="DX51">SUMIFS('Cắt lồng'!$AH$327:$AH$515,'Cắt lồng'!$AA$327:$AA$515,'Cắt lồng'!$AA51,'Cắt lồng'!$AE$327:$AE$515,'Cắt lồng'!DX$4:DX$4)</f>
        <v>0</v>
      </c>
      <c r="DY51" s="109" t="e">
        <f t="shared" si="134"/>
        <v>#DIV/0!</v>
      </c>
      <c r="DZ51" s="110">
        <f t="array" ref="DZ51">SUMIFS('Cắt lồng'!$AC$327:$AC$515,'Cắt lồng'!$AA$327:$AA$515,'Cắt lồng'!$AA51,'Cắt lồng'!$AE$327:$AE$515,'Cắt lồng'!DZ$4:DZ$4)</f>
        <v>0</v>
      </c>
      <c r="EA51" s="110">
        <f t="array" ref="EA51">SUMIFS('Cắt lồng'!$AH$327:$AH$515,'Cắt lồng'!$AA$327:$AA$515,'Cắt lồng'!$AA51,'Cắt lồng'!$AE$327:$AE$515,'Cắt lồng'!EA$4:EA$4)</f>
        <v>0</v>
      </c>
      <c r="EB51" s="109" t="e">
        <f t="shared" si="135"/>
        <v>#DIV/0!</v>
      </c>
      <c r="EC51" s="110">
        <f t="array" ref="EC51">SUMIFS('Cắt lồng'!$AC$327:$AC$515,'Cắt lồng'!$AA$327:$AA$515,'Cắt lồng'!$AA51,'Cắt lồng'!$AE$327:$AE$515,'Cắt lồng'!EC$4:EC$4)</f>
        <v>0</v>
      </c>
      <c r="ED51" s="110">
        <f t="array" ref="ED51">SUMIFS('Cắt lồng'!$AH$327:$AH$515,'Cắt lồng'!$AA$327:$AA$515,'Cắt lồng'!$AA51,'Cắt lồng'!$AE$327:$AE$515,'Cắt lồng'!ED$4:ED$4)</f>
        <v>0</v>
      </c>
      <c r="EE51" s="109" t="e">
        <f t="shared" si="136"/>
        <v>#DIV/0!</v>
      </c>
      <c r="EF51" s="110">
        <f t="array" ref="EF51">SUMIFS('Cắt lồng'!$AC$327:$AC$515,'Cắt lồng'!$AA$327:$AA$515,'Cắt lồng'!$AA51,'Cắt lồng'!$AE$327:$AE$515,'Cắt lồng'!EF$4:EF$4)</f>
        <v>0</v>
      </c>
      <c r="EG51" s="110">
        <f t="array" ref="EG51">SUMIFS('Cắt lồng'!$AH$327:$AH$515,'Cắt lồng'!$AA$327:$AA$515,'Cắt lồng'!$AA51,'Cắt lồng'!$AE$327:$AE$515,'Cắt lồng'!EG$4:EG$4)</f>
        <v>0</v>
      </c>
      <c r="EH51" s="109" t="e">
        <f t="shared" si="137"/>
        <v>#DIV/0!</v>
      </c>
      <c r="EI51" s="110">
        <f t="array" ref="EI51">SUMIFS('Cắt lồng'!$AC$327:$AC$515,'Cắt lồng'!$AA$327:$AA$515,'Cắt lồng'!$AA51,'Cắt lồng'!$AE$327:$AE$515,'Cắt lồng'!EI$4:EI$4)</f>
        <v>0</v>
      </c>
      <c r="EJ51" s="110">
        <f t="array" ref="EJ51">SUMIFS('Cắt lồng'!$AH$327:$AH$515,'Cắt lồng'!$AA$327:$AA$515,'Cắt lồng'!$AA51,'Cắt lồng'!$AE$327:$AE$515,'Cắt lồng'!EJ$4:EJ$4)</f>
        <v>0</v>
      </c>
      <c r="EK51" s="109" t="e">
        <f t="shared" si="138"/>
        <v>#DIV/0!</v>
      </c>
      <c r="EL51" s="172"/>
      <c r="EM51" s="12"/>
      <c r="EN51" s="12"/>
      <c r="EO51" s="12"/>
      <c r="EP51" s="12"/>
      <c r="EQ51" s="12"/>
      <c r="ER51" s="12"/>
      <c r="ES51" s="12"/>
      <c r="ET51" s="12"/>
      <c r="EU51" s="12"/>
      <c r="EV51" s="12"/>
      <c r="EW51" s="12"/>
      <c r="EX51" s="12"/>
      <c r="EY51" s="12"/>
      <c r="EZ51" s="12"/>
      <c r="FA51" s="12"/>
      <c r="FB51" s="12"/>
      <c r="FC51" s="12"/>
      <c r="FD51" s="12"/>
      <c r="FE51" s="12"/>
      <c r="FF51" s="12"/>
      <c r="FG51" s="12"/>
      <c r="FH51" s="12"/>
      <c r="FI51" s="12"/>
      <c r="FJ51" s="12"/>
      <c r="FK51" s="12"/>
      <c r="FL51" s="12"/>
      <c r="FM51" s="12"/>
      <c r="FN51" s="12"/>
      <c r="FO51" s="12"/>
      <c r="FP51" s="12"/>
      <c r="FQ51" s="12"/>
      <c r="FR51" s="12"/>
      <c r="FS51" s="12"/>
      <c r="FT51" s="12"/>
      <c r="FU51" s="12"/>
      <c r="FV51" s="12"/>
      <c r="FW51" s="12"/>
      <c r="FX51" s="12"/>
      <c r="FY51" s="12"/>
    </row>
    <row r="52" spans="1:181" s="83" customFormat="1" ht="14.25" hidden="1" customHeight="1">
      <c r="A52" s="20">
        <v>44</v>
      </c>
      <c r="B52" s="28">
        <v>43311</v>
      </c>
      <c r="C52" s="28">
        <v>3301</v>
      </c>
      <c r="D52" s="193">
        <f t="shared" si="140"/>
        <v>0</v>
      </c>
      <c r="E52" s="192">
        <f t="shared" si="141"/>
        <v>0</v>
      </c>
      <c r="F52" s="129"/>
      <c r="G52" s="81">
        <f t="shared" si="79"/>
        <v>0</v>
      </c>
      <c r="H52" s="81">
        <f t="shared" si="80"/>
        <v>0</v>
      </c>
      <c r="I52" s="37">
        <f t="shared" si="81"/>
        <v>0</v>
      </c>
      <c r="J52" s="37">
        <f t="shared" si="82"/>
        <v>0</v>
      </c>
      <c r="K52" s="37">
        <f t="shared" si="83"/>
        <v>0</v>
      </c>
      <c r="L52" s="37">
        <f t="shared" si="84"/>
        <v>0</v>
      </c>
      <c r="M52" s="37">
        <f t="shared" si="85"/>
        <v>0</v>
      </c>
      <c r="N52" s="37">
        <f t="shared" si="86"/>
        <v>0</v>
      </c>
      <c r="O52" s="37">
        <f t="shared" si="87"/>
        <v>0</v>
      </c>
      <c r="P52" s="37">
        <f t="shared" si="88"/>
        <v>0</v>
      </c>
      <c r="Q52" s="37">
        <f t="shared" si="89"/>
        <v>0</v>
      </c>
      <c r="R52" s="37">
        <f t="shared" si="90"/>
        <v>0</v>
      </c>
      <c r="S52" s="37">
        <f t="shared" si="91"/>
        <v>0</v>
      </c>
      <c r="T52" s="37">
        <f t="shared" si="92"/>
        <v>0</v>
      </c>
      <c r="U52" s="37">
        <f t="shared" si="93"/>
        <v>0</v>
      </c>
      <c r="V52" s="37">
        <f t="shared" si="94"/>
        <v>0</v>
      </c>
      <c r="W52" s="37">
        <f t="shared" si="95"/>
        <v>0</v>
      </c>
      <c r="X52" s="37">
        <f t="shared" si="96"/>
        <v>0</v>
      </c>
      <c r="Y52" s="37">
        <f t="shared" si="97"/>
        <v>0</v>
      </c>
      <c r="Z52" s="37">
        <f t="shared" si="98"/>
        <v>0</v>
      </c>
      <c r="AA52" s="28" t="s">
        <v>247</v>
      </c>
      <c r="AB52" s="129">
        <f t="shared" ref="AB52:AB63" si="142">+SUMIF($AA$327:$AA$515,AA52,$AB$327:$AB$515)</f>
        <v>0</v>
      </c>
      <c r="AC52" s="129">
        <f t="shared" ref="AC52:AC63" si="143">+SUMIF($AA$327:$AA$515,AA52,$AC$327:$AC$515)</f>
        <v>0</v>
      </c>
      <c r="AD52" s="191" t="e">
        <f t="shared" si="99"/>
        <v>#DIV/0!</v>
      </c>
      <c r="AE52" s="190"/>
      <c r="AF52" s="189" t="e">
        <f t="shared" si="100"/>
        <v>#DIV/0!</v>
      </c>
      <c r="AG52" s="189"/>
      <c r="AH52" s="189">
        <f t="shared" si="139"/>
        <v>0</v>
      </c>
      <c r="AI52" s="126" t="e">
        <f t="shared" si="101"/>
        <v>#DIV/0!</v>
      </c>
      <c r="AJ52" s="20">
        <f t="shared" si="102"/>
        <v>0</v>
      </c>
      <c r="AK52" s="20">
        <f t="shared" si="103"/>
        <v>0</v>
      </c>
      <c r="AL52" s="20">
        <f t="shared" si="104"/>
        <v>0</v>
      </c>
      <c r="AM52" s="20">
        <f t="shared" si="73"/>
        <v>0</v>
      </c>
      <c r="AN52" s="20">
        <f t="shared" si="74"/>
        <v>0</v>
      </c>
      <c r="AO52" s="20">
        <f t="shared" si="75"/>
        <v>0</v>
      </c>
      <c r="AP52" s="20">
        <f t="shared" si="76"/>
        <v>0</v>
      </c>
      <c r="AQ52" s="20">
        <f t="shared" si="77"/>
        <v>0</v>
      </c>
      <c r="AR52" s="20">
        <f t="shared" si="105"/>
        <v>0</v>
      </c>
      <c r="AS52" s="20">
        <f t="shared" si="106"/>
        <v>0</v>
      </c>
      <c r="AT52" s="20">
        <f t="shared" si="78"/>
        <v>0</v>
      </c>
      <c r="AV52" s="188">
        <f t="shared" si="107"/>
        <v>0</v>
      </c>
      <c r="AW52" s="188">
        <f t="array" ref="AW52">SUMIFS('Cắt lồng'!$AC$327:$AC$515,'Cắt lồng'!$AA$327:$AA$515,'Cắt lồng'!$AA52,'Cắt lồng'!$AE$327:$AE$515,'Cắt lồng'!AW$4:AW$4)</f>
        <v>0</v>
      </c>
      <c r="AX52" s="188">
        <f t="array" ref="AX52">SUMIFS('Cắt lồng'!$AH$327:$AH$515,'Cắt lồng'!$AA$327:$AA$515,'Cắt lồng'!$AA52,'Cắt lồng'!$AE$327:$AE$515,'Cắt lồng'!AX$4:AX$4)</f>
        <v>0</v>
      </c>
      <c r="AY52" s="187" t="e">
        <f t="shared" si="108"/>
        <v>#DIV/0!</v>
      </c>
      <c r="AZ52" s="188">
        <f t="array" ref="AZ52">SUMIFS('Cắt lồng'!$AC$327:$AC$515,'Cắt lồng'!$AA$327:$AA$515,'Cắt lồng'!$AA52,'Cắt lồng'!$AE$327:$AE$515,'Cắt lồng'!AZ$4:AZ$4)</f>
        <v>0</v>
      </c>
      <c r="BA52" s="188">
        <f t="array" ref="BA52">SUMIFS('Cắt lồng'!$AH$327:$AH$515,'Cắt lồng'!$AA$327:$AA$515,'Cắt lồng'!$AA52,'Cắt lồng'!$AE$327:$AE$515,'Cắt lồng'!BA$4:BA$4)</f>
        <v>0</v>
      </c>
      <c r="BB52" s="187" t="e">
        <f t="shared" si="109"/>
        <v>#DIV/0!</v>
      </c>
      <c r="BC52" s="188">
        <f t="array" ref="BC52">SUMIFS('Cắt lồng'!$AC$327:$AC$515,'Cắt lồng'!$AA$327:$AA$515,'Cắt lồng'!$AA52,'Cắt lồng'!$AE$327:$AE$515,'Cắt lồng'!BC$4:BC$4)</f>
        <v>0</v>
      </c>
      <c r="BD52" s="188">
        <f t="array" ref="BD52">SUMIFS('Cắt lồng'!$AH$327:$AH$515,'Cắt lồng'!$AA$327:$AA$515,'Cắt lồng'!$AA52,'Cắt lồng'!$AE$327:$AE$515,'Cắt lồng'!BD$4:BD$4)</f>
        <v>0</v>
      </c>
      <c r="BE52" s="187" t="e">
        <f t="shared" si="110"/>
        <v>#DIV/0!</v>
      </c>
      <c r="BF52" s="188">
        <f t="array" ref="BF52">SUMIFS('Cắt lồng'!$AC$327:$AC$515,'Cắt lồng'!$AA$327:$AA$515,'Cắt lồng'!$AA52,'Cắt lồng'!$AE$327:$AE$515,'Cắt lồng'!BF$4:BF$4)</f>
        <v>0</v>
      </c>
      <c r="BG52" s="188">
        <f t="array" ref="BG52">SUMIFS('Cắt lồng'!$AH$327:$AH$515,'Cắt lồng'!$AA$327:$AA$515,'Cắt lồng'!$AA52,'Cắt lồng'!$AE$327:$AE$515,'Cắt lồng'!BG$4:BG$4)</f>
        <v>0</v>
      </c>
      <c r="BH52" s="187" t="e">
        <f t="shared" si="111"/>
        <v>#DIV/0!</v>
      </c>
      <c r="BI52" s="188">
        <f t="array" ref="BI52">SUMIFS('Cắt lồng'!$AC$327:$AC$515,'Cắt lồng'!$AA$327:$AA$515,'Cắt lồng'!$AA52,'Cắt lồng'!$AE$327:$AE$515,'Cắt lồng'!BI$4:BI$4)</f>
        <v>0</v>
      </c>
      <c r="BJ52" s="188">
        <f t="array" ref="BJ52">SUMIFS('Cắt lồng'!$AH$327:$AH$515,'Cắt lồng'!$AA$327:$AA$515,'Cắt lồng'!$AA52,'Cắt lồng'!$AE$327:$AE$515,'Cắt lồng'!BJ$4:BJ$4)</f>
        <v>0</v>
      </c>
      <c r="BK52" s="187" t="e">
        <f t="shared" si="112"/>
        <v>#DIV/0!</v>
      </c>
      <c r="BL52" s="188">
        <f t="array" ref="BL52">SUMIFS('Cắt lồng'!$AC$327:$AC$515,'Cắt lồng'!$AA$327:$AA$515,'Cắt lồng'!$AA52,'Cắt lồng'!$AE$327:$AE$515,'Cắt lồng'!BL$4:BL$4)</f>
        <v>0</v>
      </c>
      <c r="BM52" s="188">
        <f t="array" ref="BM52">SUMIFS('Cắt lồng'!$AH$327:$AH$515,'Cắt lồng'!$AA$327:$AA$515,'Cắt lồng'!$AA52,'Cắt lồng'!$AE$327:$AE$515,'Cắt lồng'!BM$4:BM$4)</f>
        <v>0</v>
      </c>
      <c r="BN52" s="187" t="e">
        <f t="shared" si="113"/>
        <v>#DIV/0!</v>
      </c>
      <c r="BO52" s="188">
        <f t="array" ref="BO52">SUMIFS('Cắt lồng'!$AC$327:$AC$515,'Cắt lồng'!$AA$327:$AA$515,'Cắt lồng'!$AA52,'Cắt lồng'!$AE$327:$AE$515,'Cắt lồng'!BO$4:BO$4)</f>
        <v>0</v>
      </c>
      <c r="BP52" s="188">
        <f t="array" ref="BP52">SUMIFS('Cắt lồng'!$AH$327:$AH$515,'Cắt lồng'!$AA$327:$AA$515,'Cắt lồng'!$AA52,'Cắt lồng'!$AE$327:$AE$515,'Cắt lồng'!BP$4:BP$4)</f>
        <v>0</v>
      </c>
      <c r="BQ52" s="187" t="e">
        <f t="shared" si="114"/>
        <v>#DIV/0!</v>
      </c>
      <c r="BR52" s="188">
        <f t="array" ref="BR52">SUMIFS('Cắt lồng'!$AC$327:$AC$515,'Cắt lồng'!$AA$327:$AA$515,'Cắt lồng'!$AA52,'Cắt lồng'!$AE$327:$AE$515,'Cắt lồng'!BR$4:BR$4)</f>
        <v>0</v>
      </c>
      <c r="BS52" s="188">
        <f t="array" ref="BS52">SUMIFS('Cắt lồng'!$AH$327:$AH$515,'Cắt lồng'!$AA$327:$AA$515,'Cắt lồng'!$AA52,'Cắt lồng'!$AE$327:$AE$515,'Cắt lồng'!BS$4:BS$4)</f>
        <v>0</v>
      </c>
      <c r="BT52" s="187" t="e">
        <f t="shared" si="115"/>
        <v>#DIV/0!</v>
      </c>
      <c r="BU52" s="188">
        <f t="array" ref="BU52">SUMIFS('Cắt lồng'!$AC$327:$AC$515,'Cắt lồng'!$AA$327:$AA$515,'Cắt lồng'!$AA52,'Cắt lồng'!$AE$327:$AE$515,'Cắt lồng'!BU$4:BU$4)</f>
        <v>0</v>
      </c>
      <c r="BV52" s="188">
        <f t="array" ref="BV52">SUMIFS('Cắt lồng'!$AH$327:$AH$515,'Cắt lồng'!$AA$327:$AA$515,'Cắt lồng'!$AA52,'Cắt lồng'!$AE$327:$AE$515,'Cắt lồng'!BV$4:BV$4)</f>
        <v>0</v>
      </c>
      <c r="BW52" s="187" t="e">
        <f t="shared" si="116"/>
        <v>#DIV/0!</v>
      </c>
      <c r="BX52" s="188">
        <f t="array" ref="BX52">SUMIFS('Cắt lồng'!$AC$327:$AC$515,'Cắt lồng'!$AA$327:$AA$515,'Cắt lồng'!$AA52,'Cắt lồng'!$AE$327:$AE$515,'Cắt lồng'!BX$4:BX$4)</f>
        <v>0</v>
      </c>
      <c r="BY52" s="188">
        <f t="array" ref="BY52">SUMIFS('Cắt lồng'!$AH$327:$AH$515,'Cắt lồng'!$AA$327:$AA$515,'Cắt lồng'!$AA52,'Cắt lồng'!$AE$327:$AE$515,'Cắt lồng'!BY$4:BY$4)</f>
        <v>0</v>
      </c>
      <c r="BZ52" s="187" t="e">
        <f t="shared" si="117"/>
        <v>#DIV/0!</v>
      </c>
      <c r="CA52" s="188">
        <f t="array" ref="CA52">SUMIFS('Cắt lồng'!$AC$327:$AC$515,'Cắt lồng'!$AA$327:$AA$515,'Cắt lồng'!$AA52,'Cắt lồng'!$AE$327:$AE$515,'Cắt lồng'!CA$4:CA$4)</f>
        <v>0</v>
      </c>
      <c r="CB52" s="188">
        <f t="array" ref="CB52">SUMIFS('Cắt lồng'!$AH$327:$AH$515,'Cắt lồng'!$AA$327:$AA$515,'Cắt lồng'!$AA52,'Cắt lồng'!$AE$327:$AE$515,'Cắt lồng'!CB$4:CB$4)</f>
        <v>0</v>
      </c>
      <c r="CC52" s="187" t="e">
        <f t="shared" si="118"/>
        <v>#DIV/0!</v>
      </c>
      <c r="CD52" s="188">
        <f t="array" ref="CD52">SUMIFS('Cắt lồng'!$AC$327:$AC$515,'Cắt lồng'!$AA$327:$AA$515,'Cắt lồng'!$AA52,'Cắt lồng'!$AE$327:$AE$515,'Cắt lồng'!CD$4:CD$4)</f>
        <v>0</v>
      </c>
      <c r="CE52" s="188">
        <f t="array" ref="CE52">SUMIFS('Cắt lồng'!$AH$327:$AH$515,'Cắt lồng'!$AA$327:$AA$515,'Cắt lồng'!$AA52,'Cắt lồng'!$AE$327:$AE$515,'Cắt lồng'!CE$4:CE$4)</f>
        <v>0</v>
      </c>
      <c r="CF52" s="187" t="e">
        <f t="shared" si="119"/>
        <v>#DIV/0!</v>
      </c>
      <c r="CG52" s="188">
        <f t="array" ref="CG52">SUMIFS('Cắt lồng'!$AC$327:$AC$515,'Cắt lồng'!$AA$327:$AA$515,'Cắt lồng'!$AA52,'Cắt lồng'!$AE$327:$AE$515,'Cắt lồng'!CG$4:CG$4)</f>
        <v>0</v>
      </c>
      <c r="CH52" s="188">
        <f t="array" ref="CH52">SUMIFS('Cắt lồng'!$AH$327:$AH$515,'Cắt lồng'!$AA$327:$AA$515,'Cắt lồng'!$AA52,'Cắt lồng'!$AE$327:$AE$515,'Cắt lồng'!CH$4:CH$4)</f>
        <v>0</v>
      </c>
      <c r="CI52" s="187" t="e">
        <f t="shared" si="120"/>
        <v>#DIV/0!</v>
      </c>
      <c r="CJ52" s="188">
        <f t="array" ref="CJ52">SUMIFS('Cắt lồng'!$AC$327:$AC$515,'Cắt lồng'!$AA$327:$AA$515,'Cắt lồng'!$AA52,'Cắt lồng'!$AE$327:$AE$515,'Cắt lồng'!CJ$4:CJ$4)</f>
        <v>0</v>
      </c>
      <c r="CK52" s="188">
        <f t="array" ref="CK52">SUMIFS('Cắt lồng'!$AH$327:$AH$515,'Cắt lồng'!$AA$327:$AA$515,'Cắt lồng'!$AA52,'Cắt lồng'!$AE$327:$AE$515,'Cắt lồng'!CK$4:CK$4)</f>
        <v>0</v>
      </c>
      <c r="CL52" s="187" t="e">
        <f t="shared" si="121"/>
        <v>#DIV/0!</v>
      </c>
      <c r="CM52" s="188">
        <f t="array" ref="CM52">SUMIFS('Cắt lồng'!$AC$327:$AC$515,'Cắt lồng'!$AA$327:$AA$515,'Cắt lồng'!$AA52,'Cắt lồng'!$AE$327:$AE$515,'Cắt lồng'!CM$4:CM$4)</f>
        <v>0</v>
      </c>
      <c r="CN52" s="188">
        <f t="array" ref="CN52">SUMIFS('Cắt lồng'!$AH$327:$AH$515,'Cắt lồng'!$AA$327:$AA$515,'Cắt lồng'!$AA52,'Cắt lồng'!$AE$327:$AE$515,'Cắt lồng'!CN$4:CN$4)</f>
        <v>0</v>
      </c>
      <c r="CO52" s="187" t="e">
        <f t="shared" si="122"/>
        <v>#DIV/0!</v>
      </c>
      <c r="CP52" s="188">
        <f t="array" ref="CP52">SUMIFS('Cắt lồng'!$AC$327:$AC$515,'Cắt lồng'!$AA$327:$AA$515,'Cắt lồng'!$AA52,'Cắt lồng'!$AE$327:$AE$515,'Cắt lồng'!CP$4:CP$4)</f>
        <v>0</v>
      </c>
      <c r="CQ52" s="188">
        <f t="array" ref="CQ52">SUMIFS('Cắt lồng'!$AH$327:$AH$515,'Cắt lồng'!$AA$327:$AA$515,'Cắt lồng'!$AA52,'Cắt lồng'!$AE$327:$AE$515,'Cắt lồng'!CQ$4:CQ$4)</f>
        <v>0</v>
      </c>
      <c r="CR52" s="187" t="e">
        <f t="shared" si="123"/>
        <v>#DIV/0!</v>
      </c>
      <c r="CS52" s="188">
        <f t="array" ref="CS52">SUMIFS('Cắt lồng'!$AC$327:$AC$515,'Cắt lồng'!$AA$327:$AA$515,'Cắt lồng'!$AA52,'Cắt lồng'!$AE$327:$AE$515,'Cắt lồng'!CS$4:CS$4)</f>
        <v>0</v>
      </c>
      <c r="CT52" s="188">
        <f t="array" ref="CT52">SUMIFS('Cắt lồng'!$AH$327:$AH$515,'Cắt lồng'!$AA$327:$AA$515,'Cắt lồng'!$AA52,'Cắt lồng'!$AE$327:$AE$515,'Cắt lồng'!CT$4:CT$4)</f>
        <v>0</v>
      </c>
      <c r="CU52" s="187" t="e">
        <f t="shared" si="124"/>
        <v>#DIV/0!</v>
      </c>
      <c r="CV52" s="188">
        <f t="array" ref="CV52">SUMIFS('Cắt lồng'!$AC$327:$AC$515,'Cắt lồng'!$AA$327:$AA$515,'Cắt lồng'!$AA52,'Cắt lồng'!$AE$327:$AE$515,'Cắt lồng'!CV$4:CV$4)</f>
        <v>0</v>
      </c>
      <c r="CW52" s="188">
        <f t="array" ref="CW52">SUMIFS('Cắt lồng'!$AH$327:$AH$515,'Cắt lồng'!$AA$327:$AA$515,'Cắt lồng'!$AA52,'Cắt lồng'!$AE$327:$AE$515,'Cắt lồng'!CW$4:CW$4)</f>
        <v>0</v>
      </c>
      <c r="CX52" s="187" t="e">
        <f t="shared" si="125"/>
        <v>#DIV/0!</v>
      </c>
      <c r="CY52" s="188">
        <f t="array" ref="CY52">SUMIFS('Cắt lồng'!$AC$327:$AC$515,'Cắt lồng'!$AA$327:$AA$515,'Cắt lồng'!$AA52,'Cắt lồng'!$AE$327:$AE$515,'Cắt lồng'!CY$4:CY$4)</f>
        <v>0</v>
      </c>
      <c r="CZ52" s="188">
        <f t="array" ref="CZ52">SUMIFS('Cắt lồng'!$AH$327:$AH$515,'Cắt lồng'!$AA$327:$AA$515,'Cắt lồng'!$AA52,'Cắt lồng'!$AE$327:$AE$515,'Cắt lồng'!CZ$4:CZ$4)</f>
        <v>0</v>
      </c>
      <c r="DA52" s="187" t="e">
        <f t="shared" si="126"/>
        <v>#DIV/0!</v>
      </c>
      <c r="DB52" s="188">
        <f t="array" ref="DB52">SUMIFS('Cắt lồng'!$AC$327:$AC$515,'Cắt lồng'!$AA$327:$AA$515,'Cắt lồng'!$AA52,'Cắt lồng'!$AE$327:$AE$515,'Cắt lồng'!DB$4:DB$4)</f>
        <v>0</v>
      </c>
      <c r="DC52" s="188">
        <f t="array" ref="DC52">SUMIFS('Cắt lồng'!$AH$327:$AH$515,'Cắt lồng'!$AA$327:$AA$515,'Cắt lồng'!$AA52,'Cắt lồng'!$AE$327:$AE$515,'Cắt lồng'!DC$4:DC$4)</f>
        <v>0</v>
      </c>
      <c r="DD52" s="187" t="e">
        <f t="shared" si="127"/>
        <v>#DIV/0!</v>
      </c>
      <c r="DE52" s="188">
        <f t="array" ref="DE52">SUMIFS('Cắt lồng'!$AC$327:$AC$515,'Cắt lồng'!$AA$327:$AA$515,'Cắt lồng'!$AA52,'Cắt lồng'!$AE$327:$AE$515,'Cắt lồng'!DE$4:DE$4)</f>
        <v>0</v>
      </c>
      <c r="DF52" s="188">
        <f t="array" ref="DF52">SUMIFS('Cắt lồng'!$AH$327:$AH$515,'Cắt lồng'!$AA$327:$AA$515,'Cắt lồng'!$AA52,'Cắt lồng'!$AE$327:$AE$515,'Cắt lồng'!DF$4:DF$4)</f>
        <v>0</v>
      </c>
      <c r="DG52" s="187" t="e">
        <f t="shared" si="128"/>
        <v>#DIV/0!</v>
      </c>
      <c r="DH52" s="188">
        <f t="array" ref="DH52">SUMIFS('Cắt lồng'!$AC$327:$AC$515,'Cắt lồng'!$AA$327:$AA$515,'Cắt lồng'!$AA52,'Cắt lồng'!$AE$327:$AE$515,'Cắt lồng'!DH$4:DH$4)</f>
        <v>0</v>
      </c>
      <c r="DI52" s="188">
        <f t="array" ref="DI52">SUMIFS('Cắt lồng'!$AH$327:$AH$515,'Cắt lồng'!$AA$327:$AA$515,'Cắt lồng'!$AA52,'Cắt lồng'!$AE$327:$AE$515,'Cắt lồng'!DI$4:DI$4)</f>
        <v>0</v>
      </c>
      <c r="DJ52" s="187" t="e">
        <f t="shared" si="129"/>
        <v>#DIV/0!</v>
      </c>
      <c r="DK52" s="188">
        <f t="array" ref="DK52">SUMIFS('Cắt lồng'!$AC$327:$AC$515,'Cắt lồng'!$AA$327:$AA$515,'Cắt lồng'!$AA52,'Cắt lồng'!$AE$327:$AE$515,'Cắt lồng'!DK$4:DK$4)</f>
        <v>0</v>
      </c>
      <c r="DL52" s="188">
        <f t="array" ref="DL52">SUMIFS('Cắt lồng'!$AH$327:$AH$515,'Cắt lồng'!$AA$327:$AA$515,'Cắt lồng'!$AA52,'Cắt lồng'!$AE$327:$AE$515,'Cắt lồng'!DL$4:DL$4)</f>
        <v>0</v>
      </c>
      <c r="DM52" s="187" t="e">
        <f t="shared" si="130"/>
        <v>#DIV/0!</v>
      </c>
      <c r="DN52" s="79">
        <f>SUMIFS('Cắt lồng'!$AC$327:$AC$515,'Cắt lồng'!$AA$327:$AA$515,'Cắt lồng'!$AA52,'Cắt lồng'!$AE$327:$AE$515,'Cắt lồng'!DN$4:DN$4)</f>
        <v>0</v>
      </c>
      <c r="DO52" s="79">
        <f t="array" ref="DO52">SUMIFS('Cắt lồng'!$AH$327:$AH$515,'Cắt lồng'!$AA$327:$AA$515,'Cắt lồng'!$AA52,'Cắt lồng'!$AE$327:$AE$515,'Cắt lồng'!DO$4:DO$4)</f>
        <v>0</v>
      </c>
      <c r="DP52" s="187" t="e">
        <f t="shared" si="131"/>
        <v>#DIV/0!</v>
      </c>
      <c r="DQ52" s="188">
        <f t="array" ref="DQ52">SUMIFS('Cắt lồng'!$AC$327:$AC$515,'Cắt lồng'!$AA$327:$AA$515,'Cắt lồng'!$AA52,'Cắt lồng'!$AE$327:$AE$515,'Cắt lồng'!DQ$4:DQ$4)</f>
        <v>0</v>
      </c>
      <c r="DR52" s="188">
        <f t="array" ref="DR52">SUMIFS('Cắt lồng'!$AH$327:$AH$515,'Cắt lồng'!$AA$327:$AA$515,'Cắt lồng'!$AA52,'Cắt lồng'!$AE$327:$AE$515,'Cắt lồng'!DR$4:DR$4)</f>
        <v>0</v>
      </c>
      <c r="DS52" s="187" t="e">
        <f t="shared" si="132"/>
        <v>#DIV/0!</v>
      </c>
      <c r="DT52" s="188">
        <f t="array" ref="DT52">SUMIFS('Cắt lồng'!$AC$327:$AC$515,'Cắt lồng'!$AA$327:$AA$515,'Cắt lồng'!$AA52,'Cắt lồng'!$AE$327:$AE$515,'Cắt lồng'!DT$4:DT$4)</f>
        <v>0</v>
      </c>
      <c r="DU52" s="188">
        <f t="array" ref="DU52">SUMIFS('Cắt lồng'!$AH$327:$AH$515,'Cắt lồng'!$AA$327:$AA$515,'Cắt lồng'!$AA52,'Cắt lồng'!$AE$327:$AE$515,'Cắt lồng'!DU$4:DU$4)</f>
        <v>0</v>
      </c>
      <c r="DV52" s="187" t="e">
        <f t="shared" si="133"/>
        <v>#DIV/0!</v>
      </c>
      <c r="DW52" s="188">
        <f t="array" ref="DW52">SUMIFS('Cắt lồng'!$AC$327:$AC$515,'Cắt lồng'!$AA$327:$AA$515,'Cắt lồng'!$AA52,'Cắt lồng'!$AE$327:$AE$515,'Cắt lồng'!DW$4:DW$4)</f>
        <v>0</v>
      </c>
      <c r="DX52" s="188">
        <f t="array" ref="DX52">SUMIFS('Cắt lồng'!$AH$327:$AH$515,'Cắt lồng'!$AA$327:$AA$515,'Cắt lồng'!$AA52,'Cắt lồng'!$AE$327:$AE$515,'Cắt lồng'!DX$4:DX$4)</f>
        <v>0</v>
      </c>
      <c r="DY52" s="187" t="e">
        <f t="shared" si="134"/>
        <v>#DIV/0!</v>
      </c>
      <c r="DZ52" s="188">
        <f t="array" ref="DZ52">SUMIFS('Cắt lồng'!$AC$327:$AC$515,'Cắt lồng'!$AA$327:$AA$515,'Cắt lồng'!$AA52,'Cắt lồng'!$AE$327:$AE$515,'Cắt lồng'!DZ$4:DZ$4)</f>
        <v>0</v>
      </c>
      <c r="EA52" s="188">
        <f t="array" ref="EA52">SUMIFS('Cắt lồng'!$AH$327:$AH$515,'Cắt lồng'!$AA$327:$AA$515,'Cắt lồng'!$AA52,'Cắt lồng'!$AE$327:$AE$515,'Cắt lồng'!EA$4:EA$4)</f>
        <v>0</v>
      </c>
      <c r="EB52" s="187" t="e">
        <f t="shared" si="135"/>
        <v>#DIV/0!</v>
      </c>
      <c r="EC52" s="188">
        <f t="array" ref="EC52">SUMIFS('Cắt lồng'!$AC$327:$AC$515,'Cắt lồng'!$AA$327:$AA$515,'Cắt lồng'!$AA52,'Cắt lồng'!$AE$327:$AE$515,'Cắt lồng'!EC$4:EC$4)</f>
        <v>0</v>
      </c>
      <c r="ED52" s="188">
        <f t="array" ref="ED52">SUMIFS('Cắt lồng'!$AH$327:$AH$515,'Cắt lồng'!$AA$327:$AA$515,'Cắt lồng'!$AA52,'Cắt lồng'!$AE$327:$AE$515,'Cắt lồng'!ED$4:ED$4)</f>
        <v>0</v>
      </c>
      <c r="EE52" s="187" t="e">
        <f t="shared" si="136"/>
        <v>#DIV/0!</v>
      </c>
      <c r="EF52" s="188">
        <f t="array" ref="EF52">SUMIFS('Cắt lồng'!$AC$327:$AC$515,'Cắt lồng'!$AA$327:$AA$515,'Cắt lồng'!$AA52,'Cắt lồng'!$AE$327:$AE$515,'Cắt lồng'!EF$4:EF$4)</f>
        <v>0</v>
      </c>
      <c r="EG52" s="188">
        <f t="array" ref="EG52">SUMIFS('Cắt lồng'!$AH$327:$AH$515,'Cắt lồng'!$AA$327:$AA$515,'Cắt lồng'!$AA52,'Cắt lồng'!$AE$327:$AE$515,'Cắt lồng'!EG$4:EG$4)</f>
        <v>0</v>
      </c>
      <c r="EH52" s="187" t="e">
        <f t="shared" si="137"/>
        <v>#DIV/0!</v>
      </c>
      <c r="EI52" s="188">
        <f t="array" ref="EI52">SUMIFS('Cắt lồng'!$AC$327:$AC$515,'Cắt lồng'!$AA$327:$AA$515,'Cắt lồng'!$AA52,'Cắt lồng'!$AE$327:$AE$515,'Cắt lồng'!EI$4:EI$4)</f>
        <v>0</v>
      </c>
      <c r="EJ52" s="188">
        <f t="array" ref="EJ52">SUMIFS('Cắt lồng'!$AH$327:$AH$515,'Cắt lồng'!$AA$327:$AA$515,'Cắt lồng'!$AA52,'Cắt lồng'!$AE$327:$AE$515,'Cắt lồng'!EJ$4:EJ$4)</f>
        <v>0</v>
      </c>
      <c r="EK52" s="187" t="e">
        <f t="shared" si="138"/>
        <v>#DIV/0!</v>
      </c>
      <c r="EL52" s="172"/>
      <c r="EM52" s="12"/>
      <c r="EN52" s="12"/>
      <c r="EO52" s="12"/>
      <c r="EP52" s="12"/>
      <c r="EQ52" s="12"/>
      <c r="ER52" s="12"/>
      <c r="ES52" s="12"/>
      <c r="ET52" s="12"/>
      <c r="EU52" s="12"/>
      <c r="EV52" s="12"/>
      <c r="EW52" s="12"/>
      <c r="EX52" s="12"/>
      <c r="EY52" s="12"/>
      <c r="EZ52" s="12"/>
      <c r="FA52" s="12"/>
      <c r="FB52" s="12"/>
      <c r="FC52" s="12"/>
      <c r="FD52" s="12"/>
      <c r="FE52" s="12"/>
      <c r="FF52" s="12"/>
      <c r="FG52" s="12"/>
      <c r="FH52" s="12"/>
      <c r="FI52" s="12"/>
      <c r="FJ52" s="12"/>
      <c r="FK52" s="12"/>
      <c r="FL52" s="12"/>
      <c r="FM52" s="12"/>
      <c r="FN52" s="12"/>
      <c r="FO52" s="12"/>
      <c r="FP52" s="12"/>
      <c r="FQ52" s="12"/>
      <c r="FR52" s="12"/>
      <c r="FS52" s="12"/>
      <c r="FT52" s="12"/>
      <c r="FU52" s="12"/>
      <c r="FV52" s="12"/>
      <c r="FW52" s="12"/>
      <c r="FX52" s="12"/>
      <c r="FY52" s="12"/>
    </row>
    <row r="53" spans="1:181" s="12" customFormat="1" ht="14.25" hidden="1" customHeight="1">
      <c r="A53" s="25">
        <v>45</v>
      </c>
      <c r="B53" s="26"/>
      <c r="C53" s="26"/>
      <c r="D53" s="185" t="e">
        <f t="shared" si="140"/>
        <v>#VALUE!</v>
      </c>
      <c r="E53" s="184">
        <f t="shared" si="141"/>
        <v>9996</v>
      </c>
      <c r="F53" s="56"/>
      <c r="G53" s="82">
        <f t="shared" si="79"/>
        <v>0</v>
      </c>
      <c r="H53" s="81">
        <f t="shared" si="80"/>
        <v>6.66</v>
      </c>
      <c r="I53" s="19">
        <f t="shared" si="81"/>
        <v>0</v>
      </c>
      <c r="J53" s="11">
        <f t="shared" si="82"/>
        <v>0.17</v>
      </c>
      <c r="K53" s="19">
        <f t="shared" si="83"/>
        <v>0</v>
      </c>
      <c r="L53" s="19">
        <f t="shared" si="84"/>
        <v>0</v>
      </c>
      <c r="M53" s="19">
        <f t="shared" si="85"/>
        <v>0</v>
      </c>
      <c r="N53" s="19">
        <f t="shared" si="86"/>
        <v>0</v>
      </c>
      <c r="O53" s="19">
        <f t="shared" si="87"/>
        <v>0</v>
      </c>
      <c r="P53" s="19">
        <f t="shared" si="88"/>
        <v>0</v>
      </c>
      <c r="Q53" s="19">
        <f t="shared" si="89"/>
        <v>0</v>
      </c>
      <c r="R53" s="19">
        <f t="shared" si="90"/>
        <v>0</v>
      </c>
      <c r="S53" s="19">
        <f t="shared" si="91"/>
        <v>0</v>
      </c>
      <c r="T53" s="19">
        <f t="shared" si="92"/>
        <v>0</v>
      </c>
      <c r="U53" s="19">
        <f t="shared" si="93"/>
        <v>0</v>
      </c>
      <c r="V53" s="19">
        <f t="shared" si="94"/>
        <v>0</v>
      </c>
      <c r="W53" s="19">
        <f t="shared" si="95"/>
        <v>0</v>
      </c>
      <c r="X53" s="19">
        <f t="shared" si="96"/>
        <v>0.17</v>
      </c>
      <c r="Y53" s="19">
        <f t="shared" si="97"/>
        <v>0</v>
      </c>
      <c r="Z53" s="19">
        <f t="shared" si="98"/>
        <v>0</v>
      </c>
      <c r="AA53" s="183" t="s">
        <v>4</v>
      </c>
      <c r="AB53" s="129" t="e">
        <f t="shared" si="142"/>
        <v>#VALUE!</v>
      </c>
      <c r="AC53" s="16">
        <f t="shared" si="143"/>
        <v>9996</v>
      </c>
      <c r="AD53" s="15" t="e">
        <f t="shared" si="99"/>
        <v>#VALUE!</v>
      </c>
      <c r="AE53" s="42"/>
      <c r="AF53" s="10">
        <f t="shared" si="100"/>
        <v>1500.900900900901</v>
      </c>
      <c r="AG53" s="10"/>
      <c r="AH53" s="152">
        <f t="shared" si="139"/>
        <v>8</v>
      </c>
      <c r="AI53" s="54">
        <f t="shared" si="101"/>
        <v>8.0032012805122054E-4</v>
      </c>
      <c r="AJ53" s="25">
        <f t="shared" si="102"/>
        <v>0</v>
      </c>
      <c r="AK53" s="25">
        <f t="shared" si="103"/>
        <v>0</v>
      </c>
      <c r="AL53" s="25">
        <f t="shared" si="104"/>
        <v>0</v>
      </c>
      <c r="AM53" s="30">
        <f t="shared" si="73"/>
        <v>8</v>
      </c>
      <c r="AN53" s="30">
        <f t="shared" si="74"/>
        <v>0</v>
      </c>
      <c r="AO53" s="30">
        <f t="shared" si="75"/>
        <v>0</v>
      </c>
      <c r="AP53" s="30">
        <f t="shared" si="76"/>
        <v>0</v>
      </c>
      <c r="AQ53" s="30">
        <f t="shared" si="77"/>
        <v>0</v>
      </c>
      <c r="AR53" s="30">
        <f t="shared" si="105"/>
        <v>0</v>
      </c>
      <c r="AS53" s="30">
        <f t="shared" si="106"/>
        <v>0</v>
      </c>
      <c r="AT53" s="30">
        <f t="shared" si="78"/>
        <v>0</v>
      </c>
      <c r="AV53" s="79">
        <f t="shared" si="107"/>
        <v>6.66</v>
      </c>
      <c r="AW53" s="79">
        <f t="array" ref="AW53">SUMIFS('Cắt lồng'!$AC$327:$AC$515,'Cắt lồng'!$AA$327:$AA$515,'Cắt lồng'!$AA53,'Cắt lồng'!$AE$327:$AE$515,'Cắt lồng'!AW$4:AW$4)</f>
        <v>9996</v>
      </c>
      <c r="AX53" s="79">
        <f t="array" ref="AX53">SUMIFS('Cắt lồng'!$AH$327:$AH$515,'Cắt lồng'!$AA$327:$AA$515,'Cắt lồng'!$AA53,'Cắt lồng'!$AE$327:$AE$515,'Cắt lồng'!AX$4:AX$4)</f>
        <v>0</v>
      </c>
      <c r="AY53" s="78">
        <f t="shared" si="108"/>
        <v>0</v>
      </c>
      <c r="AZ53" s="79">
        <f t="array" ref="AZ53">SUMIFS('Cắt lồng'!$AC$327:$AC$515,'Cắt lồng'!$AA$327:$AA$515,'Cắt lồng'!$AA53,'Cắt lồng'!$AE$327:$AE$515,'Cắt lồng'!AZ$4:AZ$4)</f>
        <v>0</v>
      </c>
      <c r="BA53" s="79">
        <f t="array" ref="BA53">SUMIFS('Cắt lồng'!$AH$327:$AH$515,'Cắt lồng'!$AA$327:$AA$515,'Cắt lồng'!$AA53,'Cắt lồng'!$AE$327:$AE$515,'Cắt lồng'!BA$4:BA$4)</f>
        <v>0</v>
      </c>
      <c r="BB53" s="78" t="e">
        <f t="shared" si="109"/>
        <v>#DIV/0!</v>
      </c>
      <c r="BC53" s="79">
        <f t="array" ref="BC53">SUMIFS('Cắt lồng'!$AC$327:$AC$515,'Cắt lồng'!$AA$327:$AA$515,'Cắt lồng'!$AA53,'Cắt lồng'!$AE$327:$AE$515,'Cắt lồng'!BC$4:BC$4)</f>
        <v>0</v>
      </c>
      <c r="BD53" s="79">
        <f t="array" ref="BD53">SUMIFS('Cắt lồng'!$AH$327:$AH$515,'Cắt lồng'!$AA$327:$AA$515,'Cắt lồng'!$AA53,'Cắt lồng'!$AE$327:$AE$515,'Cắt lồng'!BD$4:BD$4)</f>
        <v>0</v>
      </c>
      <c r="BE53" s="78" t="e">
        <f t="shared" si="110"/>
        <v>#DIV/0!</v>
      </c>
      <c r="BF53" s="79">
        <f t="array" ref="BF53">SUMIFS('Cắt lồng'!$AC$327:$AC$515,'Cắt lồng'!$AA$327:$AA$515,'Cắt lồng'!$AA53,'Cắt lồng'!$AE$327:$AE$515,'Cắt lồng'!BF$4:BF$4)</f>
        <v>0</v>
      </c>
      <c r="BG53" s="79">
        <f t="array" ref="BG53">SUMIFS('Cắt lồng'!$AH$327:$AH$515,'Cắt lồng'!$AA$327:$AA$515,'Cắt lồng'!$AA53,'Cắt lồng'!$AE$327:$AE$515,'Cắt lồng'!BG$4:BG$4)</f>
        <v>0</v>
      </c>
      <c r="BH53" s="78" t="e">
        <f t="shared" si="111"/>
        <v>#DIV/0!</v>
      </c>
      <c r="BI53" s="79">
        <f t="array" ref="BI53">SUMIFS('Cắt lồng'!$AC$327:$AC$515,'Cắt lồng'!$AA$327:$AA$515,'Cắt lồng'!$AA53,'Cắt lồng'!$AE$327:$AE$515,'Cắt lồng'!BI$4:BI$4)</f>
        <v>0</v>
      </c>
      <c r="BJ53" s="79">
        <f t="array" ref="BJ53">SUMIFS('Cắt lồng'!$AH$327:$AH$515,'Cắt lồng'!$AA$327:$AA$515,'Cắt lồng'!$AA53,'Cắt lồng'!$AE$327:$AE$515,'Cắt lồng'!BJ$4:BJ$4)</f>
        <v>0</v>
      </c>
      <c r="BK53" s="78" t="e">
        <f t="shared" si="112"/>
        <v>#DIV/0!</v>
      </c>
      <c r="BL53" s="79">
        <f t="array" ref="BL53">SUMIFS('Cắt lồng'!$AC$327:$AC$515,'Cắt lồng'!$AA$327:$AA$515,'Cắt lồng'!$AA53,'Cắt lồng'!$AE$327:$AE$515,'Cắt lồng'!BL$4:BL$4)</f>
        <v>0</v>
      </c>
      <c r="BM53" s="79">
        <f t="array" ref="BM53">SUMIFS('Cắt lồng'!$AH$327:$AH$515,'Cắt lồng'!$AA$327:$AA$515,'Cắt lồng'!$AA53,'Cắt lồng'!$AE$327:$AE$515,'Cắt lồng'!BM$4:BM$4)</f>
        <v>0</v>
      </c>
      <c r="BN53" s="78" t="e">
        <f t="shared" si="113"/>
        <v>#DIV/0!</v>
      </c>
      <c r="BO53" s="79">
        <f t="array" ref="BO53">SUMIFS('Cắt lồng'!$AC$327:$AC$515,'Cắt lồng'!$AA$327:$AA$515,'Cắt lồng'!$AA53,'Cắt lồng'!$AE$327:$AE$515,'Cắt lồng'!BO$4:BO$4)</f>
        <v>0</v>
      </c>
      <c r="BP53" s="79">
        <f t="array" ref="BP53">SUMIFS('Cắt lồng'!$AH$327:$AH$515,'Cắt lồng'!$AA$327:$AA$515,'Cắt lồng'!$AA53,'Cắt lồng'!$AE$327:$AE$515,'Cắt lồng'!BP$4:BP$4)</f>
        <v>0</v>
      </c>
      <c r="BQ53" s="78" t="e">
        <f t="shared" si="114"/>
        <v>#DIV/0!</v>
      </c>
      <c r="BR53" s="79">
        <f t="array" ref="BR53">SUMIFS('Cắt lồng'!$AC$327:$AC$515,'Cắt lồng'!$AA$327:$AA$515,'Cắt lồng'!$AA53,'Cắt lồng'!$AE$327:$AE$515,'Cắt lồng'!BR$4:BR$4)</f>
        <v>0</v>
      </c>
      <c r="BS53" s="79">
        <f t="array" ref="BS53">SUMIFS('Cắt lồng'!$AH$327:$AH$515,'Cắt lồng'!$AA$327:$AA$515,'Cắt lồng'!$AA53,'Cắt lồng'!$AE$327:$AE$515,'Cắt lồng'!BS$4:BS$4)</f>
        <v>0</v>
      </c>
      <c r="BT53" s="78" t="e">
        <f t="shared" si="115"/>
        <v>#DIV/0!</v>
      </c>
      <c r="BU53" s="79">
        <f t="array" ref="BU53">SUMIFS('Cắt lồng'!$AC$327:$AC$515,'Cắt lồng'!$AA$327:$AA$515,'Cắt lồng'!$AA53,'Cắt lồng'!$AE$327:$AE$515,'Cắt lồng'!BU$4:BU$4)</f>
        <v>0</v>
      </c>
      <c r="BV53" s="79">
        <f t="array" ref="BV53">SUMIFS('Cắt lồng'!$AH$327:$AH$515,'Cắt lồng'!$AA$327:$AA$515,'Cắt lồng'!$AA53,'Cắt lồng'!$AE$327:$AE$515,'Cắt lồng'!BV$4:BV$4)</f>
        <v>0</v>
      </c>
      <c r="BW53" s="78" t="e">
        <f t="shared" si="116"/>
        <v>#DIV/0!</v>
      </c>
      <c r="BX53" s="79">
        <f t="array" ref="BX53">SUMIFS('Cắt lồng'!$AC$327:$AC$515,'Cắt lồng'!$AA$327:$AA$515,'Cắt lồng'!$AA53,'Cắt lồng'!$AE$327:$AE$515,'Cắt lồng'!BX$4:BX$4)</f>
        <v>0</v>
      </c>
      <c r="BY53" s="79">
        <f t="array" ref="BY53">SUMIFS('Cắt lồng'!$AH$327:$AH$515,'Cắt lồng'!$AA$327:$AA$515,'Cắt lồng'!$AA53,'Cắt lồng'!$AE$327:$AE$515,'Cắt lồng'!BY$4:BY$4)</f>
        <v>0</v>
      </c>
      <c r="BZ53" s="78" t="e">
        <f t="shared" si="117"/>
        <v>#DIV/0!</v>
      </c>
      <c r="CA53" s="79">
        <f t="array" ref="CA53">SUMIFS('Cắt lồng'!$AC$327:$AC$515,'Cắt lồng'!$AA$327:$AA$515,'Cắt lồng'!$AA53,'Cắt lồng'!$AE$327:$AE$515,'Cắt lồng'!CA$4:CA$4)</f>
        <v>0</v>
      </c>
      <c r="CB53" s="79">
        <f t="array" ref="CB53">SUMIFS('Cắt lồng'!$AH$327:$AH$515,'Cắt lồng'!$AA$327:$AA$515,'Cắt lồng'!$AA53,'Cắt lồng'!$AE$327:$AE$515,'Cắt lồng'!CB$4:CB$4)</f>
        <v>0</v>
      </c>
      <c r="CC53" s="78" t="e">
        <f t="shared" si="118"/>
        <v>#DIV/0!</v>
      </c>
      <c r="CD53" s="79">
        <f t="array" ref="CD53">SUMIFS('Cắt lồng'!$AC$327:$AC$515,'Cắt lồng'!$AA$327:$AA$515,'Cắt lồng'!$AA53,'Cắt lồng'!$AE$327:$AE$515,'Cắt lồng'!CD$4:CD$4)</f>
        <v>0</v>
      </c>
      <c r="CE53" s="79">
        <f t="array" ref="CE53">SUMIFS('Cắt lồng'!$AH$327:$AH$515,'Cắt lồng'!$AA$327:$AA$515,'Cắt lồng'!$AA53,'Cắt lồng'!$AE$327:$AE$515,'Cắt lồng'!CE$4:CE$4)</f>
        <v>0</v>
      </c>
      <c r="CF53" s="78" t="e">
        <f t="shared" si="119"/>
        <v>#DIV/0!</v>
      </c>
      <c r="CG53" s="79">
        <f t="array" ref="CG53">SUMIFS('Cắt lồng'!$AC$327:$AC$515,'Cắt lồng'!$AA$327:$AA$515,'Cắt lồng'!$AA53,'Cắt lồng'!$AE$327:$AE$515,'Cắt lồng'!CG$4:CG$4)</f>
        <v>0</v>
      </c>
      <c r="CH53" s="79">
        <f t="array" ref="CH53">SUMIFS('Cắt lồng'!$AH$327:$AH$515,'Cắt lồng'!$AA$327:$AA$515,'Cắt lồng'!$AA53,'Cắt lồng'!$AE$327:$AE$515,'Cắt lồng'!CH$4:CH$4)</f>
        <v>0</v>
      </c>
      <c r="CI53" s="78" t="e">
        <f t="shared" si="120"/>
        <v>#DIV/0!</v>
      </c>
      <c r="CJ53" s="79">
        <f t="array" ref="CJ53">SUMIFS('Cắt lồng'!$AC$327:$AC$515,'Cắt lồng'!$AA$327:$AA$515,'Cắt lồng'!$AA53,'Cắt lồng'!$AE$327:$AE$515,'Cắt lồng'!CJ$4:CJ$4)</f>
        <v>0</v>
      </c>
      <c r="CK53" s="79">
        <f t="array" ref="CK53">SUMIFS('Cắt lồng'!$AH$327:$AH$515,'Cắt lồng'!$AA$327:$AA$515,'Cắt lồng'!$AA53,'Cắt lồng'!$AE$327:$AE$515,'Cắt lồng'!CK$4:CK$4)</f>
        <v>0</v>
      </c>
      <c r="CL53" s="78" t="e">
        <f t="shared" si="121"/>
        <v>#DIV/0!</v>
      </c>
      <c r="CM53" s="79">
        <f t="array" ref="CM53">SUMIFS('Cắt lồng'!$AC$327:$AC$515,'Cắt lồng'!$AA$327:$AA$515,'Cắt lồng'!$AA53,'Cắt lồng'!$AE$327:$AE$515,'Cắt lồng'!CM$4:CM$4)</f>
        <v>0</v>
      </c>
      <c r="CN53" s="79">
        <f t="array" ref="CN53">SUMIFS('Cắt lồng'!$AH$327:$AH$515,'Cắt lồng'!$AA$327:$AA$515,'Cắt lồng'!$AA53,'Cắt lồng'!$AE$327:$AE$515,'Cắt lồng'!CN$4:CN$4)</f>
        <v>0</v>
      </c>
      <c r="CO53" s="78" t="e">
        <f t="shared" si="122"/>
        <v>#DIV/0!</v>
      </c>
      <c r="CP53" s="79">
        <f t="array" ref="CP53">SUMIFS('Cắt lồng'!$AC$327:$AC$515,'Cắt lồng'!$AA$327:$AA$515,'Cắt lồng'!$AA53,'Cắt lồng'!$AE$327:$AE$515,'Cắt lồng'!CP$4:CP$4)</f>
        <v>0</v>
      </c>
      <c r="CQ53" s="79">
        <f t="array" ref="CQ53">SUMIFS('Cắt lồng'!$AH$327:$AH$515,'Cắt lồng'!$AA$327:$AA$515,'Cắt lồng'!$AA53,'Cắt lồng'!$AE$327:$AE$515,'Cắt lồng'!CQ$4:CQ$4)</f>
        <v>0</v>
      </c>
      <c r="CR53" s="78" t="e">
        <f t="shared" si="123"/>
        <v>#DIV/0!</v>
      </c>
      <c r="CS53" s="79">
        <f t="array" ref="CS53">SUMIFS('Cắt lồng'!$AC$327:$AC$515,'Cắt lồng'!$AA$327:$AA$515,'Cắt lồng'!$AA53,'Cắt lồng'!$AE$327:$AE$515,'Cắt lồng'!CS$4:CS$4)</f>
        <v>0</v>
      </c>
      <c r="CT53" s="79">
        <f t="array" ref="CT53">SUMIFS('Cắt lồng'!$AH$327:$AH$515,'Cắt lồng'!$AA$327:$AA$515,'Cắt lồng'!$AA53,'Cắt lồng'!$AE$327:$AE$515,'Cắt lồng'!CT$4:CT$4)</f>
        <v>0</v>
      </c>
      <c r="CU53" s="78" t="e">
        <f t="shared" si="124"/>
        <v>#DIV/0!</v>
      </c>
      <c r="CV53" s="79">
        <f t="array" ref="CV53">SUMIFS('Cắt lồng'!$AC$327:$AC$515,'Cắt lồng'!$AA$327:$AA$515,'Cắt lồng'!$AA53,'Cắt lồng'!$AE$327:$AE$515,'Cắt lồng'!CV$4:CV$4)</f>
        <v>0</v>
      </c>
      <c r="CW53" s="79">
        <f t="array" ref="CW53">SUMIFS('Cắt lồng'!$AH$327:$AH$515,'Cắt lồng'!$AA$327:$AA$515,'Cắt lồng'!$AA53,'Cắt lồng'!$AE$327:$AE$515,'Cắt lồng'!CW$4:CW$4)</f>
        <v>0</v>
      </c>
      <c r="CX53" s="78" t="e">
        <f t="shared" si="125"/>
        <v>#DIV/0!</v>
      </c>
      <c r="CY53" s="79">
        <f t="array" ref="CY53">SUMIFS('Cắt lồng'!$AC$327:$AC$515,'Cắt lồng'!$AA$327:$AA$515,'Cắt lồng'!$AA53,'Cắt lồng'!$AE$327:$AE$515,'Cắt lồng'!CY$4:CY$4)</f>
        <v>0</v>
      </c>
      <c r="CZ53" s="79">
        <f t="array" ref="CZ53">SUMIFS('Cắt lồng'!$AH$327:$AH$515,'Cắt lồng'!$AA$327:$AA$515,'Cắt lồng'!$AA53,'Cắt lồng'!$AE$327:$AE$515,'Cắt lồng'!CZ$4:CZ$4)</f>
        <v>0</v>
      </c>
      <c r="DA53" s="78" t="e">
        <f t="shared" si="126"/>
        <v>#DIV/0!</v>
      </c>
      <c r="DB53" s="79">
        <f t="array" ref="DB53">SUMIFS('Cắt lồng'!$AC$327:$AC$515,'Cắt lồng'!$AA$327:$AA$515,'Cắt lồng'!$AA53,'Cắt lồng'!$AE$327:$AE$515,'Cắt lồng'!DB$4:DB$4)</f>
        <v>0</v>
      </c>
      <c r="DC53" s="79">
        <f t="array" ref="DC53">SUMIFS('Cắt lồng'!$AH$327:$AH$515,'Cắt lồng'!$AA$327:$AA$515,'Cắt lồng'!$AA53,'Cắt lồng'!$AE$327:$AE$515,'Cắt lồng'!DC$4:DC$4)</f>
        <v>0</v>
      </c>
      <c r="DD53" s="78" t="e">
        <f t="shared" si="127"/>
        <v>#DIV/0!</v>
      </c>
      <c r="DE53" s="79">
        <f t="array" ref="DE53">SUMIFS('Cắt lồng'!$AC$327:$AC$515,'Cắt lồng'!$AA$327:$AA$515,'Cắt lồng'!$AA53,'Cắt lồng'!$AE$327:$AE$515,'Cắt lồng'!DE$4:DE$4)</f>
        <v>0</v>
      </c>
      <c r="DF53" s="79">
        <f t="array" ref="DF53">SUMIFS('Cắt lồng'!$AH$327:$AH$515,'Cắt lồng'!$AA$327:$AA$515,'Cắt lồng'!$AA53,'Cắt lồng'!$AE$327:$AE$515,'Cắt lồng'!DF$4:DF$4)</f>
        <v>0</v>
      </c>
      <c r="DG53" s="78" t="e">
        <f t="shared" si="128"/>
        <v>#DIV/0!</v>
      </c>
      <c r="DH53" s="79">
        <f t="array" ref="DH53">SUMIFS('Cắt lồng'!$AC$327:$AC$515,'Cắt lồng'!$AA$327:$AA$515,'Cắt lồng'!$AA53,'Cắt lồng'!$AE$327:$AE$515,'Cắt lồng'!DH$4:DH$4)</f>
        <v>0</v>
      </c>
      <c r="DI53" s="79">
        <f t="array" ref="DI53">SUMIFS('Cắt lồng'!$AH$327:$AH$515,'Cắt lồng'!$AA$327:$AA$515,'Cắt lồng'!$AA53,'Cắt lồng'!$AE$327:$AE$515,'Cắt lồng'!DI$4:DI$4)</f>
        <v>0</v>
      </c>
      <c r="DJ53" s="78" t="e">
        <f t="shared" si="129"/>
        <v>#DIV/0!</v>
      </c>
      <c r="DK53" s="79">
        <f t="array" ref="DK53">SUMIFS('Cắt lồng'!$AC$327:$AC$515,'Cắt lồng'!$AA$327:$AA$515,'Cắt lồng'!$AA53,'Cắt lồng'!$AE$327:$AE$515,'Cắt lồng'!DK$4:DK$4)</f>
        <v>0</v>
      </c>
      <c r="DL53" s="79">
        <f t="array" ref="DL53">SUMIFS('Cắt lồng'!$AH$327:$AH$515,'Cắt lồng'!$AA$327:$AA$515,'Cắt lồng'!$AA53,'Cắt lồng'!$AE$327:$AE$515,'Cắt lồng'!DL$4:DL$4)</f>
        <v>0</v>
      </c>
      <c r="DM53" s="78" t="e">
        <f t="shared" si="130"/>
        <v>#DIV/0!</v>
      </c>
      <c r="DN53" s="79">
        <f>SUMIFS('Cắt lồng'!$AC$327:$AC$515,'Cắt lồng'!$AA$327:$AA$515,'Cắt lồng'!$AA53,'Cắt lồng'!$AE$327:$AE$515,'Cắt lồng'!DN$4:DN$4)</f>
        <v>0</v>
      </c>
      <c r="DO53" s="79">
        <f t="array" ref="DO53">SUMIFS('Cắt lồng'!$AH$327:$AH$515,'Cắt lồng'!$AA$327:$AA$515,'Cắt lồng'!$AA53,'Cắt lồng'!$AE$327:$AE$515,'Cắt lồng'!DO$4:DO$4)</f>
        <v>0</v>
      </c>
      <c r="DP53" s="78" t="e">
        <f t="shared" si="131"/>
        <v>#DIV/0!</v>
      </c>
      <c r="DQ53" s="79">
        <f t="array" ref="DQ53">SUMIFS('Cắt lồng'!$AC$327:$AC$515,'Cắt lồng'!$AA$327:$AA$515,'Cắt lồng'!$AA53,'Cắt lồng'!$AE$327:$AE$515,'Cắt lồng'!DQ$4:DQ$4)</f>
        <v>0</v>
      </c>
      <c r="DR53" s="79">
        <f t="array" ref="DR53">SUMIFS('Cắt lồng'!$AH$327:$AH$515,'Cắt lồng'!$AA$327:$AA$515,'Cắt lồng'!$AA53,'Cắt lồng'!$AE$327:$AE$515,'Cắt lồng'!DR$4:DR$4)</f>
        <v>0</v>
      </c>
      <c r="DS53" s="78" t="e">
        <f t="shared" si="132"/>
        <v>#DIV/0!</v>
      </c>
      <c r="DT53" s="79">
        <f t="array" ref="DT53">SUMIFS('Cắt lồng'!$AC$327:$AC$515,'Cắt lồng'!$AA$327:$AA$515,'Cắt lồng'!$AA53,'Cắt lồng'!$AE$327:$AE$515,'Cắt lồng'!DT$4:DT$4)</f>
        <v>0</v>
      </c>
      <c r="DU53" s="79">
        <f t="array" ref="DU53">SUMIFS('Cắt lồng'!$AH$327:$AH$515,'Cắt lồng'!$AA$327:$AA$515,'Cắt lồng'!$AA53,'Cắt lồng'!$AE$327:$AE$515,'Cắt lồng'!DU$4:DU$4)</f>
        <v>0</v>
      </c>
      <c r="DV53" s="78" t="e">
        <f t="shared" si="133"/>
        <v>#DIV/0!</v>
      </c>
      <c r="DW53" s="79">
        <f t="array" ref="DW53">SUMIFS('Cắt lồng'!$AC$327:$AC$515,'Cắt lồng'!$AA$327:$AA$515,'Cắt lồng'!$AA53,'Cắt lồng'!$AE$327:$AE$515,'Cắt lồng'!DW$4:DW$4)</f>
        <v>0</v>
      </c>
      <c r="DX53" s="79">
        <f t="array" ref="DX53">SUMIFS('Cắt lồng'!$AH$327:$AH$515,'Cắt lồng'!$AA$327:$AA$515,'Cắt lồng'!$AA53,'Cắt lồng'!$AE$327:$AE$515,'Cắt lồng'!DX$4:DX$4)</f>
        <v>0</v>
      </c>
      <c r="DY53" s="78" t="e">
        <f t="shared" si="134"/>
        <v>#DIV/0!</v>
      </c>
      <c r="DZ53" s="79">
        <f t="array" ref="DZ53">SUMIFS('Cắt lồng'!$AC$327:$AC$515,'Cắt lồng'!$AA$327:$AA$515,'Cắt lồng'!$AA53,'Cắt lồng'!$AE$327:$AE$515,'Cắt lồng'!DZ$4:DZ$4)</f>
        <v>0</v>
      </c>
      <c r="EA53" s="79">
        <f t="array" ref="EA53">SUMIFS('Cắt lồng'!$AH$327:$AH$515,'Cắt lồng'!$AA$327:$AA$515,'Cắt lồng'!$AA53,'Cắt lồng'!$AE$327:$AE$515,'Cắt lồng'!EA$4:EA$4)</f>
        <v>0</v>
      </c>
      <c r="EB53" s="78" t="e">
        <f t="shared" si="135"/>
        <v>#DIV/0!</v>
      </c>
      <c r="EC53" s="79">
        <f t="array" ref="EC53">SUMIFS('Cắt lồng'!$AC$327:$AC$515,'Cắt lồng'!$AA$327:$AA$515,'Cắt lồng'!$AA53,'Cắt lồng'!$AE$327:$AE$515,'Cắt lồng'!EC$4:EC$4)</f>
        <v>0</v>
      </c>
      <c r="ED53" s="79">
        <f t="array" ref="ED53">SUMIFS('Cắt lồng'!$AH$327:$AH$515,'Cắt lồng'!$AA$327:$AA$515,'Cắt lồng'!$AA53,'Cắt lồng'!$AE$327:$AE$515,'Cắt lồng'!ED$4:ED$4)</f>
        <v>0</v>
      </c>
      <c r="EE53" s="78" t="e">
        <f t="shared" si="136"/>
        <v>#DIV/0!</v>
      </c>
      <c r="EF53" s="79">
        <f t="array" ref="EF53">SUMIFS('Cắt lồng'!$AC$327:$AC$515,'Cắt lồng'!$AA$327:$AA$515,'Cắt lồng'!$AA53,'Cắt lồng'!$AE$327:$AE$515,'Cắt lồng'!EF$4:EF$4)</f>
        <v>0</v>
      </c>
      <c r="EG53" s="79">
        <f t="array" ref="EG53">SUMIFS('Cắt lồng'!$AH$327:$AH$515,'Cắt lồng'!$AA$327:$AA$515,'Cắt lồng'!$AA53,'Cắt lồng'!$AE$327:$AE$515,'Cắt lồng'!EG$4:EG$4)</f>
        <v>0</v>
      </c>
      <c r="EH53" s="78" t="e">
        <f t="shared" si="137"/>
        <v>#DIV/0!</v>
      </c>
      <c r="EI53" s="79">
        <f t="array" ref="EI53">SUMIFS('Cắt lồng'!$AC$327:$AC$515,'Cắt lồng'!$AA$327:$AA$515,'Cắt lồng'!$AA53,'Cắt lồng'!$AE$327:$AE$515,'Cắt lồng'!EI$4:EI$4)</f>
        <v>0</v>
      </c>
      <c r="EJ53" s="79">
        <f t="array" ref="EJ53">SUMIFS('Cắt lồng'!$AH$327:$AH$515,'Cắt lồng'!$AA$327:$AA$515,'Cắt lồng'!$AA53,'Cắt lồng'!$AE$327:$AE$515,'Cắt lồng'!EJ$4:EJ$4)</f>
        <v>0</v>
      </c>
      <c r="EK53" s="78" t="e">
        <f t="shared" si="138"/>
        <v>#DIV/0!</v>
      </c>
      <c r="EL53" s="172"/>
    </row>
    <row r="54" spans="1:181" s="12" customFormat="1" ht="14.25" hidden="1" customHeight="1">
      <c r="A54" s="25">
        <v>46</v>
      </c>
      <c r="B54" s="26"/>
      <c r="C54" s="26"/>
      <c r="D54" s="185">
        <f t="shared" si="140"/>
        <v>0</v>
      </c>
      <c r="E54" s="184">
        <f t="shared" si="141"/>
        <v>0</v>
      </c>
      <c r="F54" s="56"/>
      <c r="G54" s="82">
        <f t="shared" si="79"/>
        <v>0</v>
      </c>
      <c r="H54" s="81">
        <f t="shared" si="80"/>
        <v>0</v>
      </c>
      <c r="I54" s="19">
        <f t="shared" si="81"/>
        <v>0</v>
      </c>
      <c r="J54" s="11">
        <f t="shared" si="82"/>
        <v>0</v>
      </c>
      <c r="K54" s="19">
        <f t="shared" si="83"/>
        <v>0</v>
      </c>
      <c r="L54" s="19">
        <f t="shared" si="84"/>
        <v>0</v>
      </c>
      <c r="M54" s="19">
        <f t="shared" si="85"/>
        <v>0</v>
      </c>
      <c r="N54" s="19">
        <f t="shared" si="86"/>
        <v>0</v>
      </c>
      <c r="O54" s="19">
        <f t="shared" si="87"/>
        <v>0</v>
      </c>
      <c r="P54" s="19">
        <f t="shared" si="88"/>
        <v>0</v>
      </c>
      <c r="Q54" s="19">
        <f t="shared" si="89"/>
        <v>0</v>
      </c>
      <c r="R54" s="19">
        <f t="shared" si="90"/>
        <v>0</v>
      </c>
      <c r="S54" s="19">
        <f t="shared" si="91"/>
        <v>0</v>
      </c>
      <c r="T54" s="19">
        <f t="shared" si="92"/>
        <v>0</v>
      </c>
      <c r="U54" s="19">
        <f t="shared" si="93"/>
        <v>0</v>
      </c>
      <c r="V54" s="19">
        <f t="shared" si="94"/>
        <v>0</v>
      </c>
      <c r="W54" s="19">
        <f t="shared" si="95"/>
        <v>0</v>
      </c>
      <c r="X54" s="19">
        <f t="shared" si="96"/>
        <v>0</v>
      </c>
      <c r="Y54" s="19">
        <f t="shared" si="97"/>
        <v>0</v>
      </c>
      <c r="Z54" s="19">
        <f t="shared" si="98"/>
        <v>0</v>
      </c>
      <c r="AA54" s="183" t="s">
        <v>246</v>
      </c>
      <c r="AB54" s="129">
        <f t="shared" si="142"/>
        <v>0</v>
      </c>
      <c r="AC54" s="16">
        <f t="shared" si="143"/>
        <v>0</v>
      </c>
      <c r="AD54" s="15" t="e">
        <f t="shared" si="99"/>
        <v>#DIV/0!</v>
      </c>
      <c r="AE54" s="42"/>
      <c r="AF54" s="10" t="e">
        <f t="shared" si="100"/>
        <v>#DIV/0!</v>
      </c>
      <c r="AG54" s="10"/>
      <c r="AH54" s="152">
        <f t="shared" si="139"/>
        <v>0</v>
      </c>
      <c r="AI54" s="54" t="e">
        <f t="shared" si="101"/>
        <v>#DIV/0!</v>
      </c>
      <c r="AJ54" s="25">
        <f t="shared" si="102"/>
        <v>0</v>
      </c>
      <c r="AK54" s="25">
        <f t="shared" si="103"/>
        <v>0</v>
      </c>
      <c r="AL54" s="25">
        <f t="shared" si="104"/>
        <v>0</v>
      </c>
      <c r="AM54" s="30">
        <f t="shared" si="73"/>
        <v>0</v>
      </c>
      <c r="AN54" s="30">
        <f t="shared" si="74"/>
        <v>0</v>
      </c>
      <c r="AO54" s="30">
        <f t="shared" si="75"/>
        <v>0</v>
      </c>
      <c r="AP54" s="30">
        <f t="shared" si="76"/>
        <v>0</v>
      </c>
      <c r="AQ54" s="30">
        <f t="shared" si="77"/>
        <v>0</v>
      </c>
      <c r="AR54" s="30">
        <f t="shared" si="105"/>
        <v>0</v>
      </c>
      <c r="AS54" s="30">
        <f t="shared" si="106"/>
        <v>0</v>
      </c>
      <c r="AT54" s="30">
        <f t="shared" si="78"/>
        <v>0</v>
      </c>
      <c r="AV54" s="79">
        <f t="shared" si="107"/>
        <v>0</v>
      </c>
      <c r="AW54" s="79">
        <f t="array" ref="AW54">SUMIFS('Cắt lồng'!$AC$327:$AC$515,'Cắt lồng'!$AA$327:$AA$515,'Cắt lồng'!$AA54,'Cắt lồng'!$AE$327:$AE$515,'Cắt lồng'!AW$4:AW$4)</f>
        <v>0</v>
      </c>
      <c r="AX54" s="79">
        <f t="array" ref="AX54">SUMIFS('Cắt lồng'!$AH$327:$AH$515,'Cắt lồng'!$AA$327:$AA$515,'Cắt lồng'!$AA54,'Cắt lồng'!$AE$327:$AE$515,'Cắt lồng'!AX$4:AX$4)</f>
        <v>0</v>
      </c>
      <c r="AY54" s="78" t="e">
        <f t="shared" si="108"/>
        <v>#DIV/0!</v>
      </c>
      <c r="AZ54" s="79">
        <f t="array" ref="AZ54">SUMIFS('Cắt lồng'!$AC$327:$AC$515,'Cắt lồng'!$AA$327:$AA$515,'Cắt lồng'!$AA54,'Cắt lồng'!$AE$327:$AE$515,'Cắt lồng'!AZ$4:AZ$4)</f>
        <v>0</v>
      </c>
      <c r="BA54" s="79">
        <f t="array" ref="BA54">SUMIFS('Cắt lồng'!$AH$327:$AH$515,'Cắt lồng'!$AA$327:$AA$515,'Cắt lồng'!$AA54,'Cắt lồng'!$AE$327:$AE$515,'Cắt lồng'!BA$4:BA$4)</f>
        <v>0</v>
      </c>
      <c r="BB54" s="78" t="e">
        <f t="shared" si="109"/>
        <v>#DIV/0!</v>
      </c>
      <c r="BC54" s="79">
        <f t="array" ref="BC54">SUMIFS('Cắt lồng'!$AC$327:$AC$515,'Cắt lồng'!$AA$327:$AA$515,'Cắt lồng'!$AA54,'Cắt lồng'!$AE$327:$AE$515,'Cắt lồng'!BC$4:BC$4)</f>
        <v>0</v>
      </c>
      <c r="BD54" s="79">
        <f t="array" ref="BD54">SUMIFS('Cắt lồng'!$AH$327:$AH$515,'Cắt lồng'!$AA$327:$AA$515,'Cắt lồng'!$AA54,'Cắt lồng'!$AE$327:$AE$515,'Cắt lồng'!BD$4:BD$4)</f>
        <v>0</v>
      </c>
      <c r="BE54" s="78" t="e">
        <f t="shared" si="110"/>
        <v>#DIV/0!</v>
      </c>
      <c r="BF54" s="79">
        <f t="array" ref="BF54">SUMIFS('Cắt lồng'!$AC$327:$AC$515,'Cắt lồng'!$AA$327:$AA$515,'Cắt lồng'!$AA54,'Cắt lồng'!$AE$327:$AE$515,'Cắt lồng'!BF$4:BF$4)</f>
        <v>0</v>
      </c>
      <c r="BG54" s="79">
        <f t="array" ref="BG54">SUMIFS('Cắt lồng'!$AH$327:$AH$515,'Cắt lồng'!$AA$327:$AA$515,'Cắt lồng'!$AA54,'Cắt lồng'!$AE$327:$AE$515,'Cắt lồng'!BG$4:BG$4)</f>
        <v>0</v>
      </c>
      <c r="BH54" s="78" t="e">
        <f t="shared" si="111"/>
        <v>#DIV/0!</v>
      </c>
      <c r="BI54" s="79">
        <f t="array" ref="BI54">SUMIFS('Cắt lồng'!$AC$327:$AC$515,'Cắt lồng'!$AA$327:$AA$515,'Cắt lồng'!$AA54,'Cắt lồng'!$AE$327:$AE$515,'Cắt lồng'!BI$4:BI$4)</f>
        <v>0</v>
      </c>
      <c r="BJ54" s="79">
        <f t="array" ref="BJ54">SUMIFS('Cắt lồng'!$AH$327:$AH$515,'Cắt lồng'!$AA$327:$AA$515,'Cắt lồng'!$AA54,'Cắt lồng'!$AE$327:$AE$515,'Cắt lồng'!BJ$4:BJ$4)</f>
        <v>0</v>
      </c>
      <c r="BK54" s="78" t="e">
        <f t="shared" si="112"/>
        <v>#DIV/0!</v>
      </c>
      <c r="BL54" s="79">
        <f t="array" ref="BL54">SUMIFS('Cắt lồng'!$AC$327:$AC$515,'Cắt lồng'!$AA$327:$AA$515,'Cắt lồng'!$AA54,'Cắt lồng'!$AE$327:$AE$515,'Cắt lồng'!BL$4:BL$4)</f>
        <v>0</v>
      </c>
      <c r="BM54" s="79">
        <f t="array" ref="BM54">SUMIFS('Cắt lồng'!$AH$327:$AH$515,'Cắt lồng'!$AA$327:$AA$515,'Cắt lồng'!$AA54,'Cắt lồng'!$AE$327:$AE$515,'Cắt lồng'!BM$4:BM$4)</f>
        <v>0</v>
      </c>
      <c r="BN54" s="78" t="e">
        <f t="shared" si="113"/>
        <v>#DIV/0!</v>
      </c>
      <c r="BO54" s="79">
        <f t="array" ref="BO54">SUMIFS('Cắt lồng'!$AC$327:$AC$515,'Cắt lồng'!$AA$327:$AA$515,'Cắt lồng'!$AA54,'Cắt lồng'!$AE$327:$AE$515,'Cắt lồng'!BO$4:BO$4)</f>
        <v>0</v>
      </c>
      <c r="BP54" s="79">
        <f t="array" ref="BP54">SUMIFS('Cắt lồng'!$AH$327:$AH$515,'Cắt lồng'!$AA$327:$AA$515,'Cắt lồng'!$AA54,'Cắt lồng'!$AE$327:$AE$515,'Cắt lồng'!BP$4:BP$4)</f>
        <v>0</v>
      </c>
      <c r="BQ54" s="78" t="e">
        <f t="shared" si="114"/>
        <v>#DIV/0!</v>
      </c>
      <c r="BR54" s="79">
        <f t="array" ref="BR54">SUMIFS('Cắt lồng'!$AC$327:$AC$515,'Cắt lồng'!$AA$327:$AA$515,'Cắt lồng'!$AA54,'Cắt lồng'!$AE$327:$AE$515,'Cắt lồng'!BR$4:BR$4)</f>
        <v>0</v>
      </c>
      <c r="BS54" s="79">
        <f t="array" ref="BS54">SUMIFS('Cắt lồng'!$AH$327:$AH$515,'Cắt lồng'!$AA$327:$AA$515,'Cắt lồng'!$AA54,'Cắt lồng'!$AE$327:$AE$515,'Cắt lồng'!BS$4:BS$4)</f>
        <v>0</v>
      </c>
      <c r="BT54" s="78" t="e">
        <f t="shared" si="115"/>
        <v>#DIV/0!</v>
      </c>
      <c r="BU54" s="79">
        <f t="array" ref="BU54">SUMIFS('Cắt lồng'!$AC$327:$AC$515,'Cắt lồng'!$AA$327:$AA$515,'Cắt lồng'!$AA54,'Cắt lồng'!$AE$327:$AE$515,'Cắt lồng'!BU$4:BU$4)</f>
        <v>0</v>
      </c>
      <c r="BV54" s="79">
        <f t="array" ref="BV54">SUMIFS('Cắt lồng'!$AH$327:$AH$515,'Cắt lồng'!$AA$327:$AA$515,'Cắt lồng'!$AA54,'Cắt lồng'!$AE$327:$AE$515,'Cắt lồng'!BV$4:BV$4)</f>
        <v>0</v>
      </c>
      <c r="BW54" s="78" t="e">
        <f t="shared" si="116"/>
        <v>#DIV/0!</v>
      </c>
      <c r="BX54" s="79">
        <f t="array" ref="BX54">SUMIFS('Cắt lồng'!$AC$327:$AC$515,'Cắt lồng'!$AA$327:$AA$515,'Cắt lồng'!$AA54,'Cắt lồng'!$AE$327:$AE$515,'Cắt lồng'!BX$4:BX$4)</f>
        <v>0</v>
      </c>
      <c r="BY54" s="79">
        <f t="array" ref="BY54">SUMIFS('Cắt lồng'!$AH$327:$AH$515,'Cắt lồng'!$AA$327:$AA$515,'Cắt lồng'!$AA54,'Cắt lồng'!$AE$327:$AE$515,'Cắt lồng'!BY$4:BY$4)</f>
        <v>0</v>
      </c>
      <c r="BZ54" s="78" t="e">
        <f t="shared" si="117"/>
        <v>#DIV/0!</v>
      </c>
      <c r="CA54" s="79">
        <f t="array" ref="CA54">SUMIFS('Cắt lồng'!$AC$327:$AC$515,'Cắt lồng'!$AA$327:$AA$515,'Cắt lồng'!$AA54,'Cắt lồng'!$AE$327:$AE$515,'Cắt lồng'!CA$4:CA$4)</f>
        <v>0</v>
      </c>
      <c r="CB54" s="79">
        <f t="array" ref="CB54">SUMIFS('Cắt lồng'!$AH$327:$AH$515,'Cắt lồng'!$AA$327:$AA$515,'Cắt lồng'!$AA54,'Cắt lồng'!$AE$327:$AE$515,'Cắt lồng'!CB$4:CB$4)</f>
        <v>0</v>
      </c>
      <c r="CC54" s="78" t="e">
        <f t="shared" si="118"/>
        <v>#DIV/0!</v>
      </c>
      <c r="CD54" s="79">
        <f t="array" ref="CD54">SUMIFS('Cắt lồng'!$AC$327:$AC$515,'Cắt lồng'!$AA$327:$AA$515,'Cắt lồng'!$AA54,'Cắt lồng'!$AE$327:$AE$515,'Cắt lồng'!CD$4:CD$4)</f>
        <v>0</v>
      </c>
      <c r="CE54" s="79">
        <f t="array" ref="CE54">SUMIFS('Cắt lồng'!$AH$327:$AH$515,'Cắt lồng'!$AA$327:$AA$515,'Cắt lồng'!$AA54,'Cắt lồng'!$AE$327:$AE$515,'Cắt lồng'!CE$4:CE$4)</f>
        <v>0</v>
      </c>
      <c r="CF54" s="78" t="e">
        <f t="shared" si="119"/>
        <v>#DIV/0!</v>
      </c>
      <c r="CG54" s="79">
        <f t="array" ref="CG54">SUMIFS('Cắt lồng'!$AC$327:$AC$515,'Cắt lồng'!$AA$327:$AA$515,'Cắt lồng'!$AA54,'Cắt lồng'!$AE$327:$AE$515,'Cắt lồng'!CG$4:CG$4)</f>
        <v>0</v>
      </c>
      <c r="CH54" s="79">
        <f t="array" ref="CH54">SUMIFS('Cắt lồng'!$AH$327:$AH$515,'Cắt lồng'!$AA$327:$AA$515,'Cắt lồng'!$AA54,'Cắt lồng'!$AE$327:$AE$515,'Cắt lồng'!CH$4:CH$4)</f>
        <v>0</v>
      </c>
      <c r="CI54" s="78" t="e">
        <f t="shared" si="120"/>
        <v>#DIV/0!</v>
      </c>
      <c r="CJ54" s="79">
        <f t="array" ref="CJ54">SUMIFS('Cắt lồng'!$AC$327:$AC$515,'Cắt lồng'!$AA$327:$AA$515,'Cắt lồng'!$AA54,'Cắt lồng'!$AE$327:$AE$515,'Cắt lồng'!CJ$4:CJ$4)</f>
        <v>0</v>
      </c>
      <c r="CK54" s="79">
        <f t="array" ref="CK54">SUMIFS('Cắt lồng'!$AH$327:$AH$515,'Cắt lồng'!$AA$327:$AA$515,'Cắt lồng'!$AA54,'Cắt lồng'!$AE$327:$AE$515,'Cắt lồng'!CK$4:CK$4)</f>
        <v>0</v>
      </c>
      <c r="CL54" s="78" t="e">
        <f t="shared" si="121"/>
        <v>#DIV/0!</v>
      </c>
      <c r="CM54" s="79">
        <f t="array" ref="CM54">SUMIFS('Cắt lồng'!$AC$327:$AC$515,'Cắt lồng'!$AA$327:$AA$515,'Cắt lồng'!$AA54,'Cắt lồng'!$AE$327:$AE$515,'Cắt lồng'!CM$4:CM$4)</f>
        <v>0</v>
      </c>
      <c r="CN54" s="79">
        <f t="array" ref="CN54">SUMIFS('Cắt lồng'!$AH$327:$AH$515,'Cắt lồng'!$AA$327:$AA$515,'Cắt lồng'!$AA54,'Cắt lồng'!$AE$327:$AE$515,'Cắt lồng'!CN$4:CN$4)</f>
        <v>0</v>
      </c>
      <c r="CO54" s="78" t="e">
        <f t="shared" si="122"/>
        <v>#DIV/0!</v>
      </c>
      <c r="CP54" s="79">
        <f t="array" ref="CP54">SUMIFS('Cắt lồng'!$AC$327:$AC$515,'Cắt lồng'!$AA$327:$AA$515,'Cắt lồng'!$AA54,'Cắt lồng'!$AE$327:$AE$515,'Cắt lồng'!CP$4:CP$4)</f>
        <v>0</v>
      </c>
      <c r="CQ54" s="79">
        <f t="array" ref="CQ54">SUMIFS('Cắt lồng'!$AH$327:$AH$515,'Cắt lồng'!$AA$327:$AA$515,'Cắt lồng'!$AA54,'Cắt lồng'!$AE$327:$AE$515,'Cắt lồng'!CQ$4:CQ$4)</f>
        <v>0</v>
      </c>
      <c r="CR54" s="78" t="e">
        <f t="shared" si="123"/>
        <v>#DIV/0!</v>
      </c>
      <c r="CS54" s="79">
        <f t="array" ref="CS54">SUMIFS('Cắt lồng'!$AC$327:$AC$515,'Cắt lồng'!$AA$327:$AA$515,'Cắt lồng'!$AA54,'Cắt lồng'!$AE$327:$AE$515,'Cắt lồng'!CS$4:CS$4)</f>
        <v>0</v>
      </c>
      <c r="CT54" s="79">
        <f t="array" ref="CT54">SUMIFS('Cắt lồng'!$AH$327:$AH$515,'Cắt lồng'!$AA$327:$AA$515,'Cắt lồng'!$AA54,'Cắt lồng'!$AE$327:$AE$515,'Cắt lồng'!CT$4:CT$4)</f>
        <v>0</v>
      </c>
      <c r="CU54" s="78" t="e">
        <f t="shared" si="124"/>
        <v>#DIV/0!</v>
      </c>
      <c r="CV54" s="79">
        <f t="array" ref="CV54">SUMIFS('Cắt lồng'!$AC$327:$AC$515,'Cắt lồng'!$AA$327:$AA$515,'Cắt lồng'!$AA54,'Cắt lồng'!$AE$327:$AE$515,'Cắt lồng'!CV$4:CV$4)</f>
        <v>0</v>
      </c>
      <c r="CW54" s="79">
        <f t="array" ref="CW54">SUMIFS('Cắt lồng'!$AH$327:$AH$515,'Cắt lồng'!$AA$327:$AA$515,'Cắt lồng'!$AA54,'Cắt lồng'!$AE$327:$AE$515,'Cắt lồng'!CW$4:CW$4)</f>
        <v>0</v>
      </c>
      <c r="CX54" s="78" t="e">
        <f t="shared" si="125"/>
        <v>#DIV/0!</v>
      </c>
      <c r="CY54" s="79">
        <f t="array" ref="CY54">SUMIFS('Cắt lồng'!$AC$327:$AC$515,'Cắt lồng'!$AA$327:$AA$515,'Cắt lồng'!$AA54,'Cắt lồng'!$AE$327:$AE$515,'Cắt lồng'!CY$4:CY$4)</f>
        <v>0</v>
      </c>
      <c r="CZ54" s="79">
        <f t="array" ref="CZ54">SUMIFS('Cắt lồng'!$AH$327:$AH$515,'Cắt lồng'!$AA$327:$AA$515,'Cắt lồng'!$AA54,'Cắt lồng'!$AE$327:$AE$515,'Cắt lồng'!CZ$4:CZ$4)</f>
        <v>0</v>
      </c>
      <c r="DA54" s="78" t="e">
        <f t="shared" si="126"/>
        <v>#DIV/0!</v>
      </c>
      <c r="DB54" s="79">
        <f t="array" ref="DB54">SUMIFS('Cắt lồng'!$AC$327:$AC$515,'Cắt lồng'!$AA$327:$AA$515,'Cắt lồng'!$AA54,'Cắt lồng'!$AE$327:$AE$515,'Cắt lồng'!DB$4:DB$4)</f>
        <v>0</v>
      </c>
      <c r="DC54" s="79">
        <f t="array" ref="DC54">SUMIFS('Cắt lồng'!$AH$327:$AH$515,'Cắt lồng'!$AA$327:$AA$515,'Cắt lồng'!$AA54,'Cắt lồng'!$AE$327:$AE$515,'Cắt lồng'!DC$4:DC$4)</f>
        <v>0</v>
      </c>
      <c r="DD54" s="78" t="e">
        <f t="shared" si="127"/>
        <v>#DIV/0!</v>
      </c>
      <c r="DE54" s="79">
        <f t="array" ref="DE54">SUMIFS('Cắt lồng'!$AC$327:$AC$515,'Cắt lồng'!$AA$327:$AA$515,'Cắt lồng'!$AA54,'Cắt lồng'!$AE$327:$AE$515,'Cắt lồng'!DE$4:DE$4)</f>
        <v>0</v>
      </c>
      <c r="DF54" s="79">
        <f t="array" ref="DF54">SUMIFS('Cắt lồng'!$AH$327:$AH$515,'Cắt lồng'!$AA$327:$AA$515,'Cắt lồng'!$AA54,'Cắt lồng'!$AE$327:$AE$515,'Cắt lồng'!DF$4:DF$4)</f>
        <v>0</v>
      </c>
      <c r="DG54" s="78" t="e">
        <f t="shared" si="128"/>
        <v>#DIV/0!</v>
      </c>
      <c r="DH54" s="79">
        <f t="array" ref="DH54">SUMIFS('Cắt lồng'!$AC$327:$AC$515,'Cắt lồng'!$AA$327:$AA$515,'Cắt lồng'!$AA54,'Cắt lồng'!$AE$327:$AE$515,'Cắt lồng'!DH$4:DH$4)</f>
        <v>0</v>
      </c>
      <c r="DI54" s="79">
        <f t="array" ref="DI54">SUMIFS('Cắt lồng'!$AH$327:$AH$515,'Cắt lồng'!$AA$327:$AA$515,'Cắt lồng'!$AA54,'Cắt lồng'!$AE$327:$AE$515,'Cắt lồng'!DI$4:DI$4)</f>
        <v>0</v>
      </c>
      <c r="DJ54" s="78" t="e">
        <f t="shared" si="129"/>
        <v>#DIV/0!</v>
      </c>
      <c r="DK54" s="79">
        <f t="array" ref="DK54">SUMIFS('Cắt lồng'!$AC$327:$AC$515,'Cắt lồng'!$AA$327:$AA$515,'Cắt lồng'!$AA54,'Cắt lồng'!$AE$327:$AE$515,'Cắt lồng'!DK$4:DK$4)</f>
        <v>0</v>
      </c>
      <c r="DL54" s="79">
        <f t="array" ref="DL54">SUMIFS('Cắt lồng'!$AH$327:$AH$515,'Cắt lồng'!$AA$327:$AA$515,'Cắt lồng'!$AA54,'Cắt lồng'!$AE$327:$AE$515,'Cắt lồng'!DL$4:DL$4)</f>
        <v>0</v>
      </c>
      <c r="DM54" s="78" t="e">
        <f t="shared" si="130"/>
        <v>#DIV/0!</v>
      </c>
      <c r="DN54" s="79">
        <f>SUMIFS('Cắt lồng'!$AC$327:$AC$515,'Cắt lồng'!$AA$327:$AA$515,'Cắt lồng'!$AA54,'Cắt lồng'!$AE$327:$AE$515,'Cắt lồng'!DN$4:DN$4)</f>
        <v>0</v>
      </c>
      <c r="DO54" s="79">
        <f t="array" ref="DO54">SUMIFS('Cắt lồng'!$AH$327:$AH$515,'Cắt lồng'!$AA$327:$AA$515,'Cắt lồng'!$AA54,'Cắt lồng'!$AE$327:$AE$515,'Cắt lồng'!DO$4:DO$4)</f>
        <v>0</v>
      </c>
      <c r="DP54" s="78" t="e">
        <f t="shared" si="131"/>
        <v>#DIV/0!</v>
      </c>
      <c r="DQ54" s="79">
        <f t="array" ref="DQ54">SUMIFS('Cắt lồng'!$AC$327:$AC$515,'Cắt lồng'!$AA$327:$AA$515,'Cắt lồng'!$AA54,'Cắt lồng'!$AE$327:$AE$515,'Cắt lồng'!DQ$4:DQ$4)</f>
        <v>0</v>
      </c>
      <c r="DR54" s="79">
        <f t="array" ref="DR54">SUMIFS('Cắt lồng'!$AH$327:$AH$515,'Cắt lồng'!$AA$327:$AA$515,'Cắt lồng'!$AA54,'Cắt lồng'!$AE$327:$AE$515,'Cắt lồng'!DR$4:DR$4)</f>
        <v>0</v>
      </c>
      <c r="DS54" s="78" t="e">
        <f t="shared" si="132"/>
        <v>#DIV/0!</v>
      </c>
      <c r="DT54" s="79">
        <f t="array" ref="DT54">SUMIFS('Cắt lồng'!$AC$327:$AC$515,'Cắt lồng'!$AA$327:$AA$515,'Cắt lồng'!$AA54,'Cắt lồng'!$AE$327:$AE$515,'Cắt lồng'!DT$4:DT$4)</f>
        <v>0</v>
      </c>
      <c r="DU54" s="79">
        <f t="array" ref="DU54">SUMIFS('Cắt lồng'!$AH$327:$AH$515,'Cắt lồng'!$AA$327:$AA$515,'Cắt lồng'!$AA54,'Cắt lồng'!$AE$327:$AE$515,'Cắt lồng'!DU$4:DU$4)</f>
        <v>0</v>
      </c>
      <c r="DV54" s="78" t="e">
        <f t="shared" si="133"/>
        <v>#DIV/0!</v>
      </c>
      <c r="DW54" s="79">
        <f t="array" ref="DW54">SUMIFS('Cắt lồng'!$AC$327:$AC$515,'Cắt lồng'!$AA$327:$AA$515,'Cắt lồng'!$AA54,'Cắt lồng'!$AE$327:$AE$515,'Cắt lồng'!DW$4:DW$4)</f>
        <v>0</v>
      </c>
      <c r="DX54" s="79">
        <f t="array" ref="DX54">SUMIFS('Cắt lồng'!$AH$327:$AH$515,'Cắt lồng'!$AA$327:$AA$515,'Cắt lồng'!$AA54,'Cắt lồng'!$AE$327:$AE$515,'Cắt lồng'!DX$4:DX$4)</f>
        <v>0</v>
      </c>
      <c r="DY54" s="78" t="e">
        <f t="shared" si="134"/>
        <v>#DIV/0!</v>
      </c>
      <c r="DZ54" s="79">
        <f t="array" ref="DZ54">SUMIFS('Cắt lồng'!$AC$327:$AC$515,'Cắt lồng'!$AA$327:$AA$515,'Cắt lồng'!$AA54,'Cắt lồng'!$AE$327:$AE$515,'Cắt lồng'!DZ$4:DZ$4)</f>
        <v>0</v>
      </c>
      <c r="EA54" s="79">
        <f t="array" ref="EA54">SUMIFS('Cắt lồng'!$AH$327:$AH$515,'Cắt lồng'!$AA$327:$AA$515,'Cắt lồng'!$AA54,'Cắt lồng'!$AE$327:$AE$515,'Cắt lồng'!EA$4:EA$4)</f>
        <v>0</v>
      </c>
      <c r="EB54" s="78" t="e">
        <f t="shared" si="135"/>
        <v>#DIV/0!</v>
      </c>
      <c r="EC54" s="79">
        <f t="array" ref="EC54">SUMIFS('Cắt lồng'!$AC$327:$AC$515,'Cắt lồng'!$AA$327:$AA$515,'Cắt lồng'!$AA54,'Cắt lồng'!$AE$327:$AE$515,'Cắt lồng'!EC$4:EC$4)</f>
        <v>0</v>
      </c>
      <c r="ED54" s="79">
        <f t="array" ref="ED54">SUMIFS('Cắt lồng'!$AH$327:$AH$515,'Cắt lồng'!$AA$327:$AA$515,'Cắt lồng'!$AA54,'Cắt lồng'!$AE$327:$AE$515,'Cắt lồng'!ED$4:ED$4)</f>
        <v>0</v>
      </c>
      <c r="EE54" s="78" t="e">
        <f t="shared" si="136"/>
        <v>#DIV/0!</v>
      </c>
      <c r="EF54" s="79">
        <f t="array" ref="EF54">SUMIFS('Cắt lồng'!$AC$327:$AC$515,'Cắt lồng'!$AA$327:$AA$515,'Cắt lồng'!$AA54,'Cắt lồng'!$AE$327:$AE$515,'Cắt lồng'!EF$4:EF$4)</f>
        <v>0</v>
      </c>
      <c r="EG54" s="79">
        <f t="array" ref="EG54">SUMIFS('Cắt lồng'!$AH$327:$AH$515,'Cắt lồng'!$AA$327:$AA$515,'Cắt lồng'!$AA54,'Cắt lồng'!$AE$327:$AE$515,'Cắt lồng'!EG$4:EG$4)</f>
        <v>0</v>
      </c>
      <c r="EH54" s="78" t="e">
        <f t="shared" si="137"/>
        <v>#DIV/0!</v>
      </c>
      <c r="EI54" s="79">
        <f t="array" ref="EI54">SUMIFS('Cắt lồng'!$AC$327:$AC$515,'Cắt lồng'!$AA$327:$AA$515,'Cắt lồng'!$AA54,'Cắt lồng'!$AE$327:$AE$515,'Cắt lồng'!EI$4:EI$4)</f>
        <v>0</v>
      </c>
      <c r="EJ54" s="79">
        <f t="array" ref="EJ54">SUMIFS('Cắt lồng'!$AH$327:$AH$515,'Cắt lồng'!$AA$327:$AA$515,'Cắt lồng'!$AA54,'Cắt lồng'!$AE$327:$AE$515,'Cắt lồng'!EJ$4:EJ$4)</f>
        <v>0</v>
      </c>
      <c r="EK54" s="78" t="e">
        <f t="shared" si="138"/>
        <v>#DIV/0!</v>
      </c>
      <c r="EL54" s="172"/>
    </row>
    <row r="55" spans="1:181" s="12" customFormat="1" ht="14.25" hidden="1" customHeight="1">
      <c r="A55" s="25">
        <v>47</v>
      </c>
      <c r="B55" s="26"/>
      <c r="C55" s="26"/>
      <c r="D55" s="185">
        <f t="shared" si="140"/>
        <v>0</v>
      </c>
      <c r="E55" s="184">
        <f t="shared" si="141"/>
        <v>0</v>
      </c>
      <c r="F55" s="56"/>
      <c r="G55" s="82">
        <f t="shared" si="79"/>
        <v>0</v>
      </c>
      <c r="H55" s="81">
        <f t="shared" si="80"/>
        <v>0</v>
      </c>
      <c r="I55" s="19">
        <f t="shared" si="81"/>
        <v>0</v>
      </c>
      <c r="J55" s="11">
        <f t="shared" si="82"/>
        <v>0</v>
      </c>
      <c r="K55" s="19">
        <f t="shared" si="83"/>
        <v>0</v>
      </c>
      <c r="L55" s="19">
        <f t="shared" si="84"/>
        <v>0</v>
      </c>
      <c r="M55" s="19">
        <f t="shared" si="85"/>
        <v>0</v>
      </c>
      <c r="N55" s="19">
        <f t="shared" si="86"/>
        <v>0</v>
      </c>
      <c r="O55" s="19">
        <f t="shared" si="87"/>
        <v>0</v>
      </c>
      <c r="P55" s="19">
        <f t="shared" si="88"/>
        <v>0</v>
      </c>
      <c r="Q55" s="19">
        <f t="shared" si="89"/>
        <v>0</v>
      </c>
      <c r="R55" s="19">
        <f t="shared" si="90"/>
        <v>0</v>
      </c>
      <c r="S55" s="19">
        <f t="shared" si="91"/>
        <v>0</v>
      </c>
      <c r="T55" s="19">
        <f t="shared" si="92"/>
        <v>0</v>
      </c>
      <c r="U55" s="19">
        <f t="shared" si="93"/>
        <v>0</v>
      </c>
      <c r="V55" s="19">
        <f t="shared" si="94"/>
        <v>0</v>
      </c>
      <c r="W55" s="19">
        <f t="shared" si="95"/>
        <v>0</v>
      </c>
      <c r="X55" s="19">
        <f t="shared" si="96"/>
        <v>0</v>
      </c>
      <c r="Y55" s="19">
        <f t="shared" si="97"/>
        <v>0</v>
      </c>
      <c r="Z55" s="19">
        <f t="shared" si="98"/>
        <v>0</v>
      </c>
      <c r="AA55" s="183" t="s">
        <v>245</v>
      </c>
      <c r="AB55" s="129">
        <f t="shared" si="142"/>
        <v>0</v>
      </c>
      <c r="AC55" s="16">
        <f t="shared" si="143"/>
        <v>0</v>
      </c>
      <c r="AD55" s="15" t="e">
        <f t="shared" si="99"/>
        <v>#DIV/0!</v>
      </c>
      <c r="AE55" s="42"/>
      <c r="AF55" s="10" t="e">
        <f t="shared" si="100"/>
        <v>#DIV/0!</v>
      </c>
      <c r="AG55" s="10"/>
      <c r="AH55" s="152">
        <f t="shared" si="139"/>
        <v>0</v>
      </c>
      <c r="AI55" s="54" t="e">
        <f t="shared" si="101"/>
        <v>#DIV/0!</v>
      </c>
      <c r="AJ55" s="25">
        <f t="shared" si="102"/>
        <v>0</v>
      </c>
      <c r="AK55" s="25">
        <f t="shared" si="103"/>
        <v>0</v>
      </c>
      <c r="AL55" s="25">
        <f t="shared" si="104"/>
        <v>0</v>
      </c>
      <c r="AM55" s="30">
        <f t="shared" si="73"/>
        <v>0</v>
      </c>
      <c r="AN55" s="30">
        <f t="shared" si="74"/>
        <v>0</v>
      </c>
      <c r="AO55" s="30">
        <f t="shared" si="75"/>
        <v>0</v>
      </c>
      <c r="AP55" s="30">
        <f t="shared" si="76"/>
        <v>0</v>
      </c>
      <c r="AQ55" s="30">
        <f t="shared" si="77"/>
        <v>0</v>
      </c>
      <c r="AR55" s="30">
        <f t="shared" si="105"/>
        <v>0</v>
      </c>
      <c r="AS55" s="30">
        <f t="shared" si="106"/>
        <v>0</v>
      </c>
      <c r="AT55" s="30">
        <f t="shared" si="78"/>
        <v>0</v>
      </c>
      <c r="AV55" s="79">
        <f t="shared" si="107"/>
        <v>0</v>
      </c>
      <c r="AW55" s="79">
        <f t="array" ref="AW55">SUMIFS('Cắt lồng'!$AC$327:$AC$515,'Cắt lồng'!$AA$327:$AA$515,'Cắt lồng'!$AA55,'Cắt lồng'!$AE$327:$AE$515,'Cắt lồng'!AW$4:AW$4)</f>
        <v>0</v>
      </c>
      <c r="AX55" s="79">
        <f t="array" ref="AX55">SUMIFS('Cắt lồng'!$AH$327:$AH$515,'Cắt lồng'!$AA$327:$AA$515,'Cắt lồng'!$AA55,'Cắt lồng'!$AE$327:$AE$515,'Cắt lồng'!AX$4:AX$4)</f>
        <v>0</v>
      </c>
      <c r="AY55" s="78" t="e">
        <f t="shared" si="108"/>
        <v>#DIV/0!</v>
      </c>
      <c r="AZ55" s="79">
        <f t="array" ref="AZ55">SUMIFS('Cắt lồng'!$AC$327:$AC$515,'Cắt lồng'!$AA$327:$AA$515,'Cắt lồng'!$AA55,'Cắt lồng'!$AE$327:$AE$515,'Cắt lồng'!AZ$4:AZ$4)</f>
        <v>0</v>
      </c>
      <c r="BA55" s="79">
        <f t="array" ref="BA55">SUMIFS('Cắt lồng'!$AH$327:$AH$515,'Cắt lồng'!$AA$327:$AA$515,'Cắt lồng'!$AA55,'Cắt lồng'!$AE$327:$AE$515,'Cắt lồng'!BA$4:BA$4)</f>
        <v>0</v>
      </c>
      <c r="BB55" s="78" t="e">
        <f t="shared" si="109"/>
        <v>#DIV/0!</v>
      </c>
      <c r="BC55" s="79">
        <f t="array" ref="BC55">SUMIFS('Cắt lồng'!$AC$327:$AC$515,'Cắt lồng'!$AA$327:$AA$515,'Cắt lồng'!$AA55,'Cắt lồng'!$AE$327:$AE$515,'Cắt lồng'!BC$4:BC$4)</f>
        <v>0</v>
      </c>
      <c r="BD55" s="79">
        <f t="array" ref="BD55">SUMIFS('Cắt lồng'!$AH$327:$AH$515,'Cắt lồng'!$AA$327:$AA$515,'Cắt lồng'!$AA55,'Cắt lồng'!$AE$327:$AE$515,'Cắt lồng'!BD$4:BD$4)</f>
        <v>0</v>
      </c>
      <c r="BE55" s="78" t="e">
        <f t="shared" si="110"/>
        <v>#DIV/0!</v>
      </c>
      <c r="BF55" s="79">
        <f t="array" ref="BF55">SUMIFS('Cắt lồng'!$AC$327:$AC$515,'Cắt lồng'!$AA$327:$AA$515,'Cắt lồng'!$AA55,'Cắt lồng'!$AE$327:$AE$515,'Cắt lồng'!BF$4:BF$4)</f>
        <v>0</v>
      </c>
      <c r="BG55" s="79">
        <f t="array" ref="BG55">SUMIFS('Cắt lồng'!$AH$327:$AH$515,'Cắt lồng'!$AA$327:$AA$515,'Cắt lồng'!$AA55,'Cắt lồng'!$AE$327:$AE$515,'Cắt lồng'!BG$4:BG$4)</f>
        <v>0</v>
      </c>
      <c r="BH55" s="78" t="e">
        <f t="shared" si="111"/>
        <v>#DIV/0!</v>
      </c>
      <c r="BI55" s="79">
        <f t="array" ref="BI55">SUMIFS('Cắt lồng'!$AC$327:$AC$515,'Cắt lồng'!$AA$327:$AA$515,'Cắt lồng'!$AA55,'Cắt lồng'!$AE$327:$AE$515,'Cắt lồng'!BI$4:BI$4)</f>
        <v>0</v>
      </c>
      <c r="BJ55" s="79">
        <f t="array" ref="BJ55">SUMIFS('Cắt lồng'!$AH$327:$AH$515,'Cắt lồng'!$AA$327:$AA$515,'Cắt lồng'!$AA55,'Cắt lồng'!$AE$327:$AE$515,'Cắt lồng'!BJ$4:BJ$4)</f>
        <v>0</v>
      </c>
      <c r="BK55" s="78" t="e">
        <f t="shared" si="112"/>
        <v>#DIV/0!</v>
      </c>
      <c r="BL55" s="79">
        <f t="array" ref="BL55">SUMIFS('Cắt lồng'!$AC$327:$AC$515,'Cắt lồng'!$AA$327:$AA$515,'Cắt lồng'!$AA55,'Cắt lồng'!$AE$327:$AE$515,'Cắt lồng'!BL$4:BL$4)</f>
        <v>0</v>
      </c>
      <c r="BM55" s="79">
        <f t="array" ref="BM55">SUMIFS('Cắt lồng'!$AH$327:$AH$515,'Cắt lồng'!$AA$327:$AA$515,'Cắt lồng'!$AA55,'Cắt lồng'!$AE$327:$AE$515,'Cắt lồng'!BM$4:BM$4)</f>
        <v>0</v>
      </c>
      <c r="BN55" s="78" t="e">
        <f t="shared" si="113"/>
        <v>#DIV/0!</v>
      </c>
      <c r="BO55" s="79">
        <f t="array" ref="BO55">SUMIFS('Cắt lồng'!$AC$327:$AC$515,'Cắt lồng'!$AA$327:$AA$515,'Cắt lồng'!$AA55,'Cắt lồng'!$AE$327:$AE$515,'Cắt lồng'!BO$4:BO$4)</f>
        <v>0</v>
      </c>
      <c r="BP55" s="79">
        <f t="array" ref="BP55">SUMIFS('Cắt lồng'!$AH$327:$AH$515,'Cắt lồng'!$AA$327:$AA$515,'Cắt lồng'!$AA55,'Cắt lồng'!$AE$327:$AE$515,'Cắt lồng'!BP$4:BP$4)</f>
        <v>0</v>
      </c>
      <c r="BQ55" s="78" t="e">
        <f t="shared" si="114"/>
        <v>#DIV/0!</v>
      </c>
      <c r="BR55" s="79">
        <f t="array" ref="BR55">SUMIFS('Cắt lồng'!$AC$327:$AC$515,'Cắt lồng'!$AA$327:$AA$515,'Cắt lồng'!$AA55,'Cắt lồng'!$AE$327:$AE$515,'Cắt lồng'!BR$4:BR$4)</f>
        <v>0</v>
      </c>
      <c r="BS55" s="79">
        <f t="array" ref="BS55">SUMIFS('Cắt lồng'!$AH$327:$AH$515,'Cắt lồng'!$AA$327:$AA$515,'Cắt lồng'!$AA55,'Cắt lồng'!$AE$327:$AE$515,'Cắt lồng'!BS$4:BS$4)</f>
        <v>0</v>
      </c>
      <c r="BT55" s="78" t="e">
        <f t="shared" si="115"/>
        <v>#DIV/0!</v>
      </c>
      <c r="BU55" s="79">
        <f t="array" ref="BU55">SUMIFS('Cắt lồng'!$AC$327:$AC$515,'Cắt lồng'!$AA$327:$AA$515,'Cắt lồng'!$AA55,'Cắt lồng'!$AE$327:$AE$515,'Cắt lồng'!BU$4:BU$4)</f>
        <v>0</v>
      </c>
      <c r="BV55" s="79">
        <f t="array" ref="BV55">SUMIFS('Cắt lồng'!$AH$327:$AH$515,'Cắt lồng'!$AA$327:$AA$515,'Cắt lồng'!$AA55,'Cắt lồng'!$AE$327:$AE$515,'Cắt lồng'!BV$4:BV$4)</f>
        <v>0</v>
      </c>
      <c r="BW55" s="78" t="e">
        <f t="shared" si="116"/>
        <v>#DIV/0!</v>
      </c>
      <c r="BX55" s="79">
        <f t="array" ref="BX55">SUMIFS('Cắt lồng'!$AC$327:$AC$515,'Cắt lồng'!$AA$327:$AA$515,'Cắt lồng'!$AA55,'Cắt lồng'!$AE$327:$AE$515,'Cắt lồng'!BX$4:BX$4)</f>
        <v>0</v>
      </c>
      <c r="BY55" s="79">
        <f t="array" ref="BY55">SUMIFS('Cắt lồng'!$AH$327:$AH$515,'Cắt lồng'!$AA$327:$AA$515,'Cắt lồng'!$AA55,'Cắt lồng'!$AE$327:$AE$515,'Cắt lồng'!BY$4:BY$4)</f>
        <v>0</v>
      </c>
      <c r="BZ55" s="78" t="e">
        <f t="shared" si="117"/>
        <v>#DIV/0!</v>
      </c>
      <c r="CA55" s="79">
        <f t="array" ref="CA55">SUMIFS('Cắt lồng'!$AC$327:$AC$515,'Cắt lồng'!$AA$327:$AA$515,'Cắt lồng'!$AA55,'Cắt lồng'!$AE$327:$AE$515,'Cắt lồng'!CA$4:CA$4)</f>
        <v>0</v>
      </c>
      <c r="CB55" s="79">
        <f t="array" ref="CB55">SUMIFS('Cắt lồng'!$AH$327:$AH$515,'Cắt lồng'!$AA$327:$AA$515,'Cắt lồng'!$AA55,'Cắt lồng'!$AE$327:$AE$515,'Cắt lồng'!CB$4:CB$4)</f>
        <v>0</v>
      </c>
      <c r="CC55" s="78" t="e">
        <f t="shared" si="118"/>
        <v>#DIV/0!</v>
      </c>
      <c r="CD55" s="79">
        <f t="array" ref="CD55">SUMIFS('Cắt lồng'!$AC$327:$AC$515,'Cắt lồng'!$AA$327:$AA$515,'Cắt lồng'!$AA55,'Cắt lồng'!$AE$327:$AE$515,'Cắt lồng'!CD$4:CD$4)</f>
        <v>0</v>
      </c>
      <c r="CE55" s="79">
        <f t="array" ref="CE55">SUMIFS('Cắt lồng'!$AH$327:$AH$515,'Cắt lồng'!$AA$327:$AA$515,'Cắt lồng'!$AA55,'Cắt lồng'!$AE$327:$AE$515,'Cắt lồng'!CE$4:CE$4)</f>
        <v>0</v>
      </c>
      <c r="CF55" s="78" t="e">
        <f t="shared" si="119"/>
        <v>#DIV/0!</v>
      </c>
      <c r="CG55" s="79">
        <f t="array" ref="CG55">SUMIFS('Cắt lồng'!$AC$327:$AC$515,'Cắt lồng'!$AA$327:$AA$515,'Cắt lồng'!$AA55,'Cắt lồng'!$AE$327:$AE$515,'Cắt lồng'!CG$4:CG$4)</f>
        <v>0</v>
      </c>
      <c r="CH55" s="79">
        <f t="array" ref="CH55">SUMIFS('Cắt lồng'!$AH$327:$AH$515,'Cắt lồng'!$AA$327:$AA$515,'Cắt lồng'!$AA55,'Cắt lồng'!$AE$327:$AE$515,'Cắt lồng'!CH$4:CH$4)</f>
        <v>0</v>
      </c>
      <c r="CI55" s="78" t="e">
        <f t="shared" si="120"/>
        <v>#DIV/0!</v>
      </c>
      <c r="CJ55" s="79">
        <f t="array" ref="CJ55">SUMIFS('Cắt lồng'!$AC$327:$AC$515,'Cắt lồng'!$AA$327:$AA$515,'Cắt lồng'!$AA55,'Cắt lồng'!$AE$327:$AE$515,'Cắt lồng'!CJ$4:CJ$4)</f>
        <v>0</v>
      </c>
      <c r="CK55" s="79">
        <f t="array" ref="CK55">SUMIFS('Cắt lồng'!$AH$327:$AH$515,'Cắt lồng'!$AA$327:$AA$515,'Cắt lồng'!$AA55,'Cắt lồng'!$AE$327:$AE$515,'Cắt lồng'!CK$4:CK$4)</f>
        <v>0</v>
      </c>
      <c r="CL55" s="78" t="e">
        <f t="shared" si="121"/>
        <v>#DIV/0!</v>
      </c>
      <c r="CM55" s="79">
        <f t="array" ref="CM55">SUMIFS('Cắt lồng'!$AC$327:$AC$515,'Cắt lồng'!$AA$327:$AA$515,'Cắt lồng'!$AA55,'Cắt lồng'!$AE$327:$AE$515,'Cắt lồng'!CM$4:CM$4)</f>
        <v>0</v>
      </c>
      <c r="CN55" s="79">
        <f t="array" ref="CN55">SUMIFS('Cắt lồng'!$AH$327:$AH$515,'Cắt lồng'!$AA$327:$AA$515,'Cắt lồng'!$AA55,'Cắt lồng'!$AE$327:$AE$515,'Cắt lồng'!CN$4:CN$4)</f>
        <v>0</v>
      </c>
      <c r="CO55" s="78" t="e">
        <f t="shared" si="122"/>
        <v>#DIV/0!</v>
      </c>
      <c r="CP55" s="79">
        <f t="array" ref="CP55">SUMIFS('Cắt lồng'!$AC$327:$AC$515,'Cắt lồng'!$AA$327:$AA$515,'Cắt lồng'!$AA55,'Cắt lồng'!$AE$327:$AE$515,'Cắt lồng'!CP$4:CP$4)</f>
        <v>0</v>
      </c>
      <c r="CQ55" s="79">
        <f t="array" ref="CQ55">SUMIFS('Cắt lồng'!$AH$327:$AH$515,'Cắt lồng'!$AA$327:$AA$515,'Cắt lồng'!$AA55,'Cắt lồng'!$AE$327:$AE$515,'Cắt lồng'!CQ$4:CQ$4)</f>
        <v>0</v>
      </c>
      <c r="CR55" s="78" t="e">
        <f t="shared" si="123"/>
        <v>#DIV/0!</v>
      </c>
      <c r="CS55" s="79">
        <f t="array" ref="CS55">SUMIFS('Cắt lồng'!$AC$327:$AC$515,'Cắt lồng'!$AA$327:$AA$515,'Cắt lồng'!$AA55,'Cắt lồng'!$AE$327:$AE$515,'Cắt lồng'!CS$4:CS$4)</f>
        <v>0</v>
      </c>
      <c r="CT55" s="79">
        <f t="array" ref="CT55">SUMIFS('Cắt lồng'!$AH$327:$AH$515,'Cắt lồng'!$AA$327:$AA$515,'Cắt lồng'!$AA55,'Cắt lồng'!$AE$327:$AE$515,'Cắt lồng'!CT$4:CT$4)</f>
        <v>0</v>
      </c>
      <c r="CU55" s="78" t="e">
        <f t="shared" si="124"/>
        <v>#DIV/0!</v>
      </c>
      <c r="CV55" s="79">
        <f t="array" ref="CV55">SUMIFS('Cắt lồng'!$AC$327:$AC$515,'Cắt lồng'!$AA$327:$AA$515,'Cắt lồng'!$AA55,'Cắt lồng'!$AE$327:$AE$515,'Cắt lồng'!CV$4:CV$4)</f>
        <v>0</v>
      </c>
      <c r="CW55" s="79">
        <f t="array" ref="CW55">SUMIFS('Cắt lồng'!$AH$327:$AH$515,'Cắt lồng'!$AA$327:$AA$515,'Cắt lồng'!$AA55,'Cắt lồng'!$AE$327:$AE$515,'Cắt lồng'!CW$4:CW$4)</f>
        <v>0</v>
      </c>
      <c r="CX55" s="78" t="e">
        <f t="shared" si="125"/>
        <v>#DIV/0!</v>
      </c>
      <c r="CY55" s="79">
        <f t="array" ref="CY55">SUMIFS('Cắt lồng'!$AC$327:$AC$515,'Cắt lồng'!$AA$327:$AA$515,'Cắt lồng'!$AA55,'Cắt lồng'!$AE$327:$AE$515,'Cắt lồng'!CY$4:CY$4)</f>
        <v>0</v>
      </c>
      <c r="CZ55" s="79">
        <f t="array" ref="CZ55">SUMIFS('Cắt lồng'!$AH$327:$AH$515,'Cắt lồng'!$AA$327:$AA$515,'Cắt lồng'!$AA55,'Cắt lồng'!$AE$327:$AE$515,'Cắt lồng'!CZ$4:CZ$4)</f>
        <v>0</v>
      </c>
      <c r="DA55" s="78" t="e">
        <f t="shared" si="126"/>
        <v>#DIV/0!</v>
      </c>
      <c r="DB55" s="79">
        <f t="array" ref="DB55">SUMIFS('Cắt lồng'!$AC$327:$AC$515,'Cắt lồng'!$AA$327:$AA$515,'Cắt lồng'!$AA55,'Cắt lồng'!$AE$327:$AE$515,'Cắt lồng'!DB$4:DB$4)</f>
        <v>0</v>
      </c>
      <c r="DC55" s="79">
        <f t="array" ref="DC55">SUMIFS('Cắt lồng'!$AH$327:$AH$515,'Cắt lồng'!$AA$327:$AA$515,'Cắt lồng'!$AA55,'Cắt lồng'!$AE$327:$AE$515,'Cắt lồng'!DC$4:DC$4)</f>
        <v>0</v>
      </c>
      <c r="DD55" s="78" t="e">
        <f t="shared" si="127"/>
        <v>#DIV/0!</v>
      </c>
      <c r="DE55" s="79">
        <f t="array" ref="DE55">SUMIFS('Cắt lồng'!$AC$327:$AC$515,'Cắt lồng'!$AA$327:$AA$515,'Cắt lồng'!$AA55,'Cắt lồng'!$AE$327:$AE$515,'Cắt lồng'!DE$4:DE$4)</f>
        <v>0</v>
      </c>
      <c r="DF55" s="79">
        <f t="array" ref="DF55">SUMIFS('Cắt lồng'!$AH$327:$AH$515,'Cắt lồng'!$AA$327:$AA$515,'Cắt lồng'!$AA55,'Cắt lồng'!$AE$327:$AE$515,'Cắt lồng'!DF$4:DF$4)</f>
        <v>0</v>
      </c>
      <c r="DG55" s="78" t="e">
        <f t="shared" si="128"/>
        <v>#DIV/0!</v>
      </c>
      <c r="DH55" s="79">
        <f t="array" ref="DH55">SUMIFS('Cắt lồng'!$AC$327:$AC$515,'Cắt lồng'!$AA$327:$AA$515,'Cắt lồng'!$AA55,'Cắt lồng'!$AE$327:$AE$515,'Cắt lồng'!DH$4:DH$4)</f>
        <v>0</v>
      </c>
      <c r="DI55" s="79">
        <f t="array" ref="DI55">SUMIFS('Cắt lồng'!$AH$327:$AH$515,'Cắt lồng'!$AA$327:$AA$515,'Cắt lồng'!$AA55,'Cắt lồng'!$AE$327:$AE$515,'Cắt lồng'!DI$4:DI$4)</f>
        <v>0</v>
      </c>
      <c r="DJ55" s="78" t="e">
        <f t="shared" si="129"/>
        <v>#DIV/0!</v>
      </c>
      <c r="DK55" s="79">
        <f t="array" ref="DK55">SUMIFS('Cắt lồng'!$AC$327:$AC$515,'Cắt lồng'!$AA$327:$AA$515,'Cắt lồng'!$AA55,'Cắt lồng'!$AE$327:$AE$515,'Cắt lồng'!DK$4:DK$4)</f>
        <v>0</v>
      </c>
      <c r="DL55" s="79">
        <f t="array" ref="DL55">SUMIFS('Cắt lồng'!$AH$327:$AH$515,'Cắt lồng'!$AA$327:$AA$515,'Cắt lồng'!$AA55,'Cắt lồng'!$AE$327:$AE$515,'Cắt lồng'!DL$4:DL$4)</f>
        <v>0</v>
      </c>
      <c r="DM55" s="78" t="e">
        <f t="shared" si="130"/>
        <v>#DIV/0!</v>
      </c>
      <c r="DN55" s="79">
        <f>SUMIFS('Cắt lồng'!$AC$327:$AC$515,'Cắt lồng'!$AA$327:$AA$515,'Cắt lồng'!$AA55,'Cắt lồng'!$AE$327:$AE$515,'Cắt lồng'!DN$4:DN$4)</f>
        <v>0</v>
      </c>
      <c r="DO55" s="79">
        <f t="array" ref="DO55">SUMIFS('Cắt lồng'!$AH$327:$AH$515,'Cắt lồng'!$AA$327:$AA$515,'Cắt lồng'!$AA55,'Cắt lồng'!$AE$327:$AE$515,'Cắt lồng'!DO$4:DO$4)</f>
        <v>0</v>
      </c>
      <c r="DP55" s="78" t="e">
        <f t="shared" si="131"/>
        <v>#DIV/0!</v>
      </c>
      <c r="DQ55" s="79">
        <f t="array" ref="DQ55">SUMIFS('Cắt lồng'!$AC$327:$AC$515,'Cắt lồng'!$AA$327:$AA$515,'Cắt lồng'!$AA55,'Cắt lồng'!$AE$327:$AE$515,'Cắt lồng'!DQ$4:DQ$4)</f>
        <v>0</v>
      </c>
      <c r="DR55" s="79">
        <f t="array" ref="DR55">SUMIFS('Cắt lồng'!$AH$327:$AH$515,'Cắt lồng'!$AA$327:$AA$515,'Cắt lồng'!$AA55,'Cắt lồng'!$AE$327:$AE$515,'Cắt lồng'!DR$4:DR$4)</f>
        <v>0</v>
      </c>
      <c r="DS55" s="78" t="e">
        <f t="shared" si="132"/>
        <v>#DIV/0!</v>
      </c>
      <c r="DT55" s="79">
        <f t="array" ref="DT55">SUMIFS('Cắt lồng'!$AC$327:$AC$515,'Cắt lồng'!$AA$327:$AA$515,'Cắt lồng'!$AA55,'Cắt lồng'!$AE$327:$AE$515,'Cắt lồng'!DT$4:DT$4)</f>
        <v>0</v>
      </c>
      <c r="DU55" s="79">
        <f t="array" ref="DU55">SUMIFS('Cắt lồng'!$AH$327:$AH$515,'Cắt lồng'!$AA$327:$AA$515,'Cắt lồng'!$AA55,'Cắt lồng'!$AE$327:$AE$515,'Cắt lồng'!DU$4:DU$4)</f>
        <v>0</v>
      </c>
      <c r="DV55" s="78" t="e">
        <f t="shared" si="133"/>
        <v>#DIV/0!</v>
      </c>
      <c r="DW55" s="79">
        <f t="array" ref="DW55">SUMIFS('Cắt lồng'!$AC$327:$AC$515,'Cắt lồng'!$AA$327:$AA$515,'Cắt lồng'!$AA55,'Cắt lồng'!$AE$327:$AE$515,'Cắt lồng'!DW$4:DW$4)</f>
        <v>0</v>
      </c>
      <c r="DX55" s="79">
        <f t="array" ref="DX55">SUMIFS('Cắt lồng'!$AH$327:$AH$515,'Cắt lồng'!$AA$327:$AA$515,'Cắt lồng'!$AA55,'Cắt lồng'!$AE$327:$AE$515,'Cắt lồng'!DX$4:DX$4)</f>
        <v>0</v>
      </c>
      <c r="DY55" s="78" t="e">
        <f t="shared" si="134"/>
        <v>#DIV/0!</v>
      </c>
      <c r="DZ55" s="79">
        <f t="array" ref="DZ55">SUMIFS('Cắt lồng'!$AC$327:$AC$515,'Cắt lồng'!$AA$327:$AA$515,'Cắt lồng'!$AA55,'Cắt lồng'!$AE$327:$AE$515,'Cắt lồng'!DZ$4:DZ$4)</f>
        <v>0</v>
      </c>
      <c r="EA55" s="79">
        <f t="array" ref="EA55">SUMIFS('Cắt lồng'!$AH$327:$AH$515,'Cắt lồng'!$AA$327:$AA$515,'Cắt lồng'!$AA55,'Cắt lồng'!$AE$327:$AE$515,'Cắt lồng'!EA$4:EA$4)</f>
        <v>0</v>
      </c>
      <c r="EB55" s="78" t="e">
        <f t="shared" si="135"/>
        <v>#DIV/0!</v>
      </c>
      <c r="EC55" s="79">
        <f t="array" ref="EC55">SUMIFS('Cắt lồng'!$AC$327:$AC$515,'Cắt lồng'!$AA$327:$AA$515,'Cắt lồng'!$AA55,'Cắt lồng'!$AE$327:$AE$515,'Cắt lồng'!EC$4:EC$4)</f>
        <v>0</v>
      </c>
      <c r="ED55" s="79">
        <f t="array" ref="ED55">SUMIFS('Cắt lồng'!$AH$327:$AH$515,'Cắt lồng'!$AA$327:$AA$515,'Cắt lồng'!$AA55,'Cắt lồng'!$AE$327:$AE$515,'Cắt lồng'!ED$4:ED$4)</f>
        <v>0</v>
      </c>
      <c r="EE55" s="78" t="e">
        <f t="shared" si="136"/>
        <v>#DIV/0!</v>
      </c>
      <c r="EF55" s="79">
        <f t="array" ref="EF55">SUMIFS('Cắt lồng'!$AC$327:$AC$515,'Cắt lồng'!$AA$327:$AA$515,'Cắt lồng'!$AA55,'Cắt lồng'!$AE$327:$AE$515,'Cắt lồng'!EF$4:EF$4)</f>
        <v>0</v>
      </c>
      <c r="EG55" s="79">
        <f t="array" ref="EG55">SUMIFS('Cắt lồng'!$AH$327:$AH$515,'Cắt lồng'!$AA$327:$AA$515,'Cắt lồng'!$AA55,'Cắt lồng'!$AE$327:$AE$515,'Cắt lồng'!EG$4:EG$4)</f>
        <v>0</v>
      </c>
      <c r="EH55" s="78" t="e">
        <f t="shared" si="137"/>
        <v>#DIV/0!</v>
      </c>
      <c r="EI55" s="79">
        <f t="array" ref="EI55">SUMIFS('Cắt lồng'!$AC$327:$AC$515,'Cắt lồng'!$AA$327:$AA$515,'Cắt lồng'!$AA55,'Cắt lồng'!$AE$327:$AE$515,'Cắt lồng'!EI$4:EI$4)</f>
        <v>0</v>
      </c>
      <c r="EJ55" s="79">
        <f t="array" ref="EJ55">SUMIFS('Cắt lồng'!$AH$327:$AH$515,'Cắt lồng'!$AA$327:$AA$515,'Cắt lồng'!$AA55,'Cắt lồng'!$AE$327:$AE$515,'Cắt lồng'!EJ$4:EJ$4)</f>
        <v>0</v>
      </c>
      <c r="EK55" s="78" t="e">
        <f t="shared" si="138"/>
        <v>#DIV/0!</v>
      </c>
      <c r="EL55" s="172"/>
    </row>
    <row r="56" spans="1:181" s="12" customFormat="1" ht="14.25" hidden="1" customHeight="1">
      <c r="A56" s="25">
        <v>48</v>
      </c>
      <c r="B56" s="26"/>
      <c r="C56" s="26"/>
      <c r="D56" s="185">
        <f t="shared" si="140"/>
        <v>0</v>
      </c>
      <c r="E56" s="184">
        <f t="shared" si="141"/>
        <v>0</v>
      </c>
      <c r="F56" s="56"/>
      <c r="G56" s="82">
        <f t="shared" si="79"/>
        <v>0</v>
      </c>
      <c r="H56" s="81">
        <f t="shared" si="80"/>
        <v>0</v>
      </c>
      <c r="I56" s="19">
        <f t="shared" si="81"/>
        <v>0</v>
      </c>
      <c r="J56" s="11">
        <f t="shared" si="82"/>
        <v>0</v>
      </c>
      <c r="K56" s="19">
        <f t="shared" si="83"/>
        <v>0</v>
      </c>
      <c r="L56" s="19">
        <f t="shared" si="84"/>
        <v>0</v>
      </c>
      <c r="M56" s="19">
        <f t="shared" si="85"/>
        <v>0</v>
      </c>
      <c r="N56" s="19">
        <f t="shared" si="86"/>
        <v>0</v>
      </c>
      <c r="O56" s="19">
        <f t="shared" si="87"/>
        <v>0</v>
      </c>
      <c r="P56" s="19">
        <f t="shared" si="88"/>
        <v>0</v>
      </c>
      <c r="Q56" s="19">
        <f t="shared" si="89"/>
        <v>0</v>
      </c>
      <c r="R56" s="19">
        <f t="shared" si="90"/>
        <v>0</v>
      </c>
      <c r="S56" s="19">
        <f t="shared" si="91"/>
        <v>0</v>
      </c>
      <c r="T56" s="19">
        <f t="shared" si="92"/>
        <v>0</v>
      </c>
      <c r="U56" s="19">
        <f t="shared" si="93"/>
        <v>0</v>
      </c>
      <c r="V56" s="19">
        <f t="shared" si="94"/>
        <v>0</v>
      </c>
      <c r="W56" s="19">
        <f t="shared" si="95"/>
        <v>0</v>
      </c>
      <c r="X56" s="19">
        <f t="shared" si="96"/>
        <v>0</v>
      </c>
      <c r="Y56" s="19">
        <f t="shared" si="97"/>
        <v>0</v>
      </c>
      <c r="Z56" s="19">
        <f t="shared" si="98"/>
        <v>0</v>
      </c>
      <c r="AA56" s="183" t="s">
        <v>244</v>
      </c>
      <c r="AB56" s="129">
        <f t="shared" si="142"/>
        <v>0</v>
      </c>
      <c r="AC56" s="16">
        <f t="shared" si="143"/>
        <v>0</v>
      </c>
      <c r="AD56" s="15" t="e">
        <f t="shared" si="99"/>
        <v>#DIV/0!</v>
      </c>
      <c r="AE56" s="42"/>
      <c r="AF56" s="10" t="e">
        <f t="shared" si="100"/>
        <v>#DIV/0!</v>
      </c>
      <c r="AG56" s="10"/>
      <c r="AH56" s="152">
        <f t="shared" si="139"/>
        <v>0</v>
      </c>
      <c r="AI56" s="54" t="e">
        <f t="shared" si="101"/>
        <v>#DIV/0!</v>
      </c>
      <c r="AJ56" s="25">
        <f t="shared" si="102"/>
        <v>0</v>
      </c>
      <c r="AK56" s="25">
        <f t="shared" si="103"/>
        <v>0</v>
      </c>
      <c r="AL56" s="25">
        <f t="shared" si="104"/>
        <v>0</v>
      </c>
      <c r="AM56" s="30">
        <f t="shared" si="73"/>
        <v>0</v>
      </c>
      <c r="AN56" s="30">
        <f t="shared" si="74"/>
        <v>0</v>
      </c>
      <c r="AO56" s="30">
        <f t="shared" si="75"/>
        <v>0</v>
      </c>
      <c r="AP56" s="30">
        <f t="shared" si="76"/>
        <v>0</v>
      </c>
      <c r="AQ56" s="30">
        <f t="shared" si="77"/>
        <v>0</v>
      </c>
      <c r="AR56" s="30">
        <f t="shared" si="105"/>
        <v>0</v>
      </c>
      <c r="AS56" s="30">
        <f t="shared" si="106"/>
        <v>0</v>
      </c>
      <c r="AT56" s="30">
        <f t="shared" si="78"/>
        <v>0</v>
      </c>
      <c r="AV56" s="79">
        <f t="shared" si="107"/>
        <v>0</v>
      </c>
      <c r="AW56" s="79">
        <f t="array" ref="AW56">SUMIFS('Cắt lồng'!$AC$327:$AC$515,'Cắt lồng'!$AA$327:$AA$515,'Cắt lồng'!$AA56,'Cắt lồng'!$AE$327:$AE$515,'Cắt lồng'!AW$4:AW$4)</f>
        <v>0</v>
      </c>
      <c r="AX56" s="79">
        <f t="array" ref="AX56">SUMIFS('Cắt lồng'!$AH$327:$AH$515,'Cắt lồng'!$AA$327:$AA$515,'Cắt lồng'!$AA56,'Cắt lồng'!$AE$327:$AE$515,'Cắt lồng'!AX$4:AX$4)</f>
        <v>0</v>
      </c>
      <c r="AY56" s="78" t="e">
        <f t="shared" si="108"/>
        <v>#DIV/0!</v>
      </c>
      <c r="AZ56" s="79">
        <f t="array" ref="AZ56">SUMIFS('Cắt lồng'!$AC$327:$AC$515,'Cắt lồng'!$AA$327:$AA$515,'Cắt lồng'!$AA56,'Cắt lồng'!$AE$327:$AE$515,'Cắt lồng'!AZ$4:AZ$4)</f>
        <v>0</v>
      </c>
      <c r="BA56" s="79">
        <f t="array" ref="BA56">SUMIFS('Cắt lồng'!$AH$327:$AH$515,'Cắt lồng'!$AA$327:$AA$515,'Cắt lồng'!$AA56,'Cắt lồng'!$AE$327:$AE$515,'Cắt lồng'!BA$4:BA$4)</f>
        <v>0</v>
      </c>
      <c r="BB56" s="78" t="e">
        <f t="shared" si="109"/>
        <v>#DIV/0!</v>
      </c>
      <c r="BC56" s="79">
        <f t="array" ref="BC56">SUMIFS('Cắt lồng'!$AC$327:$AC$515,'Cắt lồng'!$AA$327:$AA$515,'Cắt lồng'!$AA56,'Cắt lồng'!$AE$327:$AE$515,'Cắt lồng'!BC$4:BC$4)</f>
        <v>0</v>
      </c>
      <c r="BD56" s="79">
        <f t="array" ref="BD56">SUMIFS('Cắt lồng'!$AH$327:$AH$515,'Cắt lồng'!$AA$327:$AA$515,'Cắt lồng'!$AA56,'Cắt lồng'!$AE$327:$AE$515,'Cắt lồng'!BD$4:BD$4)</f>
        <v>0</v>
      </c>
      <c r="BE56" s="78" t="e">
        <f t="shared" si="110"/>
        <v>#DIV/0!</v>
      </c>
      <c r="BF56" s="79">
        <f t="array" ref="BF56">SUMIFS('Cắt lồng'!$AC$327:$AC$515,'Cắt lồng'!$AA$327:$AA$515,'Cắt lồng'!$AA56,'Cắt lồng'!$AE$327:$AE$515,'Cắt lồng'!BF$4:BF$4)</f>
        <v>0</v>
      </c>
      <c r="BG56" s="79">
        <f t="array" ref="BG56">SUMIFS('Cắt lồng'!$AH$327:$AH$515,'Cắt lồng'!$AA$327:$AA$515,'Cắt lồng'!$AA56,'Cắt lồng'!$AE$327:$AE$515,'Cắt lồng'!BG$4:BG$4)</f>
        <v>0</v>
      </c>
      <c r="BH56" s="78" t="e">
        <f t="shared" si="111"/>
        <v>#DIV/0!</v>
      </c>
      <c r="BI56" s="79">
        <f t="array" ref="BI56">SUMIFS('Cắt lồng'!$AC$327:$AC$515,'Cắt lồng'!$AA$327:$AA$515,'Cắt lồng'!$AA56,'Cắt lồng'!$AE$327:$AE$515,'Cắt lồng'!BI$4:BI$4)</f>
        <v>0</v>
      </c>
      <c r="BJ56" s="79">
        <f t="array" ref="BJ56">SUMIFS('Cắt lồng'!$AH$327:$AH$515,'Cắt lồng'!$AA$327:$AA$515,'Cắt lồng'!$AA56,'Cắt lồng'!$AE$327:$AE$515,'Cắt lồng'!BJ$4:BJ$4)</f>
        <v>0</v>
      </c>
      <c r="BK56" s="78" t="e">
        <f t="shared" si="112"/>
        <v>#DIV/0!</v>
      </c>
      <c r="BL56" s="79">
        <f t="array" ref="BL56">SUMIFS('Cắt lồng'!$AC$327:$AC$515,'Cắt lồng'!$AA$327:$AA$515,'Cắt lồng'!$AA56,'Cắt lồng'!$AE$327:$AE$515,'Cắt lồng'!BL$4:BL$4)</f>
        <v>0</v>
      </c>
      <c r="BM56" s="79">
        <f t="array" ref="BM56">SUMIFS('Cắt lồng'!$AH$327:$AH$515,'Cắt lồng'!$AA$327:$AA$515,'Cắt lồng'!$AA56,'Cắt lồng'!$AE$327:$AE$515,'Cắt lồng'!BM$4:BM$4)</f>
        <v>0</v>
      </c>
      <c r="BN56" s="78" t="e">
        <f t="shared" si="113"/>
        <v>#DIV/0!</v>
      </c>
      <c r="BO56" s="79">
        <f t="array" ref="BO56">SUMIFS('Cắt lồng'!$AC$327:$AC$515,'Cắt lồng'!$AA$327:$AA$515,'Cắt lồng'!$AA56,'Cắt lồng'!$AE$327:$AE$515,'Cắt lồng'!BO$4:BO$4)</f>
        <v>0</v>
      </c>
      <c r="BP56" s="79">
        <f t="array" ref="BP56">SUMIFS('Cắt lồng'!$AH$327:$AH$515,'Cắt lồng'!$AA$327:$AA$515,'Cắt lồng'!$AA56,'Cắt lồng'!$AE$327:$AE$515,'Cắt lồng'!BP$4:BP$4)</f>
        <v>0</v>
      </c>
      <c r="BQ56" s="78" t="e">
        <f t="shared" si="114"/>
        <v>#DIV/0!</v>
      </c>
      <c r="BR56" s="79">
        <f t="array" ref="BR56">SUMIFS('Cắt lồng'!$AC$327:$AC$515,'Cắt lồng'!$AA$327:$AA$515,'Cắt lồng'!$AA56,'Cắt lồng'!$AE$327:$AE$515,'Cắt lồng'!BR$4:BR$4)</f>
        <v>0</v>
      </c>
      <c r="BS56" s="79">
        <f t="array" ref="BS56">SUMIFS('Cắt lồng'!$AH$327:$AH$515,'Cắt lồng'!$AA$327:$AA$515,'Cắt lồng'!$AA56,'Cắt lồng'!$AE$327:$AE$515,'Cắt lồng'!BS$4:BS$4)</f>
        <v>0</v>
      </c>
      <c r="BT56" s="78" t="e">
        <f t="shared" si="115"/>
        <v>#DIV/0!</v>
      </c>
      <c r="BU56" s="79">
        <f t="array" ref="BU56">SUMIFS('Cắt lồng'!$AC$327:$AC$515,'Cắt lồng'!$AA$327:$AA$515,'Cắt lồng'!$AA56,'Cắt lồng'!$AE$327:$AE$515,'Cắt lồng'!BU$4:BU$4)</f>
        <v>0</v>
      </c>
      <c r="BV56" s="79">
        <f t="array" ref="BV56">SUMIFS('Cắt lồng'!$AH$327:$AH$515,'Cắt lồng'!$AA$327:$AA$515,'Cắt lồng'!$AA56,'Cắt lồng'!$AE$327:$AE$515,'Cắt lồng'!BV$4:BV$4)</f>
        <v>0</v>
      </c>
      <c r="BW56" s="78" t="e">
        <f t="shared" si="116"/>
        <v>#DIV/0!</v>
      </c>
      <c r="BX56" s="79">
        <f t="array" ref="BX56">SUMIFS('Cắt lồng'!$AC$327:$AC$515,'Cắt lồng'!$AA$327:$AA$515,'Cắt lồng'!$AA56,'Cắt lồng'!$AE$327:$AE$515,'Cắt lồng'!BX$4:BX$4)</f>
        <v>0</v>
      </c>
      <c r="BY56" s="79">
        <f t="array" ref="BY56">SUMIFS('Cắt lồng'!$AH$327:$AH$515,'Cắt lồng'!$AA$327:$AA$515,'Cắt lồng'!$AA56,'Cắt lồng'!$AE$327:$AE$515,'Cắt lồng'!BY$4:BY$4)</f>
        <v>0</v>
      </c>
      <c r="BZ56" s="78" t="e">
        <f t="shared" si="117"/>
        <v>#DIV/0!</v>
      </c>
      <c r="CA56" s="79">
        <f t="array" ref="CA56">SUMIFS('Cắt lồng'!$AC$327:$AC$515,'Cắt lồng'!$AA$327:$AA$515,'Cắt lồng'!$AA56,'Cắt lồng'!$AE$327:$AE$515,'Cắt lồng'!CA$4:CA$4)</f>
        <v>0</v>
      </c>
      <c r="CB56" s="79">
        <f t="array" ref="CB56">SUMIFS('Cắt lồng'!$AH$327:$AH$515,'Cắt lồng'!$AA$327:$AA$515,'Cắt lồng'!$AA56,'Cắt lồng'!$AE$327:$AE$515,'Cắt lồng'!CB$4:CB$4)</f>
        <v>0</v>
      </c>
      <c r="CC56" s="78" t="e">
        <f t="shared" si="118"/>
        <v>#DIV/0!</v>
      </c>
      <c r="CD56" s="79">
        <f t="array" ref="CD56">SUMIFS('Cắt lồng'!$AC$327:$AC$515,'Cắt lồng'!$AA$327:$AA$515,'Cắt lồng'!$AA56,'Cắt lồng'!$AE$327:$AE$515,'Cắt lồng'!CD$4:CD$4)</f>
        <v>0</v>
      </c>
      <c r="CE56" s="79">
        <f t="array" ref="CE56">SUMIFS('Cắt lồng'!$AH$327:$AH$515,'Cắt lồng'!$AA$327:$AA$515,'Cắt lồng'!$AA56,'Cắt lồng'!$AE$327:$AE$515,'Cắt lồng'!CE$4:CE$4)</f>
        <v>0</v>
      </c>
      <c r="CF56" s="78" t="e">
        <f t="shared" si="119"/>
        <v>#DIV/0!</v>
      </c>
      <c r="CG56" s="79">
        <f t="array" ref="CG56">SUMIFS('Cắt lồng'!$AC$327:$AC$515,'Cắt lồng'!$AA$327:$AA$515,'Cắt lồng'!$AA56,'Cắt lồng'!$AE$327:$AE$515,'Cắt lồng'!CG$4:CG$4)</f>
        <v>0</v>
      </c>
      <c r="CH56" s="79">
        <f t="array" ref="CH56">SUMIFS('Cắt lồng'!$AH$327:$AH$515,'Cắt lồng'!$AA$327:$AA$515,'Cắt lồng'!$AA56,'Cắt lồng'!$AE$327:$AE$515,'Cắt lồng'!CH$4:CH$4)</f>
        <v>0</v>
      </c>
      <c r="CI56" s="78" t="e">
        <f t="shared" si="120"/>
        <v>#DIV/0!</v>
      </c>
      <c r="CJ56" s="79">
        <f t="array" ref="CJ56">SUMIFS('Cắt lồng'!$AC$327:$AC$515,'Cắt lồng'!$AA$327:$AA$515,'Cắt lồng'!$AA56,'Cắt lồng'!$AE$327:$AE$515,'Cắt lồng'!CJ$4:CJ$4)</f>
        <v>0</v>
      </c>
      <c r="CK56" s="79">
        <f t="array" ref="CK56">SUMIFS('Cắt lồng'!$AH$327:$AH$515,'Cắt lồng'!$AA$327:$AA$515,'Cắt lồng'!$AA56,'Cắt lồng'!$AE$327:$AE$515,'Cắt lồng'!CK$4:CK$4)</f>
        <v>0</v>
      </c>
      <c r="CL56" s="78" t="e">
        <f t="shared" si="121"/>
        <v>#DIV/0!</v>
      </c>
      <c r="CM56" s="79">
        <f t="array" ref="CM56">SUMIFS('Cắt lồng'!$AC$327:$AC$515,'Cắt lồng'!$AA$327:$AA$515,'Cắt lồng'!$AA56,'Cắt lồng'!$AE$327:$AE$515,'Cắt lồng'!CM$4:CM$4)</f>
        <v>0</v>
      </c>
      <c r="CN56" s="79">
        <f t="array" ref="CN56">SUMIFS('Cắt lồng'!$AH$327:$AH$515,'Cắt lồng'!$AA$327:$AA$515,'Cắt lồng'!$AA56,'Cắt lồng'!$AE$327:$AE$515,'Cắt lồng'!CN$4:CN$4)</f>
        <v>0</v>
      </c>
      <c r="CO56" s="78" t="e">
        <f t="shared" si="122"/>
        <v>#DIV/0!</v>
      </c>
      <c r="CP56" s="79">
        <f t="array" ref="CP56">SUMIFS('Cắt lồng'!$AC$327:$AC$515,'Cắt lồng'!$AA$327:$AA$515,'Cắt lồng'!$AA56,'Cắt lồng'!$AE$327:$AE$515,'Cắt lồng'!CP$4:CP$4)</f>
        <v>0</v>
      </c>
      <c r="CQ56" s="79">
        <f t="array" ref="CQ56">SUMIFS('Cắt lồng'!$AH$327:$AH$515,'Cắt lồng'!$AA$327:$AA$515,'Cắt lồng'!$AA56,'Cắt lồng'!$AE$327:$AE$515,'Cắt lồng'!CQ$4:CQ$4)</f>
        <v>0</v>
      </c>
      <c r="CR56" s="78" t="e">
        <f t="shared" si="123"/>
        <v>#DIV/0!</v>
      </c>
      <c r="CS56" s="79">
        <f t="array" ref="CS56">SUMIFS('Cắt lồng'!$AC$327:$AC$515,'Cắt lồng'!$AA$327:$AA$515,'Cắt lồng'!$AA56,'Cắt lồng'!$AE$327:$AE$515,'Cắt lồng'!CS$4:CS$4)</f>
        <v>0</v>
      </c>
      <c r="CT56" s="79">
        <f t="array" ref="CT56">SUMIFS('Cắt lồng'!$AH$327:$AH$515,'Cắt lồng'!$AA$327:$AA$515,'Cắt lồng'!$AA56,'Cắt lồng'!$AE$327:$AE$515,'Cắt lồng'!CT$4:CT$4)</f>
        <v>0</v>
      </c>
      <c r="CU56" s="78" t="e">
        <f t="shared" si="124"/>
        <v>#DIV/0!</v>
      </c>
      <c r="CV56" s="79">
        <f t="array" ref="CV56">SUMIFS('Cắt lồng'!$AC$327:$AC$515,'Cắt lồng'!$AA$327:$AA$515,'Cắt lồng'!$AA56,'Cắt lồng'!$AE$327:$AE$515,'Cắt lồng'!CV$4:CV$4)</f>
        <v>0</v>
      </c>
      <c r="CW56" s="79">
        <f t="array" ref="CW56">SUMIFS('Cắt lồng'!$AH$327:$AH$515,'Cắt lồng'!$AA$327:$AA$515,'Cắt lồng'!$AA56,'Cắt lồng'!$AE$327:$AE$515,'Cắt lồng'!CW$4:CW$4)</f>
        <v>0</v>
      </c>
      <c r="CX56" s="78" t="e">
        <f t="shared" si="125"/>
        <v>#DIV/0!</v>
      </c>
      <c r="CY56" s="79">
        <f t="array" ref="CY56">SUMIFS('Cắt lồng'!$AC$327:$AC$515,'Cắt lồng'!$AA$327:$AA$515,'Cắt lồng'!$AA56,'Cắt lồng'!$AE$327:$AE$515,'Cắt lồng'!CY$4:CY$4)</f>
        <v>0</v>
      </c>
      <c r="CZ56" s="79">
        <f t="array" ref="CZ56">SUMIFS('Cắt lồng'!$AH$327:$AH$515,'Cắt lồng'!$AA$327:$AA$515,'Cắt lồng'!$AA56,'Cắt lồng'!$AE$327:$AE$515,'Cắt lồng'!CZ$4:CZ$4)</f>
        <v>0</v>
      </c>
      <c r="DA56" s="78" t="e">
        <f t="shared" si="126"/>
        <v>#DIV/0!</v>
      </c>
      <c r="DB56" s="79">
        <f t="array" ref="DB56">SUMIFS('Cắt lồng'!$AC$327:$AC$515,'Cắt lồng'!$AA$327:$AA$515,'Cắt lồng'!$AA56,'Cắt lồng'!$AE$327:$AE$515,'Cắt lồng'!DB$4:DB$4)</f>
        <v>0</v>
      </c>
      <c r="DC56" s="79">
        <f t="array" ref="DC56">SUMIFS('Cắt lồng'!$AH$327:$AH$515,'Cắt lồng'!$AA$327:$AA$515,'Cắt lồng'!$AA56,'Cắt lồng'!$AE$327:$AE$515,'Cắt lồng'!DC$4:DC$4)</f>
        <v>0</v>
      </c>
      <c r="DD56" s="78" t="e">
        <f t="shared" si="127"/>
        <v>#DIV/0!</v>
      </c>
      <c r="DE56" s="79">
        <f t="array" ref="DE56">SUMIFS('Cắt lồng'!$AC$327:$AC$515,'Cắt lồng'!$AA$327:$AA$515,'Cắt lồng'!$AA56,'Cắt lồng'!$AE$327:$AE$515,'Cắt lồng'!DE$4:DE$4)</f>
        <v>0</v>
      </c>
      <c r="DF56" s="79">
        <f t="array" ref="DF56">SUMIFS('Cắt lồng'!$AH$327:$AH$515,'Cắt lồng'!$AA$327:$AA$515,'Cắt lồng'!$AA56,'Cắt lồng'!$AE$327:$AE$515,'Cắt lồng'!DF$4:DF$4)</f>
        <v>0</v>
      </c>
      <c r="DG56" s="78" t="e">
        <f t="shared" si="128"/>
        <v>#DIV/0!</v>
      </c>
      <c r="DH56" s="79">
        <f t="array" ref="DH56">SUMIFS('Cắt lồng'!$AC$327:$AC$515,'Cắt lồng'!$AA$327:$AA$515,'Cắt lồng'!$AA56,'Cắt lồng'!$AE$327:$AE$515,'Cắt lồng'!DH$4:DH$4)</f>
        <v>0</v>
      </c>
      <c r="DI56" s="79">
        <f t="array" ref="DI56">SUMIFS('Cắt lồng'!$AH$327:$AH$515,'Cắt lồng'!$AA$327:$AA$515,'Cắt lồng'!$AA56,'Cắt lồng'!$AE$327:$AE$515,'Cắt lồng'!DI$4:DI$4)</f>
        <v>0</v>
      </c>
      <c r="DJ56" s="78" t="e">
        <f t="shared" si="129"/>
        <v>#DIV/0!</v>
      </c>
      <c r="DK56" s="79">
        <f t="array" ref="DK56">SUMIFS('Cắt lồng'!$AC$327:$AC$515,'Cắt lồng'!$AA$327:$AA$515,'Cắt lồng'!$AA56,'Cắt lồng'!$AE$327:$AE$515,'Cắt lồng'!DK$4:DK$4)</f>
        <v>0</v>
      </c>
      <c r="DL56" s="79">
        <f t="array" ref="DL56">SUMIFS('Cắt lồng'!$AH$327:$AH$515,'Cắt lồng'!$AA$327:$AA$515,'Cắt lồng'!$AA56,'Cắt lồng'!$AE$327:$AE$515,'Cắt lồng'!DL$4:DL$4)</f>
        <v>0</v>
      </c>
      <c r="DM56" s="78" t="e">
        <f t="shared" si="130"/>
        <v>#DIV/0!</v>
      </c>
      <c r="DN56" s="79">
        <f>SUMIFS('Cắt lồng'!$AC$327:$AC$515,'Cắt lồng'!$AA$327:$AA$515,'Cắt lồng'!$AA56,'Cắt lồng'!$AE$327:$AE$515,'Cắt lồng'!DN$4:DN$4)</f>
        <v>0</v>
      </c>
      <c r="DO56" s="79">
        <f t="array" ref="DO56">SUMIFS('Cắt lồng'!$AH$327:$AH$515,'Cắt lồng'!$AA$327:$AA$515,'Cắt lồng'!$AA56,'Cắt lồng'!$AE$327:$AE$515,'Cắt lồng'!DO$4:DO$4)</f>
        <v>0</v>
      </c>
      <c r="DP56" s="78" t="e">
        <f t="shared" si="131"/>
        <v>#DIV/0!</v>
      </c>
      <c r="DQ56" s="79">
        <f t="array" ref="DQ56">SUMIFS('Cắt lồng'!$AC$327:$AC$515,'Cắt lồng'!$AA$327:$AA$515,'Cắt lồng'!$AA56,'Cắt lồng'!$AE$327:$AE$515,'Cắt lồng'!DQ$4:DQ$4)</f>
        <v>0</v>
      </c>
      <c r="DR56" s="79">
        <f t="array" ref="DR56">SUMIFS('Cắt lồng'!$AH$327:$AH$515,'Cắt lồng'!$AA$327:$AA$515,'Cắt lồng'!$AA56,'Cắt lồng'!$AE$327:$AE$515,'Cắt lồng'!DR$4:DR$4)</f>
        <v>0</v>
      </c>
      <c r="DS56" s="78" t="e">
        <f t="shared" si="132"/>
        <v>#DIV/0!</v>
      </c>
      <c r="DT56" s="79">
        <f t="array" ref="DT56">SUMIFS('Cắt lồng'!$AC$327:$AC$515,'Cắt lồng'!$AA$327:$AA$515,'Cắt lồng'!$AA56,'Cắt lồng'!$AE$327:$AE$515,'Cắt lồng'!DT$4:DT$4)</f>
        <v>0</v>
      </c>
      <c r="DU56" s="79">
        <f t="array" ref="DU56">SUMIFS('Cắt lồng'!$AH$327:$AH$515,'Cắt lồng'!$AA$327:$AA$515,'Cắt lồng'!$AA56,'Cắt lồng'!$AE$327:$AE$515,'Cắt lồng'!DU$4:DU$4)</f>
        <v>0</v>
      </c>
      <c r="DV56" s="78" t="e">
        <f t="shared" si="133"/>
        <v>#DIV/0!</v>
      </c>
      <c r="DW56" s="79">
        <f t="array" ref="DW56">SUMIFS('Cắt lồng'!$AC$327:$AC$515,'Cắt lồng'!$AA$327:$AA$515,'Cắt lồng'!$AA56,'Cắt lồng'!$AE$327:$AE$515,'Cắt lồng'!DW$4:DW$4)</f>
        <v>0</v>
      </c>
      <c r="DX56" s="79">
        <f t="array" ref="DX56">SUMIFS('Cắt lồng'!$AH$327:$AH$515,'Cắt lồng'!$AA$327:$AA$515,'Cắt lồng'!$AA56,'Cắt lồng'!$AE$327:$AE$515,'Cắt lồng'!DX$4:DX$4)</f>
        <v>0</v>
      </c>
      <c r="DY56" s="78" t="e">
        <f t="shared" si="134"/>
        <v>#DIV/0!</v>
      </c>
      <c r="DZ56" s="79">
        <f t="array" ref="DZ56">SUMIFS('Cắt lồng'!$AC$327:$AC$515,'Cắt lồng'!$AA$327:$AA$515,'Cắt lồng'!$AA56,'Cắt lồng'!$AE$327:$AE$515,'Cắt lồng'!DZ$4:DZ$4)</f>
        <v>0</v>
      </c>
      <c r="EA56" s="79">
        <f t="array" ref="EA56">SUMIFS('Cắt lồng'!$AH$327:$AH$515,'Cắt lồng'!$AA$327:$AA$515,'Cắt lồng'!$AA56,'Cắt lồng'!$AE$327:$AE$515,'Cắt lồng'!EA$4:EA$4)</f>
        <v>0</v>
      </c>
      <c r="EB56" s="78" t="e">
        <f t="shared" si="135"/>
        <v>#DIV/0!</v>
      </c>
      <c r="EC56" s="79">
        <f t="array" ref="EC56">SUMIFS('Cắt lồng'!$AC$327:$AC$515,'Cắt lồng'!$AA$327:$AA$515,'Cắt lồng'!$AA56,'Cắt lồng'!$AE$327:$AE$515,'Cắt lồng'!EC$4:EC$4)</f>
        <v>0</v>
      </c>
      <c r="ED56" s="79">
        <f t="array" ref="ED56">SUMIFS('Cắt lồng'!$AH$327:$AH$515,'Cắt lồng'!$AA$327:$AA$515,'Cắt lồng'!$AA56,'Cắt lồng'!$AE$327:$AE$515,'Cắt lồng'!ED$4:ED$4)</f>
        <v>0</v>
      </c>
      <c r="EE56" s="78" t="e">
        <f t="shared" si="136"/>
        <v>#DIV/0!</v>
      </c>
      <c r="EF56" s="79">
        <f t="array" ref="EF56">SUMIFS('Cắt lồng'!$AC$327:$AC$515,'Cắt lồng'!$AA$327:$AA$515,'Cắt lồng'!$AA56,'Cắt lồng'!$AE$327:$AE$515,'Cắt lồng'!EF$4:EF$4)</f>
        <v>0</v>
      </c>
      <c r="EG56" s="79">
        <f t="array" ref="EG56">SUMIFS('Cắt lồng'!$AH$327:$AH$515,'Cắt lồng'!$AA$327:$AA$515,'Cắt lồng'!$AA56,'Cắt lồng'!$AE$327:$AE$515,'Cắt lồng'!EG$4:EG$4)</f>
        <v>0</v>
      </c>
      <c r="EH56" s="78" t="e">
        <f t="shared" si="137"/>
        <v>#DIV/0!</v>
      </c>
      <c r="EI56" s="79">
        <f t="array" ref="EI56">SUMIFS('Cắt lồng'!$AC$327:$AC$515,'Cắt lồng'!$AA$327:$AA$515,'Cắt lồng'!$AA56,'Cắt lồng'!$AE$327:$AE$515,'Cắt lồng'!EI$4:EI$4)</f>
        <v>0</v>
      </c>
      <c r="EJ56" s="79">
        <f t="array" ref="EJ56">SUMIFS('Cắt lồng'!$AH$327:$AH$515,'Cắt lồng'!$AA$327:$AA$515,'Cắt lồng'!$AA56,'Cắt lồng'!$AE$327:$AE$515,'Cắt lồng'!EJ$4:EJ$4)</f>
        <v>0</v>
      </c>
      <c r="EK56" s="78" t="e">
        <f t="shared" si="138"/>
        <v>#DIV/0!</v>
      </c>
      <c r="EL56" s="172"/>
    </row>
    <row r="57" spans="1:181" s="12" customFormat="1" ht="14.25" hidden="1" customHeight="1">
      <c r="A57" s="25">
        <v>49</v>
      </c>
      <c r="B57" s="26"/>
      <c r="D57" s="185" t="e">
        <f t="shared" si="140"/>
        <v>#VALUE!</v>
      </c>
      <c r="E57" s="184">
        <f t="shared" si="141"/>
        <v>5548</v>
      </c>
      <c r="F57" s="56"/>
      <c r="G57" s="82">
        <f t="shared" si="79"/>
        <v>0</v>
      </c>
      <c r="H57" s="81">
        <f t="shared" si="80"/>
        <v>3.5</v>
      </c>
      <c r="I57" s="19">
        <f t="shared" si="81"/>
        <v>1</v>
      </c>
      <c r="J57" s="11">
        <f t="shared" si="82"/>
        <v>0.33</v>
      </c>
      <c r="K57" s="19">
        <f t="shared" si="83"/>
        <v>0</v>
      </c>
      <c r="L57" s="19">
        <f t="shared" si="84"/>
        <v>0</v>
      </c>
      <c r="M57" s="19">
        <f t="shared" si="85"/>
        <v>0</v>
      </c>
      <c r="N57" s="19">
        <f t="shared" si="86"/>
        <v>0.33</v>
      </c>
      <c r="O57" s="19">
        <f t="shared" si="87"/>
        <v>0</v>
      </c>
      <c r="P57" s="19">
        <f t="shared" si="88"/>
        <v>0</v>
      </c>
      <c r="Q57" s="19">
        <f t="shared" si="89"/>
        <v>0</v>
      </c>
      <c r="R57" s="19">
        <f t="shared" si="90"/>
        <v>0</v>
      </c>
      <c r="S57" s="19">
        <f t="shared" si="91"/>
        <v>0</v>
      </c>
      <c r="T57" s="19">
        <f t="shared" si="92"/>
        <v>0</v>
      </c>
      <c r="U57" s="19">
        <f t="shared" si="93"/>
        <v>0</v>
      </c>
      <c r="V57" s="19">
        <f t="shared" si="94"/>
        <v>0</v>
      </c>
      <c r="W57" s="19">
        <f t="shared" si="95"/>
        <v>0</v>
      </c>
      <c r="X57" s="19">
        <f t="shared" si="96"/>
        <v>0</v>
      </c>
      <c r="Y57" s="19">
        <f t="shared" si="97"/>
        <v>0</v>
      </c>
      <c r="Z57" s="19">
        <f t="shared" si="98"/>
        <v>0</v>
      </c>
      <c r="AA57" s="183" t="s">
        <v>2</v>
      </c>
      <c r="AB57" s="129" t="e">
        <f t="shared" si="142"/>
        <v>#VALUE!</v>
      </c>
      <c r="AC57" s="16">
        <f t="shared" si="143"/>
        <v>5548</v>
      </c>
      <c r="AD57" s="15" t="e">
        <f t="shared" si="99"/>
        <v>#VALUE!</v>
      </c>
      <c r="AE57" s="42"/>
      <c r="AF57" s="10">
        <f t="shared" si="100"/>
        <v>1585.1428571428571</v>
      </c>
      <c r="AG57" s="10"/>
      <c r="AH57" s="152">
        <f t="shared" si="139"/>
        <v>10</v>
      </c>
      <c r="AI57" s="54">
        <f t="shared" si="101"/>
        <v>1.8024513338139869E-3</v>
      </c>
      <c r="AJ57" s="25">
        <f t="shared" si="102"/>
        <v>0</v>
      </c>
      <c r="AK57" s="25">
        <f t="shared" si="103"/>
        <v>0</v>
      </c>
      <c r="AL57" s="25">
        <f t="shared" si="104"/>
        <v>0</v>
      </c>
      <c r="AM57" s="30">
        <f t="shared" si="73"/>
        <v>10</v>
      </c>
      <c r="AN57" s="30">
        <f t="shared" si="74"/>
        <v>0</v>
      </c>
      <c r="AO57" s="30">
        <f t="shared" si="75"/>
        <v>0</v>
      </c>
      <c r="AP57" s="30">
        <f t="shared" si="76"/>
        <v>0</v>
      </c>
      <c r="AQ57" s="30">
        <f t="shared" si="77"/>
        <v>0</v>
      </c>
      <c r="AR57" s="30">
        <f t="shared" si="105"/>
        <v>0</v>
      </c>
      <c r="AS57" s="30">
        <f t="shared" si="106"/>
        <v>0</v>
      </c>
      <c r="AT57" s="30">
        <f t="shared" si="78"/>
        <v>0</v>
      </c>
      <c r="AV57" s="79">
        <f t="shared" si="107"/>
        <v>3.5</v>
      </c>
      <c r="AW57" s="79">
        <f t="array" ref="AW57">SUMIFS('Cắt lồng'!$AC$327:$AC$515,'Cắt lồng'!$AA$327:$AA$515,'Cắt lồng'!$AA57,'Cắt lồng'!$AE$327:$AE$515,'Cắt lồng'!AW$4:AW$4)</f>
        <v>5548</v>
      </c>
      <c r="AX57" s="79">
        <f t="array" ref="AX57">SUMIFS('Cắt lồng'!$AH$327:$AH$515,'Cắt lồng'!$AA$327:$AA$515,'Cắt lồng'!$AA57,'Cắt lồng'!$AE$327:$AE$515,'Cắt lồng'!AX$4:AX$4)</f>
        <v>0</v>
      </c>
      <c r="AY57" s="78">
        <f t="shared" si="108"/>
        <v>0</v>
      </c>
      <c r="AZ57" s="79">
        <f t="array" ref="AZ57">SUMIFS('Cắt lồng'!$AC$327:$AC$515,'Cắt lồng'!$AA$327:$AA$515,'Cắt lồng'!$AA57,'Cắt lồng'!$AE$327:$AE$515,'Cắt lồng'!AZ$4:AZ$4)</f>
        <v>0</v>
      </c>
      <c r="BA57" s="79">
        <f t="array" ref="BA57">SUMIFS('Cắt lồng'!$AH$327:$AH$515,'Cắt lồng'!$AA$327:$AA$515,'Cắt lồng'!$AA57,'Cắt lồng'!$AE$327:$AE$515,'Cắt lồng'!BA$4:BA$4)</f>
        <v>0</v>
      </c>
      <c r="BB57" s="78" t="e">
        <f t="shared" si="109"/>
        <v>#DIV/0!</v>
      </c>
      <c r="BC57" s="79">
        <f t="array" ref="BC57">SUMIFS('Cắt lồng'!$AC$327:$AC$515,'Cắt lồng'!$AA$327:$AA$515,'Cắt lồng'!$AA57,'Cắt lồng'!$AE$327:$AE$515,'Cắt lồng'!BC$4:BC$4)</f>
        <v>0</v>
      </c>
      <c r="BD57" s="79">
        <f t="array" ref="BD57">SUMIFS('Cắt lồng'!$AH$327:$AH$515,'Cắt lồng'!$AA$327:$AA$515,'Cắt lồng'!$AA57,'Cắt lồng'!$AE$327:$AE$515,'Cắt lồng'!BD$4:BD$4)</f>
        <v>0</v>
      </c>
      <c r="BE57" s="78" t="e">
        <f t="shared" si="110"/>
        <v>#DIV/0!</v>
      </c>
      <c r="BF57" s="79">
        <f t="array" ref="BF57">SUMIFS('Cắt lồng'!$AC$327:$AC$515,'Cắt lồng'!$AA$327:$AA$515,'Cắt lồng'!$AA57,'Cắt lồng'!$AE$327:$AE$515,'Cắt lồng'!BF$4:BF$4)</f>
        <v>0</v>
      </c>
      <c r="BG57" s="79">
        <f t="array" ref="BG57">SUMIFS('Cắt lồng'!$AH$327:$AH$515,'Cắt lồng'!$AA$327:$AA$515,'Cắt lồng'!$AA57,'Cắt lồng'!$AE$327:$AE$515,'Cắt lồng'!BG$4:BG$4)</f>
        <v>0</v>
      </c>
      <c r="BH57" s="78" t="e">
        <f t="shared" si="111"/>
        <v>#DIV/0!</v>
      </c>
      <c r="BI57" s="79">
        <f t="array" ref="BI57">SUMIFS('Cắt lồng'!$AC$327:$AC$515,'Cắt lồng'!$AA$327:$AA$515,'Cắt lồng'!$AA57,'Cắt lồng'!$AE$327:$AE$515,'Cắt lồng'!BI$4:BI$4)</f>
        <v>0</v>
      </c>
      <c r="BJ57" s="79">
        <f t="array" ref="BJ57">SUMIFS('Cắt lồng'!$AH$327:$AH$515,'Cắt lồng'!$AA$327:$AA$515,'Cắt lồng'!$AA57,'Cắt lồng'!$AE$327:$AE$515,'Cắt lồng'!BJ$4:BJ$4)</f>
        <v>0</v>
      </c>
      <c r="BK57" s="78" t="e">
        <f t="shared" si="112"/>
        <v>#DIV/0!</v>
      </c>
      <c r="BL57" s="79">
        <f t="array" ref="BL57">SUMIFS('Cắt lồng'!$AC$327:$AC$515,'Cắt lồng'!$AA$327:$AA$515,'Cắt lồng'!$AA57,'Cắt lồng'!$AE$327:$AE$515,'Cắt lồng'!BL$4:BL$4)</f>
        <v>0</v>
      </c>
      <c r="BM57" s="79">
        <f t="array" ref="BM57">SUMIFS('Cắt lồng'!$AH$327:$AH$515,'Cắt lồng'!$AA$327:$AA$515,'Cắt lồng'!$AA57,'Cắt lồng'!$AE$327:$AE$515,'Cắt lồng'!BM$4:BM$4)</f>
        <v>0</v>
      </c>
      <c r="BN57" s="78" t="e">
        <f t="shared" si="113"/>
        <v>#DIV/0!</v>
      </c>
      <c r="BO57" s="79">
        <f t="array" ref="BO57">SUMIFS('Cắt lồng'!$AC$327:$AC$515,'Cắt lồng'!$AA$327:$AA$515,'Cắt lồng'!$AA57,'Cắt lồng'!$AE$327:$AE$515,'Cắt lồng'!BO$4:BO$4)</f>
        <v>0</v>
      </c>
      <c r="BP57" s="79">
        <f t="array" ref="BP57">SUMIFS('Cắt lồng'!$AH$327:$AH$515,'Cắt lồng'!$AA$327:$AA$515,'Cắt lồng'!$AA57,'Cắt lồng'!$AE$327:$AE$515,'Cắt lồng'!BP$4:BP$4)</f>
        <v>0</v>
      </c>
      <c r="BQ57" s="78" t="e">
        <f t="shared" si="114"/>
        <v>#DIV/0!</v>
      </c>
      <c r="BR57" s="79">
        <f t="array" ref="BR57">SUMIFS('Cắt lồng'!$AC$327:$AC$515,'Cắt lồng'!$AA$327:$AA$515,'Cắt lồng'!$AA57,'Cắt lồng'!$AE$327:$AE$515,'Cắt lồng'!BR$4:BR$4)</f>
        <v>0</v>
      </c>
      <c r="BS57" s="79">
        <f t="array" ref="BS57">SUMIFS('Cắt lồng'!$AH$327:$AH$515,'Cắt lồng'!$AA$327:$AA$515,'Cắt lồng'!$AA57,'Cắt lồng'!$AE$327:$AE$515,'Cắt lồng'!BS$4:BS$4)</f>
        <v>0</v>
      </c>
      <c r="BT57" s="78" t="e">
        <f t="shared" si="115"/>
        <v>#DIV/0!</v>
      </c>
      <c r="BU57" s="79">
        <f t="array" ref="BU57">SUMIFS('Cắt lồng'!$AC$327:$AC$515,'Cắt lồng'!$AA$327:$AA$515,'Cắt lồng'!$AA57,'Cắt lồng'!$AE$327:$AE$515,'Cắt lồng'!BU$4:BU$4)</f>
        <v>0</v>
      </c>
      <c r="BV57" s="79">
        <f t="array" ref="BV57">SUMIFS('Cắt lồng'!$AH$327:$AH$515,'Cắt lồng'!$AA$327:$AA$515,'Cắt lồng'!$AA57,'Cắt lồng'!$AE$327:$AE$515,'Cắt lồng'!BV$4:BV$4)</f>
        <v>0</v>
      </c>
      <c r="BW57" s="78" t="e">
        <f t="shared" si="116"/>
        <v>#DIV/0!</v>
      </c>
      <c r="BX57" s="79">
        <f t="array" ref="BX57">SUMIFS('Cắt lồng'!$AC$327:$AC$515,'Cắt lồng'!$AA$327:$AA$515,'Cắt lồng'!$AA57,'Cắt lồng'!$AE$327:$AE$515,'Cắt lồng'!BX$4:BX$4)</f>
        <v>0</v>
      </c>
      <c r="BY57" s="79">
        <f t="array" ref="BY57">SUMIFS('Cắt lồng'!$AH$327:$AH$515,'Cắt lồng'!$AA$327:$AA$515,'Cắt lồng'!$AA57,'Cắt lồng'!$AE$327:$AE$515,'Cắt lồng'!BY$4:BY$4)</f>
        <v>0</v>
      </c>
      <c r="BZ57" s="78" t="e">
        <f t="shared" si="117"/>
        <v>#DIV/0!</v>
      </c>
      <c r="CA57" s="79">
        <f t="array" ref="CA57">SUMIFS('Cắt lồng'!$AC$327:$AC$515,'Cắt lồng'!$AA$327:$AA$515,'Cắt lồng'!$AA57,'Cắt lồng'!$AE$327:$AE$515,'Cắt lồng'!CA$4:CA$4)</f>
        <v>0</v>
      </c>
      <c r="CB57" s="79">
        <f t="array" ref="CB57">SUMIFS('Cắt lồng'!$AH$327:$AH$515,'Cắt lồng'!$AA$327:$AA$515,'Cắt lồng'!$AA57,'Cắt lồng'!$AE$327:$AE$515,'Cắt lồng'!CB$4:CB$4)</f>
        <v>0</v>
      </c>
      <c r="CC57" s="78" t="e">
        <f t="shared" si="118"/>
        <v>#DIV/0!</v>
      </c>
      <c r="CD57" s="79">
        <f t="array" ref="CD57">SUMIFS('Cắt lồng'!$AC$327:$AC$515,'Cắt lồng'!$AA$327:$AA$515,'Cắt lồng'!$AA57,'Cắt lồng'!$AE$327:$AE$515,'Cắt lồng'!CD$4:CD$4)</f>
        <v>0</v>
      </c>
      <c r="CE57" s="79">
        <f t="array" ref="CE57">SUMIFS('Cắt lồng'!$AH$327:$AH$515,'Cắt lồng'!$AA$327:$AA$515,'Cắt lồng'!$AA57,'Cắt lồng'!$AE$327:$AE$515,'Cắt lồng'!CE$4:CE$4)</f>
        <v>0</v>
      </c>
      <c r="CF57" s="78" t="e">
        <f t="shared" si="119"/>
        <v>#DIV/0!</v>
      </c>
      <c r="CG57" s="79">
        <f t="array" ref="CG57">SUMIFS('Cắt lồng'!$AC$327:$AC$515,'Cắt lồng'!$AA$327:$AA$515,'Cắt lồng'!$AA57,'Cắt lồng'!$AE$327:$AE$515,'Cắt lồng'!CG$4:CG$4)</f>
        <v>0</v>
      </c>
      <c r="CH57" s="79">
        <f t="array" ref="CH57">SUMIFS('Cắt lồng'!$AH$327:$AH$515,'Cắt lồng'!$AA$327:$AA$515,'Cắt lồng'!$AA57,'Cắt lồng'!$AE$327:$AE$515,'Cắt lồng'!CH$4:CH$4)</f>
        <v>0</v>
      </c>
      <c r="CI57" s="78" t="e">
        <f t="shared" si="120"/>
        <v>#DIV/0!</v>
      </c>
      <c r="CJ57" s="79">
        <f t="array" ref="CJ57">SUMIFS('Cắt lồng'!$AC$327:$AC$515,'Cắt lồng'!$AA$327:$AA$515,'Cắt lồng'!$AA57,'Cắt lồng'!$AE$327:$AE$515,'Cắt lồng'!CJ$4:CJ$4)</f>
        <v>0</v>
      </c>
      <c r="CK57" s="79">
        <f t="array" ref="CK57">SUMIFS('Cắt lồng'!$AH$327:$AH$515,'Cắt lồng'!$AA$327:$AA$515,'Cắt lồng'!$AA57,'Cắt lồng'!$AE$327:$AE$515,'Cắt lồng'!CK$4:CK$4)</f>
        <v>0</v>
      </c>
      <c r="CL57" s="78" t="e">
        <f t="shared" si="121"/>
        <v>#DIV/0!</v>
      </c>
      <c r="CM57" s="79">
        <f t="array" ref="CM57">SUMIFS('Cắt lồng'!$AC$327:$AC$515,'Cắt lồng'!$AA$327:$AA$515,'Cắt lồng'!$AA57,'Cắt lồng'!$AE$327:$AE$515,'Cắt lồng'!CM$4:CM$4)</f>
        <v>0</v>
      </c>
      <c r="CN57" s="79">
        <f t="array" ref="CN57">SUMIFS('Cắt lồng'!$AH$327:$AH$515,'Cắt lồng'!$AA$327:$AA$515,'Cắt lồng'!$AA57,'Cắt lồng'!$AE$327:$AE$515,'Cắt lồng'!CN$4:CN$4)</f>
        <v>0</v>
      </c>
      <c r="CO57" s="78" t="e">
        <f t="shared" si="122"/>
        <v>#DIV/0!</v>
      </c>
      <c r="CP57" s="79">
        <f t="array" ref="CP57">SUMIFS('Cắt lồng'!$AC$327:$AC$515,'Cắt lồng'!$AA$327:$AA$515,'Cắt lồng'!$AA57,'Cắt lồng'!$AE$327:$AE$515,'Cắt lồng'!CP$4:CP$4)</f>
        <v>0</v>
      </c>
      <c r="CQ57" s="79">
        <f t="array" ref="CQ57">SUMIFS('Cắt lồng'!$AH$327:$AH$515,'Cắt lồng'!$AA$327:$AA$515,'Cắt lồng'!$AA57,'Cắt lồng'!$AE$327:$AE$515,'Cắt lồng'!CQ$4:CQ$4)</f>
        <v>0</v>
      </c>
      <c r="CR57" s="78" t="e">
        <f t="shared" si="123"/>
        <v>#DIV/0!</v>
      </c>
      <c r="CS57" s="79">
        <f t="array" ref="CS57">SUMIFS('Cắt lồng'!$AC$327:$AC$515,'Cắt lồng'!$AA$327:$AA$515,'Cắt lồng'!$AA57,'Cắt lồng'!$AE$327:$AE$515,'Cắt lồng'!CS$4:CS$4)</f>
        <v>0</v>
      </c>
      <c r="CT57" s="79">
        <f t="array" ref="CT57">SUMIFS('Cắt lồng'!$AH$327:$AH$515,'Cắt lồng'!$AA$327:$AA$515,'Cắt lồng'!$AA57,'Cắt lồng'!$AE$327:$AE$515,'Cắt lồng'!CT$4:CT$4)</f>
        <v>0</v>
      </c>
      <c r="CU57" s="78" t="e">
        <f t="shared" si="124"/>
        <v>#DIV/0!</v>
      </c>
      <c r="CV57" s="79">
        <f t="array" ref="CV57">SUMIFS('Cắt lồng'!$AC$327:$AC$515,'Cắt lồng'!$AA$327:$AA$515,'Cắt lồng'!$AA57,'Cắt lồng'!$AE$327:$AE$515,'Cắt lồng'!CV$4:CV$4)</f>
        <v>0</v>
      </c>
      <c r="CW57" s="79">
        <f t="array" ref="CW57">SUMIFS('Cắt lồng'!$AH$327:$AH$515,'Cắt lồng'!$AA$327:$AA$515,'Cắt lồng'!$AA57,'Cắt lồng'!$AE$327:$AE$515,'Cắt lồng'!CW$4:CW$4)</f>
        <v>0</v>
      </c>
      <c r="CX57" s="78" t="e">
        <f t="shared" si="125"/>
        <v>#DIV/0!</v>
      </c>
      <c r="CY57" s="79">
        <f t="array" ref="CY57">SUMIFS('Cắt lồng'!$AC$327:$AC$515,'Cắt lồng'!$AA$327:$AA$515,'Cắt lồng'!$AA57,'Cắt lồng'!$AE$327:$AE$515,'Cắt lồng'!CY$4:CY$4)</f>
        <v>0</v>
      </c>
      <c r="CZ57" s="79">
        <f t="array" ref="CZ57">SUMIFS('Cắt lồng'!$AH$327:$AH$515,'Cắt lồng'!$AA$327:$AA$515,'Cắt lồng'!$AA57,'Cắt lồng'!$AE$327:$AE$515,'Cắt lồng'!CZ$4:CZ$4)</f>
        <v>0</v>
      </c>
      <c r="DA57" s="78" t="e">
        <f t="shared" si="126"/>
        <v>#DIV/0!</v>
      </c>
      <c r="DB57" s="79">
        <f t="array" ref="DB57">SUMIFS('Cắt lồng'!$AC$327:$AC$515,'Cắt lồng'!$AA$327:$AA$515,'Cắt lồng'!$AA57,'Cắt lồng'!$AE$327:$AE$515,'Cắt lồng'!DB$4:DB$4)</f>
        <v>0</v>
      </c>
      <c r="DC57" s="79">
        <f t="array" ref="DC57">SUMIFS('Cắt lồng'!$AH$327:$AH$515,'Cắt lồng'!$AA$327:$AA$515,'Cắt lồng'!$AA57,'Cắt lồng'!$AE$327:$AE$515,'Cắt lồng'!DC$4:DC$4)</f>
        <v>0</v>
      </c>
      <c r="DD57" s="78" t="e">
        <f t="shared" si="127"/>
        <v>#DIV/0!</v>
      </c>
      <c r="DE57" s="79">
        <f t="array" ref="DE57">SUMIFS('Cắt lồng'!$AC$327:$AC$515,'Cắt lồng'!$AA$327:$AA$515,'Cắt lồng'!$AA57,'Cắt lồng'!$AE$327:$AE$515,'Cắt lồng'!DE$4:DE$4)</f>
        <v>0</v>
      </c>
      <c r="DF57" s="79">
        <f t="array" ref="DF57">SUMIFS('Cắt lồng'!$AH$327:$AH$515,'Cắt lồng'!$AA$327:$AA$515,'Cắt lồng'!$AA57,'Cắt lồng'!$AE$327:$AE$515,'Cắt lồng'!DF$4:DF$4)</f>
        <v>0</v>
      </c>
      <c r="DG57" s="78" t="e">
        <f t="shared" si="128"/>
        <v>#DIV/0!</v>
      </c>
      <c r="DH57" s="79">
        <f t="array" ref="DH57">SUMIFS('Cắt lồng'!$AC$327:$AC$515,'Cắt lồng'!$AA$327:$AA$515,'Cắt lồng'!$AA57,'Cắt lồng'!$AE$327:$AE$515,'Cắt lồng'!DH$4:DH$4)</f>
        <v>0</v>
      </c>
      <c r="DI57" s="79">
        <f t="array" ref="DI57">SUMIFS('Cắt lồng'!$AH$327:$AH$515,'Cắt lồng'!$AA$327:$AA$515,'Cắt lồng'!$AA57,'Cắt lồng'!$AE$327:$AE$515,'Cắt lồng'!DI$4:DI$4)</f>
        <v>0</v>
      </c>
      <c r="DJ57" s="78" t="e">
        <f t="shared" si="129"/>
        <v>#DIV/0!</v>
      </c>
      <c r="DK57" s="79">
        <f t="array" ref="DK57">SUMIFS('Cắt lồng'!$AC$327:$AC$515,'Cắt lồng'!$AA$327:$AA$515,'Cắt lồng'!$AA57,'Cắt lồng'!$AE$327:$AE$515,'Cắt lồng'!DK$4:DK$4)</f>
        <v>0</v>
      </c>
      <c r="DL57" s="79">
        <f t="array" ref="DL57">SUMIFS('Cắt lồng'!$AH$327:$AH$515,'Cắt lồng'!$AA$327:$AA$515,'Cắt lồng'!$AA57,'Cắt lồng'!$AE$327:$AE$515,'Cắt lồng'!DL$4:DL$4)</f>
        <v>0</v>
      </c>
      <c r="DM57" s="78" t="e">
        <f t="shared" si="130"/>
        <v>#DIV/0!</v>
      </c>
      <c r="DN57" s="79">
        <f>SUMIFS('Cắt lồng'!$AC$327:$AC$515,'Cắt lồng'!$AA$327:$AA$515,'Cắt lồng'!$AA57,'Cắt lồng'!$AE$327:$AE$515,'Cắt lồng'!DN$4:DN$4)</f>
        <v>0</v>
      </c>
      <c r="DO57" s="79">
        <f t="array" ref="DO57">SUMIFS('Cắt lồng'!$AH$327:$AH$515,'Cắt lồng'!$AA$327:$AA$515,'Cắt lồng'!$AA57,'Cắt lồng'!$AE$327:$AE$515,'Cắt lồng'!DO$4:DO$4)</f>
        <v>0</v>
      </c>
      <c r="DP57" s="78" t="e">
        <f t="shared" si="131"/>
        <v>#DIV/0!</v>
      </c>
      <c r="DQ57" s="79">
        <f t="array" ref="DQ57">SUMIFS('Cắt lồng'!$AC$327:$AC$515,'Cắt lồng'!$AA$327:$AA$515,'Cắt lồng'!$AA57,'Cắt lồng'!$AE$327:$AE$515,'Cắt lồng'!DQ$4:DQ$4)</f>
        <v>0</v>
      </c>
      <c r="DR57" s="79">
        <f t="array" ref="DR57">SUMIFS('Cắt lồng'!$AH$327:$AH$515,'Cắt lồng'!$AA$327:$AA$515,'Cắt lồng'!$AA57,'Cắt lồng'!$AE$327:$AE$515,'Cắt lồng'!DR$4:DR$4)</f>
        <v>0</v>
      </c>
      <c r="DS57" s="78" t="e">
        <f t="shared" si="132"/>
        <v>#DIV/0!</v>
      </c>
      <c r="DT57" s="79">
        <f t="array" ref="DT57">SUMIFS('Cắt lồng'!$AC$327:$AC$515,'Cắt lồng'!$AA$327:$AA$515,'Cắt lồng'!$AA57,'Cắt lồng'!$AE$327:$AE$515,'Cắt lồng'!DT$4:DT$4)</f>
        <v>0</v>
      </c>
      <c r="DU57" s="79">
        <f t="array" ref="DU57">SUMIFS('Cắt lồng'!$AH$327:$AH$515,'Cắt lồng'!$AA$327:$AA$515,'Cắt lồng'!$AA57,'Cắt lồng'!$AE$327:$AE$515,'Cắt lồng'!DU$4:DU$4)</f>
        <v>0</v>
      </c>
      <c r="DV57" s="78" t="e">
        <f t="shared" si="133"/>
        <v>#DIV/0!</v>
      </c>
      <c r="DW57" s="79">
        <f t="array" ref="DW57">SUMIFS('Cắt lồng'!$AC$327:$AC$515,'Cắt lồng'!$AA$327:$AA$515,'Cắt lồng'!$AA57,'Cắt lồng'!$AE$327:$AE$515,'Cắt lồng'!DW$4:DW$4)</f>
        <v>0</v>
      </c>
      <c r="DX57" s="79">
        <f t="array" ref="DX57">SUMIFS('Cắt lồng'!$AH$327:$AH$515,'Cắt lồng'!$AA$327:$AA$515,'Cắt lồng'!$AA57,'Cắt lồng'!$AE$327:$AE$515,'Cắt lồng'!DX$4:DX$4)</f>
        <v>0</v>
      </c>
      <c r="DY57" s="78" t="e">
        <f t="shared" si="134"/>
        <v>#DIV/0!</v>
      </c>
      <c r="DZ57" s="79">
        <f t="array" ref="DZ57">SUMIFS('Cắt lồng'!$AC$327:$AC$515,'Cắt lồng'!$AA$327:$AA$515,'Cắt lồng'!$AA57,'Cắt lồng'!$AE$327:$AE$515,'Cắt lồng'!DZ$4:DZ$4)</f>
        <v>0</v>
      </c>
      <c r="EA57" s="79">
        <f t="array" ref="EA57">SUMIFS('Cắt lồng'!$AH$327:$AH$515,'Cắt lồng'!$AA$327:$AA$515,'Cắt lồng'!$AA57,'Cắt lồng'!$AE$327:$AE$515,'Cắt lồng'!EA$4:EA$4)</f>
        <v>0</v>
      </c>
      <c r="EB57" s="78" t="e">
        <f t="shared" si="135"/>
        <v>#DIV/0!</v>
      </c>
      <c r="EC57" s="79">
        <f t="array" ref="EC57">SUMIFS('Cắt lồng'!$AC$327:$AC$515,'Cắt lồng'!$AA$327:$AA$515,'Cắt lồng'!$AA57,'Cắt lồng'!$AE$327:$AE$515,'Cắt lồng'!EC$4:EC$4)</f>
        <v>0</v>
      </c>
      <c r="ED57" s="79">
        <f t="array" ref="ED57">SUMIFS('Cắt lồng'!$AH$327:$AH$515,'Cắt lồng'!$AA$327:$AA$515,'Cắt lồng'!$AA57,'Cắt lồng'!$AE$327:$AE$515,'Cắt lồng'!ED$4:ED$4)</f>
        <v>0</v>
      </c>
      <c r="EE57" s="78" t="e">
        <f t="shared" si="136"/>
        <v>#DIV/0!</v>
      </c>
      <c r="EF57" s="79">
        <f t="array" ref="EF57">SUMIFS('Cắt lồng'!$AC$327:$AC$515,'Cắt lồng'!$AA$327:$AA$515,'Cắt lồng'!$AA57,'Cắt lồng'!$AE$327:$AE$515,'Cắt lồng'!EF$4:EF$4)</f>
        <v>0</v>
      </c>
      <c r="EG57" s="79">
        <f t="array" ref="EG57">SUMIFS('Cắt lồng'!$AH$327:$AH$515,'Cắt lồng'!$AA$327:$AA$515,'Cắt lồng'!$AA57,'Cắt lồng'!$AE$327:$AE$515,'Cắt lồng'!EG$4:EG$4)</f>
        <v>0</v>
      </c>
      <c r="EH57" s="78" t="e">
        <f t="shared" si="137"/>
        <v>#DIV/0!</v>
      </c>
      <c r="EI57" s="79">
        <f t="array" ref="EI57">SUMIFS('Cắt lồng'!$AC$327:$AC$515,'Cắt lồng'!$AA$327:$AA$515,'Cắt lồng'!$AA57,'Cắt lồng'!$AE$327:$AE$515,'Cắt lồng'!EI$4:EI$4)</f>
        <v>0</v>
      </c>
      <c r="EJ57" s="79">
        <f t="array" ref="EJ57">SUMIFS('Cắt lồng'!$AH$327:$AH$515,'Cắt lồng'!$AA$327:$AA$515,'Cắt lồng'!$AA57,'Cắt lồng'!$AE$327:$AE$515,'Cắt lồng'!EJ$4:EJ$4)</f>
        <v>0</v>
      </c>
      <c r="EK57" s="78" t="e">
        <f t="shared" si="138"/>
        <v>#DIV/0!</v>
      </c>
      <c r="EL57" s="172"/>
    </row>
    <row r="58" spans="1:181" s="12" customFormat="1" ht="14.25" hidden="1" customHeight="1">
      <c r="A58" s="25">
        <v>50</v>
      </c>
      <c r="B58" s="26"/>
      <c r="C58" s="26"/>
      <c r="D58" s="185">
        <f t="shared" si="140"/>
        <v>0</v>
      </c>
      <c r="E58" s="184">
        <f t="shared" si="141"/>
        <v>0</v>
      </c>
      <c r="F58" s="56"/>
      <c r="G58" s="82">
        <f t="shared" si="79"/>
        <v>0</v>
      </c>
      <c r="H58" s="81">
        <f t="shared" si="80"/>
        <v>0</v>
      </c>
      <c r="I58" s="19">
        <f t="shared" si="81"/>
        <v>0</v>
      </c>
      <c r="J58" s="11">
        <f t="shared" si="82"/>
        <v>0</v>
      </c>
      <c r="K58" s="19">
        <f t="shared" si="83"/>
        <v>0</v>
      </c>
      <c r="L58" s="19">
        <f t="shared" si="84"/>
        <v>0</v>
      </c>
      <c r="M58" s="19">
        <f t="shared" si="85"/>
        <v>0</v>
      </c>
      <c r="N58" s="19">
        <f t="shared" si="86"/>
        <v>0</v>
      </c>
      <c r="O58" s="19">
        <f t="shared" si="87"/>
        <v>0</v>
      </c>
      <c r="P58" s="19">
        <f t="shared" si="88"/>
        <v>0</v>
      </c>
      <c r="Q58" s="19">
        <f t="shared" si="89"/>
        <v>0</v>
      </c>
      <c r="R58" s="19">
        <f t="shared" si="90"/>
        <v>0</v>
      </c>
      <c r="S58" s="19">
        <f t="shared" si="91"/>
        <v>0</v>
      </c>
      <c r="T58" s="19">
        <f t="shared" si="92"/>
        <v>0</v>
      </c>
      <c r="U58" s="19">
        <f t="shared" si="93"/>
        <v>0</v>
      </c>
      <c r="V58" s="19">
        <f t="shared" si="94"/>
        <v>0</v>
      </c>
      <c r="W58" s="19">
        <f t="shared" si="95"/>
        <v>0</v>
      </c>
      <c r="X58" s="19">
        <f t="shared" si="96"/>
        <v>0</v>
      </c>
      <c r="Y58" s="19">
        <f t="shared" si="97"/>
        <v>0</v>
      </c>
      <c r="Z58" s="19">
        <f t="shared" si="98"/>
        <v>0</v>
      </c>
      <c r="AA58" s="183" t="s">
        <v>243</v>
      </c>
      <c r="AB58" s="129">
        <f t="shared" si="142"/>
        <v>0</v>
      </c>
      <c r="AC58" s="16">
        <f t="shared" si="143"/>
        <v>0</v>
      </c>
      <c r="AD58" s="15" t="e">
        <f t="shared" si="99"/>
        <v>#DIV/0!</v>
      </c>
      <c r="AE58" s="42"/>
      <c r="AF58" s="10" t="e">
        <f t="shared" si="100"/>
        <v>#DIV/0!</v>
      </c>
      <c r="AG58" s="10"/>
      <c r="AH58" s="152">
        <f t="shared" si="139"/>
        <v>0</v>
      </c>
      <c r="AI58" s="54" t="e">
        <f t="shared" si="101"/>
        <v>#DIV/0!</v>
      </c>
      <c r="AJ58" s="12">
        <f t="shared" si="102"/>
        <v>0</v>
      </c>
      <c r="AK58" s="12">
        <f t="shared" si="103"/>
        <v>0</v>
      </c>
      <c r="AL58" s="12">
        <f t="shared" si="104"/>
        <v>0</v>
      </c>
      <c r="AM58" s="80">
        <f t="shared" si="73"/>
        <v>0</v>
      </c>
      <c r="AN58" s="80">
        <f t="shared" si="74"/>
        <v>0</v>
      </c>
      <c r="AO58" s="80">
        <f t="shared" si="75"/>
        <v>0</v>
      </c>
      <c r="AP58" s="80">
        <f t="shared" si="76"/>
        <v>0</v>
      </c>
      <c r="AQ58" s="80">
        <f t="shared" si="77"/>
        <v>0</v>
      </c>
      <c r="AR58" s="80">
        <f t="shared" si="105"/>
        <v>0</v>
      </c>
      <c r="AS58" s="80">
        <f t="shared" si="106"/>
        <v>0</v>
      </c>
      <c r="AT58" s="80">
        <f t="shared" si="78"/>
        <v>0</v>
      </c>
      <c r="AV58" s="79">
        <f t="shared" si="107"/>
        <v>0</v>
      </c>
      <c r="AW58" s="79">
        <f t="array" ref="AW58">SUMIFS('Cắt lồng'!$AC$327:$AC$515,'Cắt lồng'!$AA$327:$AA$515,'Cắt lồng'!$AA58,'Cắt lồng'!$AE$327:$AE$515,'Cắt lồng'!AW$4:AW$4)</f>
        <v>0</v>
      </c>
      <c r="AX58" s="79">
        <f t="array" ref="AX58">SUMIFS('Cắt lồng'!$AH$327:$AH$515,'Cắt lồng'!$AA$327:$AA$515,'Cắt lồng'!$AA58,'Cắt lồng'!$AE$327:$AE$515,'Cắt lồng'!AX$4:AX$4)</f>
        <v>0</v>
      </c>
      <c r="AY58" s="78" t="e">
        <f t="shared" si="108"/>
        <v>#DIV/0!</v>
      </c>
      <c r="AZ58" s="79">
        <f t="array" ref="AZ58">SUMIFS('Cắt lồng'!$AC$327:$AC$515,'Cắt lồng'!$AA$327:$AA$515,'Cắt lồng'!$AA58,'Cắt lồng'!$AE$327:$AE$515,'Cắt lồng'!AZ$4:AZ$4)</f>
        <v>0</v>
      </c>
      <c r="BA58" s="79">
        <f t="array" ref="BA58">SUMIFS('Cắt lồng'!$AH$327:$AH$515,'Cắt lồng'!$AA$327:$AA$515,'Cắt lồng'!$AA58,'Cắt lồng'!$AE$327:$AE$515,'Cắt lồng'!BA$4:BA$4)</f>
        <v>0</v>
      </c>
      <c r="BB58" s="78" t="e">
        <f t="shared" si="109"/>
        <v>#DIV/0!</v>
      </c>
      <c r="BC58" s="79">
        <f t="array" ref="BC58">SUMIFS('Cắt lồng'!$AC$327:$AC$515,'Cắt lồng'!$AA$327:$AA$515,'Cắt lồng'!$AA58,'Cắt lồng'!$AE$327:$AE$515,'Cắt lồng'!BC$4:BC$4)</f>
        <v>0</v>
      </c>
      <c r="BD58" s="79">
        <f t="array" ref="BD58">SUMIFS('Cắt lồng'!$AH$327:$AH$515,'Cắt lồng'!$AA$327:$AA$515,'Cắt lồng'!$AA58,'Cắt lồng'!$AE$327:$AE$515,'Cắt lồng'!BD$4:BD$4)</f>
        <v>0</v>
      </c>
      <c r="BE58" s="78" t="e">
        <f t="shared" si="110"/>
        <v>#DIV/0!</v>
      </c>
      <c r="BF58" s="79">
        <f t="array" ref="BF58">SUMIFS('Cắt lồng'!$AC$327:$AC$515,'Cắt lồng'!$AA$327:$AA$515,'Cắt lồng'!$AA58,'Cắt lồng'!$AE$327:$AE$515,'Cắt lồng'!BF$4:BF$4)</f>
        <v>0</v>
      </c>
      <c r="BG58" s="79">
        <f t="array" ref="BG58">SUMIFS('Cắt lồng'!$AH$327:$AH$515,'Cắt lồng'!$AA$327:$AA$515,'Cắt lồng'!$AA58,'Cắt lồng'!$AE$327:$AE$515,'Cắt lồng'!BG$4:BG$4)</f>
        <v>0</v>
      </c>
      <c r="BH58" s="78" t="e">
        <f t="shared" si="111"/>
        <v>#DIV/0!</v>
      </c>
      <c r="BI58" s="79">
        <f t="array" ref="BI58">SUMIFS('Cắt lồng'!$AC$327:$AC$515,'Cắt lồng'!$AA$327:$AA$515,'Cắt lồng'!$AA58,'Cắt lồng'!$AE$327:$AE$515,'Cắt lồng'!BI$4:BI$4)</f>
        <v>0</v>
      </c>
      <c r="BJ58" s="79">
        <f t="array" ref="BJ58">SUMIFS('Cắt lồng'!$AH$327:$AH$515,'Cắt lồng'!$AA$327:$AA$515,'Cắt lồng'!$AA58,'Cắt lồng'!$AE$327:$AE$515,'Cắt lồng'!BJ$4:BJ$4)</f>
        <v>0</v>
      </c>
      <c r="BK58" s="78" t="e">
        <f t="shared" si="112"/>
        <v>#DIV/0!</v>
      </c>
      <c r="BL58" s="79">
        <f t="array" ref="BL58">SUMIFS('Cắt lồng'!$AC$327:$AC$515,'Cắt lồng'!$AA$327:$AA$515,'Cắt lồng'!$AA58,'Cắt lồng'!$AE$327:$AE$515,'Cắt lồng'!BL$4:BL$4)</f>
        <v>0</v>
      </c>
      <c r="BM58" s="79">
        <f t="array" ref="BM58">SUMIFS('Cắt lồng'!$AH$327:$AH$515,'Cắt lồng'!$AA$327:$AA$515,'Cắt lồng'!$AA58,'Cắt lồng'!$AE$327:$AE$515,'Cắt lồng'!BM$4:BM$4)</f>
        <v>0</v>
      </c>
      <c r="BN58" s="78" t="e">
        <f t="shared" si="113"/>
        <v>#DIV/0!</v>
      </c>
      <c r="BO58" s="79">
        <f t="array" ref="BO58">SUMIFS('Cắt lồng'!$AC$327:$AC$515,'Cắt lồng'!$AA$327:$AA$515,'Cắt lồng'!$AA58,'Cắt lồng'!$AE$327:$AE$515,'Cắt lồng'!BO$4:BO$4)</f>
        <v>0</v>
      </c>
      <c r="BP58" s="79">
        <f t="array" ref="BP58">SUMIFS('Cắt lồng'!$AH$327:$AH$515,'Cắt lồng'!$AA$327:$AA$515,'Cắt lồng'!$AA58,'Cắt lồng'!$AE$327:$AE$515,'Cắt lồng'!BP$4:BP$4)</f>
        <v>0</v>
      </c>
      <c r="BQ58" s="78" t="e">
        <f t="shared" si="114"/>
        <v>#DIV/0!</v>
      </c>
      <c r="BR58" s="79">
        <f t="array" ref="BR58">SUMIFS('Cắt lồng'!$AC$327:$AC$515,'Cắt lồng'!$AA$327:$AA$515,'Cắt lồng'!$AA58,'Cắt lồng'!$AE$327:$AE$515,'Cắt lồng'!BR$4:BR$4)</f>
        <v>0</v>
      </c>
      <c r="BS58" s="79">
        <f t="array" ref="BS58">SUMIFS('Cắt lồng'!$AH$327:$AH$515,'Cắt lồng'!$AA$327:$AA$515,'Cắt lồng'!$AA58,'Cắt lồng'!$AE$327:$AE$515,'Cắt lồng'!BS$4:BS$4)</f>
        <v>0</v>
      </c>
      <c r="BT58" s="78" t="e">
        <f t="shared" si="115"/>
        <v>#DIV/0!</v>
      </c>
      <c r="BU58" s="79">
        <f t="array" ref="BU58">SUMIFS('Cắt lồng'!$AC$327:$AC$515,'Cắt lồng'!$AA$327:$AA$515,'Cắt lồng'!$AA58,'Cắt lồng'!$AE$327:$AE$515,'Cắt lồng'!BU$4:BU$4)</f>
        <v>0</v>
      </c>
      <c r="BV58" s="79">
        <f t="array" ref="BV58">SUMIFS('Cắt lồng'!$AH$327:$AH$515,'Cắt lồng'!$AA$327:$AA$515,'Cắt lồng'!$AA58,'Cắt lồng'!$AE$327:$AE$515,'Cắt lồng'!BV$4:BV$4)</f>
        <v>0</v>
      </c>
      <c r="BW58" s="78" t="e">
        <f t="shared" si="116"/>
        <v>#DIV/0!</v>
      </c>
      <c r="BX58" s="79">
        <f t="array" ref="BX58">SUMIFS('Cắt lồng'!$AC$327:$AC$515,'Cắt lồng'!$AA$327:$AA$515,'Cắt lồng'!$AA58,'Cắt lồng'!$AE$327:$AE$515,'Cắt lồng'!BX$4:BX$4)</f>
        <v>0</v>
      </c>
      <c r="BY58" s="79">
        <f t="array" ref="BY58">SUMIFS('Cắt lồng'!$AH$327:$AH$515,'Cắt lồng'!$AA$327:$AA$515,'Cắt lồng'!$AA58,'Cắt lồng'!$AE$327:$AE$515,'Cắt lồng'!BY$4:BY$4)</f>
        <v>0</v>
      </c>
      <c r="BZ58" s="78" t="e">
        <f t="shared" si="117"/>
        <v>#DIV/0!</v>
      </c>
      <c r="CA58" s="79">
        <f t="array" ref="CA58">SUMIFS('Cắt lồng'!$AC$327:$AC$515,'Cắt lồng'!$AA$327:$AA$515,'Cắt lồng'!$AA58,'Cắt lồng'!$AE$327:$AE$515,'Cắt lồng'!CA$4:CA$4)</f>
        <v>0</v>
      </c>
      <c r="CB58" s="79">
        <f t="array" ref="CB58">SUMIFS('Cắt lồng'!$AH$327:$AH$515,'Cắt lồng'!$AA$327:$AA$515,'Cắt lồng'!$AA58,'Cắt lồng'!$AE$327:$AE$515,'Cắt lồng'!CB$4:CB$4)</f>
        <v>0</v>
      </c>
      <c r="CC58" s="78" t="e">
        <f t="shared" si="118"/>
        <v>#DIV/0!</v>
      </c>
      <c r="CD58" s="79">
        <f t="array" ref="CD58">SUMIFS('Cắt lồng'!$AC$327:$AC$515,'Cắt lồng'!$AA$327:$AA$515,'Cắt lồng'!$AA58,'Cắt lồng'!$AE$327:$AE$515,'Cắt lồng'!CD$4:CD$4)</f>
        <v>0</v>
      </c>
      <c r="CE58" s="79">
        <f t="array" ref="CE58">SUMIFS('Cắt lồng'!$AH$327:$AH$515,'Cắt lồng'!$AA$327:$AA$515,'Cắt lồng'!$AA58,'Cắt lồng'!$AE$327:$AE$515,'Cắt lồng'!CE$4:CE$4)</f>
        <v>0</v>
      </c>
      <c r="CF58" s="78" t="e">
        <f t="shared" si="119"/>
        <v>#DIV/0!</v>
      </c>
      <c r="CG58" s="79">
        <f t="array" ref="CG58">SUMIFS('Cắt lồng'!$AC$327:$AC$515,'Cắt lồng'!$AA$327:$AA$515,'Cắt lồng'!$AA58,'Cắt lồng'!$AE$327:$AE$515,'Cắt lồng'!CG$4:CG$4)</f>
        <v>0</v>
      </c>
      <c r="CH58" s="79">
        <f t="array" ref="CH58">SUMIFS('Cắt lồng'!$AH$327:$AH$515,'Cắt lồng'!$AA$327:$AA$515,'Cắt lồng'!$AA58,'Cắt lồng'!$AE$327:$AE$515,'Cắt lồng'!CH$4:CH$4)</f>
        <v>0</v>
      </c>
      <c r="CI58" s="78" t="e">
        <f t="shared" si="120"/>
        <v>#DIV/0!</v>
      </c>
      <c r="CJ58" s="79">
        <f t="array" ref="CJ58">SUMIFS('Cắt lồng'!$AC$327:$AC$515,'Cắt lồng'!$AA$327:$AA$515,'Cắt lồng'!$AA58,'Cắt lồng'!$AE$327:$AE$515,'Cắt lồng'!CJ$4:CJ$4)</f>
        <v>0</v>
      </c>
      <c r="CK58" s="79">
        <f t="array" ref="CK58">SUMIFS('Cắt lồng'!$AH$327:$AH$515,'Cắt lồng'!$AA$327:$AA$515,'Cắt lồng'!$AA58,'Cắt lồng'!$AE$327:$AE$515,'Cắt lồng'!CK$4:CK$4)</f>
        <v>0</v>
      </c>
      <c r="CL58" s="78" t="e">
        <f t="shared" si="121"/>
        <v>#DIV/0!</v>
      </c>
      <c r="CM58" s="79">
        <f t="array" ref="CM58">SUMIFS('Cắt lồng'!$AC$327:$AC$515,'Cắt lồng'!$AA$327:$AA$515,'Cắt lồng'!$AA58,'Cắt lồng'!$AE$327:$AE$515,'Cắt lồng'!CM$4:CM$4)</f>
        <v>0</v>
      </c>
      <c r="CN58" s="79">
        <f t="array" ref="CN58">SUMIFS('Cắt lồng'!$AH$327:$AH$515,'Cắt lồng'!$AA$327:$AA$515,'Cắt lồng'!$AA58,'Cắt lồng'!$AE$327:$AE$515,'Cắt lồng'!CN$4:CN$4)</f>
        <v>0</v>
      </c>
      <c r="CO58" s="78" t="e">
        <f t="shared" si="122"/>
        <v>#DIV/0!</v>
      </c>
      <c r="CP58" s="79">
        <f t="array" ref="CP58">SUMIFS('Cắt lồng'!$AC$327:$AC$515,'Cắt lồng'!$AA$327:$AA$515,'Cắt lồng'!$AA58,'Cắt lồng'!$AE$327:$AE$515,'Cắt lồng'!CP$4:CP$4)</f>
        <v>0</v>
      </c>
      <c r="CQ58" s="79">
        <f t="array" ref="CQ58">SUMIFS('Cắt lồng'!$AH$327:$AH$515,'Cắt lồng'!$AA$327:$AA$515,'Cắt lồng'!$AA58,'Cắt lồng'!$AE$327:$AE$515,'Cắt lồng'!CQ$4:CQ$4)</f>
        <v>0</v>
      </c>
      <c r="CR58" s="78" t="e">
        <f t="shared" si="123"/>
        <v>#DIV/0!</v>
      </c>
      <c r="CS58" s="79">
        <f t="array" ref="CS58">SUMIFS('Cắt lồng'!$AC$327:$AC$515,'Cắt lồng'!$AA$327:$AA$515,'Cắt lồng'!$AA58,'Cắt lồng'!$AE$327:$AE$515,'Cắt lồng'!CS$4:CS$4)</f>
        <v>0</v>
      </c>
      <c r="CT58" s="79">
        <f t="array" ref="CT58">SUMIFS('Cắt lồng'!$AH$327:$AH$515,'Cắt lồng'!$AA$327:$AA$515,'Cắt lồng'!$AA58,'Cắt lồng'!$AE$327:$AE$515,'Cắt lồng'!CT$4:CT$4)</f>
        <v>0</v>
      </c>
      <c r="CU58" s="78" t="e">
        <f t="shared" si="124"/>
        <v>#DIV/0!</v>
      </c>
      <c r="CV58" s="79">
        <f t="array" ref="CV58">SUMIFS('Cắt lồng'!$AC$327:$AC$515,'Cắt lồng'!$AA$327:$AA$515,'Cắt lồng'!$AA58,'Cắt lồng'!$AE$327:$AE$515,'Cắt lồng'!CV$4:CV$4)</f>
        <v>0</v>
      </c>
      <c r="CW58" s="79">
        <f t="array" ref="CW58">SUMIFS('Cắt lồng'!$AH$327:$AH$515,'Cắt lồng'!$AA$327:$AA$515,'Cắt lồng'!$AA58,'Cắt lồng'!$AE$327:$AE$515,'Cắt lồng'!CW$4:CW$4)</f>
        <v>0</v>
      </c>
      <c r="CX58" s="78" t="e">
        <f t="shared" si="125"/>
        <v>#DIV/0!</v>
      </c>
      <c r="CY58" s="79">
        <f t="array" ref="CY58">SUMIFS('Cắt lồng'!$AC$327:$AC$515,'Cắt lồng'!$AA$327:$AA$515,'Cắt lồng'!$AA58,'Cắt lồng'!$AE$327:$AE$515,'Cắt lồng'!CY$4:CY$4)</f>
        <v>0</v>
      </c>
      <c r="CZ58" s="79">
        <f t="array" ref="CZ58">SUMIFS('Cắt lồng'!$AH$327:$AH$515,'Cắt lồng'!$AA$327:$AA$515,'Cắt lồng'!$AA58,'Cắt lồng'!$AE$327:$AE$515,'Cắt lồng'!CZ$4:CZ$4)</f>
        <v>0</v>
      </c>
      <c r="DA58" s="78" t="e">
        <f t="shared" si="126"/>
        <v>#DIV/0!</v>
      </c>
      <c r="DB58" s="79">
        <f t="array" ref="DB58">SUMIFS('Cắt lồng'!$AC$327:$AC$515,'Cắt lồng'!$AA$327:$AA$515,'Cắt lồng'!$AA58,'Cắt lồng'!$AE$327:$AE$515,'Cắt lồng'!DB$4:DB$4)</f>
        <v>0</v>
      </c>
      <c r="DC58" s="79">
        <f t="array" ref="DC58">SUMIFS('Cắt lồng'!$AH$327:$AH$515,'Cắt lồng'!$AA$327:$AA$515,'Cắt lồng'!$AA58,'Cắt lồng'!$AE$327:$AE$515,'Cắt lồng'!DC$4:DC$4)</f>
        <v>0</v>
      </c>
      <c r="DD58" s="78" t="e">
        <f t="shared" si="127"/>
        <v>#DIV/0!</v>
      </c>
      <c r="DE58" s="79">
        <f t="array" ref="DE58">SUMIFS('Cắt lồng'!$AC$327:$AC$515,'Cắt lồng'!$AA$327:$AA$515,'Cắt lồng'!$AA58,'Cắt lồng'!$AE$327:$AE$515,'Cắt lồng'!DE$4:DE$4)</f>
        <v>0</v>
      </c>
      <c r="DF58" s="79">
        <f t="array" ref="DF58">SUMIFS('Cắt lồng'!$AH$327:$AH$515,'Cắt lồng'!$AA$327:$AA$515,'Cắt lồng'!$AA58,'Cắt lồng'!$AE$327:$AE$515,'Cắt lồng'!DF$4:DF$4)</f>
        <v>0</v>
      </c>
      <c r="DG58" s="78" t="e">
        <f t="shared" si="128"/>
        <v>#DIV/0!</v>
      </c>
      <c r="DH58" s="79">
        <f t="array" ref="DH58">SUMIFS('Cắt lồng'!$AC$327:$AC$515,'Cắt lồng'!$AA$327:$AA$515,'Cắt lồng'!$AA58,'Cắt lồng'!$AE$327:$AE$515,'Cắt lồng'!DH$4:DH$4)</f>
        <v>0</v>
      </c>
      <c r="DI58" s="79">
        <f t="array" ref="DI58">SUMIFS('Cắt lồng'!$AH$327:$AH$515,'Cắt lồng'!$AA$327:$AA$515,'Cắt lồng'!$AA58,'Cắt lồng'!$AE$327:$AE$515,'Cắt lồng'!DI$4:DI$4)</f>
        <v>0</v>
      </c>
      <c r="DJ58" s="78" t="e">
        <f t="shared" si="129"/>
        <v>#DIV/0!</v>
      </c>
      <c r="DK58" s="79">
        <f t="array" ref="DK58">SUMIFS('Cắt lồng'!$AC$327:$AC$515,'Cắt lồng'!$AA$327:$AA$515,'Cắt lồng'!$AA58,'Cắt lồng'!$AE$327:$AE$515,'Cắt lồng'!DK$4:DK$4)</f>
        <v>0</v>
      </c>
      <c r="DL58" s="79">
        <f t="array" ref="DL58">SUMIFS('Cắt lồng'!$AH$327:$AH$515,'Cắt lồng'!$AA$327:$AA$515,'Cắt lồng'!$AA58,'Cắt lồng'!$AE$327:$AE$515,'Cắt lồng'!DL$4:DL$4)</f>
        <v>0</v>
      </c>
      <c r="DM58" s="78" t="e">
        <f t="shared" si="130"/>
        <v>#DIV/0!</v>
      </c>
      <c r="DN58" s="79">
        <f>SUMIFS('Cắt lồng'!$AC$327:$AC$515,'Cắt lồng'!$AA$327:$AA$515,'Cắt lồng'!$AA58,'Cắt lồng'!$AE$327:$AE$515,'Cắt lồng'!DN$4:DN$4)</f>
        <v>0</v>
      </c>
      <c r="DO58" s="79">
        <f t="array" ref="DO58">SUMIFS('Cắt lồng'!$AH$327:$AH$515,'Cắt lồng'!$AA$327:$AA$515,'Cắt lồng'!$AA58,'Cắt lồng'!$AE$327:$AE$515,'Cắt lồng'!DO$4:DO$4)</f>
        <v>0</v>
      </c>
      <c r="DP58" s="78" t="e">
        <f t="shared" si="131"/>
        <v>#DIV/0!</v>
      </c>
      <c r="DQ58" s="79">
        <f t="array" ref="DQ58">SUMIFS('Cắt lồng'!$AC$327:$AC$515,'Cắt lồng'!$AA$327:$AA$515,'Cắt lồng'!$AA58,'Cắt lồng'!$AE$327:$AE$515,'Cắt lồng'!DQ$4:DQ$4)</f>
        <v>0</v>
      </c>
      <c r="DR58" s="79">
        <f t="array" ref="DR58">SUMIFS('Cắt lồng'!$AH$327:$AH$515,'Cắt lồng'!$AA$327:$AA$515,'Cắt lồng'!$AA58,'Cắt lồng'!$AE$327:$AE$515,'Cắt lồng'!DR$4:DR$4)</f>
        <v>0</v>
      </c>
      <c r="DS58" s="78" t="e">
        <f t="shared" si="132"/>
        <v>#DIV/0!</v>
      </c>
      <c r="DT58" s="79">
        <f t="array" ref="DT58">SUMIFS('Cắt lồng'!$AC$327:$AC$515,'Cắt lồng'!$AA$327:$AA$515,'Cắt lồng'!$AA58,'Cắt lồng'!$AE$327:$AE$515,'Cắt lồng'!DT$4:DT$4)</f>
        <v>0</v>
      </c>
      <c r="DU58" s="79">
        <f t="array" ref="DU58">SUMIFS('Cắt lồng'!$AH$327:$AH$515,'Cắt lồng'!$AA$327:$AA$515,'Cắt lồng'!$AA58,'Cắt lồng'!$AE$327:$AE$515,'Cắt lồng'!DU$4:DU$4)</f>
        <v>0</v>
      </c>
      <c r="DV58" s="78" t="e">
        <f t="shared" si="133"/>
        <v>#DIV/0!</v>
      </c>
      <c r="DW58" s="79">
        <f t="array" ref="DW58">SUMIFS('Cắt lồng'!$AC$327:$AC$515,'Cắt lồng'!$AA$327:$AA$515,'Cắt lồng'!$AA58,'Cắt lồng'!$AE$327:$AE$515,'Cắt lồng'!DW$4:DW$4)</f>
        <v>0</v>
      </c>
      <c r="DX58" s="79">
        <f t="array" ref="DX58">SUMIFS('Cắt lồng'!$AH$327:$AH$515,'Cắt lồng'!$AA$327:$AA$515,'Cắt lồng'!$AA58,'Cắt lồng'!$AE$327:$AE$515,'Cắt lồng'!DX$4:DX$4)</f>
        <v>0</v>
      </c>
      <c r="DY58" s="78" t="e">
        <f t="shared" si="134"/>
        <v>#DIV/0!</v>
      </c>
      <c r="DZ58" s="79">
        <f t="array" ref="DZ58">SUMIFS('Cắt lồng'!$AC$327:$AC$515,'Cắt lồng'!$AA$327:$AA$515,'Cắt lồng'!$AA58,'Cắt lồng'!$AE$327:$AE$515,'Cắt lồng'!DZ$4:DZ$4)</f>
        <v>0</v>
      </c>
      <c r="EA58" s="79">
        <f t="array" ref="EA58">SUMIFS('Cắt lồng'!$AH$327:$AH$515,'Cắt lồng'!$AA$327:$AA$515,'Cắt lồng'!$AA58,'Cắt lồng'!$AE$327:$AE$515,'Cắt lồng'!EA$4:EA$4)</f>
        <v>0</v>
      </c>
      <c r="EB58" s="78" t="e">
        <f t="shared" si="135"/>
        <v>#DIV/0!</v>
      </c>
      <c r="EC58" s="79">
        <f t="array" ref="EC58">SUMIFS('Cắt lồng'!$AC$327:$AC$515,'Cắt lồng'!$AA$327:$AA$515,'Cắt lồng'!$AA58,'Cắt lồng'!$AE$327:$AE$515,'Cắt lồng'!EC$4:EC$4)</f>
        <v>0</v>
      </c>
      <c r="ED58" s="79">
        <f t="array" ref="ED58">SUMIFS('Cắt lồng'!$AH$327:$AH$515,'Cắt lồng'!$AA$327:$AA$515,'Cắt lồng'!$AA58,'Cắt lồng'!$AE$327:$AE$515,'Cắt lồng'!ED$4:ED$4)</f>
        <v>0</v>
      </c>
      <c r="EE58" s="78" t="e">
        <f t="shared" si="136"/>
        <v>#DIV/0!</v>
      </c>
      <c r="EF58" s="79">
        <f t="array" ref="EF58">SUMIFS('Cắt lồng'!$AC$327:$AC$515,'Cắt lồng'!$AA$327:$AA$515,'Cắt lồng'!$AA58,'Cắt lồng'!$AE$327:$AE$515,'Cắt lồng'!EF$4:EF$4)</f>
        <v>0</v>
      </c>
      <c r="EG58" s="79">
        <f t="array" ref="EG58">SUMIFS('Cắt lồng'!$AH$327:$AH$515,'Cắt lồng'!$AA$327:$AA$515,'Cắt lồng'!$AA58,'Cắt lồng'!$AE$327:$AE$515,'Cắt lồng'!EG$4:EG$4)</f>
        <v>0</v>
      </c>
      <c r="EH58" s="78" t="e">
        <f t="shared" si="137"/>
        <v>#DIV/0!</v>
      </c>
      <c r="EI58" s="79">
        <f t="array" ref="EI58">SUMIFS('Cắt lồng'!$AC$327:$AC$515,'Cắt lồng'!$AA$327:$AA$515,'Cắt lồng'!$AA58,'Cắt lồng'!$AE$327:$AE$515,'Cắt lồng'!EI$4:EI$4)</f>
        <v>0</v>
      </c>
      <c r="EJ58" s="79">
        <f t="array" ref="EJ58">SUMIFS('Cắt lồng'!$AH$327:$AH$515,'Cắt lồng'!$AA$327:$AA$515,'Cắt lồng'!$AA58,'Cắt lồng'!$AE$327:$AE$515,'Cắt lồng'!EJ$4:EJ$4)</f>
        <v>0</v>
      </c>
      <c r="EK58" s="78" t="e">
        <f t="shared" si="138"/>
        <v>#DIV/0!</v>
      </c>
      <c r="EL58" s="172"/>
    </row>
    <row r="59" spans="1:181" s="12" customFormat="1" ht="14.25" hidden="1" customHeight="1">
      <c r="A59" s="25">
        <v>51</v>
      </c>
      <c r="B59" s="26"/>
      <c r="C59" s="26"/>
      <c r="D59" s="185" t="e">
        <f t="shared" si="140"/>
        <v>#VALUE!</v>
      </c>
      <c r="E59" s="184">
        <f t="shared" si="141"/>
        <v>231784</v>
      </c>
      <c r="F59" s="25"/>
      <c r="G59" s="82">
        <f t="shared" si="79"/>
        <v>0</v>
      </c>
      <c r="H59" s="81">
        <f t="shared" si="80"/>
        <v>41.16</v>
      </c>
      <c r="I59" s="19">
        <f t="shared" si="81"/>
        <v>3</v>
      </c>
      <c r="J59" s="11">
        <f t="shared" si="82"/>
        <v>6.82</v>
      </c>
      <c r="K59" s="19">
        <f t="shared" si="83"/>
        <v>0</v>
      </c>
      <c r="L59" s="19">
        <f t="shared" si="84"/>
        <v>0</v>
      </c>
      <c r="M59" s="19">
        <f t="shared" si="85"/>
        <v>0</v>
      </c>
      <c r="N59" s="19">
        <f t="shared" si="86"/>
        <v>1.1600000000000001</v>
      </c>
      <c r="O59" s="19">
        <f t="shared" si="87"/>
        <v>0</v>
      </c>
      <c r="P59" s="19">
        <f t="shared" si="88"/>
        <v>0</v>
      </c>
      <c r="Q59" s="19">
        <f t="shared" si="89"/>
        <v>0</v>
      </c>
      <c r="R59" s="19">
        <f t="shared" si="90"/>
        <v>0</v>
      </c>
      <c r="S59" s="19">
        <f t="shared" si="91"/>
        <v>0</v>
      </c>
      <c r="T59" s="19">
        <f t="shared" si="92"/>
        <v>2.34</v>
      </c>
      <c r="U59" s="19">
        <f t="shared" si="93"/>
        <v>0</v>
      </c>
      <c r="V59" s="19">
        <f t="shared" si="94"/>
        <v>2</v>
      </c>
      <c r="W59" s="19">
        <f t="shared" si="95"/>
        <v>0</v>
      </c>
      <c r="X59" s="19">
        <f t="shared" si="96"/>
        <v>1.32</v>
      </c>
      <c r="Y59" s="19">
        <f t="shared" si="97"/>
        <v>0</v>
      </c>
      <c r="Z59" s="19">
        <f t="shared" si="98"/>
        <v>0</v>
      </c>
      <c r="AA59" s="183" t="s">
        <v>8</v>
      </c>
      <c r="AB59" s="129" t="e">
        <f t="shared" si="142"/>
        <v>#VALUE!</v>
      </c>
      <c r="AC59" s="16">
        <f t="shared" si="143"/>
        <v>231784</v>
      </c>
      <c r="AD59" s="15" t="e">
        <f t="shared" si="99"/>
        <v>#VALUE!</v>
      </c>
      <c r="AE59" s="42"/>
      <c r="AF59" s="10">
        <f t="shared" si="100"/>
        <v>5631.2925170068029</v>
      </c>
      <c r="AG59" s="10"/>
      <c r="AH59" s="152"/>
      <c r="AI59" s="54"/>
      <c r="AJ59" s="12">
        <f t="shared" si="102"/>
        <v>0</v>
      </c>
      <c r="AK59" s="12">
        <f t="shared" si="103"/>
        <v>0</v>
      </c>
      <c r="AL59" s="12">
        <f t="shared" si="104"/>
        <v>0</v>
      </c>
      <c r="AM59" s="80">
        <f t="shared" si="73"/>
        <v>328</v>
      </c>
      <c r="AN59" s="12">
        <f t="shared" si="74"/>
        <v>0</v>
      </c>
      <c r="AO59" s="12">
        <f t="shared" si="75"/>
        <v>0</v>
      </c>
      <c r="AP59" s="12">
        <f t="shared" si="76"/>
        <v>0</v>
      </c>
      <c r="AQ59" s="12">
        <f t="shared" si="77"/>
        <v>0</v>
      </c>
      <c r="AR59" s="12">
        <f t="shared" si="105"/>
        <v>0</v>
      </c>
      <c r="AS59" s="12">
        <f t="shared" si="106"/>
        <v>0</v>
      </c>
      <c r="AT59" s="12">
        <f t="shared" si="78"/>
        <v>0</v>
      </c>
      <c r="AV59" s="79">
        <f t="shared" si="107"/>
        <v>41.16</v>
      </c>
      <c r="AW59" s="79">
        <f t="array" ref="AW59">SUMIFS('Cắt lồng'!$AC$327:$AC$515,'Cắt lồng'!$AA$327:$AA$515,'Cắt lồng'!$AA59,'Cắt lồng'!$AE$327:$AE$515,'Cắt lồng'!AW$4:AW$4)</f>
        <v>231784</v>
      </c>
      <c r="AX59" s="79">
        <f t="array" ref="AX59">SUMIFS('Cắt lồng'!$AH$327:$AH$515,'Cắt lồng'!$AA$327:$AA$515,'Cắt lồng'!$AA59,'Cắt lồng'!$AE$327:$AE$515,'Cắt lồng'!AX$4:AX$4)</f>
        <v>0</v>
      </c>
      <c r="AY59" s="78">
        <f t="shared" si="108"/>
        <v>0</v>
      </c>
      <c r="AZ59" s="79">
        <f t="array" ref="AZ59">SUMIFS('Cắt lồng'!$AC$327:$AC$515,'Cắt lồng'!$AA$327:$AA$515,'Cắt lồng'!$AA59,'Cắt lồng'!$AE$327:$AE$515,'Cắt lồng'!AZ$4:AZ$4)</f>
        <v>0</v>
      </c>
      <c r="BA59" s="79">
        <f t="array" ref="BA59">SUMIFS('Cắt lồng'!$AH$327:$AH$515,'Cắt lồng'!$AA$327:$AA$515,'Cắt lồng'!$AA59,'Cắt lồng'!$AE$327:$AE$515,'Cắt lồng'!BA$4:BA$4)</f>
        <v>0</v>
      </c>
      <c r="BB59" s="78" t="e">
        <f t="shared" si="109"/>
        <v>#DIV/0!</v>
      </c>
      <c r="BC59" s="79">
        <f t="array" ref="BC59">SUMIFS('Cắt lồng'!$AC$327:$AC$515,'Cắt lồng'!$AA$327:$AA$515,'Cắt lồng'!$AA59,'Cắt lồng'!$AE$327:$AE$515,'Cắt lồng'!BC$4:BC$4)</f>
        <v>0</v>
      </c>
      <c r="BD59" s="79">
        <f t="array" ref="BD59">SUMIFS('Cắt lồng'!$AH$327:$AH$515,'Cắt lồng'!$AA$327:$AA$515,'Cắt lồng'!$AA59,'Cắt lồng'!$AE$327:$AE$515,'Cắt lồng'!BD$4:BD$4)</f>
        <v>0</v>
      </c>
      <c r="BE59" s="78" t="e">
        <f t="shared" si="110"/>
        <v>#DIV/0!</v>
      </c>
      <c r="BF59" s="79">
        <f t="array" ref="BF59">SUMIFS('Cắt lồng'!$AC$327:$AC$515,'Cắt lồng'!$AA$327:$AA$515,'Cắt lồng'!$AA59,'Cắt lồng'!$AE$327:$AE$515,'Cắt lồng'!BF$4:BF$4)</f>
        <v>0</v>
      </c>
      <c r="BG59" s="79">
        <f t="array" ref="BG59">SUMIFS('Cắt lồng'!$AH$327:$AH$515,'Cắt lồng'!$AA$327:$AA$515,'Cắt lồng'!$AA59,'Cắt lồng'!$AE$327:$AE$515,'Cắt lồng'!BG$4:BG$4)</f>
        <v>0</v>
      </c>
      <c r="BH59" s="78" t="e">
        <f t="shared" si="111"/>
        <v>#DIV/0!</v>
      </c>
      <c r="BI59" s="79">
        <f t="array" ref="BI59">SUMIFS('Cắt lồng'!$AC$327:$AC$515,'Cắt lồng'!$AA$327:$AA$515,'Cắt lồng'!$AA59,'Cắt lồng'!$AE$327:$AE$515,'Cắt lồng'!BI$4:BI$4)</f>
        <v>0</v>
      </c>
      <c r="BJ59" s="79">
        <f t="array" ref="BJ59">SUMIFS('Cắt lồng'!$AH$327:$AH$515,'Cắt lồng'!$AA$327:$AA$515,'Cắt lồng'!$AA59,'Cắt lồng'!$AE$327:$AE$515,'Cắt lồng'!BJ$4:BJ$4)</f>
        <v>0</v>
      </c>
      <c r="BK59" s="78" t="e">
        <f t="shared" si="112"/>
        <v>#DIV/0!</v>
      </c>
      <c r="BL59" s="79">
        <f t="array" ref="BL59">SUMIFS('Cắt lồng'!$AC$327:$AC$515,'Cắt lồng'!$AA$327:$AA$515,'Cắt lồng'!$AA59,'Cắt lồng'!$AE$327:$AE$515,'Cắt lồng'!BL$4:BL$4)</f>
        <v>0</v>
      </c>
      <c r="BM59" s="79">
        <f t="array" ref="BM59">SUMIFS('Cắt lồng'!$AH$327:$AH$515,'Cắt lồng'!$AA$327:$AA$515,'Cắt lồng'!$AA59,'Cắt lồng'!$AE$327:$AE$515,'Cắt lồng'!BM$4:BM$4)</f>
        <v>0</v>
      </c>
      <c r="BN59" s="78" t="e">
        <f t="shared" si="113"/>
        <v>#DIV/0!</v>
      </c>
      <c r="BO59" s="79">
        <f t="array" ref="BO59">SUMIFS('Cắt lồng'!$AC$327:$AC$515,'Cắt lồng'!$AA$327:$AA$515,'Cắt lồng'!$AA59,'Cắt lồng'!$AE$327:$AE$515,'Cắt lồng'!BO$4:BO$4)</f>
        <v>0</v>
      </c>
      <c r="BP59" s="79">
        <f t="array" ref="BP59">SUMIFS('Cắt lồng'!$AH$327:$AH$515,'Cắt lồng'!$AA$327:$AA$515,'Cắt lồng'!$AA59,'Cắt lồng'!$AE$327:$AE$515,'Cắt lồng'!BP$4:BP$4)</f>
        <v>0</v>
      </c>
      <c r="BQ59" s="78" t="e">
        <f t="shared" si="114"/>
        <v>#DIV/0!</v>
      </c>
      <c r="BR59" s="79">
        <f t="array" ref="BR59">SUMIFS('Cắt lồng'!$AC$327:$AC$515,'Cắt lồng'!$AA$327:$AA$515,'Cắt lồng'!$AA59,'Cắt lồng'!$AE$327:$AE$515,'Cắt lồng'!BR$4:BR$4)</f>
        <v>0</v>
      </c>
      <c r="BS59" s="79">
        <f t="array" ref="BS59">SUMIFS('Cắt lồng'!$AH$327:$AH$515,'Cắt lồng'!$AA$327:$AA$515,'Cắt lồng'!$AA59,'Cắt lồng'!$AE$327:$AE$515,'Cắt lồng'!BS$4:BS$4)</f>
        <v>0</v>
      </c>
      <c r="BT59" s="78" t="e">
        <f t="shared" si="115"/>
        <v>#DIV/0!</v>
      </c>
      <c r="BU59" s="79">
        <f t="array" ref="BU59">SUMIFS('Cắt lồng'!$AC$327:$AC$515,'Cắt lồng'!$AA$327:$AA$515,'Cắt lồng'!$AA59,'Cắt lồng'!$AE$327:$AE$515,'Cắt lồng'!BU$4:BU$4)</f>
        <v>0</v>
      </c>
      <c r="BV59" s="79">
        <f t="array" ref="BV59">SUMIFS('Cắt lồng'!$AH$327:$AH$515,'Cắt lồng'!$AA$327:$AA$515,'Cắt lồng'!$AA59,'Cắt lồng'!$AE$327:$AE$515,'Cắt lồng'!BV$4:BV$4)</f>
        <v>0</v>
      </c>
      <c r="BW59" s="78" t="e">
        <f t="shared" si="116"/>
        <v>#DIV/0!</v>
      </c>
      <c r="BX59" s="79">
        <f t="array" ref="BX59">SUMIFS('Cắt lồng'!$AC$327:$AC$515,'Cắt lồng'!$AA$327:$AA$515,'Cắt lồng'!$AA59,'Cắt lồng'!$AE$327:$AE$515,'Cắt lồng'!BX$4:BX$4)</f>
        <v>0</v>
      </c>
      <c r="BY59" s="79">
        <f t="array" ref="BY59">SUMIFS('Cắt lồng'!$AH$327:$AH$515,'Cắt lồng'!$AA$327:$AA$515,'Cắt lồng'!$AA59,'Cắt lồng'!$AE$327:$AE$515,'Cắt lồng'!BY$4:BY$4)</f>
        <v>0</v>
      </c>
      <c r="BZ59" s="78" t="e">
        <f t="shared" si="117"/>
        <v>#DIV/0!</v>
      </c>
      <c r="CA59" s="79">
        <f t="array" ref="CA59">SUMIFS('Cắt lồng'!$AC$327:$AC$515,'Cắt lồng'!$AA$327:$AA$515,'Cắt lồng'!$AA59,'Cắt lồng'!$AE$327:$AE$515,'Cắt lồng'!CA$4:CA$4)</f>
        <v>0</v>
      </c>
      <c r="CB59" s="79">
        <f t="array" ref="CB59">SUMIFS('Cắt lồng'!$AH$327:$AH$515,'Cắt lồng'!$AA$327:$AA$515,'Cắt lồng'!$AA59,'Cắt lồng'!$AE$327:$AE$515,'Cắt lồng'!CB$4:CB$4)</f>
        <v>0</v>
      </c>
      <c r="CC59" s="78" t="e">
        <f t="shared" si="118"/>
        <v>#DIV/0!</v>
      </c>
      <c r="CD59" s="79">
        <f t="array" ref="CD59">SUMIFS('Cắt lồng'!$AC$327:$AC$515,'Cắt lồng'!$AA$327:$AA$515,'Cắt lồng'!$AA59,'Cắt lồng'!$AE$327:$AE$515,'Cắt lồng'!CD$4:CD$4)</f>
        <v>0</v>
      </c>
      <c r="CE59" s="79">
        <f t="array" ref="CE59">SUMIFS('Cắt lồng'!$AH$327:$AH$515,'Cắt lồng'!$AA$327:$AA$515,'Cắt lồng'!$AA59,'Cắt lồng'!$AE$327:$AE$515,'Cắt lồng'!CE$4:CE$4)</f>
        <v>0</v>
      </c>
      <c r="CF59" s="78" t="e">
        <f t="shared" si="119"/>
        <v>#DIV/0!</v>
      </c>
      <c r="CG59" s="79">
        <f t="array" ref="CG59">SUMIFS('Cắt lồng'!$AC$327:$AC$515,'Cắt lồng'!$AA$327:$AA$515,'Cắt lồng'!$AA59,'Cắt lồng'!$AE$327:$AE$515,'Cắt lồng'!CG$4:CG$4)</f>
        <v>0</v>
      </c>
      <c r="CH59" s="79">
        <f t="array" ref="CH59">SUMIFS('Cắt lồng'!$AH$327:$AH$515,'Cắt lồng'!$AA$327:$AA$515,'Cắt lồng'!$AA59,'Cắt lồng'!$AE$327:$AE$515,'Cắt lồng'!CH$4:CH$4)</f>
        <v>0</v>
      </c>
      <c r="CI59" s="78" t="e">
        <f t="shared" si="120"/>
        <v>#DIV/0!</v>
      </c>
      <c r="CJ59" s="79">
        <f t="array" ref="CJ59">SUMIFS('Cắt lồng'!$AC$327:$AC$515,'Cắt lồng'!$AA$327:$AA$515,'Cắt lồng'!$AA59,'Cắt lồng'!$AE$327:$AE$515,'Cắt lồng'!CJ$4:CJ$4)</f>
        <v>0</v>
      </c>
      <c r="CK59" s="79">
        <f t="array" ref="CK59">SUMIFS('Cắt lồng'!$AH$327:$AH$515,'Cắt lồng'!$AA$327:$AA$515,'Cắt lồng'!$AA59,'Cắt lồng'!$AE$327:$AE$515,'Cắt lồng'!CK$4:CK$4)</f>
        <v>0</v>
      </c>
      <c r="CL59" s="78" t="e">
        <f t="shared" si="121"/>
        <v>#DIV/0!</v>
      </c>
      <c r="CM59" s="79">
        <f t="array" ref="CM59">SUMIFS('Cắt lồng'!$AC$327:$AC$515,'Cắt lồng'!$AA$327:$AA$515,'Cắt lồng'!$AA59,'Cắt lồng'!$AE$327:$AE$515,'Cắt lồng'!CM$4:CM$4)</f>
        <v>0</v>
      </c>
      <c r="CN59" s="79">
        <f t="array" ref="CN59">SUMIFS('Cắt lồng'!$AH$327:$AH$515,'Cắt lồng'!$AA$327:$AA$515,'Cắt lồng'!$AA59,'Cắt lồng'!$AE$327:$AE$515,'Cắt lồng'!CN$4:CN$4)</f>
        <v>0</v>
      </c>
      <c r="CO59" s="78" t="e">
        <f t="shared" si="122"/>
        <v>#DIV/0!</v>
      </c>
      <c r="CP59" s="79">
        <f t="array" ref="CP59">SUMIFS('Cắt lồng'!$AC$327:$AC$515,'Cắt lồng'!$AA$327:$AA$515,'Cắt lồng'!$AA59,'Cắt lồng'!$AE$327:$AE$515,'Cắt lồng'!CP$4:CP$4)</f>
        <v>0</v>
      </c>
      <c r="CQ59" s="79">
        <f t="array" ref="CQ59">SUMIFS('Cắt lồng'!$AH$327:$AH$515,'Cắt lồng'!$AA$327:$AA$515,'Cắt lồng'!$AA59,'Cắt lồng'!$AE$327:$AE$515,'Cắt lồng'!CQ$4:CQ$4)</f>
        <v>0</v>
      </c>
      <c r="CR59" s="78" t="e">
        <f t="shared" si="123"/>
        <v>#DIV/0!</v>
      </c>
      <c r="CS59" s="79">
        <f t="array" ref="CS59">SUMIFS('Cắt lồng'!$AC$327:$AC$515,'Cắt lồng'!$AA$327:$AA$515,'Cắt lồng'!$AA59,'Cắt lồng'!$AE$327:$AE$515,'Cắt lồng'!CS$4:CS$4)</f>
        <v>0</v>
      </c>
      <c r="CT59" s="79">
        <f t="array" ref="CT59">SUMIFS('Cắt lồng'!$AH$327:$AH$515,'Cắt lồng'!$AA$327:$AA$515,'Cắt lồng'!$AA59,'Cắt lồng'!$AE$327:$AE$515,'Cắt lồng'!CT$4:CT$4)</f>
        <v>0</v>
      </c>
      <c r="CU59" s="78" t="e">
        <f t="shared" si="124"/>
        <v>#DIV/0!</v>
      </c>
      <c r="CV59" s="79">
        <f t="array" ref="CV59">SUMIFS('Cắt lồng'!$AC$327:$AC$515,'Cắt lồng'!$AA$327:$AA$515,'Cắt lồng'!$AA59,'Cắt lồng'!$AE$327:$AE$515,'Cắt lồng'!CV$4:CV$4)</f>
        <v>0</v>
      </c>
      <c r="CW59" s="79">
        <f t="array" ref="CW59">SUMIFS('Cắt lồng'!$AH$327:$AH$515,'Cắt lồng'!$AA$327:$AA$515,'Cắt lồng'!$AA59,'Cắt lồng'!$AE$327:$AE$515,'Cắt lồng'!CW$4:CW$4)</f>
        <v>0</v>
      </c>
      <c r="CX59" s="78" t="e">
        <f t="shared" si="125"/>
        <v>#DIV/0!</v>
      </c>
      <c r="CY59" s="79">
        <f t="array" ref="CY59">SUMIFS('Cắt lồng'!$AC$327:$AC$515,'Cắt lồng'!$AA$327:$AA$515,'Cắt lồng'!$AA59,'Cắt lồng'!$AE$327:$AE$515,'Cắt lồng'!CY$4:CY$4)</f>
        <v>0</v>
      </c>
      <c r="CZ59" s="79">
        <f t="array" ref="CZ59">SUMIFS('Cắt lồng'!$AH$327:$AH$515,'Cắt lồng'!$AA$327:$AA$515,'Cắt lồng'!$AA59,'Cắt lồng'!$AE$327:$AE$515,'Cắt lồng'!CZ$4:CZ$4)</f>
        <v>0</v>
      </c>
      <c r="DA59" s="78" t="e">
        <f t="shared" si="126"/>
        <v>#DIV/0!</v>
      </c>
      <c r="DB59" s="79">
        <f t="array" ref="DB59">SUMIFS('Cắt lồng'!$AC$327:$AC$515,'Cắt lồng'!$AA$327:$AA$515,'Cắt lồng'!$AA59,'Cắt lồng'!$AE$327:$AE$515,'Cắt lồng'!DB$4:DB$4)</f>
        <v>0</v>
      </c>
      <c r="DC59" s="79">
        <f t="array" ref="DC59">SUMIFS('Cắt lồng'!$AH$327:$AH$515,'Cắt lồng'!$AA$327:$AA$515,'Cắt lồng'!$AA59,'Cắt lồng'!$AE$327:$AE$515,'Cắt lồng'!DC$4:DC$4)</f>
        <v>0</v>
      </c>
      <c r="DD59" s="78" t="e">
        <f t="shared" si="127"/>
        <v>#DIV/0!</v>
      </c>
      <c r="DE59" s="79">
        <f t="array" ref="DE59">SUMIFS('Cắt lồng'!$AC$327:$AC$515,'Cắt lồng'!$AA$327:$AA$515,'Cắt lồng'!$AA59,'Cắt lồng'!$AE$327:$AE$515,'Cắt lồng'!DE$4:DE$4)</f>
        <v>0</v>
      </c>
      <c r="DF59" s="79">
        <f t="array" ref="DF59">SUMIFS('Cắt lồng'!$AH$327:$AH$515,'Cắt lồng'!$AA$327:$AA$515,'Cắt lồng'!$AA59,'Cắt lồng'!$AE$327:$AE$515,'Cắt lồng'!DF$4:DF$4)</f>
        <v>0</v>
      </c>
      <c r="DG59" s="78" t="e">
        <f t="shared" si="128"/>
        <v>#DIV/0!</v>
      </c>
      <c r="DH59" s="79">
        <f t="array" ref="DH59">SUMIFS('Cắt lồng'!$AC$327:$AC$515,'Cắt lồng'!$AA$327:$AA$515,'Cắt lồng'!$AA59,'Cắt lồng'!$AE$327:$AE$515,'Cắt lồng'!DH$4:DH$4)</f>
        <v>0</v>
      </c>
      <c r="DI59" s="79">
        <f t="array" ref="DI59">SUMIFS('Cắt lồng'!$AH$327:$AH$515,'Cắt lồng'!$AA$327:$AA$515,'Cắt lồng'!$AA59,'Cắt lồng'!$AE$327:$AE$515,'Cắt lồng'!DI$4:DI$4)</f>
        <v>0</v>
      </c>
      <c r="DJ59" s="78" t="e">
        <f t="shared" si="129"/>
        <v>#DIV/0!</v>
      </c>
      <c r="DK59" s="79">
        <f t="array" ref="DK59">SUMIFS('Cắt lồng'!$AC$327:$AC$515,'Cắt lồng'!$AA$327:$AA$515,'Cắt lồng'!$AA59,'Cắt lồng'!$AE$327:$AE$515,'Cắt lồng'!DK$4:DK$4)</f>
        <v>0</v>
      </c>
      <c r="DL59" s="79">
        <f t="array" ref="DL59">SUMIFS('Cắt lồng'!$AH$327:$AH$515,'Cắt lồng'!$AA$327:$AA$515,'Cắt lồng'!$AA59,'Cắt lồng'!$AE$327:$AE$515,'Cắt lồng'!DL$4:DL$4)</f>
        <v>0</v>
      </c>
      <c r="DM59" s="78" t="e">
        <f t="shared" si="130"/>
        <v>#DIV/0!</v>
      </c>
      <c r="DN59" s="79">
        <f>SUMIFS('Cắt lồng'!$AC$327:$AC$515,'Cắt lồng'!$AA$327:$AA$515,'Cắt lồng'!$AA59,'Cắt lồng'!$AE$327:$AE$515,'Cắt lồng'!DN$4:DN$4)</f>
        <v>0</v>
      </c>
      <c r="DO59" s="79">
        <f t="array" ref="DO59">SUMIFS('Cắt lồng'!$AH$327:$AH$515,'Cắt lồng'!$AA$327:$AA$515,'Cắt lồng'!$AA59,'Cắt lồng'!$AE$327:$AE$515,'Cắt lồng'!DO$4:DO$4)</f>
        <v>0</v>
      </c>
      <c r="DP59" s="78" t="e">
        <f t="shared" si="131"/>
        <v>#DIV/0!</v>
      </c>
      <c r="DQ59" s="79">
        <f t="array" ref="DQ59">SUMIFS('Cắt lồng'!$AC$327:$AC$515,'Cắt lồng'!$AA$327:$AA$515,'Cắt lồng'!$AA59,'Cắt lồng'!$AE$327:$AE$515,'Cắt lồng'!DQ$4:DQ$4)</f>
        <v>0</v>
      </c>
      <c r="DR59" s="79">
        <f t="array" ref="DR59">SUMIFS('Cắt lồng'!$AH$327:$AH$515,'Cắt lồng'!$AA$327:$AA$515,'Cắt lồng'!$AA59,'Cắt lồng'!$AE$327:$AE$515,'Cắt lồng'!DR$4:DR$4)</f>
        <v>0</v>
      </c>
      <c r="DS59" s="78" t="e">
        <f t="shared" si="132"/>
        <v>#DIV/0!</v>
      </c>
      <c r="DT59" s="79">
        <f t="array" ref="DT59">SUMIFS('Cắt lồng'!$AC$327:$AC$515,'Cắt lồng'!$AA$327:$AA$515,'Cắt lồng'!$AA59,'Cắt lồng'!$AE$327:$AE$515,'Cắt lồng'!DT$4:DT$4)</f>
        <v>0</v>
      </c>
      <c r="DU59" s="79">
        <f t="array" ref="DU59">SUMIFS('Cắt lồng'!$AH$327:$AH$515,'Cắt lồng'!$AA$327:$AA$515,'Cắt lồng'!$AA59,'Cắt lồng'!$AE$327:$AE$515,'Cắt lồng'!DU$4:DU$4)</f>
        <v>0</v>
      </c>
      <c r="DV59" s="78" t="e">
        <f t="shared" si="133"/>
        <v>#DIV/0!</v>
      </c>
      <c r="DW59" s="79">
        <f t="array" ref="DW59">SUMIFS('Cắt lồng'!$AC$327:$AC$515,'Cắt lồng'!$AA$327:$AA$515,'Cắt lồng'!$AA59,'Cắt lồng'!$AE$327:$AE$515,'Cắt lồng'!DW$4:DW$4)</f>
        <v>0</v>
      </c>
      <c r="DX59" s="79">
        <f t="array" ref="DX59">SUMIFS('Cắt lồng'!$AH$327:$AH$515,'Cắt lồng'!$AA$327:$AA$515,'Cắt lồng'!$AA59,'Cắt lồng'!$AE$327:$AE$515,'Cắt lồng'!DX$4:DX$4)</f>
        <v>0</v>
      </c>
      <c r="DY59" s="78" t="e">
        <f t="shared" si="134"/>
        <v>#DIV/0!</v>
      </c>
      <c r="DZ59" s="79">
        <f t="array" ref="DZ59">SUMIFS('Cắt lồng'!$AC$327:$AC$515,'Cắt lồng'!$AA$327:$AA$515,'Cắt lồng'!$AA59,'Cắt lồng'!$AE$327:$AE$515,'Cắt lồng'!DZ$4:DZ$4)</f>
        <v>0</v>
      </c>
      <c r="EA59" s="79">
        <f t="array" ref="EA59">SUMIFS('Cắt lồng'!$AH$327:$AH$515,'Cắt lồng'!$AA$327:$AA$515,'Cắt lồng'!$AA59,'Cắt lồng'!$AE$327:$AE$515,'Cắt lồng'!EA$4:EA$4)</f>
        <v>0</v>
      </c>
      <c r="EB59" s="78" t="e">
        <f t="shared" si="135"/>
        <v>#DIV/0!</v>
      </c>
      <c r="EC59" s="79">
        <f t="array" ref="EC59">SUMIFS('Cắt lồng'!$AC$327:$AC$515,'Cắt lồng'!$AA$327:$AA$515,'Cắt lồng'!$AA59,'Cắt lồng'!$AE$327:$AE$515,'Cắt lồng'!EC$4:EC$4)</f>
        <v>0</v>
      </c>
      <c r="ED59" s="79">
        <f t="array" ref="ED59">SUMIFS('Cắt lồng'!$AH$327:$AH$515,'Cắt lồng'!$AA$327:$AA$515,'Cắt lồng'!$AA59,'Cắt lồng'!$AE$327:$AE$515,'Cắt lồng'!ED$4:ED$4)</f>
        <v>0</v>
      </c>
      <c r="EE59" s="78" t="e">
        <f t="shared" si="136"/>
        <v>#DIV/0!</v>
      </c>
      <c r="EF59" s="79">
        <f t="array" ref="EF59">SUMIFS('Cắt lồng'!$AC$327:$AC$515,'Cắt lồng'!$AA$327:$AA$515,'Cắt lồng'!$AA59,'Cắt lồng'!$AE$327:$AE$515,'Cắt lồng'!EF$4:EF$4)</f>
        <v>0</v>
      </c>
      <c r="EG59" s="79">
        <f t="array" ref="EG59">SUMIFS('Cắt lồng'!$AH$327:$AH$515,'Cắt lồng'!$AA$327:$AA$515,'Cắt lồng'!$AA59,'Cắt lồng'!$AE$327:$AE$515,'Cắt lồng'!EG$4:EG$4)</f>
        <v>0</v>
      </c>
      <c r="EH59" s="78" t="e">
        <f t="shared" si="137"/>
        <v>#DIV/0!</v>
      </c>
      <c r="EI59" s="79">
        <f t="array" ref="EI59">SUMIFS('Cắt lồng'!$AC$327:$AC$515,'Cắt lồng'!$AA$327:$AA$515,'Cắt lồng'!$AA59,'Cắt lồng'!$AE$327:$AE$515,'Cắt lồng'!EI$4:EI$4)</f>
        <v>0</v>
      </c>
      <c r="EJ59" s="79">
        <f t="array" ref="EJ59">SUMIFS('Cắt lồng'!$AH$327:$AH$515,'Cắt lồng'!$AA$327:$AA$515,'Cắt lồng'!$AA59,'Cắt lồng'!$AE$327:$AE$515,'Cắt lồng'!EJ$4:EJ$4)</f>
        <v>0</v>
      </c>
      <c r="EK59" s="78" t="e">
        <f t="shared" si="138"/>
        <v>#DIV/0!</v>
      </c>
      <c r="EL59" s="172"/>
    </row>
    <row r="60" spans="1:181" s="12" customFormat="1" ht="14.25" hidden="1" customHeight="1">
      <c r="A60" s="25">
        <v>52</v>
      </c>
      <c r="B60" s="47"/>
      <c r="C60" s="26"/>
      <c r="D60" s="185">
        <f t="shared" si="140"/>
        <v>0</v>
      </c>
      <c r="E60" s="184">
        <f t="shared" si="141"/>
        <v>0</v>
      </c>
      <c r="F60" s="25"/>
      <c r="G60" s="82">
        <f t="shared" si="79"/>
        <v>0</v>
      </c>
      <c r="H60" s="81">
        <f t="shared" si="80"/>
        <v>0</v>
      </c>
      <c r="I60" s="19">
        <f t="shared" si="81"/>
        <v>0</v>
      </c>
      <c r="J60" s="11">
        <f t="shared" si="82"/>
        <v>0</v>
      </c>
      <c r="K60" s="19">
        <f t="shared" si="83"/>
        <v>0</v>
      </c>
      <c r="L60" s="19">
        <f t="shared" si="84"/>
        <v>0</v>
      </c>
      <c r="M60" s="19">
        <f t="shared" si="85"/>
        <v>0</v>
      </c>
      <c r="N60" s="19">
        <f t="shared" si="86"/>
        <v>0</v>
      </c>
      <c r="O60" s="19">
        <f t="shared" si="87"/>
        <v>0</v>
      </c>
      <c r="P60" s="19">
        <f t="shared" si="88"/>
        <v>0</v>
      </c>
      <c r="Q60" s="19">
        <f t="shared" si="89"/>
        <v>0</v>
      </c>
      <c r="R60" s="19">
        <f t="shared" si="90"/>
        <v>0</v>
      </c>
      <c r="S60" s="19">
        <f t="shared" si="91"/>
        <v>0</v>
      </c>
      <c r="T60" s="19">
        <f t="shared" si="92"/>
        <v>0</v>
      </c>
      <c r="U60" s="19">
        <f t="shared" si="93"/>
        <v>0</v>
      </c>
      <c r="V60" s="19">
        <f t="shared" si="94"/>
        <v>0</v>
      </c>
      <c r="W60" s="19">
        <f t="shared" si="95"/>
        <v>0</v>
      </c>
      <c r="X60" s="19">
        <f t="shared" si="96"/>
        <v>0</v>
      </c>
      <c r="Y60" s="19">
        <f t="shared" si="97"/>
        <v>0</v>
      </c>
      <c r="Z60" s="19">
        <f t="shared" si="98"/>
        <v>0</v>
      </c>
      <c r="AA60" s="183"/>
      <c r="AB60" s="129">
        <f t="shared" si="142"/>
        <v>0</v>
      </c>
      <c r="AC60" s="16">
        <f t="shared" si="143"/>
        <v>0</v>
      </c>
      <c r="AD60" s="15" t="e">
        <f t="shared" si="99"/>
        <v>#DIV/0!</v>
      </c>
      <c r="AE60" s="42"/>
      <c r="AF60" s="10" t="e">
        <f t="shared" si="100"/>
        <v>#DIV/0!</v>
      </c>
      <c r="AG60" s="10"/>
      <c r="AH60" s="152"/>
      <c r="AI60" s="54"/>
      <c r="AJ60" s="12">
        <f t="shared" si="102"/>
        <v>0</v>
      </c>
      <c r="AK60" s="12">
        <f t="shared" si="103"/>
        <v>0</v>
      </c>
      <c r="AL60" s="12">
        <f t="shared" si="104"/>
        <v>0</v>
      </c>
      <c r="AM60" s="80">
        <f t="shared" si="73"/>
        <v>0</v>
      </c>
      <c r="AN60" s="12">
        <f t="shared" si="74"/>
        <v>0</v>
      </c>
      <c r="AO60" s="12">
        <f t="shared" si="75"/>
        <v>0</v>
      </c>
      <c r="AP60" s="12">
        <f t="shared" si="76"/>
        <v>0</v>
      </c>
      <c r="AQ60" s="12">
        <f t="shared" si="77"/>
        <v>0</v>
      </c>
      <c r="AR60" s="12">
        <f t="shared" si="105"/>
        <v>0</v>
      </c>
      <c r="AS60" s="12">
        <f t="shared" si="106"/>
        <v>0</v>
      </c>
      <c r="AT60" s="12">
        <f t="shared" si="78"/>
        <v>0</v>
      </c>
      <c r="AV60" s="79">
        <f t="shared" si="107"/>
        <v>0</v>
      </c>
      <c r="AW60" s="79">
        <f t="array" ref="AW60">SUMIFS('Cắt lồng'!$AC$327:$AC$515,'Cắt lồng'!$AA$327:$AA$515,'Cắt lồng'!$AA60,'Cắt lồng'!$AE$327:$AE$515,'Cắt lồng'!AW$4:AW$4)</f>
        <v>0</v>
      </c>
      <c r="AX60" s="79">
        <f t="array" ref="AX60">SUMIFS('Cắt lồng'!$AH$327:$AH$515,'Cắt lồng'!$AA$327:$AA$515,'Cắt lồng'!$AA60,'Cắt lồng'!$AE$327:$AE$515,'Cắt lồng'!AX$4:AX$4)</f>
        <v>0</v>
      </c>
      <c r="AY60" s="78" t="e">
        <f t="shared" si="108"/>
        <v>#DIV/0!</v>
      </c>
      <c r="AZ60" s="79">
        <f t="array" ref="AZ60">SUMIFS('Cắt lồng'!$AC$327:$AC$515,'Cắt lồng'!$AA$327:$AA$515,'Cắt lồng'!$AA60,'Cắt lồng'!$AE$327:$AE$515,'Cắt lồng'!AZ$4:AZ$4)</f>
        <v>0</v>
      </c>
      <c r="BA60" s="79">
        <f t="array" ref="BA60">SUMIFS('Cắt lồng'!$AH$327:$AH$515,'Cắt lồng'!$AA$327:$AA$515,'Cắt lồng'!$AA60,'Cắt lồng'!$AE$327:$AE$515,'Cắt lồng'!BA$4:BA$4)</f>
        <v>0</v>
      </c>
      <c r="BB60" s="78" t="e">
        <f t="shared" si="109"/>
        <v>#DIV/0!</v>
      </c>
      <c r="BC60" s="79">
        <f t="array" ref="BC60">SUMIFS('Cắt lồng'!$AC$327:$AC$515,'Cắt lồng'!$AA$327:$AA$515,'Cắt lồng'!$AA60,'Cắt lồng'!$AE$327:$AE$515,'Cắt lồng'!BC$4:BC$4)</f>
        <v>0</v>
      </c>
      <c r="BD60" s="79">
        <f t="array" ref="BD60">SUMIFS('Cắt lồng'!$AH$327:$AH$515,'Cắt lồng'!$AA$327:$AA$515,'Cắt lồng'!$AA60,'Cắt lồng'!$AE$327:$AE$515,'Cắt lồng'!BD$4:BD$4)</f>
        <v>0</v>
      </c>
      <c r="BE60" s="78" t="e">
        <f t="shared" si="110"/>
        <v>#DIV/0!</v>
      </c>
      <c r="BF60" s="79">
        <f t="array" ref="BF60">SUMIFS('Cắt lồng'!$AC$327:$AC$515,'Cắt lồng'!$AA$327:$AA$515,'Cắt lồng'!$AA60,'Cắt lồng'!$AE$327:$AE$515,'Cắt lồng'!BF$4:BF$4)</f>
        <v>0</v>
      </c>
      <c r="BG60" s="79">
        <f t="array" ref="BG60">SUMIFS('Cắt lồng'!$AH$327:$AH$515,'Cắt lồng'!$AA$327:$AA$515,'Cắt lồng'!$AA60,'Cắt lồng'!$AE$327:$AE$515,'Cắt lồng'!BG$4:BG$4)</f>
        <v>0</v>
      </c>
      <c r="BH60" s="78" t="e">
        <f t="shared" si="111"/>
        <v>#DIV/0!</v>
      </c>
      <c r="BI60" s="79">
        <f t="array" ref="BI60">SUMIFS('Cắt lồng'!$AC$327:$AC$515,'Cắt lồng'!$AA$327:$AA$515,'Cắt lồng'!$AA60,'Cắt lồng'!$AE$327:$AE$515,'Cắt lồng'!BI$4:BI$4)</f>
        <v>0</v>
      </c>
      <c r="BJ60" s="79">
        <f t="array" ref="BJ60">SUMIFS('Cắt lồng'!$AH$327:$AH$515,'Cắt lồng'!$AA$327:$AA$515,'Cắt lồng'!$AA60,'Cắt lồng'!$AE$327:$AE$515,'Cắt lồng'!BJ$4:BJ$4)</f>
        <v>0</v>
      </c>
      <c r="BK60" s="78" t="e">
        <f t="shared" si="112"/>
        <v>#DIV/0!</v>
      </c>
      <c r="BL60" s="79">
        <f t="array" ref="BL60">SUMIFS('Cắt lồng'!$AC$327:$AC$515,'Cắt lồng'!$AA$327:$AA$515,'Cắt lồng'!$AA60,'Cắt lồng'!$AE$327:$AE$515,'Cắt lồng'!BL$4:BL$4)</f>
        <v>0</v>
      </c>
      <c r="BM60" s="79">
        <f t="array" ref="BM60">SUMIFS('Cắt lồng'!$AH$327:$AH$515,'Cắt lồng'!$AA$327:$AA$515,'Cắt lồng'!$AA60,'Cắt lồng'!$AE$327:$AE$515,'Cắt lồng'!BM$4:BM$4)</f>
        <v>0</v>
      </c>
      <c r="BN60" s="78" t="e">
        <f t="shared" si="113"/>
        <v>#DIV/0!</v>
      </c>
      <c r="BO60" s="79">
        <f t="array" ref="BO60">SUMIFS('Cắt lồng'!$AC$327:$AC$515,'Cắt lồng'!$AA$327:$AA$515,'Cắt lồng'!$AA60,'Cắt lồng'!$AE$327:$AE$515,'Cắt lồng'!BO$4:BO$4)</f>
        <v>0</v>
      </c>
      <c r="BP60" s="79">
        <f t="array" ref="BP60">SUMIFS('Cắt lồng'!$AH$327:$AH$515,'Cắt lồng'!$AA$327:$AA$515,'Cắt lồng'!$AA60,'Cắt lồng'!$AE$327:$AE$515,'Cắt lồng'!BP$4:BP$4)</f>
        <v>0</v>
      </c>
      <c r="BQ60" s="78" t="e">
        <f t="shared" si="114"/>
        <v>#DIV/0!</v>
      </c>
      <c r="BR60" s="79">
        <f t="array" ref="BR60">SUMIFS('Cắt lồng'!$AC$327:$AC$515,'Cắt lồng'!$AA$327:$AA$515,'Cắt lồng'!$AA60,'Cắt lồng'!$AE$327:$AE$515,'Cắt lồng'!BR$4:BR$4)</f>
        <v>0</v>
      </c>
      <c r="BS60" s="79">
        <f t="array" ref="BS60">SUMIFS('Cắt lồng'!$AH$327:$AH$515,'Cắt lồng'!$AA$327:$AA$515,'Cắt lồng'!$AA60,'Cắt lồng'!$AE$327:$AE$515,'Cắt lồng'!BS$4:BS$4)</f>
        <v>0</v>
      </c>
      <c r="BT60" s="78" t="e">
        <f t="shared" si="115"/>
        <v>#DIV/0!</v>
      </c>
      <c r="BU60" s="79">
        <f t="array" ref="BU60">SUMIFS('Cắt lồng'!$AC$327:$AC$515,'Cắt lồng'!$AA$327:$AA$515,'Cắt lồng'!$AA60,'Cắt lồng'!$AE$327:$AE$515,'Cắt lồng'!BU$4:BU$4)</f>
        <v>0</v>
      </c>
      <c r="BV60" s="79">
        <f t="array" ref="BV60">SUMIFS('Cắt lồng'!$AH$327:$AH$515,'Cắt lồng'!$AA$327:$AA$515,'Cắt lồng'!$AA60,'Cắt lồng'!$AE$327:$AE$515,'Cắt lồng'!BV$4:BV$4)</f>
        <v>0</v>
      </c>
      <c r="BW60" s="78" t="e">
        <f t="shared" si="116"/>
        <v>#DIV/0!</v>
      </c>
      <c r="BX60" s="79">
        <f t="array" ref="BX60">SUMIFS('Cắt lồng'!$AC$327:$AC$515,'Cắt lồng'!$AA$327:$AA$515,'Cắt lồng'!$AA60,'Cắt lồng'!$AE$327:$AE$515,'Cắt lồng'!BX$4:BX$4)</f>
        <v>0</v>
      </c>
      <c r="BY60" s="79">
        <f t="array" ref="BY60">SUMIFS('Cắt lồng'!$AH$327:$AH$515,'Cắt lồng'!$AA$327:$AA$515,'Cắt lồng'!$AA60,'Cắt lồng'!$AE$327:$AE$515,'Cắt lồng'!BY$4:BY$4)</f>
        <v>0</v>
      </c>
      <c r="BZ60" s="78" t="e">
        <f t="shared" si="117"/>
        <v>#DIV/0!</v>
      </c>
      <c r="CA60" s="79">
        <f t="array" ref="CA60">SUMIFS('Cắt lồng'!$AC$327:$AC$515,'Cắt lồng'!$AA$327:$AA$515,'Cắt lồng'!$AA60,'Cắt lồng'!$AE$327:$AE$515,'Cắt lồng'!CA$4:CA$4)</f>
        <v>0</v>
      </c>
      <c r="CB60" s="79">
        <f t="array" ref="CB60">SUMIFS('Cắt lồng'!$AH$327:$AH$515,'Cắt lồng'!$AA$327:$AA$515,'Cắt lồng'!$AA60,'Cắt lồng'!$AE$327:$AE$515,'Cắt lồng'!CB$4:CB$4)</f>
        <v>0</v>
      </c>
      <c r="CC60" s="78" t="e">
        <f t="shared" si="118"/>
        <v>#DIV/0!</v>
      </c>
      <c r="CD60" s="79">
        <f t="array" ref="CD60">SUMIFS('Cắt lồng'!$AC$327:$AC$515,'Cắt lồng'!$AA$327:$AA$515,'Cắt lồng'!$AA60,'Cắt lồng'!$AE$327:$AE$515,'Cắt lồng'!CD$4:CD$4)</f>
        <v>0</v>
      </c>
      <c r="CE60" s="79">
        <f t="array" ref="CE60">SUMIFS('Cắt lồng'!$AH$327:$AH$515,'Cắt lồng'!$AA$327:$AA$515,'Cắt lồng'!$AA60,'Cắt lồng'!$AE$327:$AE$515,'Cắt lồng'!CE$4:CE$4)</f>
        <v>0</v>
      </c>
      <c r="CF60" s="78" t="e">
        <f t="shared" si="119"/>
        <v>#DIV/0!</v>
      </c>
      <c r="CG60" s="79">
        <f t="array" ref="CG60">SUMIFS('Cắt lồng'!$AC$327:$AC$515,'Cắt lồng'!$AA$327:$AA$515,'Cắt lồng'!$AA60,'Cắt lồng'!$AE$327:$AE$515,'Cắt lồng'!CG$4:CG$4)</f>
        <v>0</v>
      </c>
      <c r="CH60" s="79">
        <f t="array" ref="CH60">SUMIFS('Cắt lồng'!$AH$327:$AH$515,'Cắt lồng'!$AA$327:$AA$515,'Cắt lồng'!$AA60,'Cắt lồng'!$AE$327:$AE$515,'Cắt lồng'!CH$4:CH$4)</f>
        <v>0</v>
      </c>
      <c r="CI60" s="78" t="e">
        <f t="shared" si="120"/>
        <v>#DIV/0!</v>
      </c>
      <c r="CJ60" s="79">
        <f t="array" ref="CJ60">SUMIFS('Cắt lồng'!$AC$327:$AC$515,'Cắt lồng'!$AA$327:$AA$515,'Cắt lồng'!$AA60,'Cắt lồng'!$AE$327:$AE$515,'Cắt lồng'!CJ$4:CJ$4)</f>
        <v>0</v>
      </c>
      <c r="CK60" s="79">
        <f t="array" ref="CK60">SUMIFS('Cắt lồng'!$AH$327:$AH$515,'Cắt lồng'!$AA$327:$AA$515,'Cắt lồng'!$AA60,'Cắt lồng'!$AE$327:$AE$515,'Cắt lồng'!CK$4:CK$4)</f>
        <v>0</v>
      </c>
      <c r="CL60" s="78" t="e">
        <f t="shared" si="121"/>
        <v>#DIV/0!</v>
      </c>
      <c r="CM60" s="79">
        <f t="array" ref="CM60">SUMIFS('Cắt lồng'!$AC$327:$AC$515,'Cắt lồng'!$AA$327:$AA$515,'Cắt lồng'!$AA60,'Cắt lồng'!$AE$327:$AE$515,'Cắt lồng'!CM$4:CM$4)</f>
        <v>0</v>
      </c>
      <c r="CN60" s="79">
        <f t="array" ref="CN60">SUMIFS('Cắt lồng'!$AH$327:$AH$515,'Cắt lồng'!$AA$327:$AA$515,'Cắt lồng'!$AA60,'Cắt lồng'!$AE$327:$AE$515,'Cắt lồng'!CN$4:CN$4)</f>
        <v>0</v>
      </c>
      <c r="CO60" s="78" t="e">
        <f t="shared" si="122"/>
        <v>#DIV/0!</v>
      </c>
      <c r="CP60" s="79">
        <f t="array" ref="CP60">SUMIFS('Cắt lồng'!$AC$327:$AC$515,'Cắt lồng'!$AA$327:$AA$515,'Cắt lồng'!$AA60,'Cắt lồng'!$AE$327:$AE$515,'Cắt lồng'!CP$4:CP$4)</f>
        <v>0</v>
      </c>
      <c r="CQ60" s="79">
        <f t="array" ref="CQ60">SUMIFS('Cắt lồng'!$AH$327:$AH$515,'Cắt lồng'!$AA$327:$AA$515,'Cắt lồng'!$AA60,'Cắt lồng'!$AE$327:$AE$515,'Cắt lồng'!CQ$4:CQ$4)</f>
        <v>0</v>
      </c>
      <c r="CR60" s="78" t="e">
        <f t="shared" si="123"/>
        <v>#DIV/0!</v>
      </c>
      <c r="CS60" s="79">
        <f t="array" ref="CS60">SUMIFS('Cắt lồng'!$AC$327:$AC$515,'Cắt lồng'!$AA$327:$AA$515,'Cắt lồng'!$AA60,'Cắt lồng'!$AE$327:$AE$515,'Cắt lồng'!CS$4:CS$4)</f>
        <v>0</v>
      </c>
      <c r="CT60" s="79">
        <f t="array" ref="CT60">SUMIFS('Cắt lồng'!$AH$327:$AH$515,'Cắt lồng'!$AA$327:$AA$515,'Cắt lồng'!$AA60,'Cắt lồng'!$AE$327:$AE$515,'Cắt lồng'!CT$4:CT$4)</f>
        <v>0</v>
      </c>
      <c r="CU60" s="78" t="e">
        <f t="shared" si="124"/>
        <v>#DIV/0!</v>
      </c>
      <c r="CV60" s="79">
        <f t="array" ref="CV60">SUMIFS('Cắt lồng'!$AC$327:$AC$515,'Cắt lồng'!$AA$327:$AA$515,'Cắt lồng'!$AA60,'Cắt lồng'!$AE$327:$AE$515,'Cắt lồng'!CV$4:CV$4)</f>
        <v>0</v>
      </c>
      <c r="CW60" s="79">
        <f t="array" ref="CW60">SUMIFS('Cắt lồng'!$AH$327:$AH$515,'Cắt lồng'!$AA$327:$AA$515,'Cắt lồng'!$AA60,'Cắt lồng'!$AE$327:$AE$515,'Cắt lồng'!CW$4:CW$4)</f>
        <v>0</v>
      </c>
      <c r="CX60" s="78" t="e">
        <f t="shared" si="125"/>
        <v>#DIV/0!</v>
      </c>
      <c r="CY60" s="79">
        <f t="array" ref="CY60">SUMIFS('Cắt lồng'!$AC$327:$AC$515,'Cắt lồng'!$AA$327:$AA$515,'Cắt lồng'!$AA60,'Cắt lồng'!$AE$327:$AE$515,'Cắt lồng'!CY$4:CY$4)</f>
        <v>0</v>
      </c>
      <c r="CZ60" s="79">
        <f t="array" ref="CZ60">SUMIFS('Cắt lồng'!$AH$327:$AH$515,'Cắt lồng'!$AA$327:$AA$515,'Cắt lồng'!$AA60,'Cắt lồng'!$AE$327:$AE$515,'Cắt lồng'!CZ$4:CZ$4)</f>
        <v>0</v>
      </c>
      <c r="DA60" s="78" t="e">
        <f t="shared" si="126"/>
        <v>#DIV/0!</v>
      </c>
      <c r="DB60" s="79">
        <f t="array" ref="DB60">SUMIFS('Cắt lồng'!$AC$327:$AC$515,'Cắt lồng'!$AA$327:$AA$515,'Cắt lồng'!$AA60,'Cắt lồng'!$AE$327:$AE$515,'Cắt lồng'!DB$4:DB$4)</f>
        <v>0</v>
      </c>
      <c r="DC60" s="79">
        <f t="array" ref="DC60">SUMIFS('Cắt lồng'!$AH$327:$AH$515,'Cắt lồng'!$AA$327:$AA$515,'Cắt lồng'!$AA60,'Cắt lồng'!$AE$327:$AE$515,'Cắt lồng'!DC$4:DC$4)</f>
        <v>0</v>
      </c>
      <c r="DD60" s="78" t="e">
        <f t="shared" si="127"/>
        <v>#DIV/0!</v>
      </c>
      <c r="DE60" s="79">
        <f t="array" ref="DE60">SUMIFS('Cắt lồng'!$AC$327:$AC$515,'Cắt lồng'!$AA$327:$AA$515,'Cắt lồng'!$AA60,'Cắt lồng'!$AE$327:$AE$515,'Cắt lồng'!DE$4:DE$4)</f>
        <v>0</v>
      </c>
      <c r="DF60" s="79">
        <f t="array" ref="DF60">SUMIFS('Cắt lồng'!$AH$327:$AH$515,'Cắt lồng'!$AA$327:$AA$515,'Cắt lồng'!$AA60,'Cắt lồng'!$AE$327:$AE$515,'Cắt lồng'!DF$4:DF$4)</f>
        <v>0</v>
      </c>
      <c r="DG60" s="78" t="e">
        <f t="shared" si="128"/>
        <v>#DIV/0!</v>
      </c>
      <c r="DH60" s="79">
        <f t="array" ref="DH60">SUMIFS('Cắt lồng'!$AC$327:$AC$515,'Cắt lồng'!$AA$327:$AA$515,'Cắt lồng'!$AA60,'Cắt lồng'!$AE$327:$AE$515,'Cắt lồng'!DH$4:DH$4)</f>
        <v>0</v>
      </c>
      <c r="DI60" s="79">
        <f t="array" ref="DI60">SUMIFS('Cắt lồng'!$AH$327:$AH$515,'Cắt lồng'!$AA$327:$AA$515,'Cắt lồng'!$AA60,'Cắt lồng'!$AE$327:$AE$515,'Cắt lồng'!DI$4:DI$4)</f>
        <v>0</v>
      </c>
      <c r="DJ60" s="78" t="e">
        <f t="shared" si="129"/>
        <v>#DIV/0!</v>
      </c>
      <c r="DK60" s="79">
        <f t="array" ref="DK60">SUMIFS('Cắt lồng'!$AC$327:$AC$515,'Cắt lồng'!$AA$327:$AA$515,'Cắt lồng'!$AA60,'Cắt lồng'!$AE$327:$AE$515,'Cắt lồng'!DK$4:DK$4)</f>
        <v>0</v>
      </c>
      <c r="DL60" s="79">
        <f t="array" ref="DL60">SUMIFS('Cắt lồng'!$AH$327:$AH$515,'Cắt lồng'!$AA$327:$AA$515,'Cắt lồng'!$AA60,'Cắt lồng'!$AE$327:$AE$515,'Cắt lồng'!DL$4:DL$4)</f>
        <v>0</v>
      </c>
      <c r="DM60" s="78" t="e">
        <f t="shared" si="130"/>
        <v>#DIV/0!</v>
      </c>
      <c r="DN60" s="79">
        <f>SUMIFS('Cắt lồng'!$AC$327:$AC$515,'Cắt lồng'!$AA$327:$AA$515,'Cắt lồng'!$AA60,'Cắt lồng'!$AE$327:$AE$515,'Cắt lồng'!DN$4:DN$4)</f>
        <v>0</v>
      </c>
      <c r="DO60" s="79">
        <f t="array" ref="DO60">SUMIFS('Cắt lồng'!$AH$327:$AH$515,'Cắt lồng'!$AA$327:$AA$515,'Cắt lồng'!$AA60,'Cắt lồng'!$AE$327:$AE$515,'Cắt lồng'!DO$4:DO$4)</f>
        <v>0</v>
      </c>
      <c r="DP60" s="78" t="e">
        <f t="shared" si="131"/>
        <v>#DIV/0!</v>
      </c>
      <c r="DQ60" s="79">
        <f t="array" ref="DQ60">SUMIFS('Cắt lồng'!$AC$327:$AC$515,'Cắt lồng'!$AA$327:$AA$515,'Cắt lồng'!$AA60,'Cắt lồng'!$AE$327:$AE$515,'Cắt lồng'!DQ$4:DQ$4)</f>
        <v>0</v>
      </c>
      <c r="DR60" s="79">
        <f t="array" ref="DR60">SUMIFS('Cắt lồng'!$AH$327:$AH$515,'Cắt lồng'!$AA$327:$AA$515,'Cắt lồng'!$AA60,'Cắt lồng'!$AE$327:$AE$515,'Cắt lồng'!DR$4:DR$4)</f>
        <v>0</v>
      </c>
      <c r="DS60" s="78" t="e">
        <f t="shared" si="132"/>
        <v>#DIV/0!</v>
      </c>
      <c r="DT60" s="79">
        <f t="array" ref="DT60">SUMIFS('Cắt lồng'!$AC$327:$AC$515,'Cắt lồng'!$AA$327:$AA$515,'Cắt lồng'!$AA60,'Cắt lồng'!$AE$327:$AE$515,'Cắt lồng'!DT$4:DT$4)</f>
        <v>0</v>
      </c>
      <c r="DU60" s="79">
        <f t="array" ref="DU60">SUMIFS('Cắt lồng'!$AH$327:$AH$515,'Cắt lồng'!$AA$327:$AA$515,'Cắt lồng'!$AA60,'Cắt lồng'!$AE$327:$AE$515,'Cắt lồng'!DU$4:DU$4)</f>
        <v>0</v>
      </c>
      <c r="DV60" s="78" t="e">
        <f t="shared" si="133"/>
        <v>#DIV/0!</v>
      </c>
      <c r="DW60" s="79">
        <f t="array" ref="DW60">SUMIFS('Cắt lồng'!$AC$327:$AC$515,'Cắt lồng'!$AA$327:$AA$515,'Cắt lồng'!$AA60,'Cắt lồng'!$AE$327:$AE$515,'Cắt lồng'!DW$4:DW$4)</f>
        <v>0</v>
      </c>
      <c r="DX60" s="79">
        <f t="array" ref="DX60">SUMIFS('Cắt lồng'!$AH$327:$AH$515,'Cắt lồng'!$AA$327:$AA$515,'Cắt lồng'!$AA60,'Cắt lồng'!$AE$327:$AE$515,'Cắt lồng'!DX$4:DX$4)</f>
        <v>0</v>
      </c>
      <c r="DY60" s="78" t="e">
        <f t="shared" si="134"/>
        <v>#DIV/0!</v>
      </c>
      <c r="DZ60" s="79">
        <f t="array" ref="DZ60">SUMIFS('Cắt lồng'!$AC$327:$AC$515,'Cắt lồng'!$AA$327:$AA$515,'Cắt lồng'!$AA60,'Cắt lồng'!$AE$327:$AE$515,'Cắt lồng'!DZ$4:DZ$4)</f>
        <v>0</v>
      </c>
      <c r="EA60" s="79">
        <f t="array" ref="EA60">SUMIFS('Cắt lồng'!$AH$327:$AH$515,'Cắt lồng'!$AA$327:$AA$515,'Cắt lồng'!$AA60,'Cắt lồng'!$AE$327:$AE$515,'Cắt lồng'!EA$4:EA$4)</f>
        <v>0</v>
      </c>
      <c r="EB60" s="78" t="e">
        <f t="shared" si="135"/>
        <v>#DIV/0!</v>
      </c>
      <c r="EC60" s="79">
        <f t="array" ref="EC60">SUMIFS('Cắt lồng'!$AC$327:$AC$515,'Cắt lồng'!$AA$327:$AA$515,'Cắt lồng'!$AA60,'Cắt lồng'!$AE$327:$AE$515,'Cắt lồng'!EC$4:EC$4)</f>
        <v>0</v>
      </c>
      <c r="ED60" s="79">
        <f t="array" ref="ED60">SUMIFS('Cắt lồng'!$AH$327:$AH$515,'Cắt lồng'!$AA$327:$AA$515,'Cắt lồng'!$AA60,'Cắt lồng'!$AE$327:$AE$515,'Cắt lồng'!ED$4:ED$4)</f>
        <v>0</v>
      </c>
      <c r="EE60" s="78" t="e">
        <f t="shared" si="136"/>
        <v>#DIV/0!</v>
      </c>
      <c r="EF60" s="79">
        <f t="array" ref="EF60">SUMIFS('Cắt lồng'!$AC$327:$AC$515,'Cắt lồng'!$AA$327:$AA$515,'Cắt lồng'!$AA60,'Cắt lồng'!$AE$327:$AE$515,'Cắt lồng'!EF$4:EF$4)</f>
        <v>0</v>
      </c>
      <c r="EG60" s="79">
        <f t="array" ref="EG60">SUMIFS('Cắt lồng'!$AH$327:$AH$515,'Cắt lồng'!$AA$327:$AA$515,'Cắt lồng'!$AA60,'Cắt lồng'!$AE$327:$AE$515,'Cắt lồng'!EG$4:EG$4)</f>
        <v>0</v>
      </c>
      <c r="EH60" s="78" t="e">
        <f t="shared" si="137"/>
        <v>#DIV/0!</v>
      </c>
      <c r="EI60" s="79">
        <f t="array" ref="EI60">SUMIFS('Cắt lồng'!$AC$327:$AC$515,'Cắt lồng'!$AA$327:$AA$515,'Cắt lồng'!$AA60,'Cắt lồng'!$AE$327:$AE$515,'Cắt lồng'!EI$4:EI$4)</f>
        <v>0</v>
      </c>
      <c r="EJ60" s="79">
        <f t="array" ref="EJ60">SUMIFS('Cắt lồng'!$AH$327:$AH$515,'Cắt lồng'!$AA$327:$AA$515,'Cắt lồng'!$AA60,'Cắt lồng'!$AE$327:$AE$515,'Cắt lồng'!EJ$4:EJ$4)</f>
        <v>0</v>
      </c>
      <c r="EK60" s="78" t="e">
        <f t="shared" si="138"/>
        <v>#DIV/0!</v>
      </c>
      <c r="EL60" s="172"/>
    </row>
    <row r="61" spans="1:181" s="12" customFormat="1" ht="14.25" hidden="1" customHeight="1">
      <c r="A61" s="25">
        <v>53</v>
      </c>
      <c r="B61" s="26"/>
      <c r="C61" s="26"/>
      <c r="D61" s="185">
        <f t="shared" si="140"/>
        <v>0</v>
      </c>
      <c r="E61" s="184">
        <f t="shared" si="141"/>
        <v>0</v>
      </c>
      <c r="F61" s="25"/>
      <c r="G61" s="82">
        <f t="shared" si="79"/>
        <v>0</v>
      </c>
      <c r="H61" s="81">
        <f t="shared" si="80"/>
        <v>0</v>
      </c>
      <c r="I61" s="19">
        <f t="shared" si="81"/>
        <v>0</v>
      </c>
      <c r="J61" s="11">
        <f t="shared" si="82"/>
        <v>0</v>
      </c>
      <c r="K61" s="19">
        <f t="shared" si="83"/>
        <v>0</v>
      </c>
      <c r="L61" s="19">
        <f t="shared" si="84"/>
        <v>0</v>
      </c>
      <c r="M61" s="19">
        <f t="shared" si="85"/>
        <v>0</v>
      </c>
      <c r="N61" s="19">
        <f t="shared" si="86"/>
        <v>0</v>
      </c>
      <c r="O61" s="19">
        <f t="shared" si="87"/>
        <v>0</v>
      </c>
      <c r="P61" s="19">
        <f t="shared" si="88"/>
        <v>0</v>
      </c>
      <c r="Q61" s="19">
        <f t="shared" si="89"/>
        <v>0</v>
      </c>
      <c r="R61" s="19">
        <f t="shared" si="90"/>
        <v>0</v>
      </c>
      <c r="S61" s="19">
        <f t="shared" si="91"/>
        <v>0</v>
      </c>
      <c r="T61" s="19">
        <f t="shared" si="92"/>
        <v>0</v>
      </c>
      <c r="U61" s="19">
        <f t="shared" si="93"/>
        <v>0</v>
      </c>
      <c r="V61" s="19">
        <f t="shared" si="94"/>
        <v>0</v>
      </c>
      <c r="W61" s="19">
        <f t="shared" si="95"/>
        <v>0</v>
      </c>
      <c r="X61" s="19">
        <f t="shared" si="96"/>
        <v>0</v>
      </c>
      <c r="Y61" s="19">
        <f t="shared" si="97"/>
        <v>0</v>
      </c>
      <c r="Z61" s="19">
        <f t="shared" si="98"/>
        <v>0</v>
      </c>
      <c r="AA61" s="183"/>
      <c r="AB61" s="129">
        <f t="shared" si="142"/>
        <v>0</v>
      </c>
      <c r="AC61" s="16">
        <f t="shared" si="143"/>
        <v>0</v>
      </c>
      <c r="AD61" s="15" t="e">
        <f t="shared" si="99"/>
        <v>#DIV/0!</v>
      </c>
      <c r="AE61" s="42"/>
      <c r="AF61" s="10" t="e">
        <f t="shared" si="100"/>
        <v>#DIV/0!</v>
      </c>
      <c r="AG61" s="10"/>
      <c r="AH61" s="152"/>
      <c r="AI61" s="54"/>
      <c r="AJ61" s="12">
        <f t="shared" si="102"/>
        <v>0</v>
      </c>
      <c r="AK61" s="12">
        <f t="shared" si="103"/>
        <v>0</v>
      </c>
      <c r="AL61" s="12">
        <f t="shared" si="104"/>
        <v>0</v>
      </c>
      <c r="AM61" s="80">
        <f t="shared" si="73"/>
        <v>0</v>
      </c>
      <c r="AN61" s="12">
        <f t="shared" si="74"/>
        <v>0</v>
      </c>
      <c r="AO61" s="12">
        <f t="shared" si="75"/>
        <v>0</v>
      </c>
      <c r="AP61" s="12">
        <f t="shared" si="76"/>
        <v>0</v>
      </c>
      <c r="AQ61" s="12">
        <f t="shared" si="77"/>
        <v>0</v>
      </c>
      <c r="AR61" s="12">
        <f t="shared" si="105"/>
        <v>0</v>
      </c>
      <c r="AS61" s="12">
        <f t="shared" si="106"/>
        <v>0</v>
      </c>
      <c r="AT61" s="12">
        <f t="shared" si="78"/>
        <v>0</v>
      </c>
      <c r="AV61" s="79">
        <f t="shared" si="107"/>
        <v>0</v>
      </c>
      <c r="AW61" s="79">
        <f t="array" ref="AW61">SUMIFS('Cắt lồng'!$AC$327:$AC$515,'Cắt lồng'!$AA$327:$AA$515,'Cắt lồng'!$AA61,'Cắt lồng'!$AE$327:$AE$515,'Cắt lồng'!AW$4:AW$4)</f>
        <v>0</v>
      </c>
      <c r="AX61" s="79">
        <f t="array" ref="AX61">SUMIFS('Cắt lồng'!$AH$327:$AH$515,'Cắt lồng'!$AA$327:$AA$515,'Cắt lồng'!$AA61,'Cắt lồng'!$AE$327:$AE$515,'Cắt lồng'!AX$4:AX$4)</f>
        <v>0</v>
      </c>
      <c r="AY61" s="78" t="e">
        <f t="shared" si="108"/>
        <v>#DIV/0!</v>
      </c>
      <c r="AZ61" s="79">
        <f t="array" ref="AZ61">SUMIFS('Cắt lồng'!$AC$327:$AC$515,'Cắt lồng'!$AA$327:$AA$515,'Cắt lồng'!$AA61,'Cắt lồng'!$AE$327:$AE$515,'Cắt lồng'!AZ$4:AZ$4)</f>
        <v>0</v>
      </c>
      <c r="BA61" s="79">
        <f t="array" ref="BA61">SUMIFS('Cắt lồng'!$AH$327:$AH$515,'Cắt lồng'!$AA$327:$AA$515,'Cắt lồng'!$AA61,'Cắt lồng'!$AE$327:$AE$515,'Cắt lồng'!BA$4:BA$4)</f>
        <v>0</v>
      </c>
      <c r="BB61" s="78" t="e">
        <f t="shared" si="109"/>
        <v>#DIV/0!</v>
      </c>
      <c r="BC61" s="79">
        <f t="array" ref="BC61">SUMIFS('Cắt lồng'!$AC$327:$AC$515,'Cắt lồng'!$AA$327:$AA$515,'Cắt lồng'!$AA61,'Cắt lồng'!$AE$327:$AE$515,'Cắt lồng'!BC$4:BC$4)</f>
        <v>0</v>
      </c>
      <c r="BD61" s="79">
        <f t="array" ref="BD61">SUMIFS('Cắt lồng'!$AH$327:$AH$515,'Cắt lồng'!$AA$327:$AA$515,'Cắt lồng'!$AA61,'Cắt lồng'!$AE$327:$AE$515,'Cắt lồng'!BD$4:BD$4)</f>
        <v>0</v>
      </c>
      <c r="BE61" s="78" t="e">
        <f t="shared" si="110"/>
        <v>#DIV/0!</v>
      </c>
      <c r="BF61" s="79">
        <f t="array" ref="BF61">SUMIFS('Cắt lồng'!$AC$327:$AC$515,'Cắt lồng'!$AA$327:$AA$515,'Cắt lồng'!$AA61,'Cắt lồng'!$AE$327:$AE$515,'Cắt lồng'!BF$4:BF$4)</f>
        <v>0</v>
      </c>
      <c r="BG61" s="79">
        <f t="array" ref="BG61">SUMIFS('Cắt lồng'!$AH$327:$AH$515,'Cắt lồng'!$AA$327:$AA$515,'Cắt lồng'!$AA61,'Cắt lồng'!$AE$327:$AE$515,'Cắt lồng'!BG$4:BG$4)</f>
        <v>0</v>
      </c>
      <c r="BH61" s="78" t="e">
        <f t="shared" si="111"/>
        <v>#DIV/0!</v>
      </c>
      <c r="BI61" s="79">
        <f t="array" ref="BI61">SUMIFS('Cắt lồng'!$AC$327:$AC$515,'Cắt lồng'!$AA$327:$AA$515,'Cắt lồng'!$AA61,'Cắt lồng'!$AE$327:$AE$515,'Cắt lồng'!BI$4:BI$4)</f>
        <v>0</v>
      </c>
      <c r="BJ61" s="79">
        <f t="array" ref="BJ61">SUMIFS('Cắt lồng'!$AH$327:$AH$515,'Cắt lồng'!$AA$327:$AA$515,'Cắt lồng'!$AA61,'Cắt lồng'!$AE$327:$AE$515,'Cắt lồng'!BJ$4:BJ$4)</f>
        <v>0</v>
      </c>
      <c r="BK61" s="78" t="e">
        <f t="shared" si="112"/>
        <v>#DIV/0!</v>
      </c>
      <c r="BL61" s="79">
        <f t="array" ref="BL61">SUMIFS('Cắt lồng'!$AC$327:$AC$515,'Cắt lồng'!$AA$327:$AA$515,'Cắt lồng'!$AA61,'Cắt lồng'!$AE$327:$AE$515,'Cắt lồng'!BL$4:BL$4)</f>
        <v>0</v>
      </c>
      <c r="BM61" s="79">
        <f t="array" ref="BM61">SUMIFS('Cắt lồng'!$AH$327:$AH$515,'Cắt lồng'!$AA$327:$AA$515,'Cắt lồng'!$AA61,'Cắt lồng'!$AE$327:$AE$515,'Cắt lồng'!BM$4:BM$4)</f>
        <v>0</v>
      </c>
      <c r="BN61" s="78" t="e">
        <f t="shared" si="113"/>
        <v>#DIV/0!</v>
      </c>
      <c r="BO61" s="79">
        <f t="array" ref="BO61">SUMIFS('Cắt lồng'!$AC$327:$AC$515,'Cắt lồng'!$AA$327:$AA$515,'Cắt lồng'!$AA61,'Cắt lồng'!$AE$327:$AE$515,'Cắt lồng'!BO$4:BO$4)</f>
        <v>0</v>
      </c>
      <c r="BP61" s="79">
        <f t="array" ref="BP61">SUMIFS('Cắt lồng'!$AH$327:$AH$515,'Cắt lồng'!$AA$327:$AA$515,'Cắt lồng'!$AA61,'Cắt lồng'!$AE$327:$AE$515,'Cắt lồng'!BP$4:BP$4)</f>
        <v>0</v>
      </c>
      <c r="BQ61" s="78" t="e">
        <f t="shared" si="114"/>
        <v>#DIV/0!</v>
      </c>
      <c r="BR61" s="79">
        <f t="array" ref="BR61">SUMIFS('Cắt lồng'!$AC$327:$AC$515,'Cắt lồng'!$AA$327:$AA$515,'Cắt lồng'!$AA61,'Cắt lồng'!$AE$327:$AE$515,'Cắt lồng'!BR$4:BR$4)</f>
        <v>0</v>
      </c>
      <c r="BS61" s="79">
        <f t="array" ref="BS61">SUMIFS('Cắt lồng'!$AH$327:$AH$515,'Cắt lồng'!$AA$327:$AA$515,'Cắt lồng'!$AA61,'Cắt lồng'!$AE$327:$AE$515,'Cắt lồng'!BS$4:BS$4)</f>
        <v>0</v>
      </c>
      <c r="BT61" s="78" t="e">
        <f t="shared" si="115"/>
        <v>#DIV/0!</v>
      </c>
      <c r="BU61" s="79">
        <f t="array" ref="BU61">SUMIFS('Cắt lồng'!$AC$327:$AC$515,'Cắt lồng'!$AA$327:$AA$515,'Cắt lồng'!$AA61,'Cắt lồng'!$AE$327:$AE$515,'Cắt lồng'!BU$4:BU$4)</f>
        <v>0</v>
      </c>
      <c r="BV61" s="79">
        <f t="array" ref="BV61">SUMIFS('Cắt lồng'!$AH$327:$AH$515,'Cắt lồng'!$AA$327:$AA$515,'Cắt lồng'!$AA61,'Cắt lồng'!$AE$327:$AE$515,'Cắt lồng'!BV$4:BV$4)</f>
        <v>0</v>
      </c>
      <c r="BW61" s="78" t="e">
        <f t="shared" si="116"/>
        <v>#DIV/0!</v>
      </c>
      <c r="BX61" s="79">
        <f t="array" ref="BX61">SUMIFS('Cắt lồng'!$AC$327:$AC$515,'Cắt lồng'!$AA$327:$AA$515,'Cắt lồng'!$AA61,'Cắt lồng'!$AE$327:$AE$515,'Cắt lồng'!BX$4:BX$4)</f>
        <v>0</v>
      </c>
      <c r="BY61" s="79">
        <f t="array" ref="BY61">SUMIFS('Cắt lồng'!$AH$327:$AH$515,'Cắt lồng'!$AA$327:$AA$515,'Cắt lồng'!$AA61,'Cắt lồng'!$AE$327:$AE$515,'Cắt lồng'!BY$4:BY$4)</f>
        <v>0</v>
      </c>
      <c r="BZ61" s="78" t="e">
        <f t="shared" si="117"/>
        <v>#DIV/0!</v>
      </c>
      <c r="CA61" s="79">
        <f t="array" ref="CA61">SUMIFS('Cắt lồng'!$AC$327:$AC$515,'Cắt lồng'!$AA$327:$AA$515,'Cắt lồng'!$AA61,'Cắt lồng'!$AE$327:$AE$515,'Cắt lồng'!CA$4:CA$4)</f>
        <v>0</v>
      </c>
      <c r="CB61" s="79">
        <f t="array" ref="CB61">SUMIFS('Cắt lồng'!$AH$327:$AH$515,'Cắt lồng'!$AA$327:$AA$515,'Cắt lồng'!$AA61,'Cắt lồng'!$AE$327:$AE$515,'Cắt lồng'!CB$4:CB$4)</f>
        <v>0</v>
      </c>
      <c r="CC61" s="78" t="e">
        <f t="shared" si="118"/>
        <v>#DIV/0!</v>
      </c>
      <c r="CD61" s="79">
        <f t="array" ref="CD61">SUMIFS('Cắt lồng'!$AC$327:$AC$515,'Cắt lồng'!$AA$327:$AA$515,'Cắt lồng'!$AA61,'Cắt lồng'!$AE$327:$AE$515,'Cắt lồng'!CD$4:CD$4)</f>
        <v>0</v>
      </c>
      <c r="CE61" s="79">
        <f t="array" ref="CE61">SUMIFS('Cắt lồng'!$AH$327:$AH$515,'Cắt lồng'!$AA$327:$AA$515,'Cắt lồng'!$AA61,'Cắt lồng'!$AE$327:$AE$515,'Cắt lồng'!CE$4:CE$4)</f>
        <v>0</v>
      </c>
      <c r="CF61" s="78" t="e">
        <f t="shared" si="119"/>
        <v>#DIV/0!</v>
      </c>
      <c r="CG61" s="79">
        <f t="array" ref="CG61">SUMIFS('Cắt lồng'!$AC$327:$AC$515,'Cắt lồng'!$AA$327:$AA$515,'Cắt lồng'!$AA61,'Cắt lồng'!$AE$327:$AE$515,'Cắt lồng'!CG$4:CG$4)</f>
        <v>0</v>
      </c>
      <c r="CH61" s="79">
        <f t="array" ref="CH61">SUMIFS('Cắt lồng'!$AH$327:$AH$515,'Cắt lồng'!$AA$327:$AA$515,'Cắt lồng'!$AA61,'Cắt lồng'!$AE$327:$AE$515,'Cắt lồng'!CH$4:CH$4)</f>
        <v>0</v>
      </c>
      <c r="CI61" s="78" t="e">
        <f t="shared" si="120"/>
        <v>#DIV/0!</v>
      </c>
      <c r="CJ61" s="79">
        <f t="array" ref="CJ61">SUMIFS('Cắt lồng'!$AC$327:$AC$515,'Cắt lồng'!$AA$327:$AA$515,'Cắt lồng'!$AA61,'Cắt lồng'!$AE$327:$AE$515,'Cắt lồng'!CJ$4:CJ$4)</f>
        <v>0</v>
      </c>
      <c r="CK61" s="79">
        <f t="array" ref="CK61">SUMIFS('Cắt lồng'!$AH$327:$AH$515,'Cắt lồng'!$AA$327:$AA$515,'Cắt lồng'!$AA61,'Cắt lồng'!$AE$327:$AE$515,'Cắt lồng'!CK$4:CK$4)</f>
        <v>0</v>
      </c>
      <c r="CL61" s="78" t="e">
        <f t="shared" si="121"/>
        <v>#DIV/0!</v>
      </c>
      <c r="CM61" s="79">
        <f t="array" ref="CM61">SUMIFS('Cắt lồng'!$AC$327:$AC$515,'Cắt lồng'!$AA$327:$AA$515,'Cắt lồng'!$AA61,'Cắt lồng'!$AE$327:$AE$515,'Cắt lồng'!CM$4:CM$4)</f>
        <v>0</v>
      </c>
      <c r="CN61" s="79">
        <f t="array" ref="CN61">SUMIFS('Cắt lồng'!$AH$327:$AH$515,'Cắt lồng'!$AA$327:$AA$515,'Cắt lồng'!$AA61,'Cắt lồng'!$AE$327:$AE$515,'Cắt lồng'!CN$4:CN$4)</f>
        <v>0</v>
      </c>
      <c r="CO61" s="78" t="e">
        <f t="shared" si="122"/>
        <v>#DIV/0!</v>
      </c>
      <c r="CP61" s="79">
        <f t="array" ref="CP61">SUMIFS('Cắt lồng'!$AC$327:$AC$515,'Cắt lồng'!$AA$327:$AA$515,'Cắt lồng'!$AA61,'Cắt lồng'!$AE$327:$AE$515,'Cắt lồng'!CP$4:CP$4)</f>
        <v>0</v>
      </c>
      <c r="CQ61" s="79">
        <f t="array" ref="CQ61">SUMIFS('Cắt lồng'!$AH$327:$AH$515,'Cắt lồng'!$AA$327:$AA$515,'Cắt lồng'!$AA61,'Cắt lồng'!$AE$327:$AE$515,'Cắt lồng'!CQ$4:CQ$4)</f>
        <v>0</v>
      </c>
      <c r="CR61" s="78" t="e">
        <f t="shared" si="123"/>
        <v>#DIV/0!</v>
      </c>
      <c r="CS61" s="79">
        <f t="array" ref="CS61">SUMIFS('Cắt lồng'!$AC$327:$AC$515,'Cắt lồng'!$AA$327:$AA$515,'Cắt lồng'!$AA61,'Cắt lồng'!$AE$327:$AE$515,'Cắt lồng'!CS$4:CS$4)</f>
        <v>0</v>
      </c>
      <c r="CT61" s="79">
        <f t="array" ref="CT61">SUMIFS('Cắt lồng'!$AH$327:$AH$515,'Cắt lồng'!$AA$327:$AA$515,'Cắt lồng'!$AA61,'Cắt lồng'!$AE$327:$AE$515,'Cắt lồng'!CT$4:CT$4)</f>
        <v>0</v>
      </c>
      <c r="CU61" s="78" t="e">
        <f t="shared" si="124"/>
        <v>#DIV/0!</v>
      </c>
      <c r="CV61" s="79">
        <f t="array" ref="CV61">SUMIFS('Cắt lồng'!$AC$327:$AC$515,'Cắt lồng'!$AA$327:$AA$515,'Cắt lồng'!$AA61,'Cắt lồng'!$AE$327:$AE$515,'Cắt lồng'!CV$4:CV$4)</f>
        <v>0</v>
      </c>
      <c r="CW61" s="79">
        <f t="array" ref="CW61">SUMIFS('Cắt lồng'!$AH$327:$AH$515,'Cắt lồng'!$AA$327:$AA$515,'Cắt lồng'!$AA61,'Cắt lồng'!$AE$327:$AE$515,'Cắt lồng'!CW$4:CW$4)</f>
        <v>0</v>
      </c>
      <c r="CX61" s="78" t="e">
        <f t="shared" si="125"/>
        <v>#DIV/0!</v>
      </c>
      <c r="CY61" s="79">
        <f t="array" ref="CY61">SUMIFS('Cắt lồng'!$AC$327:$AC$515,'Cắt lồng'!$AA$327:$AA$515,'Cắt lồng'!$AA61,'Cắt lồng'!$AE$327:$AE$515,'Cắt lồng'!CY$4:CY$4)</f>
        <v>0</v>
      </c>
      <c r="CZ61" s="79">
        <f t="array" ref="CZ61">SUMIFS('Cắt lồng'!$AH$327:$AH$515,'Cắt lồng'!$AA$327:$AA$515,'Cắt lồng'!$AA61,'Cắt lồng'!$AE$327:$AE$515,'Cắt lồng'!CZ$4:CZ$4)</f>
        <v>0</v>
      </c>
      <c r="DA61" s="78" t="e">
        <f t="shared" si="126"/>
        <v>#DIV/0!</v>
      </c>
      <c r="DB61" s="79">
        <f t="array" ref="DB61">SUMIFS('Cắt lồng'!$AC$327:$AC$515,'Cắt lồng'!$AA$327:$AA$515,'Cắt lồng'!$AA61,'Cắt lồng'!$AE$327:$AE$515,'Cắt lồng'!DB$4:DB$4)</f>
        <v>0</v>
      </c>
      <c r="DC61" s="79">
        <f t="array" ref="DC61">SUMIFS('Cắt lồng'!$AH$327:$AH$515,'Cắt lồng'!$AA$327:$AA$515,'Cắt lồng'!$AA61,'Cắt lồng'!$AE$327:$AE$515,'Cắt lồng'!DC$4:DC$4)</f>
        <v>0</v>
      </c>
      <c r="DD61" s="78" t="e">
        <f t="shared" si="127"/>
        <v>#DIV/0!</v>
      </c>
      <c r="DE61" s="79">
        <f t="array" ref="DE61">SUMIFS('Cắt lồng'!$AC$327:$AC$515,'Cắt lồng'!$AA$327:$AA$515,'Cắt lồng'!$AA61,'Cắt lồng'!$AE$327:$AE$515,'Cắt lồng'!DE$4:DE$4)</f>
        <v>0</v>
      </c>
      <c r="DF61" s="79">
        <f t="array" ref="DF61">SUMIFS('Cắt lồng'!$AH$327:$AH$515,'Cắt lồng'!$AA$327:$AA$515,'Cắt lồng'!$AA61,'Cắt lồng'!$AE$327:$AE$515,'Cắt lồng'!DF$4:DF$4)</f>
        <v>0</v>
      </c>
      <c r="DG61" s="78" t="e">
        <f t="shared" si="128"/>
        <v>#DIV/0!</v>
      </c>
      <c r="DH61" s="79">
        <f t="array" ref="DH61">SUMIFS('Cắt lồng'!$AC$327:$AC$515,'Cắt lồng'!$AA$327:$AA$515,'Cắt lồng'!$AA61,'Cắt lồng'!$AE$327:$AE$515,'Cắt lồng'!DH$4:DH$4)</f>
        <v>0</v>
      </c>
      <c r="DI61" s="79">
        <f t="array" ref="DI61">SUMIFS('Cắt lồng'!$AH$327:$AH$515,'Cắt lồng'!$AA$327:$AA$515,'Cắt lồng'!$AA61,'Cắt lồng'!$AE$327:$AE$515,'Cắt lồng'!DI$4:DI$4)</f>
        <v>0</v>
      </c>
      <c r="DJ61" s="78" t="e">
        <f t="shared" si="129"/>
        <v>#DIV/0!</v>
      </c>
      <c r="DK61" s="79">
        <f t="array" ref="DK61">SUMIFS('Cắt lồng'!$AC$327:$AC$515,'Cắt lồng'!$AA$327:$AA$515,'Cắt lồng'!$AA61,'Cắt lồng'!$AE$327:$AE$515,'Cắt lồng'!DK$4:DK$4)</f>
        <v>0</v>
      </c>
      <c r="DL61" s="79">
        <f t="array" ref="DL61">SUMIFS('Cắt lồng'!$AH$327:$AH$515,'Cắt lồng'!$AA$327:$AA$515,'Cắt lồng'!$AA61,'Cắt lồng'!$AE$327:$AE$515,'Cắt lồng'!DL$4:DL$4)</f>
        <v>0</v>
      </c>
      <c r="DM61" s="78" t="e">
        <f t="shared" si="130"/>
        <v>#DIV/0!</v>
      </c>
      <c r="DN61" s="79">
        <f>SUMIFS('Cắt lồng'!$AC$327:$AC$515,'Cắt lồng'!$AA$327:$AA$515,'Cắt lồng'!$AA61,'Cắt lồng'!$AE$327:$AE$515,'Cắt lồng'!DN$4:DN$4)</f>
        <v>0</v>
      </c>
      <c r="DO61" s="79">
        <f t="array" ref="DO61">SUMIFS('Cắt lồng'!$AH$327:$AH$515,'Cắt lồng'!$AA$327:$AA$515,'Cắt lồng'!$AA61,'Cắt lồng'!$AE$327:$AE$515,'Cắt lồng'!DO$4:DO$4)</f>
        <v>0</v>
      </c>
      <c r="DP61" s="78" t="e">
        <f t="shared" si="131"/>
        <v>#DIV/0!</v>
      </c>
      <c r="DQ61" s="79">
        <f t="array" ref="DQ61">SUMIFS('Cắt lồng'!$AC$327:$AC$515,'Cắt lồng'!$AA$327:$AA$515,'Cắt lồng'!$AA61,'Cắt lồng'!$AE$327:$AE$515,'Cắt lồng'!DQ$4:DQ$4)</f>
        <v>0</v>
      </c>
      <c r="DR61" s="79">
        <f t="array" ref="DR61">SUMIFS('Cắt lồng'!$AH$327:$AH$515,'Cắt lồng'!$AA$327:$AA$515,'Cắt lồng'!$AA61,'Cắt lồng'!$AE$327:$AE$515,'Cắt lồng'!DR$4:DR$4)</f>
        <v>0</v>
      </c>
      <c r="DS61" s="78" t="e">
        <f t="shared" si="132"/>
        <v>#DIV/0!</v>
      </c>
      <c r="DT61" s="79">
        <f t="array" ref="DT61">SUMIFS('Cắt lồng'!$AC$327:$AC$515,'Cắt lồng'!$AA$327:$AA$515,'Cắt lồng'!$AA61,'Cắt lồng'!$AE$327:$AE$515,'Cắt lồng'!DT$4:DT$4)</f>
        <v>0</v>
      </c>
      <c r="DU61" s="79">
        <f t="array" ref="DU61">SUMIFS('Cắt lồng'!$AH$327:$AH$515,'Cắt lồng'!$AA$327:$AA$515,'Cắt lồng'!$AA61,'Cắt lồng'!$AE$327:$AE$515,'Cắt lồng'!DU$4:DU$4)</f>
        <v>0</v>
      </c>
      <c r="DV61" s="78" t="e">
        <f t="shared" si="133"/>
        <v>#DIV/0!</v>
      </c>
      <c r="DW61" s="79">
        <f t="array" ref="DW61">SUMIFS('Cắt lồng'!$AC$327:$AC$515,'Cắt lồng'!$AA$327:$AA$515,'Cắt lồng'!$AA61,'Cắt lồng'!$AE$327:$AE$515,'Cắt lồng'!DW$4:DW$4)</f>
        <v>0</v>
      </c>
      <c r="DX61" s="79">
        <f t="array" ref="DX61">SUMIFS('Cắt lồng'!$AH$327:$AH$515,'Cắt lồng'!$AA$327:$AA$515,'Cắt lồng'!$AA61,'Cắt lồng'!$AE$327:$AE$515,'Cắt lồng'!DX$4:DX$4)</f>
        <v>0</v>
      </c>
      <c r="DY61" s="78" t="e">
        <f t="shared" si="134"/>
        <v>#DIV/0!</v>
      </c>
      <c r="DZ61" s="79">
        <f t="array" ref="DZ61">SUMIFS('Cắt lồng'!$AC$327:$AC$515,'Cắt lồng'!$AA$327:$AA$515,'Cắt lồng'!$AA61,'Cắt lồng'!$AE$327:$AE$515,'Cắt lồng'!DZ$4:DZ$4)</f>
        <v>0</v>
      </c>
      <c r="EA61" s="79">
        <f t="array" ref="EA61">SUMIFS('Cắt lồng'!$AH$327:$AH$515,'Cắt lồng'!$AA$327:$AA$515,'Cắt lồng'!$AA61,'Cắt lồng'!$AE$327:$AE$515,'Cắt lồng'!EA$4:EA$4)</f>
        <v>0</v>
      </c>
      <c r="EB61" s="78" t="e">
        <f t="shared" si="135"/>
        <v>#DIV/0!</v>
      </c>
      <c r="EC61" s="79">
        <f t="array" ref="EC61">SUMIFS('Cắt lồng'!$AC$327:$AC$515,'Cắt lồng'!$AA$327:$AA$515,'Cắt lồng'!$AA61,'Cắt lồng'!$AE$327:$AE$515,'Cắt lồng'!EC$4:EC$4)</f>
        <v>0</v>
      </c>
      <c r="ED61" s="79">
        <f t="array" ref="ED61">SUMIFS('Cắt lồng'!$AH$327:$AH$515,'Cắt lồng'!$AA$327:$AA$515,'Cắt lồng'!$AA61,'Cắt lồng'!$AE$327:$AE$515,'Cắt lồng'!ED$4:ED$4)</f>
        <v>0</v>
      </c>
      <c r="EE61" s="78" t="e">
        <f t="shared" si="136"/>
        <v>#DIV/0!</v>
      </c>
      <c r="EF61" s="79">
        <f t="array" ref="EF61">SUMIFS('Cắt lồng'!$AC$327:$AC$515,'Cắt lồng'!$AA$327:$AA$515,'Cắt lồng'!$AA61,'Cắt lồng'!$AE$327:$AE$515,'Cắt lồng'!EF$4:EF$4)</f>
        <v>0</v>
      </c>
      <c r="EG61" s="79">
        <f t="array" ref="EG61">SUMIFS('Cắt lồng'!$AH$327:$AH$515,'Cắt lồng'!$AA$327:$AA$515,'Cắt lồng'!$AA61,'Cắt lồng'!$AE$327:$AE$515,'Cắt lồng'!EG$4:EG$4)</f>
        <v>0</v>
      </c>
      <c r="EH61" s="78" t="e">
        <f t="shared" si="137"/>
        <v>#DIV/0!</v>
      </c>
      <c r="EI61" s="79">
        <f t="array" ref="EI61">SUMIFS('Cắt lồng'!$AC$327:$AC$515,'Cắt lồng'!$AA$327:$AA$515,'Cắt lồng'!$AA61,'Cắt lồng'!$AE$327:$AE$515,'Cắt lồng'!EI$4:EI$4)</f>
        <v>0</v>
      </c>
      <c r="EJ61" s="79">
        <f t="array" ref="EJ61">SUMIFS('Cắt lồng'!$AH$327:$AH$515,'Cắt lồng'!$AA$327:$AA$515,'Cắt lồng'!$AA61,'Cắt lồng'!$AE$327:$AE$515,'Cắt lồng'!EJ$4:EJ$4)</f>
        <v>0</v>
      </c>
      <c r="EK61" s="78" t="e">
        <f t="shared" si="138"/>
        <v>#DIV/0!</v>
      </c>
      <c r="EL61" s="172"/>
    </row>
    <row r="62" spans="1:181" s="12" customFormat="1" ht="14.25" hidden="1" customHeight="1">
      <c r="A62" s="25">
        <v>54</v>
      </c>
      <c r="B62" s="47"/>
      <c r="C62" s="26"/>
      <c r="D62" s="185">
        <f t="shared" si="140"/>
        <v>0</v>
      </c>
      <c r="E62" s="184">
        <f t="shared" si="141"/>
        <v>0</v>
      </c>
      <c r="F62" s="25"/>
      <c r="G62" s="82">
        <f t="shared" si="79"/>
        <v>0</v>
      </c>
      <c r="H62" s="81">
        <f t="shared" si="80"/>
        <v>0</v>
      </c>
      <c r="I62" s="19">
        <f t="shared" si="81"/>
        <v>0</v>
      </c>
      <c r="J62" s="11">
        <f t="shared" si="82"/>
        <v>0</v>
      </c>
      <c r="K62" s="19">
        <f t="shared" si="83"/>
        <v>0</v>
      </c>
      <c r="L62" s="19">
        <f t="shared" si="84"/>
        <v>0</v>
      </c>
      <c r="M62" s="19">
        <f t="shared" si="85"/>
        <v>0</v>
      </c>
      <c r="N62" s="19">
        <f t="shared" si="86"/>
        <v>0</v>
      </c>
      <c r="O62" s="19">
        <f t="shared" si="87"/>
        <v>0</v>
      </c>
      <c r="P62" s="19">
        <f t="shared" si="88"/>
        <v>0</v>
      </c>
      <c r="Q62" s="19">
        <f t="shared" si="89"/>
        <v>0</v>
      </c>
      <c r="R62" s="19">
        <f t="shared" si="90"/>
        <v>0</v>
      </c>
      <c r="S62" s="19">
        <f t="shared" si="91"/>
        <v>0</v>
      </c>
      <c r="T62" s="19">
        <f t="shared" si="92"/>
        <v>0</v>
      </c>
      <c r="U62" s="19">
        <f t="shared" si="93"/>
        <v>0</v>
      </c>
      <c r="V62" s="19">
        <f t="shared" si="94"/>
        <v>0</v>
      </c>
      <c r="W62" s="19">
        <f t="shared" si="95"/>
        <v>0</v>
      </c>
      <c r="X62" s="19">
        <f t="shared" si="96"/>
        <v>0</v>
      </c>
      <c r="Y62" s="19">
        <f t="shared" si="97"/>
        <v>0</v>
      </c>
      <c r="Z62" s="19">
        <f t="shared" si="98"/>
        <v>0</v>
      </c>
      <c r="AA62" s="183"/>
      <c r="AB62" s="129">
        <f t="shared" si="142"/>
        <v>0</v>
      </c>
      <c r="AC62" s="16">
        <f t="shared" si="143"/>
        <v>0</v>
      </c>
      <c r="AD62" s="15" t="e">
        <f t="shared" si="99"/>
        <v>#DIV/0!</v>
      </c>
      <c r="AE62" s="42"/>
      <c r="AF62" s="10" t="e">
        <f t="shared" si="100"/>
        <v>#DIV/0!</v>
      </c>
      <c r="AG62" s="10"/>
      <c r="AH62" s="152"/>
      <c r="AI62" s="54"/>
      <c r="AJ62" s="12">
        <f t="shared" si="102"/>
        <v>0</v>
      </c>
      <c r="AK62" s="12">
        <f t="shared" si="103"/>
        <v>0</v>
      </c>
      <c r="AL62" s="12">
        <f t="shared" si="104"/>
        <v>0</v>
      </c>
      <c r="AM62" s="80">
        <f t="shared" si="73"/>
        <v>0</v>
      </c>
      <c r="AN62" s="12">
        <f t="shared" si="74"/>
        <v>0</v>
      </c>
      <c r="AO62" s="12">
        <f t="shared" si="75"/>
        <v>0</v>
      </c>
      <c r="AP62" s="12">
        <f t="shared" si="76"/>
        <v>0</v>
      </c>
      <c r="AQ62" s="12">
        <f t="shared" si="77"/>
        <v>0</v>
      </c>
      <c r="AR62" s="12">
        <f t="shared" si="105"/>
        <v>0</v>
      </c>
      <c r="AS62" s="12">
        <f t="shared" si="106"/>
        <v>0</v>
      </c>
      <c r="AT62" s="12">
        <f t="shared" si="78"/>
        <v>0</v>
      </c>
      <c r="AV62" s="79">
        <f t="shared" si="107"/>
        <v>0</v>
      </c>
      <c r="AW62" s="79">
        <f t="array" ref="AW62">SUMIFS('Cắt lồng'!$AC$327:$AC$515,'Cắt lồng'!$AA$327:$AA$515,'Cắt lồng'!$AA62,'Cắt lồng'!$AE$327:$AE$515,'Cắt lồng'!AW$4:AW$4)</f>
        <v>0</v>
      </c>
      <c r="AX62" s="79">
        <f t="array" ref="AX62">SUMIFS('Cắt lồng'!$AH$327:$AH$515,'Cắt lồng'!$AA$327:$AA$515,'Cắt lồng'!$AA62,'Cắt lồng'!$AE$327:$AE$515,'Cắt lồng'!AX$4:AX$4)</f>
        <v>0</v>
      </c>
      <c r="AY62" s="78" t="e">
        <f t="shared" si="108"/>
        <v>#DIV/0!</v>
      </c>
      <c r="AZ62" s="79">
        <f t="array" ref="AZ62">SUMIFS('Cắt lồng'!$AC$327:$AC$515,'Cắt lồng'!$AA$327:$AA$515,'Cắt lồng'!$AA62,'Cắt lồng'!$AE$327:$AE$515,'Cắt lồng'!AZ$4:AZ$4)</f>
        <v>0</v>
      </c>
      <c r="BA62" s="79">
        <f t="array" ref="BA62">SUMIFS('Cắt lồng'!$AH$327:$AH$515,'Cắt lồng'!$AA$327:$AA$515,'Cắt lồng'!$AA62,'Cắt lồng'!$AE$327:$AE$515,'Cắt lồng'!BA$4:BA$4)</f>
        <v>0</v>
      </c>
      <c r="BB62" s="78" t="e">
        <f t="shared" si="109"/>
        <v>#DIV/0!</v>
      </c>
      <c r="BC62" s="79">
        <f t="array" ref="BC62">SUMIFS('Cắt lồng'!$AC$327:$AC$515,'Cắt lồng'!$AA$327:$AA$515,'Cắt lồng'!$AA62,'Cắt lồng'!$AE$327:$AE$515,'Cắt lồng'!BC$4:BC$4)</f>
        <v>0</v>
      </c>
      <c r="BD62" s="79">
        <f t="array" ref="BD62">SUMIFS('Cắt lồng'!$AH$327:$AH$515,'Cắt lồng'!$AA$327:$AA$515,'Cắt lồng'!$AA62,'Cắt lồng'!$AE$327:$AE$515,'Cắt lồng'!BD$4:BD$4)</f>
        <v>0</v>
      </c>
      <c r="BE62" s="78" t="e">
        <f t="shared" si="110"/>
        <v>#DIV/0!</v>
      </c>
      <c r="BF62" s="79">
        <f t="array" ref="BF62">SUMIFS('Cắt lồng'!$AC$327:$AC$515,'Cắt lồng'!$AA$327:$AA$515,'Cắt lồng'!$AA62,'Cắt lồng'!$AE$327:$AE$515,'Cắt lồng'!BF$4:BF$4)</f>
        <v>0</v>
      </c>
      <c r="BG62" s="79">
        <f t="array" ref="BG62">SUMIFS('Cắt lồng'!$AH$327:$AH$515,'Cắt lồng'!$AA$327:$AA$515,'Cắt lồng'!$AA62,'Cắt lồng'!$AE$327:$AE$515,'Cắt lồng'!BG$4:BG$4)</f>
        <v>0</v>
      </c>
      <c r="BH62" s="78" t="e">
        <f t="shared" si="111"/>
        <v>#DIV/0!</v>
      </c>
      <c r="BI62" s="79">
        <f t="array" ref="BI62">SUMIFS('Cắt lồng'!$AC$327:$AC$515,'Cắt lồng'!$AA$327:$AA$515,'Cắt lồng'!$AA62,'Cắt lồng'!$AE$327:$AE$515,'Cắt lồng'!BI$4:BI$4)</f>
        <v>0</v>
      </c>
      <c r="BJ62" s="79">
        <f t="array" ref="BJ62">SUMIFS('Cắt lồng'!$AH$327:$AH$515,'Cắt lồng'!$AA$327:$AA$515,'Cắt lồng'!$AA62,'Cắt lồng'!$AE$327:$AE$515,'Cắt lồng'!BJ$4:BJ$4)</f>
        <v>0</v>
      </c>
      <c r="BK62" s="78" t="e">
        <f t="shared" si="112"/>
        <v>#DIV/0!</v>
      </c>
      <c r="BL62" s="79">
        <f t="array" ref="BL62">SUMIFS('Cắt lồng'!$AC$327:$AC$515,'Cắt lồng'!$AA$327:$AA$515,'Cắt lồng'!$AA62,'Cắt lồng'!$AE$327:$AE$515,'Cắt lồng'!BL$4:BL$4)</f>
        <v>0</v>
      </c>
      <c r="BM62" s="79">
        <f t="array" ref="BM62">SUMIFS('Cắt lồng'!$AH$327:$AH$515,'Cắt lồng'!$AA$327:$AA$515,'Cắt lồng'!$AA62,'Cắt lồng'!$AE$327:$AE$515,'Cắt lồng'!BM$4:BM$4)</f>
        <v>0</v>
      </c>
      <c r="BN62" s="78" t="e">
        <f t="shared" si="113"/>
        <v>#DIV/0!</v>
      </c>
      <c r="BO62" s="79">
        <f t="array" ref="BO62">SUMIFS('Cắt lồng'!$AC$327:$AC$515,'Cắt lồng'!$AA$327:$AA$515,'Cắt lồng'!$AA62,'Cắt lồng'!$AE$327:$AE$515,'Cắt lồng'!BO$4:BO$4)</f>
        <v>0</v>
      </c>
      <c r="BP62" s="79">
        <f t="array" ref="BP62">SUMIFS('Cắt lồng'!$AH$327:$AH$515,'Cắt lồng'!$AA$327:$AA$515,'Cắt lồng'!$AA62,'Cắt lồng'!$AE$327:$AE$515,'Cắt lồng'!BP$4:BP$4)</f>
        <v>0</v>
      </c>
      <c r="BQ62" s="78" t="e">
        <f t="shared" si="114"/>
        <v>#DIV/0!</v>
      </c>
      <c r="BR62" s="79">
        <f t="array" ref="BR62">SUMIFS('Cắt lồng'!$AC$327:$AC$515,'Cắt lồng'!$AA$327:$AA$515,'Cắt lồng'!$AA62,'Cắt lồng'!$AE$327:$AE$515,'Cắt lồng'!BR$4:BR$4)</f>
        <v>0</v>
      </c>
      <c r="BS62" s="79">
        <f t="array" ref="BS62">SUMIFS('Cắt lồng'!$AH$327:$AH$515,'Cắt lồng'!$AA$327:$AA$515,'Cắt lồng'!$AA62,'Cắt lồng'!$AE$327:$AE$515,'Cắt lồng'!BS$4:BS$4)</f>
        <v>0</v>
      </c>
      <c r="BT62" s="78" t="e">
        <f t="shared" si="115"/>
        <v>#DIV/0!</v>
      </c>
      <c r="BU62" s="79">
        <f t="array" ref="BU62">SUMIFS('Cắt lồng'!$AC$327:$AC$515,'Cắt lồng'!$AA$327:$AA$515,'Cắt lồng'!$AA62,'Cắt lồng'!$AE$327:$AE$515,'Cắt lồng'!BU$4:BU$4)</f>
        <v>0</v>
      </c>
      <c r="BV62" s="79">
        <f t="array" ref="BV62">SUMIFS('Cắt lồng'!$AH$327:$AH$515,'Cắt lồng'!$AA$327:$AA$515,'Cắt lồng'!$AA62,'Cắt lồng'!$AE$327:$AE$515,'Cắt lồng'!BV$4:BV$4)</f>
        <v>0</v>
      </c>
      <c r="BW62" s="78" t="e">
        <f t="shared" si="116"/>
        <v>#DIV/0!</v>
      </c>
      <c r="BX62" s="79">
        <f t="array" ref="BX62">SUMIFS('Cắt lồng'!$AC$327:$AC$515,'Cắt lồng'!$AA$327:$AA$515,'Cắt lồng'!$AA62,'Cắt lồng'!$AE$327:$AE$515,'Cắt lồng'!BX$4:BX$4)</f>
        <v>0</v>
      </c>
      <c r="BY62" s="79">
        <f t="array" ref="BY62">SUMIFS('Cắt lồng'!$AH$327:$AH$515,'Cắt lồng'!$AA$327:$AA$515,'Cắt lồng'!$AA62,'Cắt lồng'!$AE$327:$AE$515,'Cắt lồng'!BY$4:BY$4)</f>
        <v>0</v>
      </c>
      <c r="BZ62" s="78" t="e">
        <f t="shared" si="117"/>
        <v>#DIV/0!</v>
      </c>
      <c r="CA62" s="79">
        <f t="array" ref="CA62">SUMIFS('Cắt lồng'!$AC$327:$AC$515,'Cắt lồng'!$AA$327:$AA$515,'Cắt lồng'!$AA62,'Cắt lồng'!$AE$327:$AE$515,'Cắt lồng'!CA$4:CA$4)</f>
        <v>0</v>
      </c>
      <c r="CB62" s="79">
        <f t="array" ref="CB62">SUMIFS('Cắt lồng'!$AH$327:$AH$515,'Cắt lồng'!$AA$327:$AA$515,'Cắt lồng'!$AA62,'Cắt lồng'!$AE$327:$AE$515,'Cắt lồng'!CB$4:CB$4)</f>
        <v>0</v>
      </c>
      <c r="CC62" s="78" t="e">
        <f t="shared" si="118"/>
        <v>#DIV/0!</v>
      </c>
      <c r="CD62" s="79">
        <f t="array" ref="CD62">SUMIFS('Cắt lồng'!$AC$327:$AC$515,'Cắt lồng'!$AA$327:$AA$515,'Cắt lồng'!$AA62,'Cắt lồng'!$AE$327:$AE$515,'Cắt lồng'!CD$4:CD$4)</f>
        <v>0</v>
      </c>
      <c r="CE62" s="79">
        <f t="array" ref="CE62">SUMIFS('Cắt lồng'!$AH$327:$AH$515,'Cắt lồng'!$AA$327:$AA$515,'Cắt lồng'!$AA62,'Cắt lồng'!$AE$327:$AE$515,'Cắt lồng'!CE$4:CE$4)</f>
        <v>0</v>
      </c>
      <c r="CF62" s="78" t="e">
        <f t="shared" si="119"/>
        <v>#DIV/0!</v>
      </c>
      <c r="CG62" s="79">
        <f t="array" ref="CG62">SUMIFS('Cắt lồng'!$AC$327:$AC$515,'Cắt lồng'!$AA$327:$AA$515,'Cắt lồng'!$AA62,'Cắt lồng'!$AE$327:$AE$515,'Cắt lồng'!CG$4:CG$4)</f>
        <v>0</v>
      </c>
      <c r="CH62" s="79">
        <f t="array" ref="CH62">SUMIFS('Cắt lồng'!$AH$327:$AH$515,'Cắt lồng'!$AA$327:$AA$515,'Cắt lồng'!$AA62,'Cắt lồng'!$AE$327:$AE$515,'Cắt lồng'!CH$4:CH$4)</f>
        <v>0</v>
      </c>
      <c r="CI62" s="78" t="e">
        <f t="shared" si="120"/>
        <v>#DIV/0!</v>
      </c>
      <c r="CJ62" s="79">
        <f t="array" ref="CJ62">SUMIFS('Cắt lồng'!$AC$327:$AC$515,'Cắt lồng'!$AA$327:$AA$515,'Cắt lồng'!$AA62,'Cắt lồng'!$AE$327:$AE$515,'Cắt lồng'!CJ$4:CJ$4)</f>
        <v>0</v>
      </c>
      <c r="CK62" s="79">
        <f t="array" ref="CK62">SUMIFS('Cắt lồng'!$AH$327:$AH$515,'Cắt lồng'!$AA$327:$AA$515,'Cắt lồng'!$AA62,'Cắt lồng'!$AE$327:$AE$515,'Cắt lồng'!CK$4:CK$4)</f>
        <v>0</v>
      </c>
      <c r="CL62" s="78" t="e">
        <f t="shared" si="121"/>
        <v>#DIV/0!</v>
      </c>
      <c r="CM62" s="79">
        <f t="array" ref="CM62">SUMIFS('Cắt lồng'!$AC$327:$AC$515,'Cắt lồng'!$AA$327:$AA$515,'Cắt lồng'!$AA62,'Cắt lồng'!$AE$327:$AE$515,'Cắt lồng'!CM$4:CM$4)</f>
        <v>0</v>
      </c>
      <c r="CN62" s="79">
        <f t="array" ref="CN62">SUMIFS('Cắt lồng'!$AH$327:$AH$515,'Cắt lồng'!$AA$327:$AA$515,'Cắt lồng'!$AA62,'Cắt lồng'!$AE$327:$AE$515,'Cắt lồng'!CN$4:CN$4)</f>
        <v>0</v>
      </c>
      <c r="CO62" s="78" t="e">
        <f t="shared" si="122"/>
        <v>#DIV/0!</v>
      </c>
      <c r="CP62" s="79">
        <f t="array" ref="CP62">SUMIFS('Cắt lồng'!$AC$327:$AC$515,'Cắt lồng'!$AA$327:$AA$515,'Cắt lồng'!$AA62,'Cắt lồng'!$AE$327:$AE$515,'Cắt lồng'!CP$4:CP$4)</f>
        <v>0</v>
      </c>
      <c r="CQ62" s="79">
        <f t="array" ref="CQ62">SUMIFS('Cắt lồng'!$AH$327:$AH$515,'Cắt lồng'!$AA$327:$AA$515,'Cắt lồng'!$AA62,'Cắt lồng'!$AE$327:$AE$515,'Cắt lồng'!CQ$4:CQ$4)</f>
        <v>0</v>
      </c>
      <c r="CR62" s="78" t="e">
        <f t="shared" si="123"/>
        <v>#DIV/0!</v>
      </c>
      <c r="CS62" s="79">
        <f t="array" ref="CS62">SUMIFS('Cắt lồng'!$AC$327:$AC$515,'Cắt lồng'!$AA$327:$AA$515,'Cắt lồng'!$AA62,'Cắt lồng'!$AE$327:$AE$515,'Cắt lồng'!CS$4:CS$4)</f>
        <v>0</v>
      </c>
      <c r="CT62" s="79">
        <f t="array" ref="CT62">SUMIFS('Cắt lồng'!$AH$327:$AH$515,'Cắt lồng'!$AA$327:$AA$515,'Cắt lồng'!$AA62,'Cắt lồng'!$AE$327:$AE$515,'Cắt lồng'!CT$4:CT$4)</f>
        <v>0</v>
      </c>
      <c r="CU62" s="78" t="e">
        <f t="shared" si="124"/>
        <v>#DIV/0!</v>
      </c>
      <c r="CV62" s="79">
        <f t="array" ref="CV62">SUMIFS('Cắt lồng'!$AC$327:$AC$515,'Cắt lồng'!$AA$327:$AA$515,'Cắt lồng'!$AA62,'Cắt lồng'!$AE$327:$AE$515,'Cắt lồng'!CV$4:CV$4)</f>
        <v>0</v>
      </c>
      <c r="CW62" s="79">
        <f t="array" ref="CW62">SUMIFS('Cắt lồng'!$AH$327:$AH$515,'Cắt lồng'!$AA$327:$AA$515,'Cắt lồng'!$AA62,'Cắt lồng'!$AE$327:$AE$515,'Cắt lồng'!CW$4:CW$4)</f>
        <v>0</v>
      </c>
      <c r="CX62" s="78" t="e">
        <f t="shared" si="125"/>
        <v>#DIV/0!</v>
      </c>
      <c r="CY62" s="79">
        <f t="array" ref="CY62">SUMIFS('Cắt lồng'!$AC$327:$AC$515,'Cắt lồng'!$AA$327:$AA$515,'Cắt lồng'!$AA62,'Cắt lồng'!$AE$327:$AE$515,'Cắt lồng'!CY$4:CY$4)</f>
        <v>0</v>
      </c>
      <c r="CZ62" s="79">
        <f t="array" ref="CZ62">SUMIFS('Cắt lồng'!$AH$327:$AH$515,'Cắt lồng'!$AA$327:$AA$515,'Cắt lồng'!$AA62,'Cắt lồng'!$AE$327:$AE$515,'Cắt lồng'!CZ$4:CZ$4)</f>
        <v>0</v>
      </c>
      <c r="DA62" s="78" t="e">
        <f t="shared" si="126"/>
        <v>#DIV/0!</v>
      </c>
      <c r="DB62" s="79">
        <f t="array" ref="DB62">SUMIFS('Cắt lồng'!$AC$327:$AC$515,'Cắt lồng'!$AA$327:$AA$515,'Cắt lồng'!$AA62,'Cắt lồng'!$AE$327:$AE$515,'Cắt lồng'!DB$4:DB$4)</f>
        <v>0</v>
      </c>
      <c r="DC62" s="79">
        <f t="array" ref="DC62">SUMIFS('Cắt lồng'!$AH$327:$AH$515,'Cắt lồng'!$AA$327:$AA$515,'Cắt lồng'!$AA62,'Cắt lồng'!$AE$327:$AE$515,'Cắt lồng'!DC$4:DC$4)</f>
        <v>0</v>
      </c>
      <c r="DD62" s="78" t="e">
        <f t="shared" si="127"/>
        <v>#DIV/0!</v>
      </c>
      <c r="DE62" s="79">
        <f t="array" ref="DE62">SUMIFS('Cắt lồng'!$AC$327:$AC$515,'Cắt lồng'!$AA$327:$AA$515,'Cắt lồng'!$AA62,'Cắt lồng'!$AE$327:$AE$515,'Cắt lồng'!DE$4:DE$4)</f>
        <v>0</v>
      </c>
      <c r="DF62" s="79">
        <f t="array" ref="DF62">SUMIFS('Cắt lồng'!$AH$327:$AH$515,'Cắt lồng'!$AA$327:$AA$515,'Cắt lồng'!$AA62,'Cắt lồng'!$AE$327:$AE$515,'Cắt lồng'!DF$4:DF$4)</f>
        <v>0</v>
      </c>
      <c r="DG62" s="78" t="e">
        <f t="shared" si="128"/>
        <v>#DIV/0!</v>
      </c>
      <c r="DH62" s="79">
        <f t="array" ref="DH62">SUMIFS('Cắt lồng'!$AC$327:$AC$515,'Cắt lồng'!$AA$327:$AA$515,'Cắt lồng'!$AA62,'Cắt lồng'!$AE$327:$AE$515,'Cắt lồng'!DH$4:DH$4)</f>
        <v>0</v>
      </c>
      <c r="DI62" s="79">
        <f t="array" ref="DI62">SUMIFS('Cắt lồng'!$AH$327:$AH$515,'Cắt lồng'!$AA$327:$AA$515,'Cắt lồng'!$AA62,'Cắt lồng'!$AE$327:$AE$515,'Cắt lồng'!DI$4:DI$4)</f>
        <v>0</v>
      </c>
      <c r="DJ62" s="78" t="e">
        <f t="shared" si="129"/>
        <v>#DIV/0!</v>
      </c>
      <c r="DK62" s="79">
        <f t="array" ref="DK62">SUMIFS('Cắt lồng'!$AC$327:$AC$515,'Cắt lồng'!$AA$327:$AA$515,'Cắt lồng'!$AA62,'Cắt lồng'!$AE$327:$AE$515,'Cắt lồng'!DK$4:DK$4)</f>
        <v>0</v>
      </c>
      <c r="DL62" s="79">
        <f t="array" ref="DL62">SUMIFS('Cắt lồng'!$AH$327:$AH$515,'Cắt lồng'!$AA$327:$AA$515,'Cắt lồng'!$AA62,'Cắt lồng'!$AE$327:$AE$515,'Cắt lồng'!DL$4:DL$4)</f>
        <v>0</v>
      </c>
      <c r="DM62" s="78" t="e">
        <f t="shared" si="130"/>
        <v>#DIV/0!</v>
      </c>
      <c r="DN62" s="79">
        <f>SUMIFS('Cắt lồng'!$AC$327:$AC$515,'Cắt lồng'!$AA$327:$AA$515,'Cắt lồng'!$AA62,'Cắt lồng'!$AE$327:$AE$515,'Cắt lồng'!DN$4:DN$4)</f>
        <v>0</v>
      </c>
      <c r="DO62" s="79">
        <f t="array" ref="DO62">SUMIFS('Cắt lồng'!$AH$327:$AH$515,'Cắt lồng'!$AA$327:$AA$515,'Cắt lồng'!$AA62,'Cắt lồng'!$AE$327:$AE$515,'Cắt lồng'!DO$4:DO$4)</f>
        <v>0</v>
      </c>
      <c r="DP62" s="78" t="e">
        <f t="shared" si="131"/>
        <v>#DIV/0!</v>
      </c>
      <c r="DQ62" s="79">
        <f t="array" ref="DQ62">SUMIFS('Cắt lồng'!$AC$327:$AC$515,'Cắt lồng'!$AA$327:$AA$515,'Cắt lồng'!$AA62,'Cắt lồng'!$AE$327:$AE$515,'Cắt lồng'!DQ$4:DQ$4)</f>
        <v>0</v>
      </c>
      <c r="DR62" s="79">
        <f t="array" ref="DR62">SUMIFS('Cắt lồng'!$AH$327:$AH$515,'Cắt lồng'!$AA$327:$AA$515,'Cắt lồng'!$AA62,'Cắt lồng'!$AE$327:$AE$515,'Cắt lồng'!DR$4:DR$4)</f>
        <v>0</v>
      </c>
      <c r="DS62" s="78" t="e">
        <f t="shared" si="132"/>
        <v>#DIV/0!</v>
      </c>
      <c r="DT62" s="79">
        <f t="array" ref="DT62">SUMIFS('Cắt lồng'!$AC$327:$AC$515,'Cắt lồng'!$AA$327:$AA$515,'Cắt lồng'!$AA62,'Cắt lồng'!$AE$327:$AE$515,'Cắt lồng'!DT$4:DT$4)</f>
        <v>0</v>
      </c>
      <c r="DU62" s="79">
        <f t="array" ref="DU62">SUMIFS('Cắt lồng'!$AH$327:$AH$515,'Cắt lồng'!$AA$327:$AA$515,'Cắt lồng'!$AA62,'Cắt lồng'!$AE$327:$AE$515,'Cắt lồng'!DU$4:DU$4)</f>
        <v>0</v>
      </c>
      <c r="DV62" s="78" t="e">
        <f t="shared" si="133"/>
        <v>#DIV/0!</v>
      </c>
      <c r="DW62" s="79">
        <f t="array" ref="DW62">SUMIFS('Cắt lồng'!$AC$327:$AC$515,'Cắt lồng'!$AA$327:$AA$515,'Cắt lồng'!$AA62,'Cắt lồng'!$AE$327:$AE$515,'Cắt lồng'!DW$4:DW$4)</f>
        <v>0</v>
      </c>
      <c r="DX62" s="79">
        <f t="array" ref="DX62">SUMIFS('Cắt lồng'!$AH$327:$AH$515,'Cắt lồng'!$AA$327:$AA$515,'Cắt lồng'!$AA62,'Cắt lồng'!$AE$327:$AE$515,'Cắt lồng'!DX$4:DX$4)</f>
        <v>0</v>
      </c>
      <c r="DY62" s="78" t="e">
        <f t="shared" si="134"/>
        <v>#DIV/0!</v>
      </c>
      <c r="DZ62" s="79">
        <f t="array" ref="DZ62">SUMIFS('Cắt lồng'!$AC$327:$AC$515,'Cắt lồng'!$AA$327:$AA$515,'Cắt lồng'!$AA62,'Cắt lồng'!$AE$327:$AE$515,'Cắt lồng'!DZ$4:DZ$4)</f>
        <v>0</v>
      </c>
      <c r="EA62" s="79">
        <f t="array" ref="EA62">SUMIFS('Cắt lồng'!$AH$327:$AH$515,'Cắt lồng'!$AA$327:$AA$515,'Cắt lồng'!$AA62,'Cắt lồng'!$AE$327:$AE$515,'Cắt lồng'!EA$4:EA$4)</f>
        <v>0</v>
      </c>
      <c r="EB62" s="78" t="e">
        <f t="shared" si="135"/>
        <v>#DIV/0!</v>
      </c>
      <c r="EC62" s="79">
        <f t="array" ref="EC62">SUMIFS('Cắt lồng'!$AC$327:$AC$515,'Cắt lồng'!$AA$327:$AA$515,'Cắt lồng'!$AA62,'Cắt lồng'!$AE$327:$AE$515,'Cắt lồng'!EC$4:EC$4)</f>
        <v>0</v>
      </c>
      <c r="ED62" s="79">
        <f t="array" ref="ED62">SUMIFS('Cắt lồng'!$AH$327:$AH$515,'Cắt lồng'!$AA$327:$AA$515,'Cắt lồng'!$AA62,'Cắt lồng'!$AE$327:$AE$515,'Cắt lồng'!ED$4:ED$4)</f>
        <v>0</v>
      </c>
      <c r="EE62" s="78" t="e">
        <f t="shared" si="136"/>
        <v>#DIV/0!</v>
      </c>
      <c r="EF62" s="79">
        <f t="array" ref="EF62">SUMIFS('Cắt lồng'!$AC$327:$AC$515,'Cắt lồng'!$AA$327:$AA$515,'Cắt lồng'!$AA62,'Cắt lồng'!$AE$327:$AE$515,'Cắt lồng'!EF$4:EF$4)</f>
        <v>0</v>
      </c>
      <c r="EG62" s="79">
        <f t="array" ref="EG62">SUMIFS('Cắt lồng'!$AH$327:$AH$515,'Cắt lồng'!$AA$327:$AA$515,'Cắt lồng'!$AA62,'Cắt lồng'!$AE$327:$AE$515,'Cắt lồng'!EG$4:EG$4)</f>
        <v>0</v>
      </c>
      <c r="EH62" s="78" t="e">
        <f t="shared" si="137"/>
        <v>#DIV/0!</v>
      </c>
      <c r="EI62" s="79">
        <f t="array" ref="EI62">SUMIFS('Cắt lồng'!$AC$327:$AC$515,'Cắt lồng'!$AA$327:$AA$515,'Cắt lồng'!$AA62,'Cắt lồng'!$AE$327:$AE$515,'Cắt lồng'!EI$4:EI$4)</f>
        <v>0</v>
      </c>
      <c r="EJ62" s="79">
        <f t="array" ref="EJ62">SUMIFS('Cắt lồng'!$AH$327:$AH$515,'Cắt lồng'!$AA$327:$AA$515,'Cắt lồng'!$AA62,'Cắt lồng'!$AE$327:$AE$515,'Cắt lồng'!EJ$4:EJ$4)</f>
        <v>0</v>
      </c>
      <c r="EK62" s="78" t="e">
        <f t="shared" si="138"/>
        <v>#DIV/0!</v>
      </c>
      <c r="EL62" s="172"/>
    </row>
    <row r="63" spans="1:181" s="12" customFormat="1" ht="14.25" hidden="1" customHeight="1">
      <c r="A63" s="25">
        <v>55</v>
      </c>
      <c r="B63" s="186"/>
      <c r="C63" s="26" t="s">
        <v>242</v>
      </c>
      <c r="D63" s="185" t="e">
        <f t="shared" si="140"/>
        <v>#VALUE!</v>
      </c>
      <c r="E63" s="184">
        <f t="shared" si="141"/>
        <v>117408</v>
      </c>
      <c r="F63" s="25"/>
      <c r="G63" s="82">
        <f t="shared" si="79"/>
        <v>0</v>
      </c>
      <c r="H63" s="81">
        <f t="shared" si="80"/>
        <v>21.17</v>
      </c>
      <c r="I63" s="19">
        <f t="shared" si="81"/>
        <v>3</v>
      </c>
      <c r="J63" s="11">
        <f t="shared" si="82"/>
        <v>2.8200000000000003</v>
      </c>
      <c r="K63" s="19">
        <f t="shared" si="83"/>
        <v>0</v>
      </c>
      <c r="L63" s="19">
        <f t="shared" si="84"/>
        <v>0</v>
      </c>
      <c r="M63" s="19">
        <f t="shared" si="85"/>
        <v>0</v>
      </c>
      <c r="N63" s="19">
        <f t="shared" si="86"/>
        <v>0.99</v>
      </c>
      <c r="O63" s="19">
        <f t="shared" si="87"/>
        <v>0</v>
      </c>
      <c r="P63" s="19">
        <f t="shared" si="88"/>
        <v>0</v>
      </c>
      <c r="Q63" s="19">
        <f t="shared" si="89"/>
        <v>0</v>
      </c>
      <c r="R63" s="19">
        <f t="shared" si="90"/>
        <v>0</v>
      </c>
      <c r="S63" s="19">
        <f t="shared" si="91"/>
        <v>0</v>
      </c>
      <c r="T63" s="19">
        <f t="shared" si="92"/>
        <v>1.17</v>
      </c>
      <c r="U63" s="19">
        <f t="shared" si="93"/>
        <v>0</v>
      </c>
      <c r="V63" s="19">
        <f t="shared" si="94"/>
        <v>0</v>
      </c>
      <c r="W63" s="19">
        <f t="shared" si="95"/>
        <v>0</v>
      </c>
      <c r="X63" s="19">
        <f t="shared" si="96"/>
        <v>0.66</v>
      </c>
      <c r="Y63" s="19">
        <f t="shared" si="97"/>
        <v>0</v>
      </c>
      <c r="Z63" s="19">
        <f t="shared" si="98"/>
        <v>0</v>
      </c>
      <c r="AA63" s="183" t="s">
        <v>6</v>
      </c>
      <c r="AB63" s="129" t="e">
        <f t="shared" si="142"/>
        <v>#VALUE!</v>
      </c>
      <c r="AC63" s="16">
        <f t="shared" si="143"/>
        <v>117408</v>
      </c>
      <c r="AD63" s="15" t="e">
        <f t="shared" si="99"/>
        <v>#VALUE!</v>
      </c>
      <c r="AE63" s="42"/>
      <c r="AF63" s="10">
        <f t="shared" si="100"/>
        <v>5545.961265942371</v>
      </c>
      <c r="AG63" s="10"/>
      <c r="AH63" s="152"/>
      <c r="AI63" s="54"/>
      <c r="AJ63" s="12">
        <f t="shared" si="102"/>
        <v>0</v>
      </c>
      <c r="AK63" s="12">
        <f t="shared" si="103"/>
        <v>0</v>
      </c>
      <c r="AL63" s="12">
        <f t="shared" si="104"/>
        <v>0</v>
      </c>
      <c r="AM63" s="80">
        <f t="shared" si="73"/>
        <v>200</v>
      </c>
      <c r="AN63" s="12">
        <f t="shared" si="74"/>
        <v>0</v>
      </c>
      <c r="AO63" s="12">
        <f t="shared" si="75"/>
        <v>0</v>
      </c>
      <c r="AP63" s="12">
        <f t="shared" si="76"/>
        <v>0</v>
      </c>
      <c r="AQ63" s="12">
        <f t="shared" si="77"/>
        <v>0</v>
      </c>
      <c r="AR63" s="12">
        <f t="shared" si="105"/>
        <v>0</v>
      </c>
      <c r="AS63" s="12">
        <f t="shared" si="106"/>
        <v>0</v>
      </c>
      <c r="AT63" s="12">
        <f t="shared" si="78"/>
        <v>0</v>
      </c>
      <c r="AV63" s="252" t="s">
        <v>241</v>
      </c>
      <c r="AW63" s="252"/>
      <c r="AX63" s="252"/>
      <c r="AY63" s="252"/>
      <c r="AZ63" s="252"/>
      <c r="BA63" s="252"/>
      <c r="BB63" s="252"/>
      <c r="BC63" s="252"/>
      <c r="BD63" s="252"/>
      <c r="BE63" s="252"/>
      <c r="BF63" s="252"/>
      <c r="BG63" s="252"/>
      <c r="BH63" s="252"/>
      <c r="BI63" s="252"/>
      <c r="BJ63" s="252"/>
      <c r="BK63" s="252"/>
      <c r="BL63" s="252"/>
      <c r="BM63" s="252"/>
      <c r="BN63" s="252"/>
      <c r="BO63" s="252"/>
      <c r="BP63" s="252"/>
      <c r="BQ63" s="252"/>
      <c r="BR63" s="252"/>
      <c r="BS63" s="252"/>
      <c r="BT63" s="252"/>
      <c r="BU63" s="252"/>
      <c r="BV63" s="252"/>
      <c r="BW63" s="252"/>
      <c r="BX63" s="252"/>
      <c r="BY63" s="252"/>
      <c r="BZ63" s="252"/>
      <c r="CA63" s="252"/>
      <c r="CB63" s="252"/>
      <c r="CC63" s="252"/>
      <c r="CD63" s="252"/>
      <c r="CE63" s="252"/>
      <c r="CF63" s="252"/>
      <c r="CG63" s="252"/>
      <c r="CH63" s="252"/>
      <c r="CI63" s="252"/>
      <c r="CJ63" s="252"/>
      <c r="CK63" s="252"/>
      <c r="CL63" s="252"/>
      <c r="CM63" s="252"/>
      <c r="CN63" s="252"/>
      <c r="CO63" s="252"/>
      <c r="CP63" s="252"/>
      <c r="CQ63" s="252"/>
      <c r="CR63" s="252"/>
      <c r="CS63" s="252"/>
      <c r="CT63" s="252"/>
      <c r="CU63" s="252"/>
      <c r="CV63" s="252"/>
      <c r="CW63" s="252"/>
      <c r="CX63" s="252"/>
      <c r="CY63" s="252"/>
      <c r="CZ63" s="252"/>
      <c r="DA63" s="252"/>
      <c r="DB63" s="252"/>
      <c r="DC63" s="252"/>
      <c r="DD63" s="252"/>
      <c r="DE63" s="252"/>
      <c r="DF63" s="252"/>
      <c r="DG63" s="252"/>
      <c r="DH63" s="252"/>
      <c r="DI63" s="252"/>
      <c r="DJ63" s="252"/>
      <c r="DK63" s="252"/>
      <c r="DL63" s="252"/>
      <c r="DM63" s="252"/>
      <c r="DN63" s="252"/>
      <c r="DO63" s="252"/>
      <c r="DP63" s="252"/>
      <c r="DQ63" s="252"/>
      <c r="DR63" s="252"/>
      <c r="DS63" s="252"/>
      <c r="DT63" s="252"/>
      <c r="DU63" s="252"/>
      <c r="DV63" s="252"/>
      <c r="DW63" s="252"/>
      <c r="DX63" s="252"/>
      <c r="DY63" s="252"/>
      <c r="DZ63" s="252"/>
      <c r="EA63" s="252"/>
      <c r="EB63" s="252"/>
      <c r="EC63" s="252"/>
      <c r="ED63" s="252"/>
      <c r="EE63" s="252"/>
      <c r="EF63" s="252"/>
      <c r="EG63" s="252"/>
      <c r="EH63" s="252"/>
      <c r="EI63" s="252"/>
      <c r="EJ63" s="252"/>
      <c r="EK63" s="253"/>
      <c r="EL63" s="172"/>
    </row>
    <row r="64" spans="1:181" s="12" customFormat="1" ht="14.25" hidden="1" customHeight="1">
      <c r="A64" s="174"/>
      <c r="B64" s="47"/>
      <c r="D64" s="31"/>
      <c r="E64" s="43"/>
      <c r="G64" s="182"/>
      <c r="H64" s="181"/>
      <c r="I64" s="179"/>
      <c r="J64" s="180"/>
      <c r="K64" s="179"/>
      <c r="L64" s="179"/>
      <c r="M64" s="179"/>
      <c r="N64" s="179"/>
      <c r="O64" s="179"/>
      <c r="P64" s="179"/>
      <c r="Q64" s="179"/>
      <c r="R64" s="179"/>
      <c r="S64" s="179"/>
      <c r="T64" s="179"/>
      <c r="U64" s="179"/>
      <c r="V64" s="179"/>
      <c r="W64" s="179"/>
      <c r="X64" s="179"/>
      <c r="Y64" s="179"/>
      <c r="Z64" s="179"/>
      <c r="AA64" s="178"/>
      <c r="AB64" s="46"/>
      <c r="AC64" s="177"/>
      <c r="AE64" s="42"/>
      <c r="AF64" s="10"/>
      <c r="AG64" s="10"/>
      <c r="AH64" s="152"/>
      <c r="AI64" s="54"/>
      <c r="AM64" s="80"/>
      <c r="AV64" s="252"/>
      <c r="AW64" s="252"/>
      <c r="AX64" s="252"/>
      <c r="AY64" s="252"/>
      <c r="AZ64" s="252"/>
      <c r="BA64" s="252"/>
      <c r="BB64" s="252"/>
      <c r="BC64" s="252"/>
      <c r="BD64" s="252"/>
      <c r="BE64" s="252"/>
      <c r="BF64" s="252"/>
      <c r="BG64" s="252"/>
      <c r="BH64" s="252"/>
      <c r="BI64" s="252"/>
      <c r="BJ64" s="252"/>
      <c r="BK64" s="252"/>
      <c r="BL64" s="252"/>
      <c r="BM64" s="252"/>
      <c r="BN64" s="252"/>
      <c r="BO64" s="252"/>
      <c r="BP64" s="252"/>
      <c r="BQ64" s="252"/>
      <c r="BR64" s="252"/>
      <c r="BS64" s="252"/>
      <c r="BT64" s="252"/>
      <c r="BU64" s="252"/>
      <c r="BV64" s="252"/>
      <c r="BW64" s="252"/>
      <c r="BX64" s="252"/>
      <c r="BY64" s="252"/>
      <c r="BZ64" s="252"/>
      <c r="CA64" s="252"/>
      <c r="CB64" s="252"/>
      <c r="CC64" s="252"/>
      <c r="CD64" s="252"/>
      <c r="CE64" s="252"/>
      <c r="CF64" s="252"/>
      <c r="CG64" s="252"/>
      <c r="CH64" s="252"/>
      <c r="CI64" s="252"/>
      <c r="CJ64" s="252"/>
      <c r="CK64" s="252"/>
      <c r="CL64" s="252"/>
      <c r="CM64" s="252"/>
      <c r="CN64" s="252"/>
      <c r="CO64" s="252"/>
      <c r="CP64" s="252"/>
      <c r="CQ64" s="252"/>
      <c r="CR64" s="252"/>
      <c r="CS64" s="252"/>
      <c r="CT64" s="252"/>
      <c r="CU64" s="252"/>
      <c r="CV64" s="252"/>
      <c r="CW64" s="252"/>
      <c r="CX64" s="252"/>
      <c r="CY64" s="252"/>
      <c r="CZ64" s="252"/>
      <c r="DA64" s="252"/>
      <c r="DB64" s="252"/>
      <c r="DC64" s="252"/>
      <c r="DD64" s="252"/>
      <c r="DE64" s="252"/>
      <c r="DF64" s="252"/>
      <c r="DG64" s="252"/>
      <c r="DH64" s="252"/>
      <c r="DI64" s="252"/>
      <c r="DJ64" s="252"/>
      <c r="DK64" s="252"/>
      <c r="DL64" s="252"/>
      <c r="DM64" s="252"/>
      <c r="DN64" s="252"/>
      <c r="DO64" s="252"/>
      <c r="DP64" s="252"/>
      <c r="DQ64" s="252"/>
      <c r="DR64" s="252"/>
      <c r="DS64" s="252"/>
      <c r="DT64" s="252"/>
      <c r="DU64" s="252"/>
      <c r="DV64" s="252"/>
      <c r="DW64" s="252"/>
      <c r="DX64" s="252"/>
      <c r="DY64" s="252"/>
      <c r="DZ64" s="252"/>
      <c r="EA64" s="252"/>
      <c r="EB64" s="252"/>
      <c r="EC64" s="252"/>
      <c r="ED64" s="252"/>
      <c r="EE64" s="252"/>
      <c r="EF64" s="252"/>
      <c r="EG64" s="252"/>
      <c r="EH64" s="252"/>
      <c r="EI64" s="252"/>
      <c r="EJ64" s="252"/>
      <c r="EK64" s="253"/>
      <c r="EL64" s="172"/>
    </row>
    <row r="65" spans="1:179" s="12" customFormat="1" ht="14.25" hidden="1" customHeight="1" thickBot="1">
      <c r="A65" s="174"/>
      <c r="B65" s="47"/>
      <c r="D65" s="31"/>
      <c r="E65" s="43"/>
      <c r="G65" s="182"/>
      <c r="H65" s="181"/>
      <c r="I65" s="179"/>
      <c r="J65" s="180"/>
      <c r="K65" s="179"/>
      <c r="L65" s="179"/>
      <c r="M65" s="179"/>
      <c r="N65" s="179"/>
      <c r="O65" s="179"/>
      <c r="P65" s="179"/>
      <c r="Q65" s="179"/>
      <c r="R65" s="179"/>
      <c r="S65" s="179"/>
      <c r="T65" s="179"/>
      <c r="U65" s="179"/>
      <c r="V65" s="179"/>
      <c r="W65" s="179"/>
      <c r="X65" s="179"/>
      <c r="Y65" s="179"/>
      <c r="Z65" s="179"/>
      <c r="AA65" s="178"/>
      <c r="AB65" s="46"/>
      <c r="AC65" s="177"/>
      <c r="AE65" s="42"/>
      <c r="AF65" s="10"/>
      <c r="AG65" s="10"/>
      <c r="AH65" s="152"/>
      <c r="AI65" s="54"/>
      <c r="AM65" s="80"/>
      <c r="AV65" s="176"/>
      <c r="AW65" s="176"/>
      <c r="AX65" s="176"/>
      <c r="AY65" s="176"/>
      <c r="AZ65" s="176"/>
      <c r="BA65" s="176"/>
      <c r="BB65" s="176"/>
      <c r="BC65" s="176"/>
      <c r="BD65" s="176"/>
      <c r="BE65" s="176"/>
      <c r="BF65" s="176"/>
      <c r="BG65" s="176"/>
      <c r="BH65" s="176"/>
      <c r="BI65" s="176"/>
      <c r="BJ65" s="176"/>
      <c r="BK65" s="176"/>
      <c r="BL65" s="176"/>
      <c r="BM65" s="176"/>
      <c r="BN65" s="176"/>
      <c r="BO65" s="176"/>
      <c r="BP65" s="176"/>
      <c r="BQ65" s="176"/>
      <c r="BR65" s="176"/>
      <c r="BS65" s="176"/>
      <c r="BT65" s="176"/>
      <c r="BU65" s="176"/>
      <c r="BV65" s="176"/>
      <c r="BW65" s="176"/>
      <c r="BX65" s="176"/>
      <c r="BY65" s="176"/>
      <c r="BZ65" s="176"/>
      <c r="CA65" s="176"/>
      <c r="CB65" s="176"/>
      <c r="CC65" s="176"/>
      <c r="CD65" s="176"/>
      <c r="CE65" s="176"/>
      <c r="CF65" s="176"/>
      <c r="CG65" s="176"/>
      <c r="CH65" s="176"/>
      <c r="CI65" s="176"/>
      <c r="CJ65" s="176"/>
      <c r="CK65" s="176"/>
      <c r="CL65" s="176"/>
      <c r="CM65" s="176"/>
      <c r="CN65" s="176"/>
      <c r="CO65" s="176"/>
      <c r="CP65" s="176"/>
      <c r="CQ65" s="176"/>
      <c r="CR65" s="176"/>
      <c r="CS65" s="176"/>
      <c r="CT65" s="176"/>
      <c r="CU65" s="176"/>
      <c r="CV65" s="176"/>
      <c r="CW65" s="176"/>
      <c r="CX65" s="176"/>
      <c r="CY65" s="176"/>
      <c r="CZ65" s="176"/>
      <c r="DA65" s="176"/>
      <c r="DB65" s="176"/>
      <c r="DC65" s="176"/>
      <c r="DD65" s="176"/>
      <c r="DE65" s="176"/>
      <c r="DF65" s="176"/>
      <c r="DG65" s="176"/>
      <c r="DH65" s="176"/>
      <c r="DI65" s="176"/>
      <c r="DJ65" s="176"/>
      <c r="DK65" s="176"/>
      <c r="DL65" s="176"/>
      <c r="DM65" s="176"/>
      <c r="DN65" s="176"/>
      <c r="DO65" s="176"/>
      <c r="DP65" s="176"/>
      <c r="DQ65" s="176"/>
      <c r="DR65" s="176"/>
      <c r="DS65" s="176"/>
      <c r="DT65" s="176"/>
      <c r="DU65" s="176"/>
      <c r="DV65" s="176"/>
      <c r="DW65" s="176"/>
      <c r="DX65" s="176"/>
      <c r="DY65" s="176"/>
      <c r="DZ65" s="176"/>
      <c r="EA65" s="176"/>
      <c r="EB65" s="176"/>
      <c r="EC65" s="176"/>
      <c r="ED65" s="176"/>
      <c r="EE65" s="176"/>
      <c r="EF65" s="176"/>
      <c r="EG65" s="176"/>
      <c r="EH65" s="176"/>
      <c r="EI65" s="176"/>
      <c r="EJ65" s="176"/>
      <c r="EK65" s="175"/>
      <c r="EL65" s="172"/>
    </row>
    <row r="66" spans="1:179" s="25" customFormat="1" ht="20.25" hidden="1" customHeight="1" thickBot="1">
      <c r="A66" s="174"/>
      <c r="B66" s="47"/>
      <c r="C66" s="12"/>
      <c r="D66" s="31"/>
      <c r="E66" s="43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E66" s="4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223">
        <f>+AW4</f>
        <v>46113</v>
      </c>
      <c r="AX66" s="223"/>
      <c r="AY66" s="224"/>
      <c r="AZ66" s="223">
        <f>+AZ4</f>
        <v>46114</v>
      </c>
      <c r="BA66" s="223"/>
      <c r="BB66" s="224"/>
      <c r="BC66" s="223">
        <f>+BC4</f>
        <v>46115</v>
      </c>
      <c r="BD66" s="223"/>
      <c r="BE66" s="224"/>
      <c r="BF66" s="223">
        <f>+BF4</f>
        <v>46116</v>
      </c>
      <c r="BG66" s="223"/>
      <c r="BH66" s="224"/>
      <c r="BI66" s="223">
        <f>+BI4</f>
        <v>46117</v>
      </c>
      <c r="BJ66" s="223"/>
      <c r="BK66" s="224"/>
      <c r="BL66" s="223">
        <f>+BL4</f>
        <v>46118</v>
      </c>
      <c r="BM66" s="223"/>
      <c r="BN66" s="224"/>
      <c r="BO66" s="223">
        <f>+BO4</f>
        <v>46119</v>
      </c>
      <c r="BP66" s="223"/>
      <c r="BQ66" s="224"/>
      <c r="BR66" s="223">
        <f>+BR4</f>
        <v>46120</v>
      </c>
      <c r="BS66" s="223"/>
      <c r="BT66" s="224"/>
      <c r="BU66" s="223">
        <f>+BU4</f>
        <v>46121</v>
      </c>
      <c r="BV66" s="223"/>
      <c r="BW66" s="224"/>
      <c r="BX66" s="223">
        <f>+BX4</f>
        <v>46122</v>
      </c>
      <c r="BY66" s="223"/>
      <c r="BZ66" s="224"/>
      <c r="CA66" s="223">
        <f>+CA4</f>
        <v>46123</v>
      </c>
      <c r="CB66" s="223"/>
      <c r="CC66" s="224"/>
      <c r="CD66" s="223">
        <f>+CD4</f>
        <v>46124</v>
      </c>
      <c r="CE66" s="223"/>
      <c r="CF66" s="224"/>
      <c r="CG66" s="223">
        <f>+CG4</f>
        <v>46125</v>
      </c>
      <c r="CH66" s="223"/>
      <c r="CI66" s="224"/>
      <c r="CJ66" s="223">
        <f>+CJ4</f>
        <v>46126</v>
      </c>
      <c r="CK66" s="223"/>
      <c r="CL66" s="224"/>
      <c r="CM66" s="223">
        <f>+CM4</f>
        <v>46127</v>
      </c>
      <c r="CN66" s="223"/>
      <c r="CO66" s="224"/>
      <c r="CP66" s="223">
        <f>+CP4</f>
        <v>46128</v>
      </c>
      <c r="CQ66" s="223"/>
      <c r="CR66" s="224"/>
      <c r="CS66" s="223">
        <f>+CS4</f>
        <v>46129</v>
      </c>
      <c r="CT66" s="223"/>
      <c r="CU66" s="224"/>
      <c r="CV66" s="223">
        <f>+CV4</f>
        <v>46130</v>
      </c>
      <c r="CW66" s="223"/>
      <c r="CX66" s="224"/>
      <c r="CY66" s="223">
        <f>+CY4</f>
        <v>46131</v>
      </c>
      <c r="CZ66" s="223"/>
      <c r="DA66" s="224"/>
      <c r="DB66" s="223">
        <f>+DB4</f>
        <v>46132</v>
      </c>
      <c r="DC66" s="223"/>
      <c r="DD66" s="224"/>
      <c r="DE66" s="223">
        <f>+DE4</f>
        <v>46133</v>
      </c>
      <c r="DF66" s="223"/>
      <c r="DG66" s="224"/>
      <c r="DH66" s="223">
        <f>+DH4</f>
        <v>46134</v>
      </c>
      <c r="DI66" s="223"/>
      <c r="DJ66" s="224"/>
      <c r="DK66" s="223">
        <f>+DK4</f>
        <v>46135</v>
      </c>
      <c r="DL66" s="223"/>
      <c r="DM66" s="224"/>
      <c r="DN66" s="223">
        <f>+DN4</f>
        <v>46136</v>
      </c>
      <c r="DO66" s="223"/>
      <c r="DP66" s="224"/>
      <c r="DQ66" s="223">
        <f>+DQ4</f>
        <v>46137</v>
      </c>
      <c r="DR66" s="223"/>
      <c r="DS66" s="224"/>
      <c r="DT66" s="223">
        <f>+DT4</f>
        <v>46138</v>
      </c>
      <c r="DU66" s="223"/>
      <c r="DV66" s="224"/>
      <c r="DW66" s="223">
        <f>+DW4</f>
        <v>46139</v>
      </c>
      <c r="DX66" s="223"/>
      <c r="DY66" s="224"/>
      <c r="DZ66" s="223">
        <f>+DZ4</f>
        <v>46140</v>
      </c>
      <c r="EA66" s="223"/>
      <c r="EB66" s="224"/>
      <c r="EC66" s="223">
        <f>+EC4</f>
        <v>46141</v>
      </c>
      <c r="ED66" s="223"/>
      <c r="EE66" s="224"/>
      <c r="EF66" s="223">
        <f>+EF4</f>
        <v>46142</v>
      </c>
      <c r="EG66" s="223"/>
      <c r="EH66" s="224"/>
      <c r="EI66" s="223">
        <f>+EI4</f>
        <v>46143</v>
      </c>
      <c r="EJ66" s="223"/>
      <c r="EK66" s="224"/>
      <c r="EL66" s="172"/>
      <c r="EM66" s="12"/>
      <c r="EN66" s="12"/>
      <c r="EO66" s="12"/>
      <c r="EP66" s="12"/>
      <c r="EQ66" s="12"/>
      <c r="ER66" s="12"/>
      <c r="ES66" s="12"/>
      <c r="ET66" s="12"/>
      <c r="EU66" s="12"/>
      <c r="EV66" s="12"/>
      <c r="EW66" s="12"/>
      <c r="EX66" s="12"/>
      <c r="EY66" s="12"/>
      <c r="EZ66" s="12"/>
      <c r="FA66" s="12"/>
      <c r="FB66" s="12"/>
      <c r="FC66" s="12"/>
      <c r="FD66" s="12"/>
      <c r="FE66" s="12"/>
      <c r="FF66" s="12"/>
      <c r="FG66" s="12"/>
      <c r="FH66" s="12"/>
      <c r="FI66" s="12"/>
      <c r="FJ66" s="12"/>
      <c r="FK66" s="12"/>
      <c r="FL66" s="12"/>
      <c r="FM66" s="12"/>
      <c r="FN66" s="12"/>
      <c r="FO66" s="12"/>
      <c r="FP66" s="12"/>
      <c r="FQ66" s="12"/>
      <c r="FR66" s="12"/>
      <c r="FS66" s="12"/>
      <c r="FT66" s="12"/>
      <c r="FU66" s="12"/>
      <c r="FV66" s="12"/>
      <c r="FW66" s="12"/>
    </row>
    <row r="67" spans="1:179" s="25" customFormat="1" ht="20.25" hidden="1" customHeight="1">
      <c r="A67" s="174"/>
      <c r="B67" s="47"/>
      <c r="C67" s="12"/>
      <c r="D67" s="31"/>
      <c r="E67" s="43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4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 t="s">
        <v>213</v>
      </c>
      <c r="AW67" s="79" t="s">
        <v>28</v>
      </c>
      <c r="AX67" s="30" t="s">
        <v>212</v>
      </c>
      <c r="AY67" s="173" t="s">
        <v>211</v>
      </c>
      <c r="AZ67" s="79" t="s">
        <v>28</v>
      </c>
      <c r="BA67" s="30" t="s">
        <v>212</v>
      </c>
      <c r="BB67" s="173" t="s">
        <v>211</v>
      </c>
      <c r="BC67" s="79" t="s">
        <v>28</v>
      </c>
      <c r="BD67" s="30" t="s">
        <v>212</v>
      </c>
      <c r="BE67" s="173" t="s">
        <v>211</v>
      </c>
      <c r="BF67" s="79" t="s">
        <v>28</v>
      </c>
      <c r="BG67" s="30" t="s">
        <v>212</v>
      </c>
      <c r="BH67" s="173" t="s">
        <v>211</v>
      </c>
      <c r="BI67" s="79" t="s">
        <v>28</v>
      </c>
      <c r="BJ67" s="30" t="s">
        <v>212</v>
      </c>
      <c r="BK67" s="173" t="s">
        <v>211</v>
      </c>
      <c r="BL67" s="79" t="s">
        <v>28</v>
      </c>
      <c r="BM67" s="30" t="s">
        <v>212</v>
      </c>
      <c r="BN67" s="173" t="s">
        <v>211</v>
      </c>
      <c r="BO67" s="79" t="s">
        <v>28</v>
      </c>
      <c r="BP67" s="30" t="s">
        <v>212</v>
      </c>
      <c r="BQ67" s="173" t="s">
        <v>211</v>
      </c>
      <c r="BR67" s="79" t="s">
        <v>28</v>
      </c>
      <c r="BS67" s="30" t="s">
        <v>212</v>
      </c>
      <c r="BT67" s="173" t="s">
        <v>211</v>
      </c>
      <c r="BU67" s="79" t="s">
        <v>28</v>
      </c>
      <c r="BV67" s="30" t="s">
        <v>212</v>
      </c>
      <c r="BW67" s="173" t="s">
        <v>211</v>
      </c>
      <c r="BX67" s="79" t="s">
        <v>28</v>
      </c>
      <c r="BY67" s="30" t="s">
        <v>212</v>
      </c>
      <c r="BZ67" s="173" t="s">
        <v>211</v>
      </c>
      <c r="CA67" s="79" t="s">
        <v>28</v>
      </c>
      <c r="CB67" s="30" t="s">
        <v>212</v>
      </c>
      <c r="CC67" s="173" t="s">
        <v>211</v>
      </c>
      <c r="CD67" s="79" t="s">
        <v>28</v>
      </c>
      <c r="CE67" s="30" t="s">
        <v>212</v>
      </c>
      <c r="CF67" s="173" t="s">
        <v>211</v>
      </c>
      <c r="CG67" s="79" t="s">
        <v>28</v>
      </c>
      <c r="CH67" s="30" t="s">
        <v>212</v>
      </c>
      <c r="CI67" s="173" t="s">
        <v>211</v>
      </c>
      <c r="CJ67" s="79" t="s">
        <v>28</v>
      </c>
      <c r="CK67" s="30" t="s">
        <v>212</v>
      </c>
      <c r="CL67" s="173" t="s">
        <v>211</v>
      </c>
      <c r="CM67" s="79" t="s">
        <v>28</v>
      </c>
      <c r="CN67" s="30" t="s">
        <v>212</v>
      </c>
      <c r="CO67" s="173" t="s">
        <v>211</v>
      </c>
      <c r="CP67" s="79" t="s">
        <v>28</v>
      </c>
      <c r="CQ67" s="30" t="s">
        <v>212</v>
      </c>
      <c r="CR67" s="173" t="s">
        <v>211</v>
      </c>
      <c r="CS67" s="79" t="s">
        <v>28</v>
      </c>
      <c r="CT67" s="30" t="s">
        <v>212</v>
      </c>
      <c r="CU67" s="173" t="s">
        <v>211</v>
      </c>
      <c r="CV67" s="79" t="s">
        <v>28</v>
      </c>
      <c r="CW67" s="30" t="s">
        <v>212</v>
      </c>
      <c r="CX67" s="173" t="s">
        <v>211</v>
      </c>
      <c r="CY67" s="79" t="s">
        <v>28</v>
      </c>
      <c r="CZ67" s="30" t="s">
        <v>212</v>
      </c>
      <c r="DA67" s="173" t="s">
        <v>211</v>
      </c>
      <c r="DB67" s="79" t="s">
        <v>28</v>
      </c>
      <c r="DC67" s="30" t="s">
        <v>212</v>
      </c>
      <c r="DD67" s="173" t="s">
        <v>211</v>
      </c>
      <c r="DE67" s="79" t="s">
        <v>28</v>
      </c>
      <c r="DF67" s="30" t="s">
        <v>212</v>
      </c>
      <c r="DG67" s="173" t="s">
        <v>211</v>
      </c>
      <c r="DH67" s="79" t="s">
        <v>28</v>
      </c>
      <c r="DI67" s="30" t="s">
        <v>212</v>
      </c>
      <c r="DJ67" s="173" t="s">
        <v>211</v>
      </c>
      <c r="DK67" s="79" t="s">
        <v>28</v>
      </c>
      <c r="DL67" s="30" t="s">
        <v>212</v>
      </c>
      <c r="DM67" s="173" t="s">
        <v>211</v>
      </c>
      <c r="DN67" s="79" t="s">
        <v>28</v>
      </c>
      <c r="DO67" s="30" t="s">
        <v>212</v>
      </c>
      <c r="DP67" s="173" t="s">
        <v>211</v>
      </c>
      <c r="DQ67" s="79" t="s">
        <v>28</v>
      </c>
      <c r="DR67" s="30" t="s">
        <v>212</v>
      </c>
      <c r="DS67" s="173" t="s">
        <v>211</v>
      </c>
      <c r="DT67" s="79" t="s">
        <v>28</v>
      </c>
      <c r="DU67" s="30" t="s">
        <v>212</v>
      </c>
      <c r="DV67" s="173" t="s">
        <v>211</v>
      </c>
      <c r="DW67" s="79" t="s">
        <v>28</v>
      </c>
      <c r="DX67" s="30" t="s">
        <v>212</v>
      </c>
      <c r="DY67" s="173" t="s">
        <v>211</v>
      </c>
      <c r="DZ67" s="79" t="s">
        <v>28</v>
      </c>
      <c r="EA67" s="30" t="s">
        <v>212</v>
      </c>
      <c r="EB67" s="173" t="s">
        <v>211</v>
      </c>
      <c r="EC67" s="79" t="s">
        <v>28</v>
      </c>
      <c r="ED67" s="30" t="s">
        <v>212</v>
      </c>
      <c r="EE67" s="173" t="s">
        <v>211</v>
      </c>
      <c r="EF67" s="79" t="s">
        <v>28</v>
      </c>
      <c r="EG67" s="30" t="s">
        <v>212</v>
      </c>
      <c r="EH67" s="173" t="s">
        <v>211</v>
      </c>
      <c r="EI67" s="79" t="s">
        <v>28</v>
      </c>
      <c r="EJ67" s="30" t="s">
        <v>212</v>
      </c>
      <c r="EK67" s="173" t="s">
        <v>211</v>
      </c>
      <c r="EL67" s="172"/>
      <c r="EM67" s="12"/>
      <c r="EN67" s="12"/>
      <c r="EO67" s="12"/>
      <c r="EP67" s="12"/>
      <c r="EQ67" s="12"/>
      <c r="ER67" s="12"/>
      <c r="ES67" s="12"/>
      <c r="ET67" s="12"/>
      <c r="EU67" s="12"/>
      <c r="EV67" s="12"/>
      <c r="EW67" s="12"/>
      <c r="EX67" s="12"/>
      <c r="EY67" s="12"/>
      <c r="EZ67" s="12"/>
      <c r="FA67" s="12"/>
      <c r="FB67" s="12"/>
      <c r="FC67" s="12"/>
      <c r="FD67" s="12"/>
      <c r="FE67" s="12"/>
      <c r="FF67" s="12"/>
      <c r="FG67" s="12"/>
      <c r="FH67" s="12"/>
      <c r="FI67" s="12"/>
      <c r="FJ67" s="12"/>
      <c r="FK67" s="12"/>
      <c r="FL67" s="12"/>
      <c r="FM67" s="12"/>
      <c r="FN67" s="12"/>
      <c r="FO67" s="12"/>
      <c r="FP67" s="12"/>
      <c r="FQ67" s="12"/>
      <c r="FR67" s="12"/>
      <c r="FS67" s="12"/>
      <c r="FT67" s="12"/>
      <c r="FU67" s="12"/>
      <c r="FV67" s="12"/>
      <c r="FW67" s="12"/>
    </row>
    <row r="68" spans="1:179" s="12" customFormat="1" ht="14.25" hidden="1" customHeight="1">
      <c r="A68" s="20">
        <v>39</v>
      </c>
      <c r="B68" s="26"/>
      <c r="C68" s="25"/>
      <c r="D68" s="24"/>
      <c r="E68" s="60" t="s">
        <v>240</v>
      </c>
      <c r="F68" s="59">
        <f>+SUM(AC68:AC77,AC97:AC98,AC105)</f>
        <v>9155</v>
      </c>
      <c r="G68" s="82">
        <f t="shared" ref="G68:G99" si="144">+SUMIF($AA$327:$AA$515,Z68,$H$327:$H$515)</f>
        <v>0</v>
      </c>
      <c r="H68" s="81">
        <f t="shared" ref="H68:H99" si="145">+SUMIF($AA$327:$AA$515,AA68,$H$327:$H$515)</f>
        <v>0</v>
      </c>
      <c r="I68" s="19">
        <f t="shared" ref="I68:I99" si="146">+SUMIF($AA$327:$AA$515,AA68,$I$327:$I$515)</f>
        <v>0</v>
      </c>
      <c r="J68" s="11">
        <f t="shared" ref="J68:J99" si="147">SUM(K68:Z68)</f>
        <v>0</v>
      </c>
      <c r="K68" s="19">
        <f t="shared" ref="K68:K99" si="148">+SUMIF($AA$327:$AA$515,AA68,$K$327:$K$515)</f>
        <v>0</v>
      </c>
      <c r="L68" s="19">
        <f t="shared" ref="L68:L99" si="149">+SUMIF($AA$327:$AA$515,AA68,$L$327:$L$515)</f>
        <v>0</v>
      </c>
      <c r="M68" s="19">
        <f t="shared" ref="M68:M99" si="150">+SUMIF($AA$327:$AA$515,AA68,$M$327:$M$515)</f>
        <v>0</v>
      </c>
      <c r="N68" s="19">
        <f t="shared" ref="N68:N99" si="151">+SUMIF($AA$327:$AA$515,AA68,$N$327:$N$515)</f>
        <v>0</v>
      </c>
      <c r="O68" s="19">
        <f t="shared" ref="O68:O99" si="152">+SUMIF($AA$327:$AA$515,AA68,$O$327:$O$515)</f>
        <v>0</v>
      </c>
      <c r="P68" s="19">
        <f t="shared" ref="P68:P99" si="153">+SUMIF($AA$327:$AA$515,AA68,$P$327:$P$515)</f>
        <v>0</v>
      </c>
      <c r="Q68" s="19">
        <f t="shared" ref="Q68:Q99" si="154">+SUMIF($AA$327:$AA$515,AA68,$Q$327:$Q$515)</f>
        <v>0</v>
      </c>
      <c r="R68" s="19">
        <f t="shared" ref="R68:R99" si="155">+SUMIF($AA$327:$AA$515,AA68,$R$327:$R$515)</f>
        <v>0</v>
      </c>
      <c r="S68" s="19">
        <f t="shared" ref="S68:S99" si="156">+SUMIF($AA$327:$AA$515,AA68,$S$327:$S$515)</f>
        <v>0</v>
      </c>
      <c r="T68" s="19">
        <f t="shared" ref="T68:T99" si="157">+SUMIF($AA$327:$AA$515,AA68,$T$327:$T$515)</f>
        <v>0</v>
      </c>
      <c r="U68" s="19">
        <f t="shared" ref="U68:U99" si="158">+SUMIF($AA$327:$AA$515,AA68,$U$327:$U$515)</f>
        <v>0</v>
      </c>
      <c r="V68" s="19">
        <f t="shared" ref="V68:V99" si="159">+SUMIF($AA$327:$AA$515,AA68,$V$327:$V$515)</f>
        <v>0</v>
      </c>
      <c r="W68" s="19">
        <f t="shared" ref="W68:W99" si="160">+SUMIF($AA$327:$AA$515,AA68,$W$327:$W$515)</f>
        <v>0</v>
      </c>
      <c r="X68" s="19">
        <f t="shared" ref="X68:X99" si="161">+SUMIF($AA$327:$AA$515,AA68,$X$327:$X$515)</f>
        <v>0</v>
      </c>
      <c r="Y68" s="19">
        <f t="shared" ref="Y68:Y99" si="162">+SUMIF($AA$327:$AA$515,AA68,$Y$327:$Y$515)</f>
        <v>0</v>
      </c>
      <c r="Z68" s="19">
        <f t="shared" ref="Z68:Z99" si="163">+SUMIF($AA$327:$AA$515,AB68,$Y$327:$Y$515)</f>
        <v>0</v>
      </c>
      <c r="AA68" s="171">
        <v>8014</v>
      </c>
      <c r="AB68" s="17" t="e">
        <f>+H68*SUMIF('[1]KẾ HOẠCH'!$B$5:$CK$5,'Cắt lồng'!AA68,'[1]KẾ HOẠCH'!$B$6:$CK$6)+H68*SUMIF('[1]KẾ HOẠCH'!$B$7:$CK$7,'Cắt lồng'!AA68,'[1]KẾ HOẠCH'!$B$8:$CK$8)+H68*SUMIF('[1]KẾ HOẠCH'!$B$15:$CK$15,'Cắt lồng'!AA68,'[1]KẾ HOẠCH'!$B$16:$CK$16)</f>
        <v>#VALUE!</v>
      </c>
      <c r="AC68" s="16">
        <f t="shared" ref="AC68:AC99" si="164">+SUMIF($AA$327:$AA$515,AA68,$AC$327:$AC$515)</f>
        <v>0</v>
      </c>
      <c r="AD68" s="15" t="e">
        <f t="shared" ref="AD68:AD99" si="165">+AC68/AB68</f>
        <v>#VALUE!</v>
      </c>
      <c r="AE68" s="42"/>
      <c r="AF68" s="10" t="e">
        <f t="shared" ref="AF68:AF99" si="166">+AC68/H68</f>
        <v>#DIV/0!</v>
      </c>
      <c r="AG68" s="10"/>
      <c r="AH68" s="152">
        <f t="shared" ref="AH68:AH99" si="167">+SUM(AJ68:AT68)</f>
        <v>0</v>
      </c>
      <c r="AI68" s="54" t="e">
        <f t="shared" ref="AI68:AI99" si="168">+AH68/AC68</f>
        <v>#DIV/0!</v>
      </c>
      <c r="AJ68" s="25">
        <f t="shared" ref="AJ68:AJ99" si="169">+SUMIF($AA$327:$AA$515,AA68,$AJ$327:$AJ$515)</f>
        <v>0</v>
      </c>
      <c r="AK68" s="25">
        <f t="shared" ref="AK68:AK99" si="170">+SUMIF($AA$327:$AA$515,AA68,$AK$327:$AK$515)</f>
        <v>0</v>
      </c>
      <c r="AL68" s="25">
        <f t="shared" ref="AL68:AL99" si="171">+SUMIF($AA$327:$AA$515,AA68,$AL$327:$AL$515)</f>
        <v>0</v>
      </c>
      <c r="AM68" s="30">
        <f t="shared" ref="AM68:AM99" si="172">+SUMIF($AA$327:$AA$515,AA68,$AM$327:$AM$515)</f>
        <v>0</v>
      </c>
      <c r="AN68" s="25">
        <f t="shared" ref="AN68:AN99" si="173">+SUMIF($AA$327:$AA$515,AA68,$AN$327:$AN$515)</f>
        <v>0</v>
      </c>
      <c r="AO68" s="25">
        <f t="shared" ref="AO68:AO99" si="174">+SUMIF($AA$327:$AA$515,AA68,$AO$327:$AO$515)</f>
        <v>0</v>
      </c>
      <c r="AP68" s="25">
        <f t="shared" ref="AP68:AP99" si="175">+SUMIF($AA$327:$AA$515,AA68,$AP$327:$AP$515)</f>
        <v>0</v>
      </c>
      <c r="AQ68" s="25">
        <f t="shared" ref="AQ68:AQ99" si="176">+SUMIF($AA$327:$AA$515,AA68,$AQ$327:$AQ$515)</f>
        <v>0</v>
      </c>
      <c r="AR68" s="25">
        <f t="shared" ref="AR68:AR99" si="177">+SUMIF($AB$327:$AB$515,AA68,$AR$327:$AR$515)</f>
        <v>0</v>
      </c>
      <c r="AS68" s="25">
        <f t="shared" ref="AS68:AS99" si="178">+SUMIF($AC$327:$AC$515,AA68,$AS$327:$AS$515)</f>
        <v>0</v>
      </c>
      <c r="AT68" s="25">
        <f t="shared" ref="AT68:AT99" si="179">+SUMIF($AA$327:$AA$515,AA68,$AT$327:$AT$515)</f>
        <v>0</v>
      </c>
      <c r="AV68" s="79">
        <f t="shared" ref="AV68:AV99" si="180">+SUMIF($AA$327:$AA$514,AA68,$H$327:$H$514)</f>
        <v>0</v>
      </c>
      <c r="AW68" s="79">
        <f t="array" ref="AW68">SUMIFS('Cắt lồng'!$AC$327:$AC$515,'Cắt lồng'!$AA$327:$AA$515,'Cắt lồng'!$AA68,'Cắt lồng'!$AE$327:$AE$515,'Cắt lồng'!AW$4:AW$4)</f>
        <v>0</v>
      </c>
      <c r="AX68" s="79">
        <f t="array" ref="AX68">SUMIFS('Cắt lồng'!$AH$327:$AH$515,'Cắt lồng'!$AA$327:$AA$515,'Cắt lồng'!$AA68,'Cắt lồng'!$AE$327:$AE$515,'Cắt lồng'!AX$4:AX$4)</f>
        <v>0</v>
      </c>
      <c r="AY68" s="78" t="e">
        <f t="shared" ref="AY68:AY99" si="181">+AX68/AW68</f>
        <v>#DIV/0!</v>
      </c>
      <c r="AZ68" s="79">
        <f t="array" ref="AZ68">SUMIFS('Cắt lồng'!$AC$327:$AC$515,'Cắt lồng'!$AA$327:$AA$515,'Cắt lồng'!$AA68,'Cắt lồng'!$AE$327:$AE$515,'Cắt lồng'!AZ$4:AZ$4)</f>
        <v>0</v>
      </c>
      <c r="BA68" s="79">
        <f t="array" ref="BA68">SUMIFS('Cắt lồng'!$AH$327:$AH$515,'Cắt lồng'!$AA$327:$AA$515,'Cắt lồng'!$AA68,'Cắt lồng'!$AE$327:$AE$515,'Cắt lồng'!BA$4:BA$4)</f>
        <v>0</v>
      </c>
      <c r="BB68" s="78" t="e">
        <f t="shared" ref="BB68:BB99" si="182">+BA68/AZ68</f>
        <v>#DIV/0!</v>
      </c>
      <c r="BC68" s="79">
        <f>SUMIFS('Cắt lồng'!$AC$327:$AC$515,'Cắt lồng'!$AA$327:$AA$515,'Cắt lồng'!$AA68,'Cắt lồng'!$AE$327:$AE$515,'Cắt lồng'!BC$4:BC$4)</f>
        <v>0</v>
      </c>
      <c r="BD68" s="79">
        <f t="array" ref="BD68">SUMIFS('Cắt lồng'!$AH$327:$AH$515,'Cắt lồng'!$AA$327:$AA$515,'Cắt lồng'!$AA68,'Cắt lồng'!$AE$327:$AE$515,'Cắt lồng'!BD$4:BD$4)</f>
        <v>0</v>
      </c>
      <c r="BE68" s="78" t="e">
        <f t="shared" ref="BE68:BE99" si="183">+BD68/BC68</f>
        <v>#DIV/0!</v>
      </c>
      <c r="BF68" s="79">
        <f t="array" ref="BF68">SUMIFS('Cắt lồng'!$AC$327:$AC$515,'Cắt lồng'!$AA$327:$AA$515,'Cắt lồng'!$AA68,'Cắt lồng'!$AE$327:$AE$515,'Cắt lồng'!BF$4:BF$4)</f>
        <v>0</v>
      </c>
      <c r="BG68" s="79">
        <f t="array" ref="BG68">SUMIFS('Cắt lồng'!$AH$327:$AH$515,'Cắt lồng'!$AA$327:$AA$515,'Cắt lồng'!$AA68,'Cắt lồng'!$AE$327:$AE$515,'Cắt lồng'!BG$4:BG$4)</f>
        <v>0</v>
      </c>
      <c r="BH68" s="78" t="e">
        <f t="shared" ref="BH68:BH99" si="184">+BG68/BF68</f>
        <v>#DIV/0!</v>
      </c>
      <c r="BI68" s="79">
        <f t="array" ref="BI68">SUMIFS('Cắt lồng'!$AC$327:$AC$515,'Cắt lồng'!$AA$327:$AA$515,'Cắt lồng'!$AA68,'Cắt lồng'!$AE$327:$AE$515,'Cắt lồng'!BI$4:BI$4)</f>
        <v>0</v>
      </c>
      <c r="BJ68" s="79">
        <f t="array" ref="BJ68">SUMIFS('Cắt lồng'!$AH$327:$AH$515,'Cắt lồng'!$AA$327:$AA$515,'Cắt lồng'!$AA68,'Cắt lồng'!$AE$327:$AE$515,'Cắt lồng'!BJ$4:BJ$4)</f>
        <v>0</v>
      </c>
      <c r="BK68" s="78" t="e">
        <f t="shared" ref="BK68:BK99" si="185">+BJ68/BI68</f>
        <v>#DIV/0!</v>
      </c>
      <c r="BL68" s="79">
        <f t="array" ref="BL68">SUMIFS('Cắt lồng'!$AC$327:$AC$515,'Cắt lồng'!$AA$327:$AA$515,'Cắt lồng'!$AA68,'Cắt lồng'!$AE$327:$AE$515,'Cắt lồng'!BL$4:BL$4)</f>
        <v>0</v>
      </c>
      <c r="BM68" s="79">
        <f t="array" ref="BM68">SUMIFS('Cắt lồng'!$AH$327:$AH$515,'Cắt lồng'!$AA$327:$AA$515,'Cắt lồng'!$AA68,'Cắt lồng'!$AE$327:$AE$515,'Cắt lồng'!BM$4:BM$4)</f>
        <v>0</v>
      </c>
      <c r="BN68" s="78" t="e">
        <f t="shared" ref="BN68:BN99" si="186">+BM68/BL68</f>
        <v>#DIV/0!</v>
      </c>
      <c r="BO68" s="79">
        <f t="array" ref="BO68">SUMIFS('Cắt lồng'!$AC$327:$AC$515,'Cắt lồng'!$AA$327:$AA$515,'Cắt lồng'!$AA68,'Cắt lồng'!$AE$327:$AE$515,'Cắt lồng'!BO$4:BO$4)</f>
        <v>0</v>
      </c>
      <c r="BP68" s="79">
        <f t="array" ref="BP68">SUMIFS('Cắt lồng'!$AH$327:$AH$515,'Cắt lồng'!$AA$327:$AA$515,'Cắt lồng'!$AA68,'Cắt lồng'!$AE$327:$AE$515,'Cắt lồng'!BP$4:BP$4)</f>
        <v>0</v>
      </c>
      <c r="BQ68" s="78" t="e">
        <f t="shared" ref="BQ68:BQ99" si="187">+BP68/BO68</f>
        <v>#DIV/0!</v>
      </c>
      <c r="BR68" s="79">
        <f t="array" ref="BR68">SUMIFS('Cắt lồng'!$AC$327:$AC$515,'Cắt lồng'!$AA$327:$AA$515,'Cắt lồng'!$AA68,'Cắt lồng'!$AE$327:$AE$515,'Cắt lồng'!BR$4:BR$4)</f>
        <v>0</v>
      </c>
      <c r="BS68" s="79">
        <f t="array" ref="BS68">SUMIFS('Cắt lồng'!$AH$327:$AH$515,'Cắt lồng'!$AA$327:$AA$515,'Cắt lồng'!$AA68,'Cắt lồng'!$AE$327:$AE$515,'Cắt lồng'!BS$4:BS$4)</f>
        <v>0</v>
      </c>
      <c r="BT68" s="78" t="e">
        <f t="shared" ref="BT68:BT99" si="188">+BS68/BR68</f>
        <v>#DIV/0!</v>
      </c>
      <c r="BU68" s="79">
        <f t="array" ref="BU68">SUMIFS('Cắt lồng'!$AC$327:$AC$515,'Cắt lồng'!$AA$327:$AA$515,'Cắt lồng'!$AA68,'Cắt lồng'!$AE$327:$AE$515,'Cắt lồng'!BU$4:BU$4)</f>
        <v>0</v>
      </c>
      <c r="BV68" s="79">
        <f t="array" ref="BV68">SUMIFS('Cắt lồng'!$AH$327:$AH$515,'Cắt lồng'!$AA$327:$AA$515,'Cắt lồng'!$AA68,'Cắt lồng'!$AE$327:$AE$515,'Cắt lồng'!BV$4:BV$4)</f>
        <v>0</v>
      </c>
      <c r="BW68" s="78" t="e">
        <f t="shared" ref="BW68:BW99" si="189">+BV68/BU68</f>
        <v>#DIV/0!</v>
      </c>
      <c r="BX68" s="79">
        <f t="array" ref="BX68">SUMIFS('Cắt lồng'!$AC$327:$AC$515,'Cắt lồng'!$AA$327:$AA$515,'Cắt lồng'!$AA68,'Cắt lồng'!$AE$327:$AE$515,'Cắt lồng'!BX$4:BX$4)</f>
        <v>0</v>
      </c>
      <c r="BY68" s="79">
        <f t="array" ref="BY68">SUMIFS('Cắt lồng'!$AH$327:$AH$515,'Cắt lồng'!$AA$327:$AA$515,'Cắt lồng'!$AA68,'Cắt lồng'!$AE$327:$AE$515,'Cắt lồng'!BY$4:BY$4)</f>
        <v>0</v>
      </c>
      <c r="BZ68" s="78" t="e">
        <f t="shared" ref="BZ68:BZ99" si="190">+BY68/BX68</f>
        <v>#DIV/0!</v>
      </c>
      <c r="CA68" s="79">
        <f t="array" ref="CA68">SUMIFS('Cắt lồng'!$AC$327:$AC$515,'Cắt lồng'!$AA$327:$AA$515,'Cắt lồng'!$AA68,'Cắt lồng'!$AE$327:$AE$515,'Cắt lồng'!CA$4:CA$4)</f>
        <v>0</v>
      </c>
      <c r="CB68" s="79">
        <f t="array" ref="CB68">SUMIFS('Cắt lồng'!$AH$327:$AH$515,'Cắt lồng'!$AA$327:$AA$515,'Cắt lồng'!$AA68,'Cắt lồng'!$AE$327:$AE$515,'Cắt lồng'!CB$4:CB$4)</f>
        <v>0</v>
      </c>
      <c r="CC68" s="78" t="e">
        <f t="shared" ref="CC68:CC99" si="191">+CB68/CA68</f>
        <v>#DIV/0!</v>
      </c>
      <c r="CD68" s="79">
        <f t="array" ref="CD68">SUMIFS('Cắt lồng'!$AC$327:$AC$515,'Cắt lồng'!$AA$327:$AA$515,'Cắt lồng'!$AA68,'Cắt lồng'!$AE$327:$AE$515,'Cắt lồng'!CD$4:CD$4)</f>
        <v>0</v>
      </c>
      <c r="CE68" s="79">
        <f t="array" ref="CE68">SUMIFS('Cắt lồng'!$AH$327:$AH$515,'Cắt lồng'!$AA$327:$AA$515,'Cắt lồng'!$AA68,'Cắt lồng'!$AE$327:$AE$515,'Cắt lồng'!CE$4:CE$4)</f>
        <v>0</v>
      </c>
      <c r="CF68" s="78" t="e">
        <f t="shared" ref="CF68:CF99" si="192">+CE68/CD68</f>
        <v>#DIV/0!</v>
      </c>
      <c r="CG68" s="79">
        <f t="array" ref="CG68">SUMIFS('Cắt lồng'!$AC$327:$AC$515,'Cắt lồng'!$AA$327:$AA$515,'Cắt lồng'!$AA68,'Cắt lồng'!$AE$327:$AE$515,'Cắt lồng'!CG$4:CG$4)</f>
        <v>0</v>
      </c>
      <c r="CH68" s="79">
        <f t="array" ref="CH68">SUMIFS('Cắt lồng'!$AH$327:$AH$515,'Cắt lồng'!$AA$327:$AA$515,'Cắt lồng'!$AA68,'Cắt lồng'!$AE$327:$AE$515,'Cắt lồng'!CH$4:CH$4)</f>
        <v>0</v>
      </c>
      <c r="CI68" s="78" t="e">
        <f t="shared" ref="CI68:CI99" si="193">+CH68/CG68</f>
        <v>#DIV/0!</v>
      </c>
      <c r="CJ68" s="79">
        <f t="array" ref="CJ68">SUMIFS('Cắt lồng'!$AC$327:$AC$515,'Cắt lồng'!$AA$327:$AA$515,'Cắt lồng'!$AA68,'Cắt lồng'!$AE$327:$AE$515,'Cắt lồng'!CJ$4:CJ$4)</f>
        <v>0</v>
      </c>
      <c r="CK68" s="79">
        <f t="array" ref="CK68">SUMIFS('Cắt lồng'!$AH$327:$AH$515,'Cắt lồng'!$AA$327:$AA$515,'Cắt lồng'!$AA68,'Cắt lồng'!$AE$327:$AE$515,'Cắt lồng'!CK$4:CK$4)</f>
        <v>0</v>
      </c>
      <c r="CL68" s="78" t="e">
        <f t="shared" ref="CL68:CL99" si="194">+CK68/CJ68</f>
        <v>#DIV/0!</v>
      </c>
      <c r="CM68" s="79">
        <f t="array" ref="CM68">SUMIFS('Cắt lồng'!$AC$327:$AC$515,'Cắt lồng'!$AA$327:$AA$515,'Cắt lồng'!$AA68,'Cắt lồng'!$AE$327:$AE$515,'Cắt lồng'!CM$4:CM$4)</f>
        <v>0</v>
      </c>
      <c r="CN68" s="79">
        <f t="array" ref="CN68">SUMIFS('Cắt lồng'!$AH$327:$AH$515,'Cắt lồng'!$AA$327:$AA$515,'Cắt lồng'!$AA68,'Cắt lồng'!$AE$327:$AE$515,'Cắt lồng'!CN$4:CN$4)</f>
        <v>0</v>
      </c>
      <c r="CO68" s="78" t="e">
        <f t="shared" ref="CO68:CO99" si="195">+CN68/CM68</f>
        <v>#DIV/0!</v>
      </c>
      <c r="CP68" s="79">
        <f t="array" ref="CP68">SUMIFS('Cắt lồng'!$AC$327:$AC$515,'Cắt lồng'!$AA$327:$AA$515,'Cắt lồng'!$AA68,'Cắt lồng'!$AE$327:$AE$515,'Cắt lồng'!CP$4:CP$4)</f>
        <v>0</v>
      </c>
      <c r="CQ68" s="79">
        <f t="array" ref="CQ68">SUMIFS('Cắt lồng'!$AH$327:$AH$515,'Cắt lồng'!$AA$327:$AA$515,'Cắt lồng'!$AA68,'Cắt lồng'!$AE$327:$AE$515,'Cắt lồng'!CQ$4:CQ$4)</f>
        <v>0</v>
      </c>
      <c r="CR68" s="78" t="e">
        <f t="shared" ref="CR68:CR99" si="196">+CQ68/CP68</f>
        <v>#DIV/0!</v>
      </c>
      <c r="CS68" s="79">
        <f t="array" ref="CS68">SUMIFS('Cắt lồng'!$AC$327:$AC$515,'Cắt lồng'!$AA$327:$AA$515,'Cắt lồng'!$AA68,'Cắt lồng'!$AE$327:$AE$515,'Cắt lồng'!CS$4:CS$4)</f>
        <v>0</v>
      </c>
      <c r="CT68" s="79">
        <f t="array" ref="CT68">SUMIFS('Cắt lồng'!$AH$327:$AH$515,'Cắt lồng'!$AA$327:$AA$515,'Cắt lồng'!$AA68,'Cắt lồng'!$AE$327:$AE$515,'Cắt lồng'!CT$4:CT$4)</f>
        <v>0</v>
      </c>
      <c r="CU68" s="78" t="e">
        <f t="shared" ref="CU68:CU99" si="197">+CT68/CS68</f>
        <v>#DIV/0!</v>
      </c>
      <c r="CV68" s="79">
        <f t="array" ref="CV68">SUMIFS('Cắt lồng'!$AC$327:$AC$515,'Cắt lồng'!$AA$327:$AA$515,'Cắt lồng'!$AA68,'Cắt lồng'!$AE$327:$AE$515,'Cắt lồng'!CV$4:CV$4)</f>
        <v>0</v>
      </c>
      <c r="CW68" s="79">
        <f t="array" ref="CW68">SUMIFS('Cắt lồng'!$AH$327:$AH$515,'Cắt lồng'!$AA$327:$AA$515,'Cắt lồng'!$AA68,'Cắt lồng'!$AE$327:$AE$515,'Cắt lồng'!CW$4:CW$4)</f>
        <v>0</v>
      </c>
      <c r="CX68" s="78" t="e">
        <f t="shared" ref="CX68:CX99" si="198">+CW68/CV68</f>
        <v>#DIV/0!</v>
      </c>
      <c r="CY68" s="79">
        <f t="array" ref="CY68">SUMIFS('Cắt lồng'!$AC$327:$AC$515,'Cắt lồng'!$AA$327:$AA$515,'Cắt lồng'!$AA68,'Cắt lồng'!$AE$327:$AE$515,'Cắt lồng'!CY$4:CY$4)</f>
        <v>0</v>
      </c>
      <c r="CZ68" s="79">
        <f t="array" ref="CZ68">SUMIFS('Cắt lồng'!$AH$327:$AH$515,'Cắt lồng'!$AA$327:$AA$515,'Cắt lồng'!$AA68,'Cắt lồng'!$AE$327:$AE$515,'Cắt lồng'!CZ$4:CZ$4)</f>
        <v>0</v>
      </c>
      <c r="DA68" s="78" t="e">
        <f t="shared" ref="DA68:DA99" si="199">+CZ68/CY68</f>
        <v>#DIV/0!</v>
      </c>
      <c r="DB68" s="79">
        <f t="array" ref="DB68">SUMIFS('Cắt lồng'!$AC$327:$AC$515,'Cắt lồng'!$AA$327:$AA$515,'Cắt lồng'!$AA68,'Cắt lồng'!$AE$327:$AE$515,'Cắt lồng'!DB$4:DB$4)</f>
        <v>0</v>
      </c>
      <c r="DC68" s="79">
        <f t="array" ref="DC68">SUMIFS('Cắt lồng'!$AH$327:$AH$515,'Cắt lồng'!$AA$327:$AA$515,'Cắt lồng'!$AA68,'Cắt lồng'!$AE$327:$AE$515,'Cắt lồng'!DC$4:DC$4)</f>
        <v>0</v>
      </c>
      <c r="DD68" s="78" t="e">
        <f t="shared" ref="DD68:DD99" si="200">+DC68/DB68</f>
        <v>#DIV/0!</v>
      </c>
      <c r="DE68" s="79">
        <f t="array" ref="DE68">SUMIFS('Cắt lồng'!$AC$327:$AC$515,'Cắt lồng'!$AA$327:$AA$515,'Cắt lồng'!$AA68,'Cắt lồng'!$AE$327:$AE$515,'Cắt lồng'!DE$4:DE$4)</f>
        <v>0</v>
      </c>
      <c r="DF68" s="79">
        <f t="array" ref="DF68">SUMIFS('Cắt lồng'!$AH$327:$AH$515,'Cắt lồng'!$AA$327:$AA$515,'Cắt lồng'!$AA68,'Cắt lồng'!$AE$327:$AE$515,'Cắt lồng'!DF$4:DF$4)</f>
        <v>0</v>
      </c>
      <c r="DG68" s="78" t="e">
        <f t="shared" ref="DG68:DG99" si="201">+DF68/DE68</f>
        <v>#DIV/0!</v>
      </c>
      <c r="DH68" s="79">
        <f t="array" ref="DH68">SUMIFS('Cắt lồng'!$AC$327:$AC$515,'Cắt lồng'!$AA$327:$AA$515,'Cắt lồng'!$AA68,'Cắt lồng'!$AE$327:$AE$515,'Cắt lồng'!DH$4:DH$4)</f>
        <v>0</v>
      </c>
      <c r="DI68" s="79">
        <f t="array" ref="DI68">SUMIFS('Cắt lồng'!$AH$327:$AH$515,'Cắt lồng'!$AA$327:$AA$515,'Cắt lồng'!$AA68,'Cắt lồng'!$AE$327:$AE$515,'Cắt lồng'!DI$4:DI$4)</f>
        <v>0</v>
      </c>
      <c r="DJ68" s="78" t="e">
        <f t="shared" ref="DJ68:DJ99" si="202">+DI68/DH68</f>
        <v>#DIV/0!</v>
      </c>
      <c r="DK68" s="79">
        <f t="array" ref="DK68">SUMIFS('Cắt lồng'!$AC$327:$AC$515,'Cắt lồng'!$AA$327:$AA$515,'Cắt lồng'!$AA68,'Cắt lồng'!$AE$327:$AE$515,'Cắt lồng'!DK$4:DK$4)</f>
        <v>0</v>
      </c>
      <c r="DL68" s="79">
        <f t="array" ref="DL68">SUMIFS('Cắt lồng'!$AH$327:$AH$515,'Cắt lồng'!$AA$327:$AA$515,'Cắt lồng'!$AA68,'Cắt lồng'!$AE$327:$AE$515,'Cắt lồng'!DL$4:DL$4)</f>
        <v>0</v>
      </c>
      <c r="DM68" s="78" t="e">
        <f t="shared" ref="DM68:DM99" si="203">+DL68/DK68</f>
        <v>#DIV/0!</v>
      </c>
      <c r="DN68" s="79">
        <f t="array" ref="DN68">SUMIFS('Cắt lồng'!$AC$327:$AC$515,'Cắt lồng'!$AA$327:$AA$515,'Cắt lồng'!$AA68,'Cắt lồng'!$AE$327:$AE$515,'Cắt lồng'!DN$4:DN$4)</f>
        <v>0</v>
      </c>
      <c r="DO68" s="79">
        <f t="array" ref="DO68">SUMIFS('Cắt lồng'!$AH$327:$AH$515,'Cắt lồng'!$AA$327:$AA$515,'Cắt lồng'!$AA68,'Cắt lồng'!$AE$327:$AE$515,'Cắt lồng'!DO$4:DO$4)</f>
        <v>0</v>
      </c>
      <c r="DP68" s="78" t="e">
        <f t="shared" ref="DP68:DP99" si="204">+DO68/DN68</f>
        <v>#DIV/0!</v>
      </c>
      <c r="DQ68" s="79">
        <f t="array" ref="DQ68">SUMIFS('Cắt lồng'!$AC$327:$AC$515,'Cắt lồng'!$AA$327:$AA$515,'Cắt lồng'!$AA68,'Cắt lồng'!$AE$327:$AE$515,'Cắt lồng'!DQ$4:DQ$4)</f>
        <v>0</v>
      </c>
      <c r="DR68" s="79">
        <f t="array" ref="DR68">SUMIFS('Cắt lồng'!$AH$327:$AH$515,'Cắt lồng'!$AA$327:$AA$515,'Cắt lồng'!$AA68,'Cắt lồng'!$AE$327:$AE$515,'Cắt lồng'!DR$4:DR$4)</f>
        <v>0</v>
      </c>
      <c r="DS68" s="78" t="e">
        <f t="shared" ref="DS68:DS99" si="205">+DR68/DQ68</f>
        <v>#DIV/0!</v>
      </c>
      <c r="DT68" s="79">
        <f t="array" ref="DT68">SUMIFS('Cắt lồng'!$AC$327:$AC$515,'Cắt lồng'!$AA$327:$AA$515,'Cắt lồng'!$AA68,'Cắt lồng'!$AE$327:$AE$515,'Cắt lồng'!DT$4:DT$4)</f>
        <v>0</v>
      </c>
      <c r="DU68" s="79">
        <f t="array" ref="DU68">SUMIFS('Cắt lồng'!$AH$327:$AH$515,'Cắt lồng'!$AA$327:$AA$515,'Cắt lồng'!$AA68,'Cắt lồng'!$AE$327:$AE$515,'Cắt lồng'!DU$4:DU$4)</f>
        <v>0</v>
      </c>
      <c r="DV68" s="78" t="e">
        <f t="shared" ref="DV68:DV99" si="206">+DU68/DT68</f>
        <v>#DIV/0!</v>
      </c>
      <c r="DW68" s="79">
        <f t="array" ref="DW68">SUMIFS('Cắt lồng'!$AC$327:$AC$515,'Cắt lồng'!$AA$327:$AA$515,'Cắt lồng'!$AA68,'Cắt lồng'!$AE$327:$AE$515,'Cắt lồng'!DW$4:DW$4)</f>
        <v>0</v>
      </c>
      <c r="DX68" s="79">
        <f t="array" ref="DX68">SUMIFS('Cắt lồng'!$AH$327:$AH$515,'Cắt lồng'!$AA$327:$AA$515,'Cắt lồng'!$AA68,'Cắt lồng'!$AE$327:$AE$515,'Cắt lồng'!DX$4:DX$4)</f>
        <v>0</v>
      </c>
      <c r="DY68" s="78" t="e">
        <f t="shared" ref="DY68:DY99" si="207">+DX68/DW68</f>
        <v>#DIV/0!</v>
      </c>
      <c r="DZ68" s="79">
        <f t="array" ref="DZ68">SUMIFS('Cắt lồng'!$AC$327:$AC$515,'Cắt lồng'!$AA$327:$AA$515,'Cắt lồng'!$AA68,'Cắt lồng'!$AE$327:$AE$515,'Cắt lồng'!DZ$4:DZ$4)</f>
        <v>0</v>
      </c>
      <c r="EA68" s="79">
        <f t="array" ref="EA68">SUMIFS('Cắt lồng'!$AH$327:$AH$515,'Cắt lồng'!$AA$327:$AA$515,'Cắt lồng'!$AA68,'Cắt lồng'!$AE$327:$AE$515,'Cắt lồng'!EA$4:EA$4)</f>
        <v>0</v>
      </c>
      <c r="EB68" s="78" t="e">
        <f t="shared" ref="EB68:EB99" si="208">+EA68/DZ68</f>
        <v>#DIV/0!</v>
      </c>
      <c r="EC68" s="79">
        <f t="array" ref="EC68">SUMIFS('Cắt lồng'!$AC$327:$AC$515,'Cắt lồng'!$AA$327:$AA$515,'Cắt lồng'!$AA68,'Cắt lồng'!$AE$327:$AE$515,'Cắt lồng'!EC$4:EC$4)</f>
        <v>0</v>
      </c>
      <c r="ED68" s="79">
        <f t="array" ref="ED68">SUMIFS('Cắt lồng'!$AH$327:$AH$515,'Cắt lồng'!$AA$327:$AA$515,'Cắt lồng'!$AA68,'Cắt lồng'!$AE$327:$AE$515,'Cắt lồng'!ED$4:ED$4)</f>
        <v>0</v>
      </c>
      <c r="EE68" s="78" t="e">
        <f t="shared" ref="EE68:EE99" si="209">+ED68/EC68</f>
        <v>#DIV/0!</v>
      </c>
      <c r="EF68" s="79">
        <f t="array" ref="EF68">SUMIFS('Cắt lồng'!$AC$327:$AC$515,'Cắt lồng'!$AA$327:$AA$515,'Cắt lồng'!$AA68,'Cắt lồng'!$AE$327:$AE$515,'Cắt lồng'!EF$4:EF$4)</f>
        <v>0</v>
      </c>
      <c r="EG68" s="79">
        <f t="array" ref="EG68">SUMIFS('Cắt lồng'!$AH$327:$AH$515,'Cắt lồng'!$AA$327:$AA$515,'Cắt lồng'!$AA68,'Cắt lồng'!$AE$327:$AE$515,'Cắt lồng'!EG$4:EG$4)</f>
        <v>0</v>
      </c>
      <c r="EH68" s="78" t="e">
        <f t="shared" ref="EH68:EH99" si="210">+EG68/EF68</f>
        <v>#DIV/0!</v>
      </c>
      <c r="EI68" s="79">
        <f t="array" ref="EI68">SUMIFS('Cắt lồng'!$AC$327:$AC$515,'Cắt lồng'!$AA$327:$AA$515,'Cắt lồng'!$AA68,'Cắt lồng'!$AE$327:$AE$515,'Cắt lồng'!EI$4:EI$4)</f>
        <v>0</v>
      </c>
      <c r="EJ68" s="79">
        <f t="array" ref="EJ68">SUMIFS('Cắt lồng'!$AH$327:$AH$515,'Cắt lồng'!$AA$327:$AA$515,'Cắt lồng'!$AA68,'Cắt lồng'!$AE$327:$AE$515,'Cắt lồng'!EJ$4:EJ$4)</f>
        <v>0</v>
      </c>
      <c r="EK68" s="78" t="e">
        <f t="shared" ref="EK68:EK99" si="211">+EJ68/EI68</f>
        <v>#DIV/0!</v>
      </c>
      <c r="EL68" s="172"/>
    </row>
    <row r="69" spans="1:179" s="12" customFormat="1" ht="14.25" hidden="1" customHeight="1">
      <c r="A69" s="25">
        <v>40</v>
      </c>
      <c r="B69" s="26"/>
      <c r="C69" s="25"/>
      <c r="D69" s="24"/>
      <c r="E69" s="60" t="s">
        <v>239</v>
      </c>
      <c r="F69" s="59">
        <f>+AC152-F68</f>
        <v>99050</v>
      </c>
      <c r="G69" s="82">
        <f t="shared" si="144"/>
        <v>0</v>
      </c>
      <c r="H69" s="81">
        <f t="shared" si="145"/>
        <v>0</v>
      </c>
      <c r="I69" s="19">
        <f t="shared" si="146"/>
        <v>0</v>
      </c>
      <c r="J69" s="11">
        <f t="shared" si="147"/>
        <v>0</v>
      </c>
      <c r="K69" s="19">
        <f t="shared" si="148"/>
        <v>0</v>
      </c>
      <c r="L69" s="19">
        <f t="shared" si="149"/>
        <v>0</v>
      </c>
      <c r="M69" s="19">
        <f t="shared" si="150"/>
        <v>0</v>
      </c>
      <c r="N69" s="19">
        <f t="shared" si="151"/>
        <v>0</v>
      </c>
      <c r="O69" s="19">
        <f t="shared" si="152"/>
        <v>0</v>
      </c>
      <c r="P69" s="19">
        <f t="shared" si="153"/>
        <v>0</v>
      </c>
      <c r="Q69" s="19">
        <f t="shared" si="154"/>
        <v>0</v>
      </c>
      <c r="R69" s="19">
        <f t="shared" si="155"/>
        <v>0</v>
      </c>
      <c r="S69" s="19">
        <f t="shared" si="156"/>
        <v>0</v>
      </c>
      <c r="T69" s="19">
        <f t="shared" si="157"/>
        <v>0</v>
      </c>
      <c r="U69" s="19">
        <f t="shared" si="158"/>
        <v>0</v>
      </c>
      <c r="V69" s="19">
        <f t="shared" si="159"/>
        <v>0</v>
      </c>
      <c r="W69" s="19">
        <f t="shared" si="160"/>
        <v>0</v>
      </c>
      <c r="X69" s="19">
        <f t="shared" si="161"/>
        <v>0</v>
      </c>
      <c r="Y69" s="19">
        <f t="shared" si="162"/>
        <v>0</v>
      </c>
      <c r="Z69" s="19">
        <f t="shared" si="163"/>
        <v>0</v>
      </c>
      <c r="AA69" s="171">
        <v>9116</v>
      </c>
      <c r="AB69" s="17" t="e">
        <f>+H69*SUMIF('[1]KẾ HOẠCH'!$B$5:$CK$5,'Cắt lồng'!AA69,'[1]KẾ HOẠCH'!$B$6:$CK$6)+H69*SUMIF('[1]KẾ HOẠCH'!$B$7:$CK$7,'Cắt lồng'!AA69,'[1]KẾ HOẠCH'!$B$8:$CK$8)+H69*SUMIF('[1]KẾ HOẠCH'!$B$15:$CK$15,'Cắt lồng'!AA69,'[1]KẾ HOẠCH'!$B$16:$CK$16)</f>
        <v>#VALUE!</v>
      </c>
      <c r="AC69" s="16">
        <f t="shared" si="164"/>
        <v>0</v>
      </c>
      <c r="AD69" s="15" t="e">
        <f t="shared" si="165"/>
        <v>#VALUE!</v>
      </c>
      <c r="AE69" s="42"/>
      <c r="AF69" s="10" t="e">
        <f t="shared" si="166"/>
        <v>#DIV/0!</v>
      </c>
      <c r="AG69" s="10"/>
      <c r="AH69" s="152">
        <f t="shared" si="167"/>
        <v>0</v>
      </c>
      <c r="AI69" s="54" t="e">
        <f t="shared" si="168"/>
        <v>#DIV/0!</v>
      </c>
      <c r="AJ69" s="25">
        <f t="shared" si="169"/>
        <v>0</v>
      </c>
      <c r="AK69" s="25">
        <f t="shared" si="170"/>
        <v>0</v>
      </c>
      <c r="AL69" s="25">
        <f t="shared" si="171"/>
        <v>0</v>
      </c>
      <c r="AM69" s="30">
        <f t="shared" si="172"/>
        <v>0</v>
      </c>
      <c r="AN69" s="25">
        <f t="shared" si="173"/>
        <v>0</v>
      </c>
      <c r="AO69" s="25">
        <f t="shared" si="174"/>
        <v>0</v>
      </c>
      <c r="AP69" s="25">
        <f t="shared" si="175"/>
        <v>0</v>
      </c>
      <c r="AQ69" s="25">
        <f t="shared" si="176"/>
        <v>0</v>
      </c>
      <c r="AR69" s="25">
        <f t="shared" si="177"/>
        <v>0</v>
      </c>
      <c r="AS69" s="25">
        <f t="shared" si="178"/>
        <v>0</v>
      </c>
      <c r="AT69" s="25">
        <f t="shared" si="179"/>
        <v>0</v>
      </c>
      <c r="AV69" s="79">
        <f t="shared" si="180"/>
        <v>0</v>
      </c>
      <c r="AW69" s="79">
        <f t="array" ref="AW69">SUMIFS('Cắt lồng'!$AC$327:$AC$515,'Cắt lồng'!$AA$327:$AA$515,'Cắt lồng'!$AA69,'Cắt lồng'!$AE$327:$AE$515,'Cắt lồng'!AW$4:AW$4)</f>
        <v>0</v>
      </c>
      <c r="AX69" s="79">
        <f t="array" ref="AX69">SUMIFS('Cắt lồng'!$AH$327:$AH$515,'Cắt lồng'!$AA$327:$AA$515,'Cắt lồng'!$AA69,'Cắt lồng'!$AE$327:$AE$515,'Cắt lồng'!AX$4:AX$4)</f>
        <v>0</v>
      </c>
      <c r="AY69" s="78" t="e">
        <f t="shared" si="181"/>
        <v>#DIV/0!</v>
      </c>
      <c r="AZ69" s="79">
        <f t="array" ref="AZ69">SUMIFS('Cắt lồng'!$AC$327:$AC$515,'Cắt lồng'!$AA$327:$AA$515,'Cắt lồng'!$AA69,'Cắt lồng'!$AE$327:$AE$515,'Cắt lồng'!AZ$4:AZ$4)</f>
        <v>0</v>
      </c>
      <c r="BA69" s="79">
        <f t="array" ref="BA69">SUMIFS('Cắt lồng'!$AH$327:$AH$515,'Cắt lồng'!$AA$327:$AA$515,'Cắt lồng'!$AA69,'Cắt lồng'!$AE$327:$AE$515,'Cắt lồng'!BA$4:BA$4)</f>
        <v>0</v>
      </c>
      <c r="BB69" s="78" t="e">
        <f t="shared" si="182"/>
        <v>#DIV/0!</v>
      </c>
      <c r="BC69" s="79">
        <f>SUMIFS('Cắt lồng'!$AC$327:$AC$515,'Cắt lồng'!$AA$327:$AA$515,'Cắt lồng'!$AA69,'Cắt lồng'!$AE$327:$AE$515,'Cắt lồng'!BC$4:BC$4)</f>
        <v>0</v>
      </c>
      <c r="BD69" s="79">
        <f t="array" ref="BD69">SUMIFS('Cắt lồng'!$AH$327:$AH$515,'Cắt lồng'!$AA$327:$AA$515,'Cắt lồng'!$AA69,'Cắt lồng'!$AE$327:$AE$515,'Cắt lồng'!BD$4:BD$4)</f>
        <v>0</v>
      </c>
      <c r="BE69" s="78" t="e">
        <f t="shared" si="183"/>
        <v>#DIV/0!</v>
      </c>
      <c r="BF69" s="79">
        <f t="array" ref="BF69">SUMIFS('Cắt lồng'!$AC$327:$AC$515,'Cắt lồng'!$AA$327:$AA$515,'Cắt lồng'!$AA69,'Cắt lồng'!$AE$327:$AE$515,'Cắt lồng'!BF$4:BF$4)</f>
        <v>0</v>
      </c>
      <c r="BG69" s="79">
        <f t="array" ref="BG69">SUMIFS('Cắt lồng'!$AH$327:$AH$515,'Cắt lồng'!$AA$327:$AA$515,'Cắt lồng'!$AA69,'Cắt lồng'!$AE$327:$AE$515,'Cắt lồng'!BG$4:BG$4)</f>
        <v>0</v>
      </c>
      <c r="BH69" s="78" t="e">
        <f t="shared" si="184"/>
        <v>#DIV/0!</v>
      </c>
      <c r="BI69" s="79">
        <f t="array" ref="BI69">SUMIFS('Cắt lồng'!$AC$327:$AC$515,'Cắt lồng'!$AA$327:$AA$515,'Cắt lồng'!$AA69,'Cắt lồng'!$AE$327:$AE$515,'Cắt lồng'!BI$4:BI$4)</f>
        <v>0</v>
      </c>
      <c r="BJ69" s="79">
        <f t="array" ref="BJ69">SUMIFS('Cắt lồng'!$AH$327:$AH$515,'Cắt lồng'!$AA$327:$AA$515,'Cắt lồng'!$AA69,'Cắt lồng'!$AE$327:$AE$515,'Cắt lồng'!BJ$4:BJ$4)</f>
        <v>0</v>
      </c>
      <c r="BK69" s="78" t="e">
        <f t="shared" si="185"/>
        <v>#DIV/0!</v>
      </c>
      <c r="BL69" s="79">
        <f t="array" ref="BL69">SUMIFS('Cắt lồng'!$AC$327:$AC$515,'Cắt lồng'!$AA$327:$AA$515,'Cắt lồng'!$AA69,'Cắt lồng'!$AE$327:$AE$515,'Cắt lồng'!BL$4:BL$4)</f>
        <v>0</v>
      </c>
      <c r="BM69" s="79">
        <f t="array" ref="BM69">SUMIFS('Cắt lồng'!$AH$327:$AH$515,'Cắt lồng'!$AA$327:$AA$515,'Cắt lồng'!$AA69,'Cắt lồng'!$AE$327:$AE$515,'Cắt lồng'!BM$4:BM$4)</f>
        <v>0</v>
      </c>
      <c r="BN69" s="78" t="e">
        <f t="shared" si="186"/>
        <v>#DIV/0!</v>
      </c>
      <c r="BO69" s="79">
        <f t="array" ref="BO69">SUMIFS('Cắt lồng'!$AC$327:$AC$515,'Cắt lồng'!$AA$327:$AA$515,'Cắt lồng'!$AA69,'Cắt lồng'!$AE$327:$AE$515,'Cắt lồng'!BO$4:BO$4)</f>
        <v>0</v>
      </c>
      <c r="BP69" s="79">
        <f t="array" ref="BP69">SUMIFS('Cắt lồng'!$AH$327:$AH$515,'Cắt lồng'!$AA$327:$AA$515,'Cắt lồng'!$AA69,'Cắt lồng'!$AE$327:$AE$515,'Cắt lồng'!BP$4:BP$4)</f>
        <v>0</v>
      </c>
      <c r="BQ69" s="78" t="e">
        <f t="shared" si="187"/>
        <v>#DIV/0!</v>
      </c>
      <c r="BR69" s="79">
        <f t="array" ref="BR69">SUMIFS('Cắt lồng'!$AC$327:$AC$515,'Cắt lồng'!$AA$327:$AA$515,'Cắt lồng'!$AA69,'Cắt lồng'!$AE$327:$AE$515,'Cắt lồng'!BR$4:BR$4)</f>
        <v>0</v>
      </c>
      <c r="BS69" s="79">
        <f t="array" ref="BS69">SUMIFS('Cắt lồng'!$AH$327:$AH$515,'Cắt lồng'!$AA$327:$AA$515,'Cắt lồng'!$AA69,'Cắt lồng'!$AE$327:$AE$515,'Cắt lồng'!BS$4:BS$4)</f>
        <v>0</v>
      </c>
      <c r="BT69" s="78" t="e">
        <f t="shared" si="188"/>
        <v>#DIV/0!</v>
      </c>
      <c r="BU69" s="79">
        <f t="array" ref="BU69">SUMIFS('Cắt lồng'!$AC$327:$AC$515,'Cắt lồng'!$AA$327:$AA$515,'Cắt lồng'!$AA69,'Cắt lồng'!$AE$327:$AE$515,'Cắt lồng'!BU$4:BU$4)</f>
        <v>0</v>
      </c>
      <c r="BV69" s="79">
        <f t="array" ref="BV69">SUMIFS('Cắt lồng'!$AH$327:$AH$515,'Cắt lồng'!$AA$327:$AA$515,'Cắt lồng'!$AA69,'Cắt lồng'!$AE$327:$AE$515,'Cắt lồng'!BV$4:BV$4)</f>
        <v>0</v>
      </c>
      <c r="BW69" s="78" t="e">
        <f t="shared" si="189"/>
        <v>#DIV/0!</v>
      </c>
      <c r="BX69" s="79">
        <f t="array" ref="BX69">SUMIFS('Cắt lồng'!$AC$327:$AC$515,'Cắt lồng'!$AA$327:$AA$515,'Cắt lồng'!$AA69,'Cắt lồng'!$AE$327:$AE$515,'Cắt lồng'!BX$4:BX$4)</f>
        <v>0</v>
      </c>
      <c r="BY69" s="79">
        <f t="array" ref="BY69">SUMIFS('Cắt lồng'!$AH$327:$AH$515,'Cắt lồng'!$AA$327:$AA$515,'Cắt lồng'!$AA69,'Cắt lồng'!$AE$327:$AE$515,'Cắt lồng'!BY$4:BY$4)</f>
        <v>0</v>
      </c>
      <c r="BZ69" s="78" t="e">
        <f t="shared" si="190"/>
        <v>#DIV/0!</v>
      </c>
      <c r="CA69" s="79">
        <f t="array" ref="CA69">SUMIFS('Cắt lồng'!$AC$327:$AC$515,'Cắt lồng'!$AA$327:$AA$515,'Cắt lồng'!$AA69,'Cắt lồng'!$AE$327:$AE$515,'Cắt lồng'!CA$4:CA$4)</f>
        <v>0</v>
      </c>
      <c r="CB69" s="79">
        <f t="array" ref="CB69">SUMIFS('Cắt lồng'!$AH$327:$AH$515,'Cắt lồng'!$AA$327:$AA$515,'Cắt lồng'!$AA69,'Cắt lồng'!$AE$327:$AE$515,'Cắt lồng'!CB$4:CB$4)</f>
        <v>0</v>
      </c>
      <c r="CC69" s="78" t="e">
        <f t="shared" si="191"/>
        <v>#DIV/0!</v>
      </c>
      <c r="CD69" s="79">
        <f t="array" ref="CD69">SUMIFS('Cắt lồng'!$AC$327:$AC$515,'Cắt lồng'!$AA$327:$AA$515,'Cắt lồng'!$AA69,'Cắt lồng'!$AE$327:$AE$515,'Cắt lồng'!CD$4:CD$4)</f>
        <v>0</v>
      </c>
      <c r="CE69" s="79">
        <f t="array" ref="CE69">SUMIFS('Cắt lồng'!$AH$327:$AH$515,'Cắt lồng'!$AA$327:$AA$515,'Cắt lồng'!$AA69,'Cắt lồng'!$AE$327:$AE$515,'Cắt lồng'!CE$4:CE$4)</f>
        <v>0</v>
      </c>
      <c r="CF69" s="78" t="e">
        <f t="shared" si="192"/>
        <v>#DIV/0!</v>
      </c>
      <c r="CG69" s="79">
        <f t="array" ref="CG69">SUMIFS('Cắt lồng'!$AC$327:$AC$515,'Cắt lồng'!$AA$327:$AA$515,'Cắt lồng'!$AA69,'Cắt lồng'!$AE$327:$AE$515,'Cắt lồng'!CG$4:CG$4)</f>
        <v>0</v>
      </c>
      <c r="CH69" s="79">
        <f t="array" ref="CH69">SUMIFS('Cắt lồng'!$AH$327:$AH$515,'Cắt lồng'!$AA$327:$AA$515,'Cắt lồng'!$AA69,'Cắt lồng'!$AE$327:$AE$515,'Cắt lồng'!CH$4:CH$4)</f>
        <v>0</v>
      </c>
      <c r="CI69" s="78" t="e">
        <f t="shared" si="193"/>
        <v>#DIV/0!</v>
      </c>
      <c r="CJ69" s="79">
        <f t="array" ref="CJ69">SUMIFS('Cắt lồng'!$AC$327:$AC$515,'Cắt lồng'!$AA$327:$AA$515,'Cắt lồng'!$AA69,'Cắt lồng'!$AE$327:$AE$515,'Cắt lồng'!CJ$4:CJ$4)</f>
        <v>0</v>
      </c>
      <c r="CK69" s="79">
        <f t="array" ref="CK69">SUMIFS('Cắt lồng'!$AH$327:$AH$515,'Cắt lồng'!$AA$327:$AA$515,'Cắt lồng'!$AA69,'Cắt lồng'!$AE$327:$AE$515,'Cắt lồng'!CK$4:CK$4)</f>
        <v>0</v>
      </c>
      <c r="CL69" s="78" t="e">
        <f t="shared" si="194"/>
        <v>#DIV/0!</v>
      </c>
      <c r="CM69" s="79">
        <f t="array" ref="CM69">SUMIFS('Cắt lồng'!$AC$327:$AC$515,'Cắt lồng'!$AA$327:$AA$515,'Cắt lồng'!$AA69,'Cắt lồng'!$AE$327:$AE$515,'Cắt lồng'!CM$4:CM$4)</f>
        <v>0</v>
      </c>
      <c r="CN69" s="79">
        <f t="array" ref="CN69">SUMIFS('Cắt lồng'!$AH$327:$AH$515,'Cắt lồng'!$AA$327:$AA$515,'Cắt lồng'!$AA69,'Cắt lồng'!$AE$327:$AE$515,'Cắt lồng'!CN$4:CN$4)</f>
        <v>0</v>
      </c>
      <c r="CO69" s="78" t="e">
        <f t="shared" si="195"/>
        <v>#DIV/0!</v>
      </c>
      <c r="CP69" s="79">
        <f t="array" ref="CP69">SUMIFS('Cắt lồng'!$AC$327:$AC$515,'Cắt lồng'!$AA$327:$AA$515,'Cắt lồng'!$AA69,'Cắt lồng'!$AE$327:$AE$515,'Cắt lồng'!CP$4:CP$4)</f>
        <v>0</v>
      </c>
      <c r="CQ69" s="79">
        <f t="array" ref="CQ69">SUMIFS('Cắt lồng'!$AH$327:$AH$515,'Cắt lồng'!$AA$327:$AA$515,'Cắt lồng'!$AA69,'Cắt lồng'!$AE$327:$AE$515,'Cắt lồng'!CQ$4:CQ$4)</f>
        <v>0</v>
      </c>
      <c r="CR69" s="78" t="e">
        <f t="shared" si="196"/>
        <v>#DIV/0!</v>
      </c>
      <c r="CS69" s="79">
        <f t="array" ref="CS69">SUMIFS('Cắt lồng'!$AC$327:$AC$515,'Cắt lồng'!$AA$327:$AA$515,'Cắt lồng'!$AA69,'Cắt lồng'!$AE$327:$AE$515,'Cắt lồng'!CS$4:CS$4)</f>
        <v>0</v>
      </c>
      <c r="CT69" s="79">
        <f t="array" ref="CT69">SUMIFS('Cắt lồng'!$AH$327:$AH$515,'Cắt lồng'!$AA$327:$AA$515,'Cắt lồng'!$AA69,'Cắt lồng'!$AE$327:$AE$515,'Cắt lồng'!CT$4:CT$4)</f>
        <v>0</v>
      </c>
      <c r="CU69" s="78" t="e">
        <f t="shared" si="197"/>
        <v>#DIV/0!</v>
      </c>
      <c r="CV69" s="79">
        <f t="array" ref="CV69">SUMIFS('Cắt lồng'!$AC$327:$AC$515,'Cắt lồng'!$AA$327:$AA$515,'Cắt lồng'!$AA69,'Cắt lồng'!$AE$327:$AE$515,'Cắt lồng'!CV$4:CV$4)</f>
        <v>0</v>
      </c>
      <c r="CW69" s="79">
        <f t="array" ref="CW69">SUMIFS('Cắt lồng'!$AH$327:$AH$515,'Cắt lồng'!$AA$327:$AA$515,'Cắt lồng'!$AA69,'Cắt lồng'!$AE$327:$AE$515,'Cắt lồng'!CW$4:CW$4)</f>
        <v>0</v>
      </c>
      <c r="CX69" s="78" t="e">
        <f t="shared" si="198"/>
        <v>#DIV/0!</v>
      </c>
      <c r="CY69" s="79">
        <f t="array" ref="CY69">SUMIFS('Cắt lồng'!$AC$327:$AC$515,'Cắt lồng'!$AA$327:$AA$515,'Cắt lồng'!$AA69,'Cắt lồng'!$AE$327:$AE$515,'Cắt lồng'!CY$4:CY$4)</f>
        <v>0</v>
      </c>
      <c r="CZ69" s="79">
        <f t="array" ref="CZ69">SUMIFS('Cắt lồng'!$AH$327:$AH$515,'Cắt lồng'!$AA$327:$AA$515,'Cắt lồng'!$AA69,'Cắt lồng'!$AE$327:$AE$515,'Cắt lồng'!CZ$4:CZ$4)</f>
        <v>0</v>
      </c>
      <c r="DA69" s="78" t="e">
        <f t="shared" si="199"/>
        <v>#DIV/0!</v>
      </c>
      <c r="DB69" s="79">
        <f t="array" ref="DB69">SUMIFS('Cắt lồng'!$AC$327:$AC$515,'Cắt lồng'!$AA$327:$AA$515,'Cắt lồng'!$AA69,'Cắt lồng'!$AE$327:$AE$515,'Cắt lồng'!DB$4:DB$4)</f>
        <v>0</v>
      </c>
      <c r="DC69" s="79">
        <f t="array" ref="DC69">SUMIFS('Cắt lồng'!$AH$327:$AH$515,'Cắt lồng'!$AA$327:$AA$515,'Cắt lồng'!$AA69,'Cắt lồng'!$AE$327:$AE$515,'Cắt lồng'!DC$4:DC$4)</f>
        <v>0</v>
      </c>
      <c r="DD69" s="78" t="e">
        <f t="shared" si="200"/>
        <v>#DIV/0!</v>
      </c>
      <c r="DE69" s="79">
        <f t="array" ref="DE69">SUMIFS('Cắt lồng'!$AC$327:$AC$515,'Cắt lồng'!$AA$327:$AA$515,'Cắt lồng'!$AA69,'Cắt lồng'!$AE$327:$AE$515,'Cắt lồng'!DE$4:DE$4)</f>
        <v>0</v>
      </c>
      <c r="DF69" s="79">
        <f t="array" ref="DF69">SUMIFS('Cắt lồng'!$AH$327:$AH$515,'Cắt lồng'!$AA$327:$AA$515,'Cắt lồng'!$AA69,'Cắt lồng'!$AE$327:$AE$515,'Cắt lồng'!DF$4:DF$4)</f>
        <v>0</v>
      </c>
      <c r="DG69" s="78" t="e">
        <f t="shared" si="201"/>
        <v>#DIV/0!</v>
      </c>
      <c r="DH69" s="79">
        <f t="array" ref="DH69">SUMIFS('Cắt lồng'!$AC$327:$AC$515,'Cắt lồng'!$AA$327:$AA$515,'Cắt lồng'!$AA69,'Cắt lồng'!$AE$327:$AE$515,'Cắt lồng'!DH$4:DH$4)</f>
        <v>0</v>
      </c>
      <c r="DI69" s="79">
        <f t="array" ref="DI69">SUMIFS('Cắt lồng'!$AH$327:$AH$515,'Cắt lồng'!$AA$327:$AA$515,'Cắt lồng'!$AA69,'Cắt lồng'!$AE$327:$AE$515,'Cắt lồng'!DI$4:DI$4)</f>
        <v>0</v>
      </c>
      <c r="DJ69" s="78" t="e">
        <f t="shared" si="202"/>
        <v>#DIV/0!</v>
      </c>
      <c r="DK69" s="79">
        <f t="array" ref="DK69">SUMIFS('Cắt lồng'!$AC$327:$AC$515,'Cắt lồng'!$AA$327:$AA$515,'Cắt lồng'!$AA69,'Cắt lồng'!$AE$327:$AE$515,'Cắt lồng'!DK$4:DK$4)</f>
        <v>0</v>
      </c>
      <c r="DL69" s="79">
        <f t="array" ref="DL69">SUMIFS('Cắt lồng'!$AH$327:$AH$515,'Cắt lồng'!$AA$327:$AA$515,'Cắt lồng'!$AA69,'Cắt lồng'!$AE$327:$AE$515,'Cắt lồng'!DL$4:DL$4)</f>
        <v>0</v>
      </c>
      <c r="DM69" s="78" t="e">
        <f t="shared" si="203"/>
        <v>#DIV/0!</v>
      </c>
      <c r="DN69" s="79">
        <f t="array" ref="DN69">SUMIFS('Cắt lồng'!$AC$327:$AC$515,'Cắt lồng'!$AA$327:$AA$515,'Cắt lồng'!$AA69,'Cắt lồng'!$AE$327:$AE$515,'Cắt lồng'!DN$4:DN$4)</f>
        <v>0</v>
      </c>
      <c r="DO69" s="79">
        <f t="array" ref="DO69">SUMIFS('Cắt lồng'!$AH$327:$AH$515,'Cắt lồng'!$AA$327:$AA$515,'Cắt lồng'!$AA69,'Cắt lồng'!$AE$327:$AE$515,'Cắt lồng'!DO$4:DO$4)</f>
        <v>0</v>
      </c>
      <c r="DP69" s="78" t="e">
        <f t="shared" si="204"/>
        <v>#DIV/0!</v>
      </c>
      <c r="DQ69" s="79">
        <f t="array" ref="DQ69">SUMIFS('Cắt lồng'!$AC$327:$AC$515,'Cắt lồng'!$AA$327:$AA$515,'Cắt lồng'!$AA69,'Cắt lồng'!$AE$327:$AE$515,'Cắt lồng'!DQ$4:DQ$4)</f>
        <v>0</v>
      </c>
      <c r="DR69" s="79">
        <f t="array" ref="DR69">SUMIFS('Cắt lồng'!$AH$327:$AH$515,'Cắt lồng'!$AA$327:$AA$515,'Cắt lồng'!$AA69,'Cắt lồng'!$AE$327:$AE$515,'Cắt lồng'!DR$4:DR$4)</f>
        <v>0</v>
      </c>
      <c r="DS69" s="78" t="e">
        <f t="shared" si="205"/>
        <v>#DIV/0!</v>
      </c>
      <c r="DT69" s="79">
        <f t="array" ref="DT69">SUMIFS('Cắt lồng'!$AC$327:$AC$515,'Cắt lồng'!$AA$327:$AA$515,'Cắt lồng'!$AA69,'Cắt lồng'!$AE$327:$AE$515,'Cắt lồng'!DT$4:DT$4)</f>
        <v>0</v>
      </c>
      <c r="DU69" s="79">
        <f t="array" ref="DU69">SUMIFS('Cắt lồng'!$AH$327:$AH$515,'Cắt lồng'!$AA$327:$AA$515,'Cắt lồng'!$AA69,'Cắt lồng'!$AE$327:$AE$515,'Cắt lồng'!DU$4:DU$4)</f>
        <v>0</v>
      </c>
      <c r="DV69" s="78" t="e">
        <f t="shared" si="206"/>
        <v>#DIV/0!</v>
      </c>
      <c r="DW69" s="79">
        <f t="array" ref="DW69">SUMIFS('Cắt lồng'!$AC$327:$AC$515,'Cắt lồng'!$AA$327:$AA$515,'Cắt lồng'!$AA69,'Cắt lồng'!$AE$327:$AE$515,'Cắt lồng'!DW$4:DW$4)</f>
        <v>0</v>
      </c>
      <c r="DX69" s="79">
        <f t="array" ref="DX69">SUMIFS('Cắt lồng'!$AH$327:$AH$515,'Cắt lồng'!$AA$327:$AA$515,'Cắt lồng'!$AA69,'Cắt lồng'!$AE$327:$AE$515,'Cắt lồng'!DX$4:DX$4)</f>
        <v>0</v>
      </c>
      <c r="DY69" s="78" t="e">
        <f t="shared" si="207"/>
        <v>#DIV/0!</v>
      </c>
      <c r="DZ69" s="79">
        <f t="array" ref="DZ69">SUMIFS('Cắt lồng'!$AC$327:$AC$515,'Cắt lồng'!$AA$327:$AA$515,'Cắt lồng'!$AA69,'Cắt lồng'!$AE$327:$AE$515,'Cắt lồng'!DZ$4:DZ$4)</f>
        <v>0</v>
      </c>
      <c r="EA69" s="79">
        <f t="array" ref="EA69">SUMIFS('Cắt lồng'!$AH$327:$AH$515,'Cắt lồng'!$AA$327:$AA$515,'Cắt lồng'!$AA69,'Cắt lồng'!$AE$327:$AE$515,'Cắt lồng'!EA$4:EA$4)</f>
        <v>0</v>
      </c>
      <c r="EB69" s="78" t="e">
        <f t="shared" si="208"/>
        <v>#DIV/0!</v>
      </c>
      <c r="EC69" s="79">
        <f t="array" ref="EC69">SUMIFS('Cắt lồng'!$AC$327:$AC$515,'Cắt lồng'!$AA$327:$AA$515,'Cắt lồng'!$AA69,'Cắt lồng'!$AE$327:$AE$515,'Cắt lồng'!EC$4:EC$4)</f>
        <v>0</v>
      </c>
      <c r="ED69" s="79">
        <f t="array" ref="ED69">SUMIFS('Cắt lồng'!$AH$327:$AH$515,'Cắt lồng'!$AA$327:$AA$515,'Cắt lồng'!$AA69,'Cắt lồng'!$AE$327:$AE$515,'Cắt lồng'!ED$4:ED$4)</f>
        <v>0</v>
      </c>
      <c r="EE69" s="78" t="e">
        <f t="shared" si="209"/>
        <v>#DIV/0!</v>
      </c>
      <c r="EF69" s="79">
        <f t="array" ref="EF69">SUMIFS('Cắt lồng'!$AC$327:$AC$515,'Cắt lồng'!$AA$327:$AA$515,'Cắt lồng'!$AA69,'Cắt lồng'!$AE$327:$AE$515,'Cắt lồng'!EF$4:EF$4)</f>
        <v>0</v>
      </c>
      <c r="EG69" s="79">
        <f t="array" ref="EG69">SUMIFS('Cắt lồng'!$AH$327:$AH$515,'Cắt lồng'!$AA$327:$AA$515,'Cắt lồng'!$AA69,'Cắt lồng'!$AE$327:$AE$515,'Cắt lồng'!EG$4:EG$4)</f>
        <v>0</v>
      </c>
      <c r="EH69" s="78" t="e">
        <f t="shared" si="210"/>
        <v>#DIV/0!</v>
      </c>
      <c r="EI69" s="79">
        <f t="array" ref="EI69">SUMIFS('Cắt lồng'!$AC$327:$AC$515,'Cắt lồng'!$AA$327:$AA$515,'Cắt lồng'!$AA69,'Cắt lồng'!$AE$327:$AE$515,'Cắt lồng'!EI$4:EI$4)</f>
        <v>0</v>
      </c>
      <c r="EJ69" s="79">
        <f t="array" ref="EJ69">SUMIFS('Cắt lồng'!$AH$327:$AH$515,'Cắt lồng'!$AA$327:$AA$515,'Cắt lồng'!$AA69,'Cắt lồng'!$AE$327:$AE$515,'Cắt lồng'!EJ$4:EJ$4)</f>
        <v>0</v>
      </c>
      <c r="EK69" s="78" t="e">
        <f t="shared" si="211"/>
        <v>#DIV/0!</v>
      </c>
      <c r="EL69" s="172"/>
    </row>
    <row r="70" spans="1:179" s="12" customFormat="1" ht="14.25" hidden="1" customHeight="1">
      <c r="A70" s="25">
        <v>41</v>
      </c>
      <c r="B70" s="26"/>
      <c r="C70" s="25"/>
      <c r="D70" s="24"/>
      <c r="E70" s="60"/>
      <c r="F70" s="59"/>
      <c r="G70" s="82">
        <f t="shared" si="144"/>
        <v>0</v>
      </c>
      <c r="H70" s="81">
        <f t="shared" si="145"/>
        <v>4.5</v>
      </c>
      <c r="I70" s="19">
        <f t="shared" si="146"/>
        <v>0</v>
      </c>
      <c r="J70" s="11">
        <f t="shared" si="147"/>
        <v>1.17</v>
      </c>
      <c r="K70" s="19">
        <f t="shared" si="148"/>
        <v>0</v>
      </c>
      <c r="L70" s="19">
        <f t="shared" si="149"/>
        <v>0</v>
      </c>
      <c r="M70" s="19">
        <f t="shared" si="150"/>
        <v>0</v>
      </c>
      <c r="N70" s="19">
        <f t="shared" si="151"/>
        <v>0</v>
      </c>
      <c r="O70" s="19">
        <f t="shared" si="152"/>
        <v>0</v>
      </c>
      <c r="P70" s="19">
        <f t="shared" si="153"/>
        <v>0</v>
      </c>
      <c r="Q70" s="19">
        <f t="shared" si="154"/>
        <v>0</v>
      </c>
      <c r="R70" s="19">
        <f t="shared" si="155"/>
        <v>0</v>
      </c>
      <c r="S70" s="19">
        <f t="shared" si="156"/>
        <v>0</v>
      </c>
      <c r="T70" s="19">
        <f t="shared" si="157"/>
        <v>1.17</v>
      </c>
      <c r="U70" s="19">
        <f t="shared" si="158"/>
        <v>0</v>
      </c>
      <c r="V70" s="19">
        <f t="shared" si="159"/>
        <v>0</v>
      </c>
      <c r="W70" s="19">
        <f t="shared" si="160"/>
        <v>0</v>
      </c>
      <c r="X70" s="19">
        <f t="shared" si="161"/>
        <v>0</v>
      </c>
      <c r="Y70" s="19">
        <f t="shared" si="162"/>
        <v>0</v>
      </c>
      <c r="Z70" s="19">
        <f t="shared" si="163"/>
        <v>0</v>
      </c>
      <c r="AA70" s="171">
        <v>9140</v>
      </c>
      <c r="AB70" s="17" t="e">
        <f>+H70*SUMIF('[1]KẾ HOẠCH'!$B$5:$CK$5,'Cắt lồng'!AA70,'[1]KẾ HOẠCH'!$B$6:$CK$6)+H70*SUMIF('[1]KẾ HOẠCH'!$B$7:$CK$7,'Cắt lồng'!AA70,'[1]KẾ HOẠCH'!$B$8:$CK$8)+H70*SUMIF('[1]KẾ HOẠCH'!$B$15:$CK$15,'Cắt lồng'!AA70,'[1]KẾ HOẠCH'!$B$16:$CK$16)</f>
        <v>#VALUE!</v>
      </c>
      <c r="AC70" s="16">
        <f t="shared" si="164"/>
        <v>2295</v>
      </c>
      <c r="AD70" s="15" t="e">
        <f t="shared" si="165"/>
        <v>#VALUE!</v>
      </c>
      <c r="AE70" s="42"/>
      <c r="AF70" s="10">
        <f t="shared" si="166"/>
        <v>510</v>
      </c>
      <c r="AG70" s="10"/>
      <c r="AH70" s="152">
        <f t="shared" si="167"/>
        <v>0</v>
      </c>
      <c r="AI70" s="54">
        <f t="shared" si="168"/>
        <v>0</v>
      </c>
      <c r="AJ70" s="25">
        <f t="shared" si="169"/>
        <v>0</v>
      </c>
      <c r="AK70" s="25">
        <f t="shared" si="170"/>
        <v>0</v>
      </c>
      <c r="AL70" s="25">
        <f t="shared" si="171"/>
        <v>0</v>
      </c>
      <c r="AM70" s="30">
        <f t="shared" si="172"/>
        <v>0</v>
      </c>
      <c r="AN70" s="25">
        <f t="shared" si="173"/>
        <v>0</v>
      </c>
      <c r="AO70" s="25">
        <f t="shared" si="174"/>
        <v>0</v>
      </c>
      <c r="AP70" s="25">
        <f t="shared" si="175"/>
        <v>0</v>
      </c>
      <c r="AQ70" s="25">
        <f t="shared" si="176"/>
        <v>0</v>
      </c>
      <c r="AR70" s="25">
        <f t="shared" si="177"/>
        <v>0</v>
      </c>
      <c r="AS70" s="25">
        <f t="shared" si="178"/>
        <v>0</v>
      </c>
      <c r="AT70" s="25">
        <f t="shared" si="179"/>
        <v>0</v>
      </c>
      <c r="AV70" s="79">
        <f t="shared" si="180"/>
        <v>4.5</v>
      </c>
      <c r="AW70" s="79">
        <f t="array" ref="AW70">SUMIFS('Cắt lồng'!$AC$327:$AC$515,'Cắt lồng'!$AA$327:$AA$515,'Cắt lồng'!$AA70,'Cắt lồng'!$AE$327:$AE$515,'Cắt lồng'!AW$4:AW$4)</f>
        <v>2295</v>
      </c>
      <c r="AX70" s="79">
        <f t="array" ref="AX70">SUMIFS('Cắt lồng'!$AH$327:$AH$515,'Cắt lồng'!$AA$327:$AA$515,'Cắt lồng'!$AA70,'Cắt lồng'!$AE$327:$AE$515,'Cắt lồng'!AX$4:AX$4)</f>
        <v>0</v>
      </c>
      <c r="AY70" s="78">
        <f t="shared" si="181"/>
        <v>0</v>
      </c>
      <c r="AZ70" s="79">
        <f t="array" ref="AZ70">SUMIFS('Cắt lồng'!$AC$327:$AC$515,'Cắt lồng'!$AA$327:$AA$515,'Cắt lồng'!$AA70,'Cắt lồng'!$AE$327:$AE$515,'Cắt lồng'!AZ$4:AZ$4)</f>
        <v>0</v>
      </c>
      <c r="BA70" s="79">
        <f t="array" ref="BA70">SUMIFS('Cắt lồng'!$AH$327:$AH$515,'Cắt lồng'!$AA$327:$AA$515,'Cắt lồng'!$AA70,'Cắt lồng'!$AE$327:$AE$515,'Cắt lồng'!BA$4:BA$4)</f>
        <v>0</v>
      </c>
      <c r="BB70" s="78" t="e">
        <f t="shared" si="182"/>
        <v>#DIV/0!</v>
      </c>
      <c r="BC70" s="79">
        <f>SUMIFS('Cắt lồng'!$AC$327:$AC$515,'Cắt lồng'!$AA$327:$AA$515,'Cắt lồng'!$AA70,'Cắt lồng'!$AE$327:$AE$515,'Cắt lồng'!BC$4:BC$4)</f>
        <v>0</v>
      </c>
      <c r="BD70" s="79">
        <f t="array" ref="BD70">SUMIFS('Cắt lồng'!$AH$327:$AH$515,'Cắt lồng'!$AA$327:$AA$515,'Cắt lồng'!$AA70,'Cắt lồng'!$AE$327:$AE$515,'Cắt lồng'!BD$4:BD$4)</f>
        <v>0</v>
      </c>
      <c r="BE70" s="78" t="e">
        <f t="shared" si="183"/>
        <v>#DIV/0!</v>
      </c>
      <c r="BF70" s="79">
        <f t="array" ref="BF70">SUMIFS('Cắt lồng'!$AC$327:$AC$515,'Cắt lồng'!$AA$327:$AA$515,'Cắt lồng'!$AA70,'Cắt lồng'!$AE$327:$AE$515,'Cắt lồng'!BF$4:BF$4)</f>
        <v>0</v>
      </c>
      <c r="BG70" s="79">
        <f t="array" ref="BG70">SUMIFS('Cắt lồng'!$AH$327:$AH$515,'Cắt lồng'!$AA$327:$AA$515,'Cắt lồng'!$AA70,'Cắt lồng'!$AE$327:$AE$515,'Cắt lồng'!BG$4:BG$4)</f>
        <v>0</v>
      </c>
      <c r="BH70" s="78" t="e">
        <f t="shared" si="184"/>
        <v>#DIV/0!</v>
      </c>
      <c r="BI70" s="79">
        <f t="array" ref="BI70">SUMIFS('Cắt lồng'!$AC$327:$AC$515,'Cắt lồng'!$AA$327:$AA$515,'Cắt lồng'!$AA70,'Cắt lồng'!$AE$327:$AE$515,'Cắt lồng'!BI$4:BI$4)</f>
        <v>0</v>
      </c>
      <c r="BJ70" s="79">
        <f t="array" ref="BJ70">SUMIFS('Cắt lồng'!$AH$327:$AH$515,'Cắt lồng'!$AA$327:$AA$515,'Cắt lồng'!$AA70,'Cắt lồng'!$AE$327:$AE$515,'Cắt lồng'!BJ$4:BJ$4)</f>
        <v>0</v>
      </c>
      <c r="BK70" s="78" t="e">
        <f t="shared" si="185"/>
        <v>#DIV/0!</v>
      </c>
      <c r="BL70" s="79">
        <f t="array" ref="BL70">SUMIFS('Cắt lồng'!$AC$327:$AC$515,'Cắt lồng'!$AA$327:$AA$515,'Cắt lồng'!$AA70,'Cắt lồng'!$AE$327:$AE$515,'Cắt lồng'!BL$4:BL$4)</f>
        <v>0</v>
      </c>
      <c r="BM70" s="79">
        <f t="array" ref="BM70">SUMIFS('Cắt lồng'!$AH$327:$AH$515,'Cắt lồng'!$AA$327:$AA$515,'Cắt lồng'!$AA70,'Cắt lồng'!$AE$327:$AE$515,'Cắt lồng'!BM$4:BM$4)</f>
        <v>0</v>
      </c>
      <c r="BN70" s="78" t="e">
        <f t="shared" si="186"/>
        <v>#DIV/0!</v>
      </c>
      <c r="BO70" s="79">
        <f t="array" ref="BO70">SUMIFS('Cắt lồng'!$AC$327:$AC$515,'Cắt lồng'!$AA$327:$AA$515,'Cắt lồng'!$AA70,'Cắt lồng'!$AE$327:$AE$515,'Cắt lồng'!BO$4:BO$4)</f>
        <v>0</v>
      </c>
      <c r="BP70" s="79">
        <f t="array" ref="BP70">SUMIFS('Cắt lồng'!$AH$327:$AH$515,'Cắt lồng'!$AA$327:$AA$515,'Cắt lồng'!$AA70,'Cắt lồng'!$AE$327:$AE$515,'Cắt lồng'!BP$4:BP$4)</f>
        <v>0</v>
      </c>
      <c r="BQ70" s="78" t="e">
        <f t="shared" si="187"/>
        <v>#DIV/0!</v>
      </c>
      <c r="BR70" s="79">
        <f t="array" ref="BR70">SUMIFS('Cắt lồng'!$AC$327:$AC$515,'Cắt lồng'!$AA$327:$AA$515,'Cắt lồng'!$AA70,'Cắt lồng'!$AE$327:$AE$515,'Cắt lồng'!BR$4:BR$4)</f>
        <v>0</v>
      </c>
      <c r="BS70" s="79">
        <f t="array" ref="BS70">SUMIFS('Cắt lồng'!$AH$327:$AH$515,'Cắt lồng'!$AA$327:$AA$515,'Cắt lồng'!$AA70,'Cắt lồng'!$AE$327:$AE$515,'Cắt lồng'!BS$4:BS$4)</f>
        <v>0</v>
      </c>
      <c r="BT70" s="78" t="e">
        <f t="shared" si="188"/>
        <v>#DIV/0!</v>
      </c>
      <c r="BU70" s="79">
        <f t="array" ref="BU70">SUMIFS('Cắt lồng'!$AC$327:$AC$515,'Cắt lồng'!$AA$327:$AA$515,'Cắt lồng'!$AA70,'Cắt lồng'!$AE$327:$AE$515,'Cắt lồng'!BU$4:BU$4)</f>
        <v>0</v>
      </c>
      <c r="BV70" s="79">
        <f t="array" ref="BV70">SUMIFS('Cắt lồng'!$AH$327:$AH$515,'Cắt lồng'!$AA$327:$AA$515,'Cắt lồng'!$AA70,'Cắt lồng'!$AE$327:$AE$515,'Cắt lồng'!BV$4:BV$4)</f>
        <v>0</v>
      </c>
      <c r="BW70" s="78" t="e">
        <f t="shared" si="189"/>
        <v>#DIV/0!</v>
      </c>
      <c r="BX70" s="79">
        <f t="array" ref="BX70">SUMIFS('Cắt lồng'!$AC$327:$AC$515,'Cắt lồng'!$AA$327:$AA$515,'Cắt lồng'!$AA70,'Cắt lồng'!$AE$327:$AE$515,'Cắt lồng'!BX$4:BX$4)</f>
        <v>0</v>
      </c>
      <c r="BY70" s="79">
        <f t="array" ref="BY70">SUMIFS('Cắt lồng'!$AH$327:$AH$515,'Cắt lồng'!$AA$327:$AA$515,'Cắt lồng'!$AA70,'Cắt lồng'!$AE$327:$AE$515,'Cắt lồng'!BY$4:BY$4)</f>
        <v>0</v>
      </c>
      <c r="BZ70" s="78" t="e">
        <f t="shared" si="190"/>
        <v>#DIV/0!</v>
      </c>
      <c r="CA70" s="79">
        <f t="array" ref="CA70">SUMIFS('Cắt lồng'!$AC$327:$AC$515,'Cắt lồng'!$AA$327:$AA$515,'Cắt lồng'!$AA70,'Cắt lồng'!$AE$327:$AE$515,'Cắt lồng'!CA$4:CA$4)</f>
        <v>0</v>
      </c>
      <c r="CB70" s="79">
        <f t="array" ref="CB70">SUMIFS('Cắt lồng'!$AH$327:$AH$515,'Cắt lồng'!$AA$327:$AA$515,'Cắt lồng'!$AA70,'Cắt lồng'!$AE$327:$AE$515,'Cắt lồng'!CB$4:CB$4)</f>
        <v>0</v>
      </c>
      <c r="CC70" s="78" t="e">
        <f t="shared" si="191"/>
        <v>#DIV/0!</v>
      </c>
      <c r="CD70" s="79">
        <f t="array" ref="CD70">SUMIFS('Cắt lồng'!$AC$327:$AC$515,'Cắt lồng'!$AA$327:$AA$515,'Cắt lồng'!$AA70,'Cắt lồng'!$AE$327:$AE$515,'Cắt lồng'!CD$4:CD$4)</f>
        <v>0</v>
      </c>
      <c r="CE70" s="79">
        <f t="array" ref="CE70">SUMIFS('Cắt lồng'!$AH$327:$AH$515,'Cắt lồng'!$AA$327:$AA$515,'Cắt lồng'!$AA70,'Cắt lồng'!$AE$327:$AE$515,'Cắt lồng'!CE$4:CE$4)</f>
        <v>0</v>
      </c>
      <c r="CF70" s="78" t="e">
        <f t="shared" si="192"/>
        <v>#DIV/0!</v>
      </c>
      <c r="CG70" s="79">
        <f t="array" ref="CG70">SUMIFS('Cắt lồng'!$AC$327:$AC$515,'Cắt lồng'!$AA$327:$AA$515,'Cắt lồng'!$AA70,'Cắt lồng'!$AE$327:$AE$515,'Cắt lồng'!CG$4:CG$4)</f>
        <v>0</v>
      </c>
      <c r="CH70" s="79">
        <f t="array" ref="CH70">SUMIFS('Cắt lồng'!$AH$327:$AH$515,'Cắt lồng'!$AA$327:$AA$515,'Cắt lồng'!$AA70,'Cắt lồng'!$AE$327:$AE$515,'Cắt lồng'!CH$4:CH$4)</f>
        <v>0</v>
      </c>
      <c r="CI70" s="78" t="e">
        <f t="shared" si="193"/>
        <v>#DIV/0!</v>
      </c>
      <c r="CJ70" s="79">
        <f t="array" ref="CJ70">SUMIFS('Cắt lồng'!$AC$327:$AC$515,'Cắt lồng'!$AA$327:$AA$515,'Cắt lồng'!$AA70,'Cắt lồng'!$AE$327:$AE$515,'Cắt lồng'!CJ$4:CJ$4)</f>
        <v>0</v>
      </c>
      <c r="CK70" s="79">
        <f t="array" ref="CK70">SUMIFS('Cắt lồng'!$AH$327:$AH$515,'Cắt lồng'!$AA$327:$AA$515,'Cắt lồng'!$AA70,'Cắt lồng'!$AE$327:$AE$515,'Cắt lồng'!CK$4:CK$4)</f>
        <v>0</v>
      </c>
      <c r="CL70" s="78" t="e">
        <f t="shared" si="194"/>
        <v>#DIV/0!</v>
      </c>
      <c r="CM70" s="79">
        <f t="array" ref="CM70">SUMIFS('Cắt lồng'!$AC$327:$AC$515,'Cắt lồng'!$AA$327:$AA$515,'Cắt lồng'!$AA70,'Cắt lồng'!$AE$327:$AE$515,'Cắt lồng'!CM$4:CM$4)</f>
        <v>0</v>
      </c>
      <c r="CN70" s="79">
        <f t="array" ref="CN70">SUMIFS('Cắt lồng'!$AH$327:$AH$515,'Cắt lồng'!$AA$327:$AA$515,'Cắt lồng'!$AA70,'Cắt lồng'!$AE$327:$AE$515,'Cắt lồng'!CN$4:CN$4)</f>
        <v>0</v>
      </c>
      <c r="CO70" s="78" t="e">
        <f t="shared" si="195"/>
        <v>#DIV/0!</v>
      </c>
      <c r="CP70" s="79">
        <f t="array" ref="CP70">SUMIFS('Cắt lồng'!$AC$327:$AC$515,'Cắt lồng'!$AA$327:$AA$515,'Cắt lồng'!$AA70,'Cắt lồng'!$AE$327:$AE$515,'Cắt lồng'!CP$4:CP$4)</f>
        <v>0</v>
      </c>
      <c r="CQ70" s="79">
        <f t="array" ref="CQ70">SUMIFS('Cắt lồng'!$AH$327:$AH$515,'Cắt lồng'!$AA$327:$AA$515,'Cắt lồng'!$AA70,'Cắt lồng'!$AE$327:$AE$515,'Cắt lồng'!CQ$4:CQ$4)</f>
        <v>0</v>
      </c>
      <c r="CR70" s="78" t="e">
        <f t="shared" si="196"/>
        <v>#DIV/0!</v>
      </c>
      <c r="CS70" s="79">
        <f t="array" ref="CS70">SUMIFS('Cắt lồng'!$AC$327:$AC$515,'Cắt lồng'!$AA$327:$AA$515,'Cắt lồng'!$AA70,'Cắt lồng'!$AE$327:$AE$515,'Cắt lồng'!CS$4:CS$4)</f>
        <v>0</v>
      </c>
      <c r="CT70" s="79">
        <f t="array" ref="CT70">SUMIFS('Cắt lồng'!$AH$327:$AH$515,'Cắt lồng'!$AA$327:$AA$515,'Cắt lồng'!$AA70,'Cắt lồng'!$AE$327:$AE$515,'Cắt lồng'!CT$4:CT$4)</f>
        <v>0</v>
      </c>
      <c r="CU70" s="78" t="e">
        <f t="shared" si="197"/>
        <v>#DIV/0!</v>
      </c>
      <c r="CV70" s="79">
        <f t="array" ref="CV70">SUMIFS('Cắt lồng'!$AC$327:$AC$515,'Cắt lồng'!$AA$327:$AA$515,'Cắt lồng'!$AA70,'Cắt lồng'!$AE$327:$AE$515,'Cắt lồng'!CV$4:CV$4)</f>
        <v>0</v>
      </c>
      <c r="CW70" s="79">
        <f t="array" ref="CW70">SUMIFS('Cắt lồng'!$AH$327:$AH$515,'Cắt lồng'!$AA$327:$AA$515,'Cắt lồng'!$AA70,'Cắt lồng'!$AE$327:$AE$515,'Cắt lồng'!CW$4:CW$4)</f>
        <v>0</v>
      </c>
      <c r="CX70" s="78" t="e">
        <f t="shared" si="198"/>
        <v>#DIV/0!</v>
      </c>
      <c r="CY70" s="79">
        <f t="array" ref="CY70">SUMIFS('Cắt lồng'!$AC$327:$AC$515,'Cắt lồng'!$AA$327:$AA$515,'Cắt lồng'!$AA70,'Cắt lồng'!$AE$327:$AE$515,'Cắt lồng'!CY$4:CY$4)</f>
        <v>0</v>
      </c>
      <c r="CZ70" s="79">
        <f t="array" ref="CZ70">SUMIFS('Cắt lồng'!$AH$327:$AH$515,'Cắt lồng'!$AA$327:$AA$515,'Cắt lồng'!$AA70,'Cắt lồng'!$AE$327:$AE$515,'Cắt lồng'!CZ$4:CZ$4)</f>
        <v>0</v>
      </c>
      <c r="DA70" s="78" t="e">
        <f t="shared" si="199"/>
        <v>#DIV/0!</v>
      </c>
      <c r="DB70" s="79">
        <f t="array" ref="DB70">SUMIFS('Cắt lồng'!$AC$327:$AC$515,'Cắt lồng'!$AA$327:$AA$515,'Cắt lồng'!$AA70,'Cắt lồng'!$AE$327:$AE$515,'Cắt lồng'!DB$4:DB$4)</f>
        <v>0</v>
      </c>
      <c r="DC70" s="79">
        <f t="array" ref="DC70">SUMIFS('Cắt lồng'!$AH$327:$AH$515,'Cắt lồng'!$AA$327:$AA$515,'Cắt lồng'!$AA70,'Cắt lồng'!$AE$327:$AE$515,'Cắt lồng'!DC$4:DC$4)</f>
        <v>0</v>
      </c>
      <c r="DD70" s="78" t="e">
        <f t="shared" si="200"/>
        <v>#DIV/0!</v>
      </c>
      <c r="DE70" s="79">
        <f t="array" ref="DE70">SUMIFS('Cắt lồng'!$AC$327:$AC$515,'Cắt lồng'!$AA$327:$AA$515,'Cắt lồng'!$AA70,'Cắt lồng'!$AE$327:$AE$515,'Cắt lồng'!DE$4:DE$4)</f>
        <v>0</v>
      </c>
      <c r="DF70" s="79">
        <f t="array" ref="DF70">SUMIFS('Cắt lồng'!$AH$327:$AH$515,'Cắt lồng'!$AA$327:$AA$515,'Cắt lồng'!$AA70,'Cắt lồng'!$AE$327:$AE$515,'Cắt lồng'!DF$4:DF$4)</f>
        <v>0</v>
      </c>
      <c r="DG70" s="78" t="e">
        <f t="shared" si="201"/>
        <v>#DIV/0!</v>
      </c>
      <c r="DH70" s="79">
        <f t="array" ref="DH70">SUMIFS('Cắt lồng'!$AC$327:$AC$515,'Cắt lồng'!$AA$327:$AA$515,'Cắt lồng'!$AA70,'Cắt lồng'!$AE$327:$AE$515,'Cắt lồng'!DH$4:DH$4)</f>
        <v>0</v>
      </c>
      <c r="DI70" s="79">
        <f t="array" ref="DI70">SUMIFS('Cắt lồng'!$AH$327:$AH$515,'Cắt lồng'!$AA$327:$AA$515,'Cắt lồng'!$AA70,'Cắt lồng'!$AE$327:$AE$515,'Cắt lồng'!DI$4:DI$4)</f>
        <v>0</v>
      </c>
      <c r="DJ70" s="78" t="e">
        <f t="shared" si="202"/>
        <v>#DIV/0!</v>
      </c>
      <c r="DK70" s="79">
        <f t="array" ref="DK70">SUMIFS('Cắt lồng'!$AC$327:$AC$515,'Cắt lồng'!$AA$327:$AA$515,'Cắt lồng'!$AA70,'Cắt lồng'!$AE$327:$AE$515,'Cắt lồng'!DK$4:DK$4)</f>
        <v>0</v>
      </c>
      <c r="DL70" s="79">
        <f t="array" ref="DL70">SUMIFS('Cắt lồng'!$AH$327:$AH$515,'Cắt lồng'!$AA$327:$AA$515,'Cắt lồng'!$AA70,'Cắt lồng'!$AE$327:$AE$515,'Cắt lồng'!DL$4:DL$4)</f>
        <v>0</v>
      </c>
      <c r="DM70" s="78" t="e">
        <f t="shared" si="203"/>
        <v>#DIV/0!</v>
      </c>
      <c r="DN70" s="79">
        <f t="array" ref="DN70">SUMIFS('Cắt lồng'!$AC$327:$AC$515,'Cắt lồng'!$AA$327:$AA$515,'Cắt lồng'!$AA70,'Cắt lồng'!$AE$327:$AE$515,'Cắt lồng'!DN$4:DN$4)</f>
        <v>0</v>
      </c>
      <c r="DO70" s="79">
        <f t="array" ref="DO70">SUMIFS('Cắt lồng'!$AH$327:$AH$515,'Cắt lồng'!$AA$327:$AA$515,'Cắt lồng'!$AA70,'Cắt lồng'!$AE$327:$AE$515,'Cắt lồng'!DO$4:DO$4)</f>
        <v>0</v>
      </c>
      <c r="DP70" s="78" t="e">
        <f t="shared" si="204"/>
        <v>#DIV/0!</v>
      </c>
      <c r="DQ70" s="79">
        <f t="array" ref="DQ70">SUMIFS('Cắt lồng'!$AC$327:$AC$515,'Cắt lồng'!$AA$327:$AA$515,'Cắt lồng'!$AA70,'Cắt lồng'!$AE$327:$AE$515,'Cắt lồng'!DQ$4:DQ$4)</f>
        <v>0</v>
      </c>
      <c r="DR70" s="79">
        <f t="array" ref="DR70">SUMIFS('Cắt lồng'!$AH$327:$AH$515,'Cắt lồng'!$AA$327:$AA$515,'Cắt lồng'!$AA70,'Cắt lồng'!$AE$327:$AE$515,'Cắt lồng'!DR$4:DR$4)</f>
        <v>0</v>
      </c>
      <c r="DS70" s="78" t="e">
        <f t="shared" si="205"/>
        <v>#DIV/0!</v>
      </c>
      <c r="DT70" s="79">
        <f t="array" ref="DT70">SUMIFS('Cắt lồng'!$AC$327:$AC$515,'Cắt lồng'!$AA$327:$AA$515,'Cắt lồng'!$AA70,'Cắt lồng'!$AE$327:$AE$515,'Cắt lồng'!DT$4:DT$4)</f>
        <v>0</v>
      </c>
      <c r="DU70" s="79">
        <f t="array" ref="DU70">SUMIFS('Cắt lồng'!$AH$327:$AH$515,'Cắt lồng'!$AA$327:$AA$515,'Cắt lồng'!$AA70,'Cắt lồng'!$AE$327:$AE$515,'Cắt lồng'!DU$4:DU$4)</f>
        <v>0</v>
      </c>
      <c r="DV70" s="78" t="e">
        <f t="shared" si="206"/>
        <v>#DIV/0!</v>
      </c>
      <c r="DW70" s="79">
        <f t="array" ref="DW70">SUMIFS('Cắt lồng'!$AC$327:$AC$515,'Cắt lồng'!$AA$327:$AA$515,'Cắt lồng'!$AA70,'Cắt lồng'!$AE$327:$AE$515,'Cắt lồng'!DW$4:DW$4)</f>
        <v>0</v>
      </c>
      <c r="DX70" s="79">
        <f t="array" ref="DX70">SUMIFS('Cắt lồng'!$AH$327:$AH$515,'Cắt lồng'!$AA$327:$AA$515,'Cắt lồng'!$AA70,'Cắt lồng'!$AE$327:$AE$515,'Cắt lồng'!DX$4:DX$4)</f>
        <v>0</v>
      </c>
      <c r="DY70" s="78" t="e">
        <f t="shared" si="207"/>
        <v>#DIV/0!</v>
      </c>
      <c r="DZ70" s="79">
        <f t="array" ref="DZ70">SUMIFS('Cắt lồng'!$AC$327:$AC$515,'Cắt lồng'!$AA$327:$AA$515,'Cắt lồng'!$AA70,'Cắt lồng'!$AE$327:$AE$515,'Cắt lồng'!DZ$4:DZ$4)</f>
        <v>0</v>
      </c>
      <c r="EA70" s="79">
        <f t="array" ref="EA70">SUMIFS('Cắt lồng'!$AH$327:$AH$515,'Cắt lồng'!$AA$327:$AA$515,'Cắt lồng'!$AA70,'Cắt lồng'!$AE$327:$AE$515,'Cắt lồng'!EA$4:EA$4)</f>
        <v>0</v>
      </c>
      <c r="EB70" s="78" t="e">
        <f t="shared" si="208"/>
        <v>#DIV/0!</v>
      </c>
      <c r="EC70" s="79">
        <f t="array" ref="EC70">SUMIFS('Cắt lồng'!$AC$327:$AC$515,'Cắt lồng'!$AA$327:$AA$515,'Cắt lồng'!$AA70,'Cắt lồng'!$AE$327:$AE$515,'Cắt lồng'!EC$4:EC$4)</f>
        <v>0</v>
      </c>
      <c r="ED70" s="79">
        <f t="array" ref="ED70">SUMIFS('Cắt lồng'!$AH$327:$AH$515,'Cắt lồng'!$AA$327:$AA$515,'Cắt lồng'!$AA70,'Cắt lồng'!$AE$327:$AE$515,'Cắt lồng'!ED$4:ED$4)</f>
        <v>0</v>
      </c>
      <c r="EE70" s="78" t="e">
        <f t="shared" si="209"/>
        <v>#DIV/0!</v>
      </c>
      <c r="EF70" s="79">
        <f t="array" ref="EF70">SUMIFS('Cắt lồng'!$AC$327:$AC$515,'Cắt lồng'!$AA$327:$AA$515,'Cắt lồng'!$AA70,'Cắt lồng'!$AE$327:$AE$515,'Cắt lồng'!EF$4:EF$4)</f>
        <v>0</v>
      </c>
      <c r="EG70" s="79">
        <f t="array" ref="EG70">SUMIFS('Cắt lồng'!$AH$327:$AH$515,'Cắt lồng'!$AA$327:$AA$515,'Cắt lồng'!$AA70,'Cắt lồng'!$AE$327:$AE$515,'Cắt lồng'!EG$4:EG$4)</f>
        <v>0</v>
      </c>
      <c r="EH70" s="78" t="e">
        <f t="shared" si="210"/>
        <v>#DIV/0!</v>
      </c>
      <c r="EI70" s="79">
        <f t="array" ref="EI70">SUMIFS('Cắt lồng'!$AC$327:$AC$515,'Cắt lồng'!$AA$327:$AA$515,'Cắt lồng'!$AA70,'Cắt lồng'!$AE$327:$AE$515,'Cắt lồng'!EI$4:EI$4)</f>
        <v>0</v>
      </c>
      <c r="EJ70" s="79">
        <f t="array" ref="EJ70">SUMIFS('Cắt lồng'!$AH$327:$AH$515,'Cắt lồng'!$AA$327:$AA$515,'Cắt lồng'!$AA70,'Cắt lồng'!$AE$327:$AE$515,'Cắt lồng'!EJ$4:EJ$4)</f>
        <v>0</v>
      </c>
      <c r="EK70" s="78" t="e">
        <f t="shared" si="211"/>
        <v>#DIV/0!</v>
      </c>
      <c r="EL70" s="172"/>
    </row>
    <row r="71" spans="1:179" s="12" customFormat="1" ht="14.25" hidden="1" customHeight="1">
      <c r="A71" s="25">
        <v>42</v>
      </c>
      <c r="B71" s="26"/>
      <c r="C71" s="25"/>
      <c r="D71" s="24"/>
      <c r="E71" s="60"/>
      <c r="F71" s="59"/>
      <c r="G71" s="82">
        <f t="shared" si="144"/>
        <v>0</v>
      </c>
      <c r="H71" s="81">
        <f t="shared" si="145"/>
        <v>7</v>
      </c>
      <c r="I71" s="19">
        <f t="shared" si="146"/>
        <v>0</v>
      </c>
      <c r="J71" s="11">
        <f t="shared" si="147"/>
        <v>1</v>
      </c>
      <c r="K71" s="19">
        <f t="shared" si="148"/>
        <v>0</v>
      </c>
      <c r="L71" s="19">
        <f t="shared" si="149"/>
        <v>0</v>
      </c>
      <c r="M71" s="19">
        <f t="shared" si="150"/>
        <v>0</v>
      </c>
      <c r="N71" s="19">
        <f t="shared" si="151"/>
        <v>0</v>
      </c>
      <c r="O71" s="19">
        <f t="shared" si="152"/>
        <v>0</v>
      </c>
      <c r="P71" s="19">
        <f t="shared" si="153"/>
        <v>0</v>
      </c>
      <c r="Q71" s="19">
        <f t="shared" si="154"/>
        <v>0</v>
      </c>
      <c r="R71" s="19">
        <f t="shared" si="155"/>
        <v>0</v>
      </c>
      <c r="S71" s="19">
        <f t="shared" si="156"/>
        <v>0</v>
      </c>
      <c r="T71" s="19">
        <f t="shared" si="157"/>
        <v>1</v>
      </c>
      <c r="U71" s="19">
        <f t="shared" si="158"/>
        <v>0</v>
      </c>
      <c r="V71" s="19">
        <f t="shared" si="159"/>
        <v>0</v>
      </c>
      <c r="W71" s="19">
        <f t="shared" si="160"/>
        <v>0</v>
      </c>
      <c r="X71" s="19">
        <f t="shared" si="161"/>
        <v>0</v>
      </c>
      <c r="Y71" s="19">
        <f t="shared" si="162"/>
        <v>0</v>
      </c>
      <c r="Z71" s="19">
        <f t="shared" si="163"/>
        <v>0</v>
      </c>
      <c r="AA71" s="171" t="s">
        <v>238</v>
      </c>
      <c r="AB71" s="17" t="e">
        <f>+H71*SUMIF('[1]KẾ HOẠCH'!$B$5:$CK$5,'Cắt lồng'!AA71,'[1]KẾ HOẠCH'!$B$6:$CK$6)+H71*SUMIF('[1]KẾ HOẠCH'!$B$7:$CK$7,'Cắt lồng'!AA71,'[1]KẾ HOẠCH'!$B$8:$CK$8)+H71*SUMIF('[1]KẾ HOẠCH'!$B$15:$CK$15,'Cắt lồng'!AA71,'[1]KẾ HOẠCH'!$B$16:$CK$16)</f>
        <v>#VALUE!</v>
      </c>
      <c r="AC71" s="16">
        <f t="shared" si="164"/>
        <v>3510</v>
      </c>
      <c r="AD71" s="15" t="e">
        <f t="shared" si="165"/>
        <v>#VALUE!</v>
      </c>
      <c r="AE71" s="42"/>
      <c r="AF71" s="10">
        <f t="shared" si="166"/>
        <v>501.42857142857144</v>
      </c>
      <c r="AG71" s="10"/>
      <c r="AH71" s="152">
        <f t="shared" si="167"/>
        <v>0</v>
      </c>
      <c r="AI71" s="54">
        <f t="shared" si="168"/>
        <v>0</v>
      </c>
      <c r="AJ71" s="25">
        <f t="shared" si="169"/>
        <v>0</v>
      </c>
      <c r="AK71" s="25">
        <f t="shared" si="170"/>
        <v>0</v>
      </c>
      <c r="AL71" s="25">
        <f t="shared" si="171"/>
        <v>0</v>
      </c>
      <c r="AM71" s="30">
        <f t="shared" si="172"/>
        <v>0</v>
      </c>
      <c r="AN71" s="25">
        <f t="shared" si="173"/>
        <v>0</v>
      </c>
      <c r="AO71" s="25">
        <f t="shared" si="174"/>
        <v>0</v>
      </c>
      <c r="AP71" s="25">
        <f t="shared" si="175"/>
        <v>0</v>
      </c>
      <c r="AQ71" s="25">
        <f t="shared" si="176"/>
        <v>0</v>
      </c>
      <c r="AR71" s="25">
        <f t="shared" si="177"/>
        <v>0</v>
      </c>
      <c r="AS71" s="25">
        <f t="shared" si="178"/>
        <v>0</v>
      </c>
      <c r="AT71" s="25">
        <f t="shared" si="179"/>
        <v>0</v>
      </c>
      <c r="AV71" s="79">
        <f t="shared" si="180"/>
        <v>7</v>
      </c>
      <c r="AW71" s="79">
        <f t="array" ref="AW71">SUMIFS('Cắt lồng'!$AC$327:$AC$515,'Cắt lồng'!$AA$327:$AA$515,'Cắt lồng'!$AA71,'Cắt lồng'!$AE$327:$AE$515,'Cắt lồng'!AW$4:AW$4)</f>
        <v>3510</v>
      </c>
      <c r="AX71" s="79">
        <f t="array" ref="AX71">SUMIFS('Cắt lồng'!$AH$327:$AH$515,'Cắt lồng'!$AA$327:$AA$515,'Cắt lồng'!$AA71,'Cắt lồng'!$AE$327:$AE$515,'Cắt lồng'!AX$4:AX$4)</f>
        <v>0</v>
      </c>
      <c r="AY71" s="78">
        <f t="shared" si="181"/>
        <v>0</v>
      </c>
      <c r="AZ71" s="79">
        <f t="array" ref="AZ71">SUMIFS('Cắt lồng'!$AC$327:$AC$515,'Cắt lồng'!$AA$327:$AA$515,'Cắt lồng'!$AA71,'Cắt lồng'!$AE$327:$AE$515,'Cắt lồng'!AZ$4:AZ$4)</f>
        <v>0</v>
      </c>
      <c r="BA71" s="79">
        <f t="array" ref="BA71">SUMIFS('Cắt lồng'!$AH$327:$AH$515,'Cắt lồng'!$AA$327:$AA$515,'Cắt lồng'!$AA71,'Cắt lồng'!$AE$327:$AE$515,'Cắt lồng'!BA$4:BA$4)</f>
        <v>0</v>
      </c>
      <c r="BB71" s="78" t="e">
        <f t="shared" si="182"/>
        <v>#DIV/0!</v>
      </c>
      <c r="BC71" s="79">
        <f>SUMIFS('Cắt lồng'!$AC$327:$AC$515,'Cắt lồng'!$AA$327:$AA$515,'Cắt lồng'!$AA71,'Cắt lồng'!$AE$327:$AE$515,'Cắt lồng'!BC$4:BC$4)</f>
        <v>0</v>
      </c>
      <c r="BD71" s="79">
        <f t="array" ref="BD71">SUMIFS('Cắt lồng'!$AH$327:$AH$515,'Cắt lồng'!$AA$327:$AA$515,'Cắt lồng'!$AA71,'Cắt lồng'!$AE$327:$AE$515,'Cắt lồng'!BD$4:BD$4)</f>
        <v>0</v>
      </c>
      <c r="BE71" s="78" t="e">
        <f t="shared" si="183"/>
        <v>#DIV/0!</v>
      </c>
      <c r="BF71" s="79">
        <f t="array" ref="BF71">SUMIFS('Cắt lồng'!$AC$327:$AC$515,'Cắt lồng'!$AA$327:$AA$515,'Cắt lồng'!$AA71,'Cắt lồng'!$AE$327:$AE$515,'Cắt lồng'!BF$4:BF$4)</f>
        <v>0</v>
      </c>
      <c r="BG71" s="79">
        <f t="array" ref="BG71">SUMIFS('Cắt lồng'!$AH$327:$AH$515,'Cắt lồng'!$AA$327:$AA$515,'Cắt lồng'!$AA71,'Cắt lồng'!$AE$327:$AE$515,'Cắt lồng'!BG$4:BG$4)</f>
        <v>0</v>
      </c>
      <c r="BH71" s="78" t="e">
        <f t="shared" si="184"/>
        <v>#DIV/0!</v>
      </c>
      <c r="BI71" s="79">
        <f t="array" ref="BI71">SUMIFS('Cắt lồng'!$AC$327:$AC$515,'Cắt lồng'!$AA$327:$AA$515,'Cắt lồng'!$AA71,'Cắt lồng'!$AE$327:$AE$515,'Cắt lồng'!BI$4:BI$4)</f>
        <v>0</v>
      </c>
      <c r="BJ71" s="79">
        <f t="array" ref="BJ71">SUMIFS('Cắt lồng'!$AH$327:$AH$515,'Cắt lồng'!$AA$327:$AA$515,'Cắt lồng'!$AA71,'Cắt lồng'!$AE$327:$AE$515,'Cắt lồng'!BJ$4:BJ$4)</f>
        <v>0</v>
      </c>
      <c r="BK71" s="78" t="e">
        <f t="shared" si="185"/>
        <v>#DIV/0!</v>
      </c>
      <c r="BL71" s="79">
        <f t="array" ref="BL71">SUMIFS('Cắt lồng'!$AC$327:$AC$515,'Cắt lồng'!$AA$327:$AA$515,'Cắt lồng'!$AA71,'Cắt lồng'!$AE$327:$AE$515,'Cắt lồng'!BL$4:BL$4)</f>
        <v>0</v>
      </c>
      <c r="BM71" s="79">
        <f t="array" ref="BM71">SUMIFS('Cắt lồng'!$AH$327:$AH$515,'Cắt lồng'!$AA$327:$AA$515,'Cắt lồng'!$AA71,'Cắt lồng'!$AE$327:$AE$515,'Cắt lồng'!BM$4:BM$4)</f>
        <v>0</v>
      </c>
      <c r="BN71" s="78" t="e">
        <f t="shared" si="186"/>
        <v>#DIV/0!</v>
      </c>
      <c r="BO71" s="79">
        <f t="array" ref="BO71">SUMIFS('Cắt lồng'!$AC$327:$AC$515,'Cắt lồng'!$AA$327:$AA$515,'Cắt lồng'!$AA71,'Cắt lồng'!$AE$327:$AE$515,'Cắt lồng'!BO$4:BO$4)</f>
        <v>0</v>
      </c>
      <c r="BP71" s="79">
        <f t="array" ref="BP71">SUMIFS('Cắt lồng'!$AH$327:$AH$515,'Cắt lồng'!$AA$327:$AA$515,'Cắt lồng'!$AA71,'Cắt lồng'!$AE$327:$AE$515,'Cắt lồng'!BP$4:BP$4)</f>
        <v>0</v>
      </c>
      <c r="BQ71" s="78" t="e">
        <f t="shared" si="187"/>
        <v>#DIV/0!</v>
      </c>
      <c r="BR71" s="79">
        <f t="array" ref="BR71">SUMIFS('Cắt lồng'!$AC$327:$AC$515,'Cắt lồng'!$AA$327:$AA$515,'Cắt lồng'!$AA71,'Cắt lồng'!$AE$327:$AE$515,'Cắt lồng'!BR$4:BR$4)</f>
        <v>0</v>
      </c>
      <c r="BS71" s="79">
        <f t="array" ref="BS71">SUMIFS('Cắt lồng'!$AH$327:$AH$515,'Cắt lồng'!$AA$327:$AA$515,'Cắt lồng'!$AA71,'Cắt lồng'!$AE$327:$AE$515,'Cắt lồng'!BS$4:BS$4)</f>
        <v>0</v>
      </c>
      <c r="BT71" s="78" t="e">
        <f t="shared" si="188"/>
        <v>#DIV/0!</v>
      </c>
      <c r="BU71" s="79">
        <f t="array" ref="BU71">SUMIFS('Cắt lồng'!$AC$327:$AC$515,'Cắt lồng'!$AA$327:$AA$515,'Cắt lồng'!$AA71,'Cắt lồng'!$AE$327:$AE$515,'Cắt lồng'!BU$4:BU$4)</f>
        <v>0</v>
      </c>
      <c r="BV71" s="79">
        <f t="array" ref="BV71">SUMIFS('Cắt lồng'!$AH$327:$AH$515,'Cắt lồng'!$AA$327:$AA$515,'Cắt lồng'!$AA71,'Cắt lồng'!$AE$327:$AE$515,'Cắt lồng'!BV$4:BV$4)</f>
        <v>0</v>
      </c>
      <c r="BW71" s="78" t="e">
        <f t="shared" si="189"/>
        <v>#DIV/0!</v>
      </c>
      <c r="BX71" s="79">
        <f t="array" ref="BX71">SUMIFS('Cắt lồng'!$AC$327:$AC$515,'Cắt lồng'!$AA$327:$AA$515,'Cắt lồng'!$AA71,'Cắt lồng'!$AE$327:$AE$515,'Cắt lồng'!BX$4:BX$4)</f>
        <v>0</v>
      </c>
      <c r="BY71" s="79">
        <f t="array" ref="BY71">SUMIFS('Cắt lồng'!$AH$327:$AH$515,'Cắt lồng'!$AA$327:$AA$515,'Cắt lồng'!$AA71,'Cắt lồng'!$AE$327:$AE$515,'Cắt lồng'!BY$4:BY$4)</f>
        <v>0</v>
      </c>
      <c r="BZ71" s="78" t="e">
        <f t="shared" si="190"/>
        <v>#DIV/0!</v>
      </c>
      <c r="CA71" s="79">
        <f>SUMIFS('Cắt lồng'!$AC$327:$AC$515,'Cắt lồng'!$AA$327:$AA$515,'Cắt lồng'!$AA71,'Cắt lồng'!$AE$327:$AE$515,'Cắt lồng'!CA$4:CA$4)</f>
        <v>0</v>
      </c>
      <c r="CB71" s="79">
        <f t="array" ref="CB71">SUMIFS('Cắt lồng'!$AH$327:$AH$515,'Cắt lồng'!$AA$327:$AA$515,'Cắt lồng'!$AA71,'Cắt lồng'!$AE$327:$AE$515,'Cắt lồng'!CB$4:CB$4)</f>
        <v>0</v>
      </c>
      <c r="CC71" s="78" t="e">
        <f t="shared" si="191"/>
        <v>#DIV/0!</v>
      </c>
      <c r="CD71" s="79">
        <f t="array" ref="CD71">SUMIFS('Cắt lồng'!$AC$327:$AC$515,'Cắt lồng'!$AA$327:$AA$515,'Cắt lồng'!$AA71,'Cắt lồng'!$AE$327:$AE$515,'Cắt lồng'!CD$4:CD$4)</f>
        <v>0</v>
      </c>
      <c r="CE71" s="79">
        <f t="array" ref="CE71">SUMIFS('Cắt lồng'!$AH$327:$AH$515,'Cắt lồng'!$AA$327:$AA$515,'Cắt lồng'!$AA71,'Cắt lồng'!$AE$327:$AE$515,'Cắt lồng'!CE$4:CE$4)</f>
        <v>0</v>
      </c>
      <c r="CF71" s="78" t="e">
        <f t="shared" si="192"/>
        <v>#DIV/0!</v>
      </c>
      <c r="CG71" s="79">
        <f t="array" ref="CG71">SUMIFS('Cắt lồng'!$AC$327:$AC$515,'Cắt lồng'!$AA$327:$AA$515,'Cắt lồng'!$AA71,'Cắt lồng'!$AE$327:$AE$515,'Cắt lồng'!CG$4:CG$4)</f>
        <v>0</v>
      </c>
      <c r="CH71" s="79">
        <f t="array" ref="CH71">SUMIFS('Cắt lồng'!$AH$327:$AH$515,'Cắt lồng'!$AA$327:$AA$515,'Cắt lồng'!$AA71,'Cắt lồng'!$AE$327:$AE$515,'Cắt lồng'!CH$4:CH$4)</f>
        <v>0</v>
      </c>
      <c r="CI71" s="78" t="e">
        <f t="shared" si="193"/>
        <v>#DIV/0!</v>
      </c>
      <c r="CJ71" s="79">
        <f t="array" ref="CJ71">SUMIFS('Cắt lồng'!$AC$327:$AC$515,'Cắt lồng'!$AA$327:$AA$515,'Cắt lồng'!$AA71,'Cắt lồng'!$AE$327:$AE$515,'Cắt lồng'!CJ$4:CJ$4)</f>
        <v>0</v>
      </c>
      <c r="CK71" s="79">
        <f t="array" ref="CK71">SUMIFS('Cắt lồng'!$AH$327:$AH$515,'Cắt lồng'!$AA$327:$AA$515,'Cắt lồng'!$AA71,'Cắt lồng'!$AE$327:$AE$515,'Cắt lồng'!CK$4:CK$4)</f>
        <v>0</v>
      </c>
      <c r="CL71" s="78" t="e">
        <f t="shared" si="194"/>
        <v>#DIV/0!</v>
      </c>
      <c r="CM71" s="79">
        <f t="array" ref="CM71">SUMIFS('Cắt lồng'!$AC$327:$AC$515,'Cắt lồng'!$AA$327:$AA$515,'Cắt lồng'!$AA71,'Cắt lồng'!$AE$327:$AE$515,'Cắt lồng'!CM$4:CM$4)</f>
        <v>0</v>
      </c>
      <c r="CN71" s="79">
        <f t="array" ref="CN71">SUMIFS('Cắt lồng'!$AH$327:$AH$515,'Cắt lồng'!$AA$327:$AA$515,'Cắt lồng'!$AA71,'Cắt lồng'!$AE$327:$AE$515,'Cắt lồng'!CN$4:CN$4)</f>
        <v>0</v>
      </c>
      <c r="CO71" s="78" t="e">
        <f t="shared" si="195"/>
        <v>#DIV/0!</v>
      </c>
      <c r="CP71" s="79">
        <f t="array" ref="CP71">SUMIFS('Cắt lồng'!$AC$327:$AC$515,'Cắt lồng'!$AA$327:$AA$515,'Cắt lồng'!$AA71,'Cắt lồng'!$AE$327:$AE$515,'Cắt lồng'!CP$4:CP$4)</f>
        <v>0</v>
      </c>
      <c r="CQ71" s="79">
        <f t="array" ref="CQ71">SUMIFS('Cắt lồng'!$AH$327:$AH$515,'Cắt lồng'!$AA$327:$AA$515,'Cắt lồng'!$AA71,'Cắt lồng'!$AE$327:$AE$515,'Cắt lồng'!CQ$4:CQ$4)</f>
        <v>0</v>
      </c>
      <c r="CR71" s="78" t="e">
        <f t="shared" si="196"/>
        <v>#DIV/0!</v>
      </c>
      <c r="CS71" s="79">
        <f t="array" ref="CS71">SUMIFS('Cắt lồng'!$AC$327:$AC$515,'Cắt lồng'!$AA$327:$AA$515,'Cắt lồng'!$AA71,'Cắt lồng'!$AE$327:$AE$515,'Cắt lồng'!CS$4:CS$4)</f>
        <v>0</v>
      </c>
      <c r="CT71" s="79">
        <f t="array" ref="CT71">SUMIFS('Cắt lồng'!$AH$327:$AH$515,'Cắt lồng'!$AA$327:$AA$515,'Cắt lồng'!$AA71,'Cắt lồng'!$AE$327:$AE$515,'Cắt lồng'!CT$4:CT$4)</f>
        <v>0</v>
      </c>
      <c r="CU71" s="78" t="e">
        <f t="shared" si="197"/>
        <v>#DIV/0!</v>
      </c>
      <c r="CV71" s="79">
        <f t="array" ref="CV71">SUMIFS('Cắt lồng'!$AC$327:$AC$515,'Cắt lồng'!$AA$327:$AA$515,'Cắt lồng'!$AA71,'Cắt lồng'!$AE$327:$AE$515,'Cắt lồng'!CV$4:CV$4)</f>
        <v>0</v>
      </c>
      <c r="CW71" s="79">
        <f t="array" ref="CW71">SUMIFS('Cắt lồng'!$AH$327:$AH$515,'Cắt lồng'!$AA$327:$AA$515,'Cắt lồng'!$AA71,'Cắt lồng'!$AE$327:$AE$515,'Cắt lồng'!CW$4:CW$4)</f>
        <v>0</v>
      </c>
      <c r="CX71" s="78" t="e">
        <f t="shared" si="198"/>
        <v>#DIV/0!</v>
      </c>
      <c r="CY71" s="79">
        <f t="array" ref="CY71">SUMIFS('Cắt lồng'!$AC$327:$AC$515,'Cắt lồng'!$AA$327:$AA$515,'Cắt lồng'!$AA71,'Cắt lồng'!$AE$327:$AE$515,'Cắt lồng'!CY$4:CY$4)</f>
        <v>0</v>
      </c>
      <c r="CZ71" s="79">
        <f t="array" ref="CZ71">SUMIFS('Cắt lồng'!$AH$327:$AH$515,'Cắt lồng'!$AA$327:$AA$515,'Cắt lồng'!$AA71,'Cắt lồng'!$AE$327:$AE$515,'Cắt lồng'!CZ$4:CZ$4)</f>
        <v>0</v>
      </c>
      <c r="DA71" s="78" t="e">
        <f t="shared" si="199"/>
        <v>#DIV/0!</v>
      </c>
      <c r="DB71" s="79">
        <f t="array" ref="DB71">SUMIFS('Cắt lồng'!$AC$327:$AC$515,'Cắt lồng'!$AA$327:$AA$515,'Cắt lồng'!$AA71,'Cắt lồng'!$AE$327:$AE$515,'Cắt lồng'!DB$4:DB$4)</f>
        <v>0</v>
      </c>
      <c r="DC71" s="79">
        <f t="array" ref="DC71">SUMIFS('Cắt lồng'!$AH$327:$AH$515,'Cắt lồng'!$AA$327:$AA$515,'Cắt lồng'!$AA71,'Cắt lồng'!$AE$327:$AE$515,'Cắt lồng'!DC$4:DC$4)</f>
        <v>0</v>
      </c>
      <c r="DD71" s="78" t="e">
        <f t="shared" si="200"/>
        <v>#DIV/0!</v>
      </c>
      <c r="DE71" s="79">
        <f t="array" ref="DE71">SUMIFS('Cắt lồng'!$AC$327:$AC$515,'Cắt lồng'!$AA$327:$AA$515,'Cắt lồng'!$AA71,'Cắt lồng'!$AE$327:$AE$515,'Cắt lồng'!DE$4:DE$4)</f>
        <v>0</v>
      </c>
      <c r="DF71" s="79">
        <f t="array" ref="DF71">SUMIFS('Cắt lồng'!$AH$327:$AH$515,'Cắt lồng'!$AA$327:$AA$515,'Cắt lồng'!$AA71,'Cắt lồng'!$AE$327:$AE$515,'Cắt lồng'!DF$4:DF$4)</f>
        <v>0</v>
      </c>
      <c r="DG71" s="78" t="e">
        <f t="shared" si="201"/>
        <v>#DIV/0!</v>
      </c>
      <c r="DH71" s="79">
        <f t="array" ref="DH71">SUMIFS('Cắt lồng'!$AC$327:$AC$515,'Cắt lồng'!$AA$327:$AA$515,'Cắt lồng'!$AA71,'Cắt lồng'!$AE$327:$AE$515,'Cắt lồng'!DH$4:DH$4)</f>
        <v>0</v>
      </c>
      <c r="DI71" s="79">
        <f t="array" ref="DI71">SUMIFS('Cắt lồng'!$AH$327:$AH$515,'Cắt lồng'!$AA$327:$AA$515,'Cắt lồng'!$AA71,'Cắt lồng'!$AE$327:$AE$515,'Cắt lồng'!DI$4:DI$4)</f>
        <v>0</v>
      </c>
      <c r="DJ71" s="78" t="e">
        <f t="shared" si="202"/>
        <v>#DIV/0!</v>
      </c>
      <c r="DK71" s="79">
        <f t="array" ref="DK71">SUMIFS('Cắt lồng'!$AC$327:$AC$515,'Cắt lồng'!$AA$327:$AA$515,'Cắt lồng'!$AA71,'Cắt lồng'!$AE$327:$AE$515,'Cắt lồng'!DK$4:DK$4)</f>
        <v>0</v>
      </c>
      <c r="DL71" s="79">
        <f t="array" ref="DL71">SUMIFS('Cắt lồng'!$AH$327:$AH$515,'Cắt lồng'!$AA$327:$AA$515,'Cắt lồng'!$AA71,'Cắt lồng'!$AE$327:$AE$515,'Cắt lồng'!DL$4:DL$4)</f>
        <v>0</v>
      </c>
      <c r="DM71" s="78" t="e">
        <f t="shared" si="203"/>
        <v>#DIV/0!</v>
      </c>
      <c r="DN71" s="79">
        <f t="array" ref="DN71">SUMIFS('Cắt lồng'!$AC$327:$AC$515,'Cắt lồng'!$AA$327:$AA$515,'Cắt lồng'!$AA71,'Cắt lồng'!$AE$327:$AE$515,'Cắt lồng'!DN$4:DN$4)</f>
        <v>0</v>
      </c>
      <c r="DO71" s="79">
        <f t="array" ref="DO71">SUMIFS('Cắt lồng'!$AH$327:$AH$515,'Cắt lồng'!$AA$327:$AA$515,'Cắt lồng'!$AA71,'Cắt lồng'!$AE$327:$AE$515,'Cắt lồng'!DO$4:DO$4)</f>
        <v>0</v>
      </c>
      <c r="DP71" s="78" t="e">
        <f t="shared" si="204"/>
        <v>#DIV/0!</v>
      </c>
      <c r="DQ71" s="79">
        <f t="array" ref="DQ71">SUMIFS('Cắt lồng'!$AC$327:$AC$515,'Cắt lồng'!$AA$327:$AA$515,'Cắt lồng'!$AA71,'Cắt lồng'!$AE$327:$AE$515,'Cắt lồng'!DQ$4:DQ$4)</f>
        <v>0</v>
      </c>
      <c r="DR71" s="79">
        <f t="array" ref="DR71">SUMIFS('Cắt lồng'!$AH$327:$AH$515,'Cắt lồng'!$AA$327:$AA$515,'Cắt lồng'!$AA71,'Cắt lồng'!$AE$327:$AE$515,'Cắt lồng'!DR$4:DR$4)</f>
        <v>0</v>
      </c>
      <c r="DS71" s="78" t="e">
        <f t="shared" si="205"/>
        <v>#DIV/0!</v>
      </c>
      <c r="DT71" s="79">
        <f t="array" ref="DT71">SUMIFS('Cắt lồng'!$AC$327:$AC$515,'Cắt lồng'!$AA$327:$AA$515,'Cắt lồng'!$AA71,'Cắt lồng'!$AE$327:$AE$515,'Cắt lồng'!DT$4:DT$4)</f>
        <v>0</v>
      </c>
      <c r="DU71" s="79">
        <f t="array" ref="DU71">SUMIFS('Cắt lồng'!$AH$327:$AH$515,'Cắt lồng'!$AA$327:$AA$515,'Cắt lồng'!$AA71,'Cắt lồng'!$AE$327:$AE$515,'Cắt lồng'!DU$4:DU$4)</f>
        <v>0</v>
      </c>
      <c r="DV71" s="78" t="e">
        <f t="shared" si="206"/>
        <v>#DIV/0!</v>
      </c>
      <c r="DW71" s="79">
        <f t="array" ref="DW71">SUMIFS('Cắt lồng'!$AC$327:$AC$515,'Cắt lồng'!$AA$327:$AA$515,'Cắt lồng'!$AA71,'Cắt lồng'!$AE$327:$AE$515,'Cắt lồng'!DW$4:DW$4)</f>
        <v>0</v>
      </c>
      <c r="DX71" s="79">
        <f t="array" ref="DX71">SUMIFS('Cắt lồng'!$AH$327:$AH$515,'Cắt lồng'!$AA$327:$AA$515,'Cắt lồng'!$AA71,'Cắt lồng'!$AE$327:$AE$515,'Cắt lồng'!DX$4:DX$4)</f>
        <v>0</v>
      </c>
      <c r="DY71" s="78" t="e">
        <f t="shared" si="207"/>
        <v>#DIV/0!</v>
      </c>
      <c r="DZ71" s="79">
        <f t="array" ref="DZ71">SUMIFS('Cắt lồng'!$AC$327:$AC$515,'Cắt lồng'!$AA$327:$AA$515,'Cắt lồng'!$AA71,'Cắt lồng'!$AE$327:$AE$515,'Cắt lồng'!DZ$4:DZ$4)</f>
        <v>0</v>
      </c>
      <c r="EA71" s="79">
        <f t="array" ref="EA71">SUMIFS('Cắt lồng'!$AH$327:$AH$515,'Cắt lồng'!$AA$327:$AA$515,'Cắt lồng'!$AA71,'Cắt lồng'!$AE$327:$AE$515,'Cắt lồng'!EA$4:EA$4)</f>
        <v>0</v>
      </c>
      <c r="EB71" s="78" t="e">
        <f t="shared" si="208"/>
        <v>#DIV/0!</v>
      </c>
      <c r="EC71" s="79">
        <f t="array" ref="EC71">SUMIFS('Cắt lồng'!$AC$327:$AC$515,'Cắt lồng'!$AA$327:$AA$515,'Cắt lồng'!$AA71,'Cắt lồng'!$AE$327:$AE$515,'Cắt lồng'!EC$4:EC$4)</f>
        <v>0</v>
      </c>
      <c r="ED71" s="79">
        <f t="array" ref="ED71">SUMIFS('Cắt lồng'!$AH$327:$AH$515,'Cắt lồng'!$AA$327:$AA$515,'Cắt lồng'!$AA71,'Cắt lồng'!$AE$327:$AE$515,'Cắt lồng'!ED$4:ED$4)</f>
        <v>0</v>
      </c>
      <c r="EE71" s="78" t="e">
        <f t="shared" si="209"/>
        <v>#DIV/0!</v>
      </c>
      <c r="EF71" s="79">
        <f t="array" ref="EF71">SUMIFS('Cắt lồng'!$AC$327:$AC$515,'Cắt lồng'!$AA$327:$AA$515,'Cắt lồng'!$AA71,'Cắt lồng'!$AE$327:$AE$515,'Cắt lồng'!EF$4:EF$4)</f>
        <v>0</v>
      </c>
      <c r="EG71" s="79">
        <f t="array" ref="EG71">SUMIFS('Cắt lồng'!$AH$327:$AH$515,'Cắt lồng'!$AA$327:$AA$515,'Cắt lồng'!$AA71,'Cắt lồng'!$AE$327:$AE$515,'Cắt lồng'!EG$4:EG$4)</f>
        <v>0</v>
      </c>
      <c r="EH71" s="78" t="e">
        <f t="shared" si="210"/>
        <v>#DIV/0!</v>
      </c>
      <c r="EI71" s="79">
        <f t="array" ref="EI71">SUMIFS('Cắt lồng'!$AC$327:$AC$515,'Cắt lồng'!$AA$327:$AA$515,'Cắt lồng'!$AA71,'Cắt lồng'!$AE$327:$AE$515,'Cắt lồng'!EI$4:EI$4)</f>
        <v>0</v>
      </c>
      <c r="EJ71" s="79">
        <f t="array" ref="EJ71">SUMIFS('Cắt lồng'!$AH$327:$AH$515,'Cắt lồng'!$AA$327:$AA$515,'Cắt lồng'!$AA71,'Cắt lồng'!$AE$327:$AE$515,'Cắt lồng'!EJ$4:EJ$4)</f>
        <v>0</v>
      </c>
      <c r="EK71" s="78" t="e">
        <f t="shared" si="211"/>
        <v>#DIV/0!</v>
      </c>
      <c r="EL71" s="172"/>
    </row>
    <row r="72" spans="1:179" s="12" customFormat="1" ht="14.25" hidden="1" customHeight="1">
      <c r="A72" s="25">
        <v>43</v>
      </c>
      <c r="B72" s="26"/>
      <c r="C72" s="25"/>
      <c r="D72" s="24"/>
      <c r="E72" s="60"/>
      <c r="F72" s="59"/>
      <c r="G72" s="82">
        <f t="shared" si="144"/>
        <v>0</v>
      </c>
      <c r="H72" s="81">
        <f t="shared" si="145"/>
        <v>0</v>
      </c>
      <c r="I72" s="19">
        <f t="shared" si="146"/>
        <v>0</v>
      </c>
      <c r="J72" s="11">
        <f t="shared" si="147"/>
        <v>0</v>
      </c>
      <c r="K72" s="19">
        <f t="shared" si="148"/>
        <v>0</v>
      </c>
      <c r="L72" s="19">
        <f t="shared" si="149"/>
        <v>0</v>
      </c>
      <c r="M72" s="19">
        <f t="shared" si="150"/>
        <v>0</v>
      </c>
      <c r="N72" s="19">
        <f t="shared" si="151"/>
        <v>0</v>
      </c>
      <c r="O72" s="19">
        <f t="shared" si="152"/>
        <v>0</v>
      </c>
      <c r="P72" s="19">
        <f t="shared" si="153"/>
        <v>0</v>
      </c>
      <c r="Q72" s="19">
        <f t="shared" si="154"/>
        <v>0</v>
      </c>
      <c r="R72" s="19">
        <f t="shared" si="155"/>
        <v>0</v>
      </c>
      <c r="S72" s="19">
        <f t="shared" si="156"/>
        <v>0</v>
      </c>
      <c r="T72" s="19">
        <f t="shared" si="157"/>
        <v>0</v>
      </c>
      <c r="U72" s="19">
        <f t="shared" si="158"/>
        <v>0</v>
      </c>
      <c r="V72" s="19">
        <f t="shared" si="159"/>
        <v>0</v>
      </c>
      <c r="W72" s="19">
        <f t="shared" si="160"/>
        <v>0</v>
      </c>
      <c r="X72" s="19">
        <f t="shared" si="161"/>
        <v>0</v>
      </c>
      <c r="Y72" s="19">
        <f t="shared" si="162"/>
        <v>0</v>
      </c>
      <c r="Z72" s="19">
        <f t="shared" si="163"/>
        <v>0</v>
      </c>
      <c r="AA72" s="171">
        <v>7236</v>
      </c>
      <c r="AB72" s="17" t="e">
        <f>+H72*SUMIF('[1]KẾ HOẠCH'!$B$5:$CK$5,'Cắt lồng'!AA72,'[1]KẾ HOẠCH'!$B$6:$CK$6)+H72*SUMIF('[1]KẾ HOẠCH'!$B$7:$CK$7,'Cắt lồng'!AA72,'[1]KẾ HOẠCH'!$B$8:$CK$8)+H72*SUMIF('[1]KẾ HOẠCH'!$B$15:$CK$15,'Cắt lồng'!AA72,'[1]KẾ HOẠCH'!$B$16:$CK$16)</f>
        <v>#VALUE!</v>
      </c>
      <c r="AC72" s="16">
        <f t="shared" si="164"/>
        <v>0</v>
      </c>
      <c r="AD72" s="15" t="e">
        <f t="shared" si="165"/>
        <v>#VALUE!</v>
      </c>
      <c r="AE72" s="42"/>
      <c r="AF72" s="10" t="e">
        <f t="shared" si="166"/>
        <v>#DIV/0!</v>
      </c>
      <c r="AG72" s="10"/>
      <c r="AH72" s="152">
        <f t="shared" si="167"/>
        <v>0</v>
      </c>
      <c r="AI72" s="54" t="e">
        <f t="shared" si="168"/>
        <v>#DIV/0!</v>
      </c>
      <c r="AJ72" s="25">
        <f t="shared" si="169"/>
        <v>0</v>
      </c>
      <c r="AK72" s="25">
        <f t="shared" si="170"/>
        <v>0</v>
      </c>
      <c r="AL72" s="25">
        <f t="shared" si="171"/>
        <v>0</v>
      </c>
      <c r="AM72" s="30">
        <f t="shared" si="172"/>
        <v>0</v>
      </c>
      <c r="AN72" s="25">
        <f t="shared" si="173"/>
        <v>0</v>
      </c>
      <c r="AO72" s="25">
        <f t="shared" si="174"/>
        <v>0</v>
      </c>
      <c r="AP72" s="25">
        <f t="shared" si="175"/>
        <v>0</v>
      </c>
      <c r="AQ72" s="25">
        <f t="shared" si="176"/>
        <v>0</v>
      </c>
      <c r="AR72" s="25">
        <f t="shared" si="177"/>
        <v>0</v>
      </c>
      <c r="AS72" s="25">
        <f t="shared" si="178"/>
        <v>0</v>
      </c>
      <c r="AT72" s="25">
        <f t="shared" si="179"/>
        <v>0</v>
      </c>
      <c r="AV72" s="79">
        <f t="shared" si="180"/>
        <v>0</v>
      </c>
      <c r="AW72" s="79">
        <f t="array" ref="AW72">SUMIFS('Cắt lồng'!$AC$327:$AC$515,'Cắt lồng'!$AA$327:$AA$515,'Cắt lồng'!$AA72,'Cắt lồng'!$AE$327:$AE$515,'Cắt lồng'!AW$4:AW$4)</f>
        <v>0</v>
      </c>
      <c r="AX72" s="79">
        <f t="array" ref="AX72">SUMIFS('Cắt lồng'!$AH$327:$AH$515,'Cắt lồng'!$AA$327:$AA$515,'Cắt lồng'!$AA72,'Cắt lồng'!$AE$327:$AE$515,'Cắt lồng'!AX$4:AX$4)</f>
        <v>0</v>
      </c>
      <c r="AY72" s="78" t="e">
        <f t="shared" si="181"/>
        <v>#DIV/0!</v>
      </c>
      <c r="AZ72" s="79">
        <f t="array" ref="AZ72">SUMIFS('Cắt lồng'!$AC$327:$AC$515,'Cắt lồng'!$AA$327:$AA$515,'Cắt lồng'!$AA72,'Cắt lồng'!$AE$327:$AE$515,'Cắt lồng'!AZ$4:AZ$4)</f>
        <v>0</v>
      </c>
      <c r="BA72" s="79">
        <f t="array" ref="BA72">SUMIFS('Cắt lồng'!$AH$327:$AH$515,'Cắt lồng'!$AA$327:$AA$515,'Cắt lồng'!$AA72,'Cắt lồng'!$AE$327:$AE$515,'Cắt lồng'!BA$4:BA$4)</f>
        <v>0</v>
      </c>
      <c r="BB72" s="78" t="e">
        <f t="shared" si="182"/>
        <v>#DIV/0!</v>
      </c>
      <c r="BC72" s="79">
        <f>SUMIFS('Cắt lồng'!$AC$327:$AC$515,'Cắt lồng'!$AA$327:$AA$515,'Cắt lồng'!$AA72,'Cắt lồng'!$AE$327:$AE$515,'Cắt lồng'!BC$4:BC$4)</f>
        <v>0</v>
      </c>
      <c r="BD72" s="79">
        <f t="array" ref="BD72">SUMIFS('Cắt lồng'!$AH$327:$AH$515,'Cắt lồng'!$AA$327:$AA$515,'Cắt lồng'!$AA72,'Cắt lồng'!$AE$327:$AE$515,'Cắt lồng'!BD$4:BD$4)</f>
        <v>0</v>
      </c>
      <c r="BE72" s="78" t="e">
        <f t="shared" si="183"/>
        <v>#DIV/0!</v>
      </c>
      <c r="BF72" s="79">
        <f t="array" ref="BF72">SUMIFS('Cắt lồng'!$AC$327:$AC$515,'Cắt lồng'!$AA$327:$AA$515,'Cắt lồng'!$AA72,'Cắt lồng'!$AE$327:$AE$515,'Cắt lồng'!BF$4:BF$4)</f>
        <v>0</v>
      </c>
      <c r="BG72" s="79">
        <f t="array" ref="BG72">SUMIFS('Cắt lồng'!$AH$327:$AH$515,'Cắt lồng'!$AA$327:$AA$515,'Cắt lồng'!$AA72,'Cắt lồng'!$AE$327:$AE$515,'Cắt lồng'!BG$4:BG$4)</f>
        <v>0</v>
      </c>
      <c r="BH72" s="78" t="e">
        <f t="shared" si="184"/>
        <v>#DIV/0!</v>
      </c>
      <c r="BI72" s="79">
        <f t="array" ref="BI72">SUMIFS('Cắt lồng'!$AC$327:$AC$515,'Cắt lồng'!$AA$327:$AA$515,'Cắt lồng'!$AA72,'Cắt lồng'!$AE$327:$AE$515,'Cắt lồng'!BI$4:BI$4)</f>
        <v>0</v>
      </c>
      <c r="BJ72" s="79">
        <f t="array" ref="BJ72">SUMIFS('Cắt lồng'!$AH$327:$AH$515,'Cắt lồng'!$AA$327:$AA$515,'Cắt lồng'!$AA72,'Cắt lồng'!$AE$327:$AE$515,'Cắt lồng'!BJ$4:BJ$4)</f>
        <v>0</v>
      </c>
      <c r="BK72" s="78" t="e">
        <f t="shared" si="185"/>
        <v>#DIV/0!</v>
      </c>
      <c r="BL72" s="79">
        <f t="array" ref="BL72">SUMIFS('Cắt lồng'!$AC$327:$AC$515,'Cắt lồng'!$AA$327:$AA$515,'Cắt lồng'!$AA72,'Cắt lồng'!$AE$327:$AE$515,'Cắt lồng'!BL$4:BL$4)</f>
        <v>0</v>
      </c>
      <c r="BM72" s="79">
        <f t="array" ref="BM72">SUMIFS('Cắt lồng'!$AH$327:$AH$515,'Cắt lồng'!$AA$327:$AA$515,'Cắt lồng'!$AA72,'Cắt lồng'!$AE$327:$AE$515,'Cắt lồng'!BM$4:BM$4)</f>
        <v>0</v>
      </c>
      <c r="BN72" s="78" t="e">
        <f t="shared" si="186"/>
        <v>#DIV/0!</v>
      </c>
      <c r="BO72" s="79">
        <f t="array" ref="BO72">SUMIFS('Cắt lồng'!$AC$327:$AC$515,'Cắt lồng'!$AA$327:$AA$515,'Cắt lồng'!$AA72,'Cắt lồng'!$AE$327:$AE$515,'Cắt lồng'!BO$4:BO$4)</f>
        <v>0</v>
      </c>
      <c r="BP72" s="79">
        <f t="array" ref="BP72">SUMIFS('Cắt lồng'!$AH$327:$AH$515,'Cắt lồng'!$AA$327:$AA$515,'Cắt lồng'!$AA72,'Cắt lồng'!$AE$327:$AE$515,'Cắt lồng'!BP$4:BP$4)</f>
        <v>0</v>
      </c>
      <c r="BQ72" s="78" t="e">
        <f t="shared" si="187"/>
        <v>#DIV/0!</v>
      </c>
      <c r="BR72" s="79">
        <f t="array" ref="BR72">SUMIFS('Cắt lồng'!$AC$327:$AC$515,'Cắt lồng'!$AA$327:$AA$515,'Cắt lồng'!$AA72,'Cắt lồng'!$AE$327:$AE$515,'Cắt lồng'!BR$4:BR$4)</f>
        <v>0</v>
      </c>
      <c r="BS72" s="79">
        <f t="array" ref="BS72">SUMIFS('Cắt lồng'!$AH$327:$AH$515,'Cắt lồng'!$AA$327:$AA$515,'Cắt lồng'!$AA72,'Cắt lồng'!$AE$327:$AE$515,'Cắt lồng'!BS$4:BS$4)</f>
        <v>0</v>
      </c>
      <c r="BT72" s="78" t="e">
        <f t="shared" si="188"/>
        <v>#DIV/0!</v>
      </c>
      <c r="BU72" s="79">
        <f t="array" ref="BU72">SUMIFS('Cắt lồng'!$AC$327:$AC$515,'Cắt lồng'!$AA$327:$AA$515,'Cắt lồng'!$AA72,'Cắt lồng'!$AE$327:$AE$515,'Cắt lồng'!BU$4:BU$4)</f>
        <v>0</v>
      </c>
      <c r="BV72" s="79">
        <f t="array" ref="BV72">SUMIFS('Cắt lồng'!$AH$327:$AH$515,'Cắt lồng'!$AA$327:$AA$515,'Cắt lồng'!$AA72,'Cắt lồng'!$AE$327:$AE$515,'Cắt lồng'!BV$4:BV$4)</f>
        <v>0</v>
      </c>
      <c r="BW72" s="78" t="e">
        <f t="shared" si="189"/>
        <v>#DIV/0!</v>
      </c>
      <c r="BX72" s="79">
        <f t="array" ref="BX72">SUMIFS('Cắt lồng'!$AC$327:$AC$515,'Cắt lồng'!$AA$327:$AA$515,'Cắt lồng'!$AA72,'Cắt lồng'!$AE$327:$AE$515,'Cắt lồng'!BX$4:BX$4)</f>
        <v>0</v>
      </c>
      <c r="BY72" s="79">
        <f t="array" ref="BY72">SUMIFS('Cắt lồng'!$AH$327:$AH$515,'Cắt lồng'!$AA$327:$AA$515,'Cắt lồng'!$AA72,'Cắt lồng'!$AE$327:$AE$515,'Cắt lồng'!BY$4:BY$4)</f>
        <v>0</v>
      </c>
      <c r="BZ72" s="78" t="e">
        <f t="shared" si="190"/>
        <v>#DIV/0!</v>
      </c>
      <c r="CA72" s="79">
        <f t="array" ref="CA72">SUMIFS('Cắt lồng'!$AC$327:$AC$515,'Cắt lồng'!$AA$327:$AA$515,'Cắt lồng'!$AA72,'Cắt lồng'!$AE$327:$AE$515,'Cắt lồng'!CA$4:CA$4)</f>
        <v>0</v>
      </c>
      <c r="CB72" s="79">
        <f t="array" ref="CB72">SUMIFS('Cắt lồng'!$AH$327:$AH$515,'Cắt lồng'!$AA$327:$AA$515,'Cắt lồng'!$AA72,'Cắt lồng'!$AE$327:$AE$515,'Cắt lồng'!CB$4:CB$4)</f>
        <v>0</v>
      </c>
      <c r="CC72" s="78" t="e">
        <f t="shared" si="191"/>
        <v>#DIV/0!</v>
      </c>
      <c r="CD72" s="79">
        <f t="array" ref="CD72">SUMIFS('Cắt lồng'!$AC$327:$AC$515,'Cắt lồng'!$AA$327:$AA$515,'Cắt lồng'!$AA72,'Cắt lồng'!$AE$327:$AE$515,'Cắt lồng'!CD$4:CD$4)</f>
        <v>0</v>
      </c>
      <c r="CE72" s="79">
        <f t="array" ref="CE72">SUMIFS('Cắt lồng'!$AH$327:$AH$515,'Cắt lồng'!$AA$327:$AA$515,'Cắt lồng'!$AA72,'Cắt lồng'!$AE$327:$AE$515,'Cắt lồng'!CE$4:CE$4)</f>
        <v>0</v>
      </c>
      <c r="CF72" s="78" t="e">
        <f t="shared" si="192"/>
        <v>#DIV/0!</v>
      </c>
      <c r="CG72" s="79">
        <f t="array" ref="CG72">SUMIFS('Cắt lồng'!$AC$327:$AC$515,'Cắt lồng'!$AA$327:$AA$515,'Cắt lồng'!$AA72,'Cắt lồng'!$AE$327:$AE$515,'Cắt lồng'!CG$4:CG$4)</f>
        <v>0</v>
      </c>
      <c r="CH72" s="79">
        <f t="array" ref="CH72">SUMIFS('Cắt lồng'!$AH$327:$AH$515,'Cắt lồng'!$AA$327:$AA$515,'Cắt lồng'!$AA72,'Cắt lồng'!$AE$327:$AE$515,'Cắt lồng'!CH$4:CH$4)</f>
        <v>0</v>
      </c>
      <c r="CI72" s="78" t="e">
        <f t="shared" si="193"/>
        <v>#DIV/0!</v>
      </c>
      <c r="CJ72" s="79">
        <f t="array" ref="CJ72">SUMIFS('Cắt lồng'!$AC$327:$AC$515,'Cắt lồng'!$AA$327:$AA$515,'Cắt lồng'!$AA72,'Cắt lồng'!$AE$327:$AE$515,'Cắt lồng'!CJ$4:CJ$4)</f>
        <v>0</v>
      </c>
      <c r="CK72" s="79">
        <f t="array" ref="CK72">SUMIFS('Cắt lồng'!$AH$327:$AH$515,'Cắt lồng'!$AA$327:$AA$515,'Cắt lồng'!$AA72,'Cắt lồng'!$AE$327:$AE$515,'Cắt lồng'!CK$4:CK$4)</f>
        <v>0</v>
      </c>
      <c r="CL72" s="78" t="e">
        <f t="shared" si="194"/>
        <v>#DIV/0!</v>
      </c>
      <c r="CM72" s="79">
        <f t="array" ref="CM72">SUMIFS('Cắt lồng'!$AC$327:$AC$515,'Cắt lồng'!$AA$327:$AA$515,'Cắt lồng'!$AA72,'Cắt lồng'!$AE$327:$AE$515,'Cắt lồng'!CM$4:CM$4)</f>
        <v>0</v>
      </c>
      <c r="CN72" s="79">
        <f t="array" ref="CN72">SUMIFS('Cắt lồng'!$AH$327:$AH$515,'Cắt lồng'!$AA$327:$AA$515,'Cắt lồng'!$AA72,'Cắt lồng'!$AE$327:$AE$515,'Cắt lồng'!CN$4:CN$4)</f>
        <v>0</v>
      </c>
      <c r="CO72" s="78" t="e">
        <f t="shared" si="195"/>
        <v>#DIV/0!</v>
      </c>
      <c r="CP72" s="79">
        <f t="array" ref="CP72">SUMIFS('Cắt lồng'!$AC$327:$AC$515,'Cắt lồng'!$AA$327:$AA$515,'Cắt lồng'!$AA72,'Cắt lồng'!$AE$327:$AE$515,'Cắt lồng'!CP$4:CP$4)</f>
        <v>0</v>
      </c>
      <c r="CQ72" s="79">
        <f t="array" ref="CQ72">SUMIFS('Cắt lồng'!$AH$327:$AH$515,'Cắt lồng'!$AA$327:$AA$515,'Cắt lồng'!$AA72,'Cắt lồng'!$AE$327:$AE$515,'Cắt lồng'!CQ$4:CQ$4)</f>
        <v>0</v>
      </c>
      <c r="CR72" s="78" t="e">
        <f t="shared" si="196"/>
        <v>#DIV/0!</v>
      </c>
      <c r="CS72" s="79">
        <f t="array" ref="CS72">SUMIFS('Cắt lồng'!$AC$327:$AC$515,'Cắt lồng'!$AA$327:$AA$515,'Cắt lồng'!$AA72,'Cắt lồng'!$AE$327:$AE$515,'Cắt lồng'!CS$4:CS$4)</f>
        <v>0</v>
      </c>
      <c r="CT72" s="79">
        <f t="array" ref="CT72">SUMIFS('Cắt lồng'!$AH$327:$AH$515,'Cắt lồng'!$AA$327:$AA$515,'Cắt lồng'!$AA72,'Cắt lồng'!$AE$327:$AE$515,'Cắt lồng'!CT$4:CT$4)</f>
        <v>0</v>
      </c>
      <c r="CU72" s="78" t="e">
        <f t="shared" si="197"/>
        <v>#DIV/0!</v>
      </c>
      <c r="CV72" s="79">
        <f t="array" ref="CV72">SUMIFS('Cắt lồng'!$AC$327:$AC$515,'Cắt lồng'!$AA$327:$AA$515,'Cắt lồng'!$AA72,'Cắt lồng'!$AE$327:$AE$515,'Cắt lồng'!CV$4:CV$4)</f>
        <v>0</v>
      </c>
      <c r="CW72" s="79">
        <f t="array" ref="CW72">SUMIFS('Cắt lồng'!$AH$327:$AH$515,'Cắt lồng'!$AA$327:$AA$515,'Cắt lồng'!$AA72,'Cắt lồng'!$AE$327:$AE$515,'Cắt lồng'!CW$4:CW$4)</f>
        <v>0</v>
      </c>
      <c r="CX72" s="78" t="e">
        <f t="shared" si="198"/>
        <v>#DIV/0!</v>
      </c>
      <c r="CY72" s="79">
        <f t="array" ref="CY72">SUMIFS('Cắt lồng'!$AC$327:$AC$515,'Cắt lồng'!$AA$327:$AA$515,'Cắt lồng'!$AA72,'Cắt lồng'!$AE$327:$AE$515,'Cắt lồng'!CY$4:CY$4)</f>
        <v>0</v>
      </c>
      <c r="CZ72" s="79">
        <f t="array" ref="CZ72">SUMIFS('Cắt lồng'!$AH$327:$AH$515,'Cắt lồng'!$AA$327:$AA$515,'Cắt lồng'!$AA72,'Cắt lồng'!$AE$327:$AE$515,'Cắt lồng'!CZ$4:CZ$4)</f>
        <v>0</v>
      </c>
      <c r="DA72" s="78" t="e">
        <f t="shared" si="199"/>
        <v>#DIV/0!</v>
      </c>
      <c r="DB72" s="79">
        <f t="array" ref="DB72">SUMIFS('Cắt lồng'!$AC$327:$AC$515,'Cắt lồng'!$AA$327:$AA$515,'Cắt lồng'!$AA72,'Cắt lồng'!$AE$327:$AE$515,'Cắt lồng'!DB$4:DB$4)</f>
        <v>0</v>
      </c>
      <c r="DC72" s="79">
        <f t="array" ref="DC72">SUMIFS('Cắt lồng'!$AH$327:$AH$515,'Cắt lồng'!$AA$327:$AA$515,'Cắt lồng'!$AA72,'Cắt lồng'!$AE$327:$AE$515,'Cắt lồng'!DC$4:DC$4)</f>
        <v>0</v>
      </c>
      <c r="DD72" s="78" t="e">
        <f t="shared" si="200"/>
        <v>#DIV/0!</v>
      </c>
      <c r="DE72" s="79">
        <f t="array" ref="DE72">SUMIFS('Cắt lồng'!$AC$327:$AC$515,'Cắt lồng'!$AA$327:$AA$515,'Cắt lồng'!$AA72,'Cắt lồng'!$AE$327:$AE$515,'Cắt lồng'!DE$4:DE$4)</f>
        <v>0</v>
      </c>
      <c r="DF72" s="79">
        <f t="array" ref="DF72">SUMIFS('Cắt lồng'!$AH$327:$AH$515,'Cắt lồng'!$AA$327:$AA$515,'Cắt lồng'!$AA72,'Cắt lồng'!$AE$327:$AE$515,'Cắt lồng'!DF$4:DF$4)</f>
        <v>0</v>
      </c>
      <c r="DG72" s="78" t="e">
        <f t="shared" si="201"/>
        <v>#DIV/0!</v>
      </c>
      <c r="DH72" s="79">
        <f t="array" ref="DH72">SUMIFS('Cắt lồng'!$AC$327:$AC$515,'Cắt lồng'!$AA$327:$AA$515,'Cắt lồng'!$AA72,'Cắt lồng'!$AE$327:$AE$515,'Cắt lồng'!DH$4:DH$4)</f>
        <v>0</v>
      </c>
      <c r="DI72" s="79">
        <f t="array" ref="DI72">SUMIFS('Cắt lồng'!$AH$327:$AH$515,'Cắt lồng'!$AA$327:$AA$515,'Cắt lồng'!$AA72,'Cắt lồng'!$AE$327:$AE$515,'Cắt lồng'!DI$4:DI$4)</f>
        <v>0</v>
      </c>
      <c r="DJ72" s="78" t="e">
        <f t="shared" si="202"/>
        <v>#DIV/0!</v>
      </c>
      <c r="DK72" s="79">
        <f t="array" ref="DK72">SUMIFS('Cắt lồng'!$AC$327:$AC$515,'Cắt lồng'!$AA$327:$AA$515,'Cắt lồng'!$AA72,'Cắt lồng'!$AE$327:$AE$515,'Cắt lồng'!DK$4:DK$4)</f>
        <v>0</v>
      </c>
      <c r="DL72" s="79">
        <f t="array" ref="DL72">SUMIFS('Cắt lồng'!$AH$327:$AH$515,'Cắt lồng'!$AA$327:$AA$515,'Cắt lồng'!$AA72,'Cắt lồng'!$AE$327:$AE$515,'Cắt lồng'!DL$4:DL$4)</f>
        <v>0</v>
      </c>
      <c r="DM72" s="78" t="e">
        <f t="shared" si="203"/>
        <v>#DIV/0!</v>
      </c>
      <c r="DN72" s="79">
        <f t="array" ref="DN72">SUMIFS('Cắt lồng'!$AC$327:$AC$515,'Cắt lồng'!$AA$327:$AA$515,'Cắt lồng'!$AA72,'Cắt lồng'!$AE$327:$AE$515,'Cắt lồng'!DN$4:DN$4)</f>
        <v>0</v>
      </c>
      <c r="DO72" s="79">
        <f t="array" ref="DO72">SUMIFS('Cắt lồng'!$AH$327:$AH$515,'Cắt lồng'!$AA$327:$AA$515,'Cắt lồng'!$AA72,'Cắt lồng'!$AE$327:$AE$515,'Cắt lồng'!DO$4:DO$4)</f>
        <v>0</v>
      </c>
      <c r="DP72" s="78" t="e">
        <f t="shared" si="204"/>
        <v>#DIV/0!</v>
      </c>
      <c r="DQ72" s="79">
        <f t="array" ref="DQ72">SUMIFS('Cắt lồng'!$AC$327:$AC$515,'Cắt lồng'!$AA$327:$AA$515,'Cắt lồng'!$AA72,'Cắt lồng'!$AE$327:$AE$515,'Cắt lồng'!DQ$4:DQ$4)</f>
        <v>0</v>
      </c>
      <c r="DR72" s="79">
        <f t="array" ref="DR72">SUMIFS('Cắt lồng'!$AH$327:$AH$515,'Cắt lồng'!$AA$327:$AA$515,'Cắt lồng'!$AA72,'Cắt lồng'!$AE$327:$AE$515,'Cắt lồng'!DR$4:DR$4)</f>
        <v>0</v>
      </c>
      <c r="DS72" s="78" t="e">
        <f t="shared" si="205"/>
        <v>#DIV/0!</v>
      </c>
      <c r="DT72" s="79">
        <f t="array" ref="DT72">SUMIFS('Cắt lồng'!$AC$327:$AC$515,'Cắt lồng'!$AA$327:$AA$515,'Cắt lồng'!$AA72,'Cắt lồng'!$AE$327:$AE$515,'Cắt lồng'!DT$4:DT$4)</f>
        <v>0</v>
      </c>
      <c r="DU72" s="79">
        <f t="array" ref="DU72">SUMIFS('Cắt lồng'!$AH$327:$AH$515,'Cắt lồng'!$AA$327:$AA$515,'Cắt lồng'!$AA72,'Cắt lồng'!$AE$327:$AE$515,'Cắt lồng'!DU$4:DU$4)</f>
        <v>0</v>
      </c>
      <c r="DV72" s="78" t="e">
        <f t="shared" si="206"/>
        <v>#DIV/0!</v>
      </c>
      <c r="DW72" s="79">
        <f t="array" ref="DW72">SUMIFS('Cắt lồng'!$AC$327:$AC$515,'Cắt lồng'!$AA$327:$AA$515,'Cắt lồng'!$AA72,'Cắt lồng'!$AE$327:$AE$515,'Cắt lồng'!DW$4:DW$4)</f>
        <v>0</v>
      </c>
      <c r="DX72" s="79">
        <f t="array" ref="DX72">SUMIFS('Cắt lồng'!$AH$327:$AH$515,'Cắt lồng'!$AA$327:$AA$515,'Cắt lồng'!$AA72,'Cắt lồng'!$AE$327:$AE$515,'Cắt lồng'!DX$4:DX$4)</f>
        <v>0</v>
      </c>
      <c r="DY72" s="78" t="e">
        <f t="shared" si="207"/>
        <v>#DIV/0!</v>
      </c>
      <c r="DZ72" s="79">
        <f t="array" ref="DZ72">SUMIFS('Cắt lồng'!$AC$327:$AC$515,'Cắt lồng'!$AA$327:$AA$515,'Cắt lồng'!$AA72,'Cắt lồng'!$AE$327:$AE$515,'Cắt lồng'!DZ$4:DZ$4)</f>
        <v>0</v>
      </c>
      <c r="EA72" s="79">
        <f t="array" ref="EA72">SUMIFS('Cắt lồng'!$AH$327:$AH$515,'Cắt lồng'!$AA$327:$AA$515,'Cắt lồng'!$AA72,'Cắt lồng'!$AE$327:$AE$515,'Cắt lồng'!EA$4:EA$4)</f>
        <v>0</v>
      </c>
      <c r="EB72" s="78" t="e">
        <f t="shared" si="208"/>
        <v>#DIV/0!</v>
      </c>
      <c r="EC72" s="79">
        <f t="array" ref="EC72">SUMIFS('Cắt lồng'!$AC$327:$AC$515,'Cắt lồng'!$AA$327:$AA$515,'Cắt lồng'!$AA72,'Cắt lồng'!$AE$327:$AE$515,'Cắt lồng'!EC$4:EC$4)</f>
        <v>0</v>
      </c>
      <c r="ED72" s="79">
        <f t="array" ref="ED72">SUMIFS('Cắt lồng'!$AH$327:$AH$515,'Cắt lồng'!$AA$327:$AA$515,'Cắt lồng'!$AA72,'Cắt lồng'!$AE$327:$AE$515,'Cắt lồng'!ED$4:ED$4)</f>
        <v>0</v>
      </c>
      <c r="EE72" s="78" t="e">
        <f t="shared" si="209"/>
        <v>#DIV/0!</v>
      </c>
      <c r="EF72" s="79">
        <f t="array" ref="EF72">SUMIFS('Cắt lồng'!$AC$327:$AC$515,'Cắt lồng'!$AA$327:$AA$515,'Cắt lồng'!$AA72,'Cắt lồng'!$AE$327:$AE$515,'Cắt lồng'!EF$4:EF$4)</f>
        <v>0</v>
      </c>
      <c r="EG72" s="79">
        <f t="array" ref="EG72">SUMIFS('Cắt lồng'!$AH$327:$AH$515,'Cắt lồng'!$AA$327:$AA$515,'Cắt lồng'!$AA72,'Cắt lồng'!$AE$327:$AE$515,'Cắt lồng'!EG$4:EG$4)</f>
        <v>0</v>
      </c>
      <c r="EH72" s="78" t="e">
        <f t="shared" si="210"/>
        <v>#DIV/0!</v>
      </c>
      <c r="EI72" s="79">
        <f t="array" ref="EI72">SUMIFS('Cắt lồng'!$AC$327:$AC$515,'Cắt lồng'!$AA$327:$AA$515,'Cắt lồng'!$AA72,'Cắt lồng'!$AE$327:$AE$515,'Cắt lồng'!EI$4:EI$4)</f>
        <v>0</v>
      </c>
      <c r="EJ72" s="79">
        <f t="array" ref="EJ72">SUMIFS('Cắt lồng'!$AH$327:$AH$515,'Cắt lồng'!$AA$327:$AA$515,'Cắt lồng'!$AA72,'Cắt lồng'!$AE$327:$AE$515,'Cắt lồng'!EJ$4:EJ$4)</f>
        <v>0</v>
      </c>
      <c r="EK72" s="78" t="e">
        <f t="shared" si="211"/>
        <v>#DIV/0!</v>
      </c>
      <c r="EL72" s="172"/>
    </row>
    <row r="73" spans="1:179" s="12" customFormat="1" ht="14.25" hidden="1" customHeight="1">
      <c r="A73" s="25">
        <v>44</v>
      </c>
      <c r="B73" s="26"/>
      <c r="C73" s="25"/>
      <c r="D73" s="24"/>
      <c r="E73" s="60"/>
      <c r="F73" s="59"/>
      <c r="G73" s="82">
        <f t="shared" si="144"/>
        <v>0</v>
      </c>
      <c r="H73" s="81">
        <f t="shared" si="145"/>
        <v>0</v>
      </c>
      <c r="I73" s="19">
        <f t="shared" si="146"/>
        <v>0</v>
      </c>
      <c r="J73" s="11">
        <f t="shared" si="147"/>
        <v>0</v>
      </c>
      <c r="K73" s="19">
        <f t="shared" si="148"/>
        <v>0</v>
      </c>
      <c r="L73" s="19">
        <f t="shared" si="149"/>
        <v>0</v>
      </c>
      <c r="M73" s="19">
        <f t="shared" si="150"/>
        <v>0</v>
      </c>
      <c r="N73" s="19">
        <f t="shared" si="151"/>
        <v>0</v>
      </c>
      <c r="O73" s="19">
        <f t="shared" si="152"/>
        <v>0</v>
      </c>
      <c r="P73" s="19">
        <f t="shared" si="153"/>
        <v>0</v>
      </c>
      <c r="Q73" s="19">
        <f t="shared" si="154"/>
        <v>0</v>
      </c>
      <c r="R73" s="19">
        <f t="shared" si="155"/>
        <v>0</v>
      </c>
      <c r="S73" s="19">
        <f t="shared" si="156"/>
        <v>0</v>
      </c>
      <c r="T73" s="19">
        <f t="shared" si="157"/>
        <v>0</v>
      </c>
      <c r="U73" s="19">
        <f t="shared" si="158"/>
        <v>0</v>
      </c>
      <c r="V73" s="19">
        <f t="shared" si="159"/>
        <v>0</v>
      </c>
      <c r="W73" s="19">
        <f t="shared" si="160"/>
        <v>0</v>
      </c>
      <c r="X73" s="19">
        <f t="shared" si="161"/>
        <v>0</v>
      </c>
      <c r="Y73" s="19">
        <f t="shared" si="162"/>
        <v>0</v>
      </c>
      <c r="Z73" s="19">
        <f t="shared" si="163"/>
        <v>0</v>
      </c>
      <c r="AA73" s="171">
        <v>2168</v>
      </c>
      <c r="AB73" s="17" t="e">
        <f>+H73*SUMIF('[1]KẾ HOẠCH'!$B$5:$CK$5,'Cắt lồng'!AA73,'[1]KẾ HOẠCH'!$B$6:$CK$6)+H73*SUMIF('[1]KẾ HOẠCH'!$B$7:$CK$7,'Cắt lồng'!AA73,'[1]KẾ HOẠCH'!$B$8:$CK$8)+H73*SUMIF('[1]KẾ HOẠCH'!$B$15:$CK$15,'Cắt lồng'!AA73,'[1]KẾ HOẠCH'!$B$16:$CK$16)</f>
        <v>#VALUE!</v>
      </c>
      <c r="AC73" s="16">
        <f t="shared" si="164"/>
        <v>0</v>
      </c>
      <c r="AD73" s="15" t="e">
        <f t="shared" si="165"/>
        <v>#VALUE!</v>
      </c>
      <c r="AE73" s="42"/>
      <c r="AF73" s="10" t="e">
        <f t="shared" si="166"/>
        <v>#DIV/0!</v>
      </c>
      <c r="AG73" s="10"/>
      <c r="AH73" s="152">
        <f t="shared" si="167"/>
        <v>0</v>
      </c>
      <c r="AI73" s="54" t="e">
        <f t="shared" si="168"/>
        <v>#DIV/0!</v>
      </c>
      <c r="AJ73" s="25">
        <f t="shared" si="169"/>
        <v>0</v>
      </c>
      <c r="AK73" s="25">
        <f t="shared" si="170"/>
        <v>0</v>
      </c>
      <c r="AL73" s="25">
        <f t="shared" si="171"/>
        <v>0</v>
      </c>
      <c r="AM73" s="30">
        <f t="shared" si="172"/>
        <v>0</v>
      </c>
      <c r="AN73" s="25">
        <f t="shared" si="173"/>
        <v>0</v>
      </c>
      <c r="AO73" s="25">
        <f t="shared" si="174"/>
        <v>0</v>
      </c>
      <c r="AP73" s="25">
        <f t="shared" si="175"/>
        <v>0</v>
      </c>
      <c r="AQ73" s="25">
        <f t="shared" si="176"/>
        <v>0</v>
      </c>
      <c r="AR73" s="25">
        <f t="shared" si="177"/>
        <v>0</v>
      </c>
      <c r="AS73" s="25">
        <f t="shared" si="178"/>
        <v>0</v>
      </c>
      <c r="AT73" s="25">
        <f t="shared" si="179"/>
        <v>0</v>
      </c>
      <c r="AV73" s="79">
        <f t="shared" si="180"/>
        <v>0</v>
      </c>
      <c r="AW73" s="79">
        <f t="array" ref="AW73">SUMIFS('Cắt lồng'!$AC$327:$AC$515,'Cắt lồng'!$AA$327:$AA$515,'Cắt lồng'!$AA73,'Cắt lồng'!$AE$327:$AE$515,'Cắt lồng'!AW$4:AW$4)</f>
        <v>0</v>
      </c>
      <c r="AX73" s="79">
        <f t="array" ref="AX73">SUMIFS('Cắt lồng'!$AH$327:$AH$515,'Cắt lồng'!$AA$327:$AA$515,'Cắt lồng'!$AA73,'Cắt lồng'!$AE$327:$AE$515,'Cắt lồng'!AX$4:AX$4)</f>
        <v>0</v>
      </c>
      <c r="AY73" s="78" t="e">
        <f t="shared" si="181"/>
        <v>#DIV/0!</v>
      </c>
      <c r="AZ73" s="79">
        <f t="array" ref="AZ73">SUMIFS('Cắt lồng'!$AC$327:$AC$515,'Cắt lồng'!$AA$327:$AA$515,'Cắt lồng'!$AA73,'Cắt lồng'!$AE$327:$AE$515,'Cắt lồng'!AZ$4:AZ$4)</f>
        <v>0</v>
      </c>
      <c r="BA73" s="79">
        <f t="array" ref="BA73">SUMIFS('Cắt lồng'!$AH$327:$AH$515,'Cắt lồng'!$AA$327:$AA$515,'Cắt lồng'!$AA73,'Cắt lồng'!$AE$327:$AE$515,'Cắt lồng'!BA$4:BA$4)</f>
        <v>0</v>
      </c>
      <c r="BB73" s="78" t="e">
        <f t="shared" si="182"/>
        <v>#DIV/0!</v>
      </c>
      <c r="BC73" s="79">
        <f>SUMIFS('Cắt lồng'!$AC$327:$AC$515,'Cắt lồng'!$AA$327:$AA$515,'Cắt lồng'!$AA73,'Cắt lồng'!$AE$327:$AE$515,'Cắt lồng'!BC$4:BC$4)</f>
        <v>0</v>
      </c>
      <c r="BD73" s="79">
        <f t="array" ref="BD73">SUMIFS('Cắt lồng'!$AH$327:$AH$515,'Cắt lồng'!$AA$327:$AA$515,'Cắt lồng'!$AA73,'Cắt lồng'!$AE$327:$AE$515,'Cắt lồng'!BD$4:BD$4)</f>
        <v>0</v>
      </c>
      <c r="BE73" s="78" t="e">
        <f t="shared" si="183"/>
        <v>#DIV/0!</v>
      </c>
      <c r="BF73" s="79">
        <f t="array" ref="BF73">SUMIFS('Cắt lồng'!$AC$327:$AC$515,'Cắt lồng'!$AA$327:$AA$515,'Cắt lồng'!$AA73,'Cắt lồng'!$AE$327:$AE$515,'Cắt lồng'!BF$4:BF$4)</f>
        <v>0</v>
      </c>
      <c r="BG73" s="79">
        <f t="array" ref="BG73">SUMIFS('Cắt lồng'!$AH$327:$AH$515,'Cắt lồng'!$AA$327:$AA$515,'Cắt lồng'!$AA73,'Cắt lồng'!$AE$327:$AE$515,'Cắt lồng'!BG$4:BG$4)</f>
        <v>0</v>
      </c>
      <c r="BH73" s="78" t="e">
        <f t="shared" si="184"/>
        <v>#DIV/0!</v>
      </c>
      <c r="BI73" s="79">
        <f t="array" ref="BI73">SUMIFS('Cắt lồng'!$AC$327:$AC$515,'Cắt lồng'!$AA$327:$AA$515,'Cắt lồng'!$AA73,'Cắt lồng'!$AE$327:$AE$515,'Cắt lồng'!BI$4:BI$4)</f>
        <v>0</v>
      </c>
      <c r="BJ73" s="79">
        <f t="array" ref="BJ73">SUMIFS('Cắt lồng'!$AH$327:$AH$515,'Cắt lồng'!$AA$327:$AA$515,'Cắt lồng'!$AA73,'Cắt lồng'!$AE$327:$AE$515,'Cắt lồng'!BJ$4:BJ$4)</f>
        <v>0</v>
      </c>
      <c r="BK73" s="78" t="e">
        <f t="shared" si="185"/>
        <v>#DIV/0!</v>
      </c>
      <c r="BL73" s="79">
        <f t="array" ref="BL73">SUMIFS('Cắt lồng'!$AC$327:$AC$515,'Cắt lồng'!$AA$327:$AA$515,'Cắt lồng'!$AA73,'Cắt lồng'!$AE$327:$AE$515,'Cắt lồng'!BL$4:BL$4)</f>
        <v>0</v>
      </c>
      <c r="BM73" s="79">
        <f t="array" ref="BM73">SUMIFS('Cắt lồng'!$AH$327:$AH$515,'Cắt lồng'!$AA$327:$AA$515,'Cắt lồng'!$AA73,'Cắt lồng'!$AE$327:$AE$515,'Cắt lồng'!BM$4:BM$4)</f>
        <v>0</v>
      </c>
      <c r="BN73" s="78" t="e">
        <f t="shared" si="186"/>
        <v>#DIV/0!</v>
      </c>
      <c r="BO73" s="79">
        <f t="array" ref="BO73">SUMIFS('Cắt lồng'!$AC$327:$AC$515,'Cắt lồng'!$AA$327:$AA$515,'Cắt lồng'!$AA73,'Cắt lồng'!$AE$327:$AE$515,'Cắt lồng'!BO$4:BO$4)</f>
        <v>0</v>
      </c>
      <c r="BP73" s="79">
        <f t="array" ref="BP73">SUMIFS('Cắt lồng'!$AH$327:$AH$515,'Cắt lồng'!$AA$327:$AA$515,'Cắt lồng'!$AA73,'Cắt lồng'!$AE$327:$AE$515,'Cắt lồng'!BP$4:BP$4)</f>
        <v>0</v>
      </c>
      <c r="BQ73" s="78" t="e">
        <f t="shared" si="187"/>
        <v>#DIV/0!</v>
      </c>
      <c r="BR73" s="79">
        <f t="array" ref="BR73">SUMIFS('Cắt lồng'!$AC$327:$AC$515,'Cắt lồng'!$AA$327:$AA$515,'Cắt lồng'!$AA73,'Cắt lồng'!$AE$327:$AE$515,'Cắt lồng'!BR$4:BR$4)</f>
        <v>0</v>
      </c>
      <c r="BS73" s="79">
        <f t="array" ref="BS73">SUMIFS('Cắt lồng'!$AH$327:$AH$515,'Cắt lồng'!$AA$327:$AA$515,'Cắt lồng'!$AA73,'Cắt lồng'!$AE$327:$AE$515,'Cắt lồng'!BS$4:BS$4)</f>
        <v>0</v>
      </c>
      <c r="BT73" s="78" t="e">
        <f t="shared" si="188"/>
        <v>#DIV/0!</v>
      </c>
      <c r="BU73" s="79">
        <f t="array" ref="BU73">SUMIFS('Cắt lồng'!$AC$327:$AC$515,'Cắt lồng'!$AA$327:$AA$515,'Cắt lồng'!$AA73,'Cắt lồng'!$AE$327:$AE$515,'Cắt lồng'!BU$4:BU$4)</f>
        <v>0</v>
      </c>
      <c r="BV73" s="79">
        <f t="array" ref="BV73">SUMIFS('Cắt lồng'!$AH$327:$AH$515,'Cắt lồng'!$AA$327:$AA$515,'Cắt lồng'!$AA73,'Cắt lồng'!$AE$327:$AE$515,'Cắt lồng'!BV$4:BV$4)</f>
        <v>0</v>
      </c>
      <c r="BW73" s="78" t="e">
        <f t="shared" si="189"/>
        <v>#DIV/0!</v>
      </c>
      <c r="BX73" s="79">
        <f t="array" ref="BX73">SUMIFS('Cắt lồng'!$AC$327:$AC$515,'Cắt lồng'!$AA$327:$AA$515,'Cắt lồng'!$AA73,'Cắt lồng'!$AE$327:$AE$515,'Cắt lồng'!BX$4:BX$4)</f>
        <v>0</v>
      </c>
      <c r="BY73" s="79">
        <f t="array" ref="BY73">SUMIFS('Cắt lồng'!$AH$327:$AH$515,'Cắt lồng'!$AA$327:$AA$515,'Cắt lồng'!$AA73,'Cắt lồng'!$AE$327:$AE$515,'Cắt lồng'!BY$4:BY$4)</f>
        <v>0</v>
      </c>
      <c r="BZ73" s="78" t="e">
        <f t="shared" si="190"/>
        <v>#DIV/0!</v>
      </c>
      <c r="CA73" s="79">
        <f t="array" ref="CA73">SUMIFS('Cắt lồng'!$AC$327:$AC$515,'Cắt lồng'!$AA$327:$AA$515,'Cắt lồng'!$AA73,'Cắt lồng'!$AE$327:$AE$515,'Cắt lồng'!CA$4:CA$4)</f>
        <v>0</v>
      </c>
      <c r="CB73" s="79">
        <f t="array" ref="CB73">SUMIFS('Cắt lồng'!$AH$327:$AH$515,'Cắt lồng'!$AA$327:$AA$515,'Cắt lồng'!$AA73,'Cắt lồng'!$AE$327:$AE$515,'Cắt lồng'!CB$4:CB$4)</f>
        <v>0</v>
      </c>
      <c r="CC73" s="78" t="e">
        <f t="shared" si="191"/>
        <v>#DIV/0!</v>
      </c>
      <c r="CD73" s="79">
        <f t="array" ref="CD73">SUMIFS('Cắt lồng'!$AC$327:$AC$515,'Cắt lồng'!$AA$327:$AA$515,'Cắt lồng'!$AA73,'Cắt lồng'!$AE$327:$AE$515,'Cắt lồng'!CD$4:CD$4)</f>
        <v>0</v>
      </c>
      <c r="CE73" s="79">
        <f t="array" ref="CE73">SUMIFS('Cắt lồng'!$AH$327:$AH$515,'Cắt lồng'!$AA$327:$AA$515,'Cắt lồng'!$AA73,'Cắt lồng'!$AE$327:$AE$515,'Cắt lồng'!CE$4:CE$4)</f>
        <v>0</v>
      </c>
      <c r="CF73" s="78" t="e">
        <f t="shared" si="192"/>
        <v>#DIV/0!</v>
      </c>
      <c r="CG73" s="79">
        <f t="array" ref="CG73">SUMIFS('Cắt lồng'!$AC$327:$AC$515,'Cắt lồng'!$AA$327:$AA$515,'Cắt lồng'!$AA73,'Cắt lồng'!$AE$327:$AE$515,'Cắt lồng'!CG$4:CG$4)</f>
        <v>0</v>
      </c>
      <c r="CH73" s="79">
        <f t="array" ref="CH73">SUMIFS('Cắt lồng'!$AH$327:$AH$515,'Cắt lồng'!$AA$327:$AA$515,'Cắt lồng'!$AA73,'Cắt lồng'!$AE$327:$AE$515,'Cắt lồng'!CH$4:CH$4)</f>
        <v>0</v>
      </c>
      <c r="CI73" s="78" t="e">
        <f t="shared" si="193"/>
        <v>#DIV/0!</v>
      </c>
      <c r="CJ73" s="79">
        <f t="array" ref="CJ73">SUMIFS('Cắt lồng'!$AC$327:$AC$515,'Cắt lồng'!$AA$327:$AA$515,'Cắt lồng'!$AA73,'Cắt lồng'!$AE$327:$AE$515,'Cắt lồng'!CJ$4:CJ$4)</f>
        <v>0</v>
      </c>
      <c r="CK73" s="79">
        <f t="array" ref="CK73">SUMIFS('Cắt lồng'!$AH$327:$AH$515,'Cắt lồng'!$AA$327:$AA$515,'Cắt lồng'!$AA73,'Cắt lồng'!$AE$327:$AE$515,'Cắt lồng'!CK$4:CK$4)</f>
        <v>0</v>
      </c>
      <c r="CL73" s="78" t="e">
        <f t="shared" si="194"/>
        <v>#DIV/0!</v>
      </c>
      <c r="CM73" s="79">
        <f t="array" ref="CM73">SUMIFS('Cắt lồng'!$AC$327:$AC$515,'Cắt lồng'!$AA$327:$AA$515,'Cắt lồng'!$AA73,'Cắt lồng'!$AE$327:$AE$515,'Cắt lồng'!CM$4:CM$4)</f>
        <v>0</v>
      </c>
      <c r="CN73" s="79">
        <f t="array" ref="CN73">SUMIFS('Cắt lồng'!$AH$327:$AH$515,'Cắt lồng'!$AA$327:$AA$515,'Cắt lồng'!$AA73,'Cắt lồng'!$AE$327:$AE$515,'Cắt lồng'!CN$4:CN$4)</f>
        <v>0</v>
      </c>
      <c r="CO73" s="78" t="e">
        <f t="shared" si="195"/>
        <v>#DIV/0!</v>
      </c>
      <c r="CP73" s="79">
        <f t="array" ref="CP73">SUMIFS('Cắt lồng'!$AC$327:$AC$515,'Cắt lồng'!$AA$327:$AA$515,'Cắt lồng'!$AA73,'Cắt lồng'!$AE$327:$AE$515,'Cắt lồng'!CP$4:CP$4)</f>
        <v>0</v>
      </c>
      <c r="CQ73" s="79">
        <f t="array" ref="CQ73">SUMIFS('Cắt lồng'!$AH$327:$AH$515,'Cắt lồng'!$AA$327:$AA$515,'Cắt lồng'!$AA73,'Cắt lồng'!$AE$327:$AE$515,'Cắt lồng'!CQ$4:CQ$4)</f>
        <v>0</v>
      </c>
      <c r="CR73" s="78" t="e">
        <f t="shared" si="196"/>
        <v>#DIV/0!</v>
      </c>
      <c r="CS73" s="79">
        <f t="array" ref="CS73">SUMIFS('Cắt lồng'!$AC$327:$AC$515,'Cắt lồng'!$AA$327:$AA$515,'Cắt lồng'!$AA73,'Cắt lồng'!$AE$327:$AE$515,'Cắt lồng'!CS$4:CS$4)</f>
        <v>0</v>
      </c>
      <c r="CT73" s="79">
        <f t="array" ref="CT73">SUMIFS('Cắt lồng'!$AH$327:$AH$515,'Cắt lồng'!$AA$327:$AA$515,'Cắt lồng'!$AA73,'Cắt lồng'!$AE$327:$AE$515,'Cắt lồng'!CT$4:CT$4)</f>
        <v>0</v>
      </c>
      <c r="CU73" s="78" t="e">
        <f t="shared" si="197"/>
        <v>#DIV/0!</v>
      </c>
      <c r="CV73" s="79">
        <f t="array" ref="CV73">SUMIFS('Cắt lồng'!$AC$327:$AC$515,'Cắt lồng'!$AA$327:$AA$515,'Cắt lồng'!$AA73,'Cắt lồng'!$AE$327:$AE$515,'Cắt lồng'!CV$4:CV$4)</f>
        <v>0</v>
      </c>
      <c r="CW73" s="79">
        <f t="array" ref="CW73">SUMIFS('Cắt lồng'!$AH$327:$AH$515,'Cắt lồng'!$AA$327:$AA$515,'Cắt lồng'!$AA73,'Cắt lồng'!$AE$327:$AE$515,'Cắt lồng'!CW$4:CW$4)</f>
        <v>0</v>
      </c>
      <c r="CX73" s="78" t="e">
        <f t="shared" si="198"/>
        <v>#DIV/0!</v>
      </c>
      <c r="CY73" s="79">
        <f t="array" ref="CY73">SUMIFS('Cắt lồng'!$AC$327:$AC$515,'Cắt lồng'!$AA$327:$AA$515,'Cắt lồng'!$AA73,'Cắt lồng'!$AE$327:$AE$515,'Cắt lồng'!CY$4:CY$4)</f>
        <v>0</v>
      </c>
      <c r="CZ73" s="79">
        <f t="array" ref="CZ73">SUMIFS('Cắt lồng'!$AH$327:$AH$515,'Cắt lồng'!$AA$327:$AA$515,'Cắt lồng'!$AA73,'Cắt lồng'!$AE$327:$AE$515,'Cắt lồng'!CZ$4:CZ$4)</f>
        <v>0</v>
      </c>
      <c r="DA73" s="78" t="e">
        <f t="shared" si="199"/>
        <v>#DIV/0!</v>
      </c>
      <c r="DB73" s="79">
        <f t="array" ref="DB73">SUMIFS('Cắt lồng'!$AC$327:$AC$515,'Cắt lồng'!$AA$327:$AA$515,'Cắt lồng'!$AA73,'Cắt lồng'!$AE$327:$AE$515,'Cắt lồng'!DB$4:DB$4)</f>
        <v>0</v>
      </c>
      <c r="DC73" s="79">
        <f t="array" ref="DC73">SUMIFS('Cắt lồng'!$AH$327:$AH$515,'Cắt lồng'!$AA$327:$AA$515,'Cắt lồng'!$AA73,'Cắt lồng'!$AE$327:$AE$515,'Cắt lồng'!DC$4:DC$4)</f>
        <v>0</v>
      </c>
      <c r="DD73" s="78" t="e">
        <f t="shared" si="200"/>
        <v>#DIV/0!</v>
      </c>
      <c r="DE73" s="79">
        <f t="array" ref="DE73">SUMIFS('Cắt lồng'!$AC$327:$AC$515,'Cắt lồng'!$AA$327:$AA$515,'Cắt lồng'!$AA73,'Cắt lồng'!$AE$327:$AE$515,'Cắt lồng'!DE$4:DE$4)</f>
        <v>0</v>
      </c>
      <c r="DF73" s="79">
        <f t="array" ref="DF73">SUMIFS('Cắt lồng'!$AH$327:$AH$515,'Cắt lồng'!$AA$327:$AA$515,'Cắt lồng'!$AA73,'Cắt lồng'!$AE$327:$AE$515,'Cắt lồng'!DF$4:DF$4)</f>
        <v>0</v>
      </c>
      <c r="DG73" s="78" t="e">
        <f t="shared" si="201"/>
        <v>#DIV/0!</v>
      </c>
      <c r="DH73" s="79">
        <f t="array" ref="DH73">SUMIFS('Cắt lồng'!$AC$327:$AC$515,'Cắt lồng'!$AA$327:$AA$515,'Cắt lồng'!$AA73,'Cắt lồng'!$AE$327:$AE$515,'Cắt lồng'!DH$4:DH$4)</f>
        <v>0</v>
      </c>
      <c r="DI73" s="79">
        <f t="array" ref="DI73">SUMIFS('Cắt lồng'!$AH$327:$AH$515,'Cắt lồng'!$AA$327:$AA$515,'Cắt lồng'!$AA73,'Cắt lồng'!$AE$327:$AE$515,'Cắt lồng'!DI$4:DI$4)</f>
        <v>0</v>
      </c>
      <c r="DJ73" s="78" t="e">
        <f t="shared" si="202"/>
        <v>#DIV/0!</v>
      </c>
      <c r="DK73" s="79">
        <f t="array" ref="DK73">SUMIFS('Cắt lồng'!$AC$327:$AC$515,'Cắt lồng'!$AA$327:$AA$515,'Cắt lồng'!$AA73,'Cắt lồng'!$AE$327:$AE$515,'Cắt lồng'!DK$4:DK$4)</f>
        <v>0</v>
      </c>
      <c r="DL73" s="79">
        <f t="array" ref="DL73">SUMIFS('Cắt lồng'!$AH$327:$AH$515,'Cắt lồng'!$AA$327:$AA$515,'Cắt lồng'!$AA73,'Cắt lồng'!$AE$327:$AE$515,'Cắt lồng'!DL$4:DL$4)</f>
        <v>0</v>
      </c>
      <c r="DM73" s="78" t="e">
        <f t="shared" si="203"/>
        <v>#DIV/0!</v>
      </c>
      <c r="DN73" s="79">
        <f t="array" ref="DN73">SUMIFS('Cắt lồng'!$AC$327:$AC$515,'Cắt lồng'!$AA$327:$AA$515,'Cắt lồng'!$AA73,'Cắt lồng'!$AE$327:$AE$515,'Cắt lồng'!DN$4:DN$4)</f>
        <v>0</v>
      </c>
      <c r="DO73" s="79">
        <f t="array" ref="DO73">SUMIFS('Cắt lồng'!$AH$327:$AH$515,'Cắt lồng'!$AA$327:$AA$515,'Cắt lồng'!$AA73,'Cắt lồng'!$AE$327:$AE$515,'Cắt lồng'!DO$4:DO$4)</f>
        <v>0</v>
      </c>
      <c r="DP73" s="78" t="e">
        <f t="shared" si="204"/>
        <v>#DIV/0!</v>
      </c>
      <c r="DQ73" s="79">
        <f t="array" ref="DQ73">SUMIFS('Cắt lồng'!$AC$327:$AC$515,'Cắt lồng'!$AA$327:$AA$515,'Cắt lồng'!$AA73,'Cắt lồng'!$AE$327:$AE$515,'Cắt lồng'!DQ$4:DQ$4)</f>
        <v>0</v>
      </c>
      <c r="DR73" s="79">
        <f t="array" ref="DR73">SUMIFS('Cắt lồng'!$AH$327:$AH$515,'Cắt lồng'!$AA$327:$AA$515,'Cắt lồng'!$AA73,'Cắt lồng'!$AE$327:$AE$515,'Cắt lồng'!DR$4:DR$4)</f>
        <v>0</v>
      </c>
      <c r="DS73" s="78" t="e">
        <f t="shared" si="205"/>
        <v>#DIV/0!</v>
      </c>
      <c r="DT73" s="79">
        <f t="array" ref="DT73">SUMIFS('Cắt lồng'!$AC$327:$AC$515,'Cắt lồng'!$AA$327:$AA$515,'Cắt lồng'!$AA73,'Cắt lồng'!$AE$327:$AE$515,'Cắt lồng'!DT$4:DT$4)</f>
        <v>0</v>
      </c>
      <c r="DU73" s="79">
        <f t="array" ref="DU73">SUMIFS('Cắt lồng'!$AH$327:$AH$515,'Cắt lồng'!$AA$327:$AA$515,'Cắt lồng'!$AA73,'Cắt lồng'!$AE$327:$AE$515,'Cắt lồng'!DU$4:DU$4)</f>
        <v>0</v>
      </c>
      <c r="DV73" s="78" t="e">
        <f t="shared" si="206"/>
        <v>#DIV/0!</v>
      </c>
      <c r="DW73" s="79">
        <f t="array" ref="DW73">SUMIFS('Cắt lồng'!$AC$327:$AC$515,'Cắt lồng'!$AA$327:$AA$515,'Cắt lồng'!$AA73,'Cắt lồng'!$AE$327:$AE$515,'Cắt lồng'!DW$4:DW$4)</f>
        <v>0</v>
      </c>
      <c r="DX73" s="79">
        <f t="array" ref="DX73">SUMIFS('Cắt lồng'!$AH$327:$AH$515,'Cắt lồng'!$AA$327:$AA$515,'Cắt lồng'!$AA73,'Cắt lồng'!$AE$327:$AE$515,'Cắt lồng'!DX$4:DX$4)</f>
        <v>0</v>
      </c>
      <c r="DY73" s="78" t="e">
        <f t="shared" si="207"/>
        <v>#DIV/0!</v>
      </c>
      <c r="DZ73" s="79">
        <f t="array" ref="DZ73">SUMIFS('Cắt lồng'!$AC$327:$AC$515,'Cắt lồng'!$AA$327:$AA$515,'Cắt lồng'!$AA73,'Cắt lồng'!$AE$327:$AE$515,'Cắt lồng'!DZ$4:DZ$4)</f>
        <v>0</v>
      </c>
      <c r="EA73" s="79">
        <f t="array" ref="EA73">SUMIFS('Cắt lồng'!$AH$327:$AH$515,'Cắt lồng'!$AA$327:$AA$515,'Cắt lồng'!$AA73,'Cắt lồng'!$AE$327:$AE$515,'Cắt lồng'!EA$4:EA$4)</f>
        <v>0</v>
      </c>
      <c r="EB73" s="78" t="e">
        <f t="shared" si="208"/>
        <v>#DIV/0!</v>
      </c>
      <c r="EC73" s="79">
        <f t="array" ref="EC73">SUMIFS('Cắt lồng'!$AC$327:$AC$515,'Cắt lồng'!$AA$327:$AA$515,'Cắt lồng'!$AA73,'Cắt lồng'!$AE$327:$AE$515,'Cắt lồng'!EC$4:EC$4)</f>
        <v>0</v>
      </c>
      <c r="ED73" s="79">
        <f t="array" ref="ED73">SUMIFS('Cắt lồng'!$AH$327:$AH$515,'Cắt lồng'!$AA$327:$AA$515,'Cắt lồng'!$AA73,'Cắt lồng'!$AE$327:$AE$515,'Cắt lồng'!ED$4:ED$4)</f>
        <v>0</v>
      </c>
      <c r="EE73" s="78" t="e">
        <f t="shared" si="209"/>
        <v>#DIV/0!</v>
      </c>
      <c r="EF73" s="79">
        <f t="array" ref="EF73">SUMIFS('Cắt lồng'!$AC$327:$AC$515,'Cắt lồng'!$AA$327:$AA$515,'Cắt lồng'!$AA73,'Cắt lồng'!$AE$327:$AE$515,'Cắt lồng'!EF$4:EF$4)</f>
        <v>0</v>
      </c>
      <c r="EG73" s="79">
        <f t="array" ref="EG73">SUMIFS('Cắt lồng'!$AH$327:$AH$515,'Cắt lồng'!$AA$327:$AA$515,'Cắt lồng'!$AA73,'Cắt lồng'!$AE$327:$AE$515,'Cắt lồng'!EG$4:EG$4)</f>
        <v>0</v>
      </c>
      <c r="EH73" s="78" t="e">
        <f t="shared" si="210"/>
        <v>#DIV/0!</v>
      </c>
      <c r="EI73" s="79">
        <f t="array" ref="EI73">SUMIFS('Cắt lồng'!$AC$327:$AC$515,'Cắt lồng'!$AA$327:$AA$515,'Cắt lồng'!$AA73,'Cắt lồng'!$AE$327:$AE$515,'Cắt lồng'!EI$4:EI$4)</f>
        <v>0</v>
      </c>
      <c r="EJ73" s="79">
        <f t="array" ref="EJ73">SUMIFS('Cắt lồng'!$AH$327:$AH$515,'Cắt lồng'!$AA$327:$AA$515,'Cắt lồng'!$AA73,'Cắt lồng'!$AE$327:$AE$515,'Cắt lồng'!EJ$4:EJ$4)</f>
        <v>0</v>
      </c>
      <c r="EK73" s="78" t="e">
        <f t="shared" si="211"/>
        <v>#DIV/0!</v>
      </c>
    </row>
    <row r="74" spans="1:179" s="12" customFormat="1" ht="14.25" hidden="1" customHeight="1">
      <c r="A74" s="25">
        <v>45</v>
      </c>
      <c r="B74" s="26"/>
      <c r="C74" s="25"/>
      <c r="D74" s="24"/>
      <c r="E74" s="60"/>
      <c r="F74" s="59"/>
      <c r="G74" s="82">
        <f t="shared" si="144"/>
        <v>0</v>
      </c>
      <c r="H74" s="81">
        <f t="shared" si="145"/>
        <v>0</v>
      </c>
      <c r="I74" s="19">
        <f t="shared" si="146"/>
        <v>0</v>
      </c>
      <c r="J74" s="11">
        <f t="shared" si="147"/>
        <v>0</v>
      </c>
      <c r="K74" s="19">
        <f t="shared" si="148"/>
        <v>0</v>
      </c>
      <c r="L74" s="19">
        <f t="shared" si="149"/>
        <v>0</v>
      </c>
      <c r="M74" s="19">
        <f t="shared" si="150"/>
        <v>0</v>
      </c>
      <c r="N74" s="19">
        <f t="shared" si="151"/>
        <v>0</v>
      </c>
      <c r="O74" s="19">
        <f t="shared" si="152"/>
        <v>0</v>
      </c>
      <c r="P74" s="19">
        <f t="shared" si="153"/>
        <v>0</v>
      </c>
      <c r="Q74" s="19">
        <f t="shared" si="154"/>
        <v>0</v>
      </c>
      <c r="R74" s="19">
        <f t="shared" si="155"/>
        <v>0</v>
      </c>
      <c r="S74" s="19">
        <f t="shared" si="156"/>
        <v>0</v>
      </c>
      <c r="T74" s="19">
        <f t="shared" si="157"/>
        <v>0</v>
      </c>
      <c r="U74" s="19">
        <f t="shared" si="158"/>
        <v>0</v>
      </c>
      <c r="V74" s="19">
        <f t="shared" si="159"/>
        <v>0</v>
      </c>
      <c r="W74" s="19">
        <f t="shared" si="160"/>
        <v>0</v>
      </c>
      <c r="X74" s="19">
        <f t="shared" si="161"/>
        <v>0</v>
      </c>
      <c r="Y74" s="19">
        <f t="shared" si="162"/>
        <v>0</v>
      </c>
      <c r="Z74" s="19">
        <f t="shared" si="163"/>
        <v>0</v>
      </c>
      <c r="AA74" s="171">
        <v>2173</v>
      </c>
      <c r="AB74" s="17" t="e">
        <f>+H74*SUMIF('[1]KẾ HOẠCH'!$B$5:$CK$5,'Cắt lồng'!AA74,'[1]KẾ HOẠCH'!$B$6:$CK$6)+H74*SUMIF('[1]KẾ HOẠCH'!$B$7:$CK$7,'Cắt lồng'!AA74,'[1]KẾ HOẠCH'!$B$8:$CK$8)+H74*SUMIF('[1]KẾ HOẠCH'!$B$15:$CK$15,'Cắt lồng'!AA74,'[1]KẾ HOẠCH'!$B$16:$CK$16)</f>
        <v>#VALUE!</v>
      </c>
      <c r="AC74" s="16">
        <f t="shared" si="164"/>
        <v>0</v>
      </c>
      <c r="AD74" s="15" t="e">
        <f t="shared" si="165"/>
        <v>#VALUE!</v>
      </c>
      <c r="AE74" s="42"/>
      <c r="AF74" s="10" t="e">
        <f t="shared" si="166"/>
        <v>#DIV/0!</v>
      </c>
      <c r="AG74" s="10"/>
      <c r="AH74" s="152">
        <f t="shared" si="167"/>
        <v>0</v>
      </c>
      <c r="AI74" s="54" t="e">
        <f t="shared" si="168"/>
        <v>#DIV/0!</v>
      </c>
      <c r="AJ74" s="25">
        <f t="shared" si="169"/>
        <v>0</v>
      </c>
      <c r="AK74" s="25">
        <f t="shared" si="170"/>
        <v>0</v>
      </c>
      <c r="AL74" s="25">
        <f t="shared" si="171"/>
        <v>0</v>
      </c>
      <c r="AM74" s="30">
        <f t="shared" si="172"/>
        <v>0</v>
      </c>
      <c r="AN74" s="25">
        <f t="shared" si="173"/>
        <v>0</v>
      </c>
      <c r="AO74" s="25">
        <f t="shared" si="174"/>
        <v>0</v>
      </c>
      <c r="AP74" s="25">
        <f t="shared" si="175"/>
        <v>0</v>
      </c>
      <c r="AQ74" s="25">
        <f t="shared" si="176"/>
        <v>0</v>
      </c>
      <c r="AR74" s="25">
        <f t="shared" si="177"/>
        <v>0</v>
      </c>
      <c r="AS74" s="25">
        <f t="shared" si="178"/>
        <v>0</v>
      </c>
      <c r="AT74" s="25">
        <f t="shared" si="179"/>
        <v>0</v>
      </c>
      <c r="AV74" s="79">
        <f t="shared" si="180"/>
        <v>0</v>
      </c>
      <c r="AW74" s="79">
        <f t="array" ref="AW74">SUMIFS('Cắt lồng'!$AC$327:$AC$515,'Cắt lồng'!$AA$327:$AA$515,'Cắt lồng'!$AA74,'Cắt lồng'!$AE$327:$AE$515,'Cắt lồng'!AW$4:AW$4)</f>
        <v>0</v>
      </c>
      <c r="AX74" s="79">
        <f t="array" ref="AX74">SUMIFS('Cắt lồng'!$AH$327:$AH$515,'Cắt lồng'!$AA$327:$AA$515,'Cắt lồng'!$AA74,'Cắt lồng'!$AE$327:$AE$515,'Cắt lồng'!AX$4:AX$4)</f>
        <v>0</v>
      </c>
      <c r="AY74" s="78" t="e">
        <f t="shared" si="181"/>
        <v>#DIV/0!</v>
      </c>
      <c r="AZ74" s="79">
        <f t="array" ref="AZ74">SUMIFS('Cắt lồng'!$AC$327:$AC$515,'Cắt lồng'!$AA$327:$AA$515,'Cắt lồng'!$AA74,'Cắt lồng'!$AE$327:$AE$515,'Cắt lồng'!AZ$4:AZ$4)</f>
        <v>0</v>
      </c>
      <c r="BA74" s="79">
        <f t="array" ref="BA74">SUMIFS('Cắt lồng'!$AH$327:$AH$515,'Cắt lồng'!$AA$327:$AA$515,'Cắt lồng'!$AA74,'Cắt lồng'!$AE$327:$AE$515,'Cắt lồng'!BA$4:BA$4)</f>
        <v>0</v>
      </c>
      <c r="BB74" s="78" t="e">
        <f t="shared" si="182"/>
        <v>#DIV/0!</v>
      </c>
      <c r="BC74" s="79">
        <f>SUMIFS('Cắt lồng'!$AC$327:$AC$515,'Cắt lồng'!$AA$327:$AA$515,'Cắt lồng'!$AA74,'Cắt lồng'!$AE$327:$AE$515,'Cắt lồng'!BC$4:BC$4)</f>
        <v>0</v>
      </c>
      <c r="BD74" s="79">
        <f t="array" ref="BD74">SUMIFS('Cắt lồng'!$AH$327:$AH$515,'Cắt lồng'!$AA$327:$AA$515,'Cắt lồng'!$AA74,'Cắt lồng'!$AE$327:$AE$515,'Cắt lồng'!BD$4:BD$4)</f>
        <v>0</v>
      </c>
      <c r="BE74" s="78" t="e">
        <f t="shared" si="183"/>
        <v>#DIV/0!</v>
      </c>
      <c r="BF74" s="79">
        <f t="array" ref="BF74">SUMIFS('Cắt lồng'!$AC$327:$AC$515,'Cắt lồng'!$AA$327:$AA$515,'Cắt lồng'!$AA74,'Cắt lồng'!$AE$327:$AE$515,'Cắt lồng'!BF$4:BF$4)</f>
        <v>0</v>
      </c>
      <c r="BG74" s="79">
        <f t="array" ref="BG74">SUMIFS('Cắt lồng'!$AH$327:$AH$515,'Cắt lồng'!$AA$327:$AA$515,'Cắt lồng'!$AA74,'Cắt lồng'!$AE$327:$AE$515,'Cắt lồng'!BG$4:BG$4)</f>
        <v>0</v>
      </c>
      <c r="BH74" s="78" t="e">
        <f t="shared" si="184"/>
        <v>#DIV/0!</v>
      </c>
      <c r="BI74" s="79">
        <f t="array" ref="BI74">SUMIFS('Cắt lồng'!$AC$327:$AC$515,'Cắt lồng'!$AA$327:$AA$515,'Cắt lồng'!$AA74,'Cắt lồng'!$AE$327:$AE$515,'Cắt lồng'!BI$4:BI$4)</f>
        <v>0</v>
      </c>
      <c r="BJ74" s="79">
        <f t="array" ref="BJ74">SUMIFS('Cắt lồng'!$AH$327:$AH$515,'Cắt lồng'!$AA$327:$AA$515,'Cắt lồng'!$AA74,'Cắt lồng'!$AE$327:$AE$515,'Cắt lồng'!BJ$4:BJ$4)</f>
        <v>0</v>
      </c>
      <c r="BK74" s="78" t="e">
        <f t="shared" si="185"/>
        <v>#DIV/0!</v>
      </c>
      <c r="BL74" s="79">
        <f t="array" ref="BL74">SUMIFS('Cắt lồng'!$AC$327:$AC$515,'Cắt lồng'!$AA$327:$AA$515,'Cắt lồng'!$AA74,'Cắt lồng'!$AE$327:$AE$515,'Cắt lồng'!BL$4:BL$4)</f>
        <v>0</v>
      </c>
      <c r="BM74" s="79">
        <f t="array" ref="BM74">SUMIFS('Cắt lồng'!$AH$327:$AH$515,'Cắt lồng'!$AA$327:$AA$515,'Cắt lồng'!$AA74,'Cắt lồng'!$AE$327:$AE$515,'Cắt lồng'!BM$4:BM$4)</f>
        <v>0</v>
      </c>
      <c r="BN74" s="78" t="e">
        <f t="shared" si="186"/>
        <v>#DIV/0!</v>
      </c>
      <c r="BO74" s="79">
        <f t="array" ref="BO74">SUMIFS('Cắt lồng'!$AC$327:$AC$515,'Cắt lồng'!$AA$327:$AA$515,'Cắt lồng'!$AA74,'Cắt lồng'!$AE$327:$AE$515,'Cắt lồng'!BO$4:BO$4)</f>
        <v>0</v>
      </c>
      <c r="BP74" s="79">
        <f t="array" ref="BP74">SUMIFS('Cắt lồng'!$AH$327:$AH$515,'Cắt lồng'!$AA$327:$AA$515,'Cắt lồng'!$AA74,'Cắt lồng'!$AE$327:$AE$515,'Cắt lồng'!BP$4:BP$4)</f>
        <v>0</v>
      </c>
      <c r="BQ74" s="78" t="e">
        <f t="shared" si="187"/>
        <v>#DIV/0!</v>
      </c>
      <c r="BR74" s="79">
        <f t="array" ref="BR74">SUMIFS('Cắt lồng'!$AC$327:$AC$515,'Cắt lồng'!$AA$327:$AA$515,'Cắt lồng'!$AA74,'Cắt lồng'!$AE$327:$AE$515,'Cắt lồng'!BR$4:BR$4)</f>
        <v>0</v>
      </c>
      <c r="BS74" s="79">
        <f t="array" ref="BS74">SUMIFS('Cắt lồng'!$AH$327:$AH$515,'Cắt lồng'!$AA$327:$AA$515,'Cắt lồng'!$AA74,'Cắt lồng'!$AE$327:$AE$515,'Cắt lồng'!BS$4:BS$4)</f>
        <v>0</v>
      </c>
      <c r="BT74" s="78" t="e">
        <f t="shared" si="188"/>
        <v>#DIV/0!</v>
      </c>
      <c r="BU74" s="79">
        <f t="array" ref="BU74">SUMIFS('Cắt lồng'!$AC$327:$AC$515,'Cắt lồng'!$AA$327:$AA$515,'Cắt lồng'!$AA74,'Cắt lồng'!$AE$327:$AE$515,'Cắt lồng'!BU$4:BU$4)</f>
        <v>0</v>
      </c>
      <c r="BV74" s="79">
        <f t="array" ref="BV74">SUMIFS('Cắt lồng'!$AH$327:$AH$515,'Cắt lồng'!$AA$327:$AA$515,'Cắt lồng'!$AA74,'Cắt lồng'!$AE$327:$AE$515,'Cắt lồng'!BV$4:BV$4)</f>
        <v>0</v>
      </c>
      <c r="BW74" s="78" t="e">
        <f t="shared" si="189"/>
        <v>#DIV/0!</v>
      </c>
      <c r="BX74" s="79">
        <f t="array" ref="BX74">SUMIFS('Cắt lồng'!$AC$327:$AC$515,'Cắt lồng'!$AA$327:$AA$515,'Cắt lồng'!$AA74,'Cắt lồng'!$AE$327:$AE$515,'Cắt lồng'!BX$4:BX$4)</f>
        <v>0</v>
      </c>
      <c r="BY74" s="79">
        <f t="array" ref="BY74">SUMIFS('Cắt lồng'!$AH$327:$AH$515,'Cắt lồng'!$AA$327:$AA$515,'Cắt lồng'!$AA74,'Cắt lồng'!$AE$327:$AE$515,'Cắt lồng'!BY$4:BY$4)</f>
        <v>0</v>
      </c>
      <c r="BZ74" s="78" t="e">
        <f t="shared" si="190"/>
        <v>#DIV/0!</v>
      </c>
      <c r="CA74" s="79">
        <f t="array" ref="CA74">SUMIFS('Cắt lồng'!$AC$327:$AC$515,'Cắt lồng'!$AA$327:$AA$515,'Cắt lồng'!$AA74,'Cắt lồng'!$AE$327:$AE$515,'Cắt lồng'!CA$4:CA$4)</f>
        <v>0</v>
      </c>
      <c r="CB74" s="79">
        <f t="array" ref="CB74">SUMIFS('Cắt lồng'!$AH$327:$AH$515,'Cắt lồng'!$AA$327:$AA$515,'Cắt lồng'!$AA74,'Cắt lồng'!$AE$327:$AE$515,'Cắt lồng'!CB$4:CB$4)</f>
        <v>0</v>
      </c>
      <c r="CC74" s="78" t="e">
        <f t="shared" si="191"/>
        <v>#DIV/0!</v>
      </c>
      <c r="CD74" s="79">
        <f t="array" ref="CD74">SUMIFS('Cắt lồng'!$AC$327:$AC$515,'Cắt lồng'!$AA$327:$AA$515,'Cắt lồng'!$AA74,'Cắt lồng'!$AE$327:$AE$515,'Cắt lồng'!CD$4:CD$4)</f>
        <v>0</v>
      </c>
      <c r="CE74" s="79">
        <f t="array" ref="CE74">SUMIFS('Cắt lồng'!$AH$327:$AH$515,'Cắt lồng'!$AA$327:$AA$515,'Cắt lồng'!$AA74,'Cắt lồng'!$AE$327:$AE$515,'Cắt lồng'!CE$4:CE$4)</f>
        <v>0</v>
      </c>
      <c r="CF74" s="78" t="e">
        <f t="shared" si="192"/>
        <v>#DIV/0!</v>
      </c>
      <c r="CG74" s="79">
        <f t="array" ref="CG74">SUMIFS('Cắt lồng'!$AC$327:$AC$515,'Cắt lồng'!$AA$327:$AA$515,'Cắt lồng'!$AA74,'Cắt lồng'!$AE$327:$AE$515,'Cắt lồng'!CG$4:CG$4)</f>
        <v>0</v>
      </c>
      <c r="CH74" s="79">
        <f t="array" ref="CH74">SUMIFS('Cắt lồng'!$AH$327:$AH$515,'Cắt lồng'!$AA$327:$AA$515,'Cắt lồng'!$AA74,'Cắt lồng'!$AE$327:$AE$515,'Cắt lồng'!CH$4:CH$4)</f>
        <v>0</v>
      </c>
      <c r="CI74" s="78" t="e">
        <f t="shared" si="193"/>
        <v>#DIV/0!</v>
      </c>
      <c r="CJ74" s="79">
        <f t="array" ref="CJ74">SUMIFS('Cắt lồng'!$AC$327:$AC$515,'Cắt lồng'!$AA$327:$AA$515,'Cắt lồng'!$AA74,'Cắt lồng'!$AE$327:$AE$515,'Cắt lồng'!CJ$4:CJ$4)</f>
        <v>0</v>
      </c>
      <c r="CK74" s="79">
        <f t="array" ref="CK74">SUMIFS('Cắt lồng'!$AH$327:$AH$515,'Cắt lồng'!$AA$327:$AA$515,'Cắt lồng'!$AA74,'Cắt lồng'!$AE$327:$AE$515,'Cắt lồng'!CK$4:CK$4)</f>
        <v>0</v>
      </c>
      <c r="CL74" s="78" t="e">
        <f t="shared" si="194"/>
        <v>#DIV/0!</v>
      </c>
      <c r="CM74" s="79">
        <f t="array" ref="CM74">SUMIFS('Cắt lồng'!$AC$327:$AC$515,'Cắt lồng'!$AA$327:$AA$515,'Cắt lồng'!$AA74,'Cắt lồng'!$AE$327:$AE$515,'Cắt lồng'!CM$4:CM$4)</f>
        <v>0</v>
      </c>
      <c r="CN74" s="79">
        <f t="array" ref="CN74">SUMIFS('Cắt lồng'!$AH$327:$AH$515,'Cắt lồng'!$AA$327:$AA$515,'Cắt lồng'!$AA74,'Cắt lồng'!$AE$327:$AE$515,'Cắt lồng'!CN$4:CN$4)</f>
        <v>0</v>
      </c>
      <c r="CO74" s="78" t="e">
        <f t="shared" si="195"/>
        <v>#DIV/0!</v>
      </c>
      <c r="CP74" s="79">
        <f t="array" ref="CP74">SUMIFS('Cắt lồng'!$AC$327:$AC$515,'Cắt lồng'!$AA$327:$AA$515,'Cắt lồng'!$AA74,'Cắt lồng'!$AE$327:$AE$515,'Cắt lồng'!CP$4:CP$4)</f>
        <v>0</v>
      </c>
      <c r="CQ74" s="79">
        <f t="array" ref="CQ74">SUMIFS('Cắt lồng'!$AH$327:$AH$515,'Cắt lồng'!$AA$327:$AA$515,'Cắt lồng'!$AA74,'Cắt lồng'!$AE$327:$AE$515,'Cắt lồng'!CQ$4:CQ$4)</f>
        <v>0</v>
      </c>
      <c r="CR74" s="78" t="e">
        <f t="shared" si="196"/>
        <v>#DIV/0!</v>
      </c>
      <c r="CS74" s="79">
        <f t="array" ref="CS74">SUMIFS('Cắt lồng'!$AC$327:$AC$515,'Cắt lồng'!$AA$327:$AA$515,'Cắt lồng'!$AA74,'Cắt lồng'!$AE$327:$AE$515,'Cắt lồng'!CS$4:CS$4)</f>
        <v>0</v>
      </c>
      <c r="CT74" s="79">
        <f t="array" ref="CT74">SUMIFS('Cắt lồng'!$AH$327:$AH$515,'Cắt lồng'!$AA$327:$AA$515,'Cắt lồng'!$AA74,'Cắt lồng'!$AE$327:$AE$515,'Cắt lồng'!CT$4:CT$4)</f>
        <v>0</v>
      </c>
      <c r="CU74" s="78" t="e">
        <f t="shared" si="197"/>
        <v>#DIV/0!</v>
      </c>
      <c r="CV74" s="79">
        <f t="array" ref="CV74">SUMIFS('Cắt lồng'!$AC$327:$AC$515,'Cắt lồng'!$AA$327:$AA$515,'Cắt lồng'!$AA74,'Cắt lồng'!$AE$327:$AE$515,'Cắt lồng'!CV$4:CV$4)</f>
        <v>0</v>
      </c>
      <c r="CW74" s="79">
        <f t="array" ref="CW74">SUMIFS('Cắt lồng'!$AH$327:$AH$515,'Cắt lồng'!$AA$327:$AA$515,'Cắt lồng'!$AA74,'Cắt lồng'!$AE$327:$AE$515,'Cắt lồng'!CW$4:CW$4)</f>
        <v>0</v>
      </c>
      <c r="CX74" s="78" t="e">
        <f t="shared" si="198"/>
        <v>#DIV/0!</v>
      </c>
      <c r="CY74" s="79">
        <f t="array" ref="CY74">SUMIFS('Cắt lồng'!$AC$327:$AC$515,'Cắt lồng'!$AA$327:$AA$515,'Cắt lồng'!$AA74,'Cắt lồng'!$AE$327:$AE$515,'Cắt lồng'!CY$4:CY$4)</f>
        <v>0</v>
      </c>
      <c r="CZ74" s="79">
        <f t="array" ref="CZ74">SUMIFS('Cắt lồng'!$AH$327:$AH$515,'Cắt lồng'!$AA$327:$AA$515,'Cắt lồng'!$AA74,'Cắt lồng'!$AE$327:$AE$515,'Cắt lồng'!CZ$4:CZ$4)</f>
        <v>0</v>
      </c>
      <c r="DA74" s="78" t="e">
        <f t="shared" si="199"/>
        <v>#DIV/0!</v>
      </c>
      <c r="DB74" s="79">
        <f t="array" ref="DB74">SUMIFS('Cắt lồng'!$AC$327:$AC$515,'Cắt lồng'!$AA$327:$AA$515,'Cắt lồng'!$AA74,'Cắt lồng'!$AE$327:$AE$515,'Cắt lồng'!DB$4:DB$4)</f>
        <v>0</v>
      </c>
      <c r="DC74" s="79">
        <f t="array" ref="DC74">SUMIFS('Cắt lồng'!$AH$327:$AH$515,'Cắt lồng'!$AA$327:$AA$515,'Cắt lồng'!$AA74,'Cắt lồng'!$AE$327:$AE$515,'Cắt lồng'!DC$4:DC$4)</f>
        <v>0</v>
      </c>
      <c r="DD74" s="78" t="e">
        <f t="shared" si="200"/>
        <v>#DIV/0!</v>
      </c>
      <c r="DE74" s="79">
        <f t="array" ref="DE74">SUMIFS('Cắt lồng'!$AC$327:$AC$515,'Cắt lồng'!$AA$327:$AA$515,'Cắt lồng'!$AA74,'Cắt lồng'!$AE$327:$AE$515,'Cắt lồng'!DE$4:DE$4)</f>
        <v>0</v>
      </c>
      <c r="DF74" s="79">
        <f t="array" ref="DF74">SUMIFS('Cắt lồng'!$AH$327:$AH$515,'Cắt lồng'!$AA$327:$AA$515,'Cắt lồng'!$AA74,'Cắt lồng'!$AE$327:$AE$515,'Cắt lồng'!DF$4:DF$4)</f>
        <v>0</v>
      </c>
      <c r="DG74" s="78" t="e">
        <f t="shared" si="201"/>
        <v>#DIV/0!</v>
      </c>
      <c r="DH74" s="79">
        <f t="array" ref="DH74">SUMIFS('Cắt lồng'!$AC$327:$AC$515,'Cắt lồng'!$AA$327:$AA$515,'Cắt lồng'!$AA74,'Cắt lồng'!$AE$327:$AE$515,'Cắt lồng'!DH$4:DH$4)</f>
        <v>0</v>
      </c>
      <c r="DI74" s="79">
        <f t="array" ref="DI74">SUMIFS('Cắt lồng'!$AH$327:$AH$515,'Cắt lồng'!$AA$327:$AA$515,'Cắt lồng'!$AA74,'Cắt lồng'!$AE$327:$AE$515,'Cắt lồng'!DI$4:DI$4)</f>
        <v>0</v>
      </c>
      <c r="DJ74" s="78" t="e">
        <f t="shared" si="202"/>
        <v>#DIV/0!</v>
      </c>
      <c r="DK74" s="79">
        <f t="array" ref="DK74">SUMIFS('Cắt lồng'!$AC$327:$AC$515,'Cắt lồng'!$AA$327:$AA$515,'Cắt lồng'!$AA74,'Cắt lồng'!$AE$327:$AE$515,'Cắt lồng'!DK$4:DK$4)</f>
        <v>0</v>
      </c>
      <c r="DL74" s="79">
        <f t="array" ref="DL74">SUMIFS('Cắt lồng'!$AH$327:$AH$515,'Cắt lồng'!$AA$327:$AA$515,'Cắt lồng'!$AA74,'Cắt lồng'!$AE$327:$AE$515,'Cắt lồng'!DL$4:DL$4)</f>
        <v>0</v>
      </c>
      <c r="DM74" s="78" t="e">
        <f t="shared" si="203"/>
        <v>#DIV/0!</v>
      </c>
      <c r="DN74" s="79">
        <f t="array" ref="DN74">SUMIFS('Cắt lồng'!$AC$327:$AC$515,'Cắt lồng'!$AA$327:$AA$515,'Cắt lồng'!$AA74,'Cắt lồng'!$AE$327:$AE$515,'Cắt lồng'!DN$4:DN$4)</f>
        <v>0</v>
      </c>
      <c r="DO74" s="79">
        <f t="array" ref="DO74">SUMIFS('Cắt lồng'!$AH$327:$AH$515,'Cắt lồng'!$AA$327:$AA$515,'Cắt lồng'!$AA74,'Cắt lồng'!$AE$327:$AE$515,'Cắt lồng'!DO$4:DO$4)</f>
        <v>0</v>
      </c>
      <c r="DP74" s="78" t="e">
        <f t="shared" si="204"/>
        <v>#DIV/0!</v>
      </c>
      <c r="DQ74" s="79">
        <f t="array" ref="DQ74">SUMIFS('Cắt lồng'!$AC$327:$AC$515,'Cắt lồng'!$AA$327:$AA$515,'Cắt lồng'!$AA74,'Cắt lồng'!$AE$327:$AE$515,'Cắt lồng'!DQ$4:DQ$4)</f>
        <v>0</v>
      </c>
      <c r="DR74" s="79">
        <f t="array" ref="DR74">SUMIFS('Cắt lồng'!$AH$327:$AH$515,'Cắt lồng'!$AA$327:$AA$515,'Cắt lồng'!$AA74,'Cắt lồng'!$AE$327:$AE$515,'Cắt lồng'!DR$4:DR$4)</f>
        <v>0</v>
      </c>
      <c r="DS74" s="78" t="e">
        <f t="shared" si="205"/>
        <v>#DIV/0!</v>
      </c>
      <c r="DT74" s="79">
        <f t="array" ref="DT74">SUMIFS('Cắt lồng'!$AC$327:$AC$515,'Cắt lồng'!$AA$327:$AA$515,'Cắt lồng'!$AA74,'Cắt lồng'!$AE$327:$AE$515,'Cắt lồng'!DT$4:DT$4)</f>
        <v>0</v>
      </c>
      <c r="DU74" s="79">
        <f t="array" ref="DU74">SUMIFS('Cắt lồng'!$AH$327:$AH$515,'Cắt lồng'!$AA$327:$AA$515,'Cắt lồng'!$AA74,'Cắt lồng'!$AE$327:$AE$515,'Cắt lồng'!DU$4:DU$4)</f>
        <v>0</v>
      </c>
      <c r="DV74" s="78" t="e">
        <f t="shared" si="206"/>
        <v>#DIV/0!</v>
      </c>
      <c r="DW74" s="79">
        <f t="array" ref="DW74">SUMIFS('Cắt lồng'!$AC$327:$AC$515,'Cắt lồng'!$AA$327:$AA$515,'Cắt lồng'!$AA74,'Cắt lồng'!$AE$327:$AE$515,'Cắt lồng'!DW$4:DW$4)</f>
        <v>0</v>
      </c>
      <c r="DX74" s="79">
        <f t="array" ref="DX74">SUMIFS('Cắt lồng'!$AH$327:$AH$515,'Cắt lồng'!$AA$327:$AA$515,'Cắt lồng'!$AA74,'Cắt lồng'!$AE$327:$AE$515,'Cắt lồng'!DX$4:DX$4)</f>
        <v>0</v>
      </c>
      <c r="DY74" s="78" t="e">
        <f t="shared" si="207"/>
        <v>#DIV/0!</v>
      </c>
      <c r="DZ74" s="79">
        <f t="array" ref="DZ74">SUMIFS('Cắt lồng'!$AC$327:$AC$515,'Cắt lồng'!$AA$327:$AA$515,'Cắt lồng'!$AA74,'Cắt lồng'!$AE$327:$AE$515,'Cắt lồng'!DZ$4:DZ$4)</f>
        <v>0</v>
      </c>
      <c r="EA74" s="79">
        <f t="array" ref="EA74">SUMIFS('Cắt lồng'!$AH$327:$AH$515,'Cắt lồng'!$AA$327:$AA$515,'Cắt lồng'!$AA74,'Cắt lồng'!$AE$327:$AE$515,'Cắt lồng'!EA$4:EA$4)</f>
        <v>0</v>
      </c>
      <c r="EB74" s="78" t="e">
        <f t="shared" si="208"/>
        <v>#DIV/0!</v>
      </c>
      <c r="EC74" s="79">
        <f t="array" ref="EC74">SUMIFS('Cắt lồng'!$AC$327:$AC$515,'Cắt lồng'!$AA$327:$AA$515,'Cắt lồng'!$AA74,'Cắt lồng'!$AE$327:$AE$515,'Cắt lồng'!EC$4:EC$4)</f>
        <v>0</v>
      </c>
      <c r="ED74" s="79">
        <f t="array" ref="ED74">SUMIFS('Cắt lồng'!$AH$327:$AH$515,'Cắt lồng'!$AA$327:$AA$515,'Cắt lồng'!$AA74,'Cắt lồng'!$AE$327:$AE$515,'Cắt lồng'!ED$4:ED$4)</f>
        <v>0</v>
      </c>
      <c r="EE74" s="78" t="e">
        <f t="shared" si="209"/>
        <v>#DIV/0!</v>
      </c>
      <c r="EF74" s="79">
        <f t="array" ref="EF74">SUMIFS('Cắt lồng'!$AC$327:$AC$515,'Cắt lồng'!$AA$327:$AA$515,'Cắt lồng'!$AA74,'Cắt lồng'!$AE$327:$AE$515,'Cắt lồng'!EF$4:EF$4)</f>
        <v>0</v>
      </c>
      <c r="EG74" s="79">
        <f t="array" ref="EG74">SUMIFS('Cắt lồng'!$AH$327:$AH$515,'Cắt lồng'!$AA$327:$AA$515,'Cắt lồng'!$AA74,'Cắt lồng'!$AE$327:$AE$515,'Cắt lồng'!EG$4:EG$4)</f>
        <v>0</v>
      </c>
      <c r="EH74" s="78" t="e">
        <f t="shared" si="210"/>
        <v>#DIV/0!</v>
      </c>
      <c r="EI74" s="79">
        <f t="array" ref="EI74">SUMIFS('Cắt lồng'!$AC$327:$AC$515,'Cắt lồng'!$AA$327:$AA$515,'Cắt lồng'!$AA74,'Cắt lồng'!$AE$327:$AE$515,'Cắt lồng'!EI$4:EI$4)</f>
        <v>0</v>
      </c>
      <c r="EJ74" s="79">
        <f t="array" ref="EJ74">SUMIFS('Cắt lồng'!$AH$327:$AH$515,'Cắt lồng'!$AA$327:$AA$515,'Cắt lồng'!$AA74,'Cắt lồng'!$AE$327:$AE$515,'Cắt lồng'!EJ$4:EJ$4)</f>
        <v>0</v>
      </c>
      <c r="EK74" s="78" t="e">
        <f t="shared" si="211"/>
        <v>#DIV/0!</v>
      </c>
    </row>
    <row r="75" spans="1:179" s="12" customFormat="1" ht="14.25" hidden="1" customHeight="1">
      <c r="A75" s="25">
        <v>46</v>
      </c>
      <c r="B75" s="26"/>
      <c r="C75" s="25"/>
      <c r="D75" s="24"/>
      <c r="E75" s="60"/>
      <c r="F75" s="59"/>
      <c r="G75" s="82">
        <f t="shared" si="144"/>
        <v>0</v>
      </c>
      <c r="H75" s="81">
        <f t="shared" si="145"/>
        <v>0</v>
      </c>
      <c r="I75" s="19">
        <f t="shared" si="146"/>
        <v>0</v>
      </c>
      <c r="J75" s="11">
        <f t="shared" si="147"/>
        <v>0</v>
      </c>
      <c r="K75" s="19">
        <f t="shared" si="148"/>
        <v>0</v>
      </c>
      <c r="L75" s="19">
        <f t="shared" si="149"/>
        <v>0</v>
      </c>
      <c r="M75" s="19">
        <f t="shared" si="150"/>
        <v>0</v>
      </c>
      <c r="N75" s="19">
        <f t="shared" si="151"/>
        <v>0</v>
      </c>
      <c r="O75" s="19">
        <f t="shared" si="152"/>
        <v>0</v>
      </c>
      <c r="P75" s="19">
        <f t="shared" si="153"/>
        <v>0</v>
      </c>
      <c r="Q75" s="19">
        <f t="shared" si="154"/>
        <v>0</v>
      </c>
      <c r="R75" s="19">
        <f t="shared" si="155"/>
        <v>0</v>
      </c>
      <c r="S75" s="19">
        <f t="shared" si="156"/>
        <v>0</v>
      </c>
      <c r="T75" s="19">
        <f t="shared" si="157"/>
        <v>0</v>
      </c>
      <c r="U75" s="19">
        <f t="shared" si="158"/>
        <v>0</v>
      </c>
      <c r="V75" s="19">
        <f t="shared" si="159"/>
        <v>0</v>
      </c>
      <c r="W75" s="19">
        <f t="shared" si="160"/>
        <v>0</v>
      </c>
      <c r="X75" s="19">
        <f t="shared" si="161"/>
        <v>0</v>
      </c>
      <c r="Y75" s="19">
        <f t="shared" si="162"/>
        <v>0</v>
      </c>
      <c r="Z75" s="19">
        <f t="shared" si="163"/>
        <v>0</v>
      </c>
      <c r="AA75" s="171">
        <v>4258</v>
      </c>
      <c r="AB75" s="17" t="e">
        <f>+H75*SUMIF('[1]KẾ HOẠCH'!$B$5:$CK$5,'Cắt lồng'!AA75,'[1]KẾ HOẠCH'!$B$6:$CK$6)+H75*SUMIF('[1]KẾ HOẠCH'!$B$7:$CK$7,'Cắt lồng'!AA75,'[1]KẾ HOẠCH'!$B$8:$CK$8)+H75*SUMIF('[1]KẾ HOẠCH'!$B$15:$CK$15,'Cắt lồng'!AA75,'[1]KẾ HOẠCH'!$B$16:$CK$16)</f>
        <v>#VALUE!</v>
      </c>
      <c r="AC75" s="16">
        <f t="shared" si="164"/>
        <v>0</v>
      </c>
      <c r="AD75" s="15" t="e">
        <f t="shared" si="165"/>
        <v>#VALUE!</v>
      </c>
      <c r="AE75" s="42"/>
      <c r="AF75" s="10" t="e">
        <f t="shared" si="166"/>
        <v>#DIV/0!</v>
      </c>
      <c r="AG75" s="10"/>
      <c r="AH75" s="152">
        <f t="shared" si="167"/>
        <v>0</v>
      </c>
      <c r="AI75" s="54" t="e">
        <f t="shared" si="168"/>
        <v>#DIV/0!</v>
      </c>
      <c r="AJ75" s="25">
        <f t="shared" si="169"/>
        <v>0</v>
      </c>
      <c r="AK75" s="25">
        <f t="shared" si="170"/>
        <v>0</v>
      </c>
      <c r="AL75" s="25">
        <f t="shared" si="171"/>
        <v>0</v>
      </c>
      <c r="AM75" s="30">
        <f t="shared" si="172"/>
        <v>0</v>
      </c>
      <c r="AN75" s="25">
        <f t="shared" si="173"/>
        <v>0</v>
      </c>
      <c r="AO75" s="25">
        <f t="shared" si="174"/>
        <v>0</v>
      </c>
      <c r="AP75" s="25">
        <f t="shared" si="175"/>
        <v>0</v>
      </c>
      <c r="AQ75" s="25">
        <f t="shared" si="176"/>
        <v>0</v>
      </c>
      <c r="AR75" s="25">
        <f t="shared" si="177"/>
        <v>0</v>
      </c>
      <c r="AS75" s="25">
        <f t="shared" si="178"/>
        <v>0</v>
      </c>
      <c r="AT75" s="25">
        <f t="shared" si="179"/>
        <v>0</v>
      </c>
      <c r="AV75" s="79">
        <f t="shared" si="180"/>
        <v>0</v>
      </c>
      <c r="AW75" s="79">
        <f t="array" ref="AW75">SUMIFS('Cắt lồng'!$AC$327:$AC$515,'Cắt lồng'!$AA$327:$AA$515,'Cắt lồng'!$AA75,'Cắt lồng'!$AE$327:$AE$515,'Cắt lồng'!AW$4:AW$4)</f>
        <v>0</v>
      </c>
      <c r="AX75" s="79">
        <f t="array" ref="AX75">SUMIFS('Cắt lồng'!$AH$327:$AH$515,'Cắt lồng'!$AA$327:$AA$515,'Cắt lồng'!$AA75,'Cắt lồng'!$AE$327:$AE$515,'Cắt lồng'!AX$4:AX$4)</f>
        <v>0</v>
      </c>
      <c r="AY75" s="78" t="e">
        <f t="shared" si="181"/>
        <v>#DIV/0!</v>
      </c>
      <c r="AZ75" s="79">
        <f t="array" ref="AZ75">SUMIFS('Cắt lồng'!$AC$327:$AC$515,'Cắt lồng'!$AA$327:$AA$515,'Cắt lồng'!$AA75,'Cắt lồng'!$AE$327:$AE$515,'Cắt lồng'!AZ$4:AZ$4)</f>
        <v>0</v>
      </c>
      <c r="BA75" s="79">
        <f t="array" ref="BA75">SUMIFS('Cắt lồng'!$AH$327:$AH$515,'Cắt lồng'!$AA$327:$AA$515,'Cắt lồng'!$AA75,'Cắt lồng'!$AE$327:$AE$515,'Cắt lồng'!BA$4:BA$4)</f>
        <v>0</v>
      </c>
      <c r="BB75" s="78" t="e">
        <f t="shared" si="182"/>
        <v>#DIV/0!</v>
      </c>
      <c r="BC75" s="79">
        <f>SUMIFS('Cắt lồng'!$AC$327:$AC$515,'Cắt lồng'!$AA$327:$AA$515,'Cắt lồng'!$AA75,'Cắt lồng'!$AE$327:$AE$515,'Cắt lồng'!BC$4:BC$4)</f>
        <v>0</v>
      </c>
      <c r="BD75" s="79">
        <f t="array" ref="BD75">SUMIFS('Cắt lồng'!$AH$327:$AH$515,'Cắt lồng'!$AA$327:$AA$515,'Cắt lồng'!$AA75,'Cắt lồng'!$AE$327:$AE$515,'Cắt lồng'!BD$4:BD$4)</f>
        <v>0</v>
      </c>
      <c r="BE75" s="78" t="e">
        <f t="shared" si="183"/>
        <v>#DIV/0!</v>
      </c>
      <c r="BF75" s="79">
        <f t="array" ref="BF75">SUMIFS('Cắt lồng'!$AC$327:$AC$515,'Cắt lồng'!$AA$327:$AA$515,'Cắt lồng'!$AA75,'Cắt lồng'!$AE$327:$AE$515,'Cắt lồng'!BF$4:BF$4)</f>
        <v>0</v>
      </c>
      <c r="BG75" s="79">
        <f t="array" ref="BG75">SUMIFS('Cắt lồng'!$AH$327:$AH$515,'Cắt lồng'!$AA$327:$AA$515,'Cắt lồng'!$AA75,'Cắt lồng'!$AE$327:$AE$515,'Cắt lồng'!BG$4:BG$4)</f>
        <v>0</v>
      </c>
      <c r="BH75" s="78" t="e">
        <f t="shared" si="184"/>
        <v>#DIV/0!</v>
      </c>
      <c r="BI75" s="79">
        <f t="array" ref="BI75">SUMIFS('Cắt lồng'!$AC$327:$AC$515,'Cắt lồng'!$AA$327:$AA$515,'Cắt lồng'!$AA75,'Cắt lồng'!$AE$327:$AE$515,'Cắt lồng'!BI$4:BI$4)</f>
        <v>0</v>
      </c>
      <c r="BJ75" s="79">
        <f t="array" ref="BJ75">SUMIFS('Cắt lồng'!$AH$327:$AH$515,'Cắt lồng'!$AA$327:$AA$515,'Cắt lồng'!$AA75,'Cắt lồng'!$AE$327:$AE$515,'Cắt lồng'!BJ$4:BJ$4)</f>
        <v>0</v>
      </c>
      <c r="BK75" s="78" t="e">
        <f t="shared" si="185"/>
        <v>#DIV/0!</v>
      </c>
      <c r="BL75" s="79">
        <f t="array" ref="BL75">SUMIFS('Cắt lồng'!$AC$327:$AC$515,'Cắt lồng'!$AA$327:$AA$515,'Cắt lồng'!$AA75,'Cắt lồng'!$AE$327:$AE$515,'Cắt lồng'!BL$4:BL$4)</f>
        <v>0</v>
      </c>
      <c r="BM75" s="79">
        <f t="array" ref="BM75">SUMIFS('Cắt lồng'!$AH$327:$AH$515,'Cắt lồng'!$AA$327:$AA$515,'Cắt lồng'!$AA75,'Cắt lồng'!$AE$327:$AE$515,'Cắt lồng'!BM$4:BM$4)</f>
        <v>0</v>
      </c>
      <c r="BN75" s="78" t="e">
        <f t="shared" si="186"/>
        <v>#DIV/0!</v>
      </c>
      <c r="BO75" s="79">
        <f t="array" ref="BO75">SUMIFS('Cắt lồng'!$AC$327:$AC$515,'Cắt lồng'!$AA$327:$AA$515,'Cắt lồng'!$AA75,'Cắt lồng'!$AE$327:$AE$515,'Cắt lồng'!BO$4:BO$4)</f>
        <v>0</v>
      </c>
      <c r="BP75" s="79">
        <f t="array" ref="BP75">SUMIFS('Cắt lồng'!$AH$327:$AH$515,'Cắt lồng'!$AA$327:$AA$515,'Cắt lồng'!$AA75,'Cắt lồng'!$AE$327:$AE$515,'Cắt lồng'!BP$4:BP$4)</f>
        <v>0</v>
      </c>
      <c r="BQ75" s="78" t="e">
        <f t="shared" si="187"/>
        <v>#DIV/0!</v>
      </c>
      <c r="BR75" s="79">
        <f t="array" ref="BR75">SUMIFS('Cắt lồng'!$AC$327:$AC$515,'Cắt lồng'!$AA$327:$AA$515,'Cắt lồng'!$AA75,'Cắt lồng'!$AE$327:$AE$515,'Cắt lồng'!BR$4:BR$4)</f>
        <v>0</v>
      </c>
      <c r="BS75" s="79">
        <f t="array" ref="BS75">SUMIFS('Cắt lồng'!$AH$327:$AH$515,'Cắt lồng'!$AA$327:$AA$515,'Cắt lồng'!$AA75,'Cắt lồng'!$AE$327:$AE$515,'Cắt lồng'!BS$4:BS$4)</f>
        <v>0</v>
      </c>
      <c r="BT75" s="78" t="e">
        <f t="shared" si="188"/>
        <v>#DIV/0!</v>
      </c>
      <c r="BU75" s="79">
        <f t="array" ref="BU75">SUMIFS('Cắt lồng'!$AC$327:$AC$515,'Cắt lồng'!$AA$327:$AA$515,'Cắt lồng'!$AA75,'Cắt lồng'!$AE$327:$AE$515,'Cắt lồng'!BU$4:BU$4)</f>
        <v>0</v>
      </c>
      <c r="BV75" s="79">
        <f t="array" ref="BV75">SUMIFS('Cắt lồng'!$AH$327:$AH$515,'Cắt lồng'!$AA$327:$AA$515,'Cắt lồng'!$AA75,'Cắt lồng'!$AE$327:$AE$515,'Cắt lồng'!BV$4:BV$4)</f>
        <v>0</v>
      </c>
      <c r="BW75" s="78" t="e">
        <f t="shared" si="189"/>
        <v>#DIV/0!</v>
      </c>
      <c r="BX75" s="79">
        <f t="array" ref="BX75">SUMIFS('Cắt lồng'!$AC$327:$AC$515,'Cắt lồng'!$AA$327:$AA$515,'Cắt lồng'!$AA75,'Cắt lồng'!$AE$327:$AE$515,'Cắt lồng'!BX$4:BX$4)</f>
        <v>0</v>
      </c>
      <c r="BY75" s="79">
        <f t="array" ref="BY75">SUMIFS('Cắt lồng'!$AH$327:$AH$515,'Cắt lồng'!$AA$327:$AA$515,'Cắt lồng'!$AA75,'Cắt lồng'!$AE$327:$AE$515,'Cắt lồng'!BY$4:BY$4)</f>
        <v>0</v>
      </c>
      <c r="BZ75" s="78" t="e">
        <f t="shared" si="190"/>
        <v>#DIV/0!</v>
      </c>
      <c r="CA75" s="79">
        <f t="array" ref="CA75">SUMIFS('Cắt lồng'!$AC$327:$AC$515,'Cắt lồng'!$AA$327:$AA$515,'Cắt lồng'!$AA75,'Cắt lồng'!$AE$327:$AE$515,'Cắt lồng'!CA$4:CA$4)</f>
        <v>0</v>
      </c>
      <c r="CB75" s="79">
        <f t="array" ref="CB75">SUMIFS('Cắt lồng'!$AH$327:$AH$515,'Cắt lồng'!$AA$327:$AA$515,'Cắt lồng'!$AA75,'Cắt lồng'!$AE$327:$AE$515,'Cắt lồng'!CB$4:CB$4)</f>
        <v>0</v>
      </c>
      <c r="CC75" s="78" t="e">
        <f t="shared" si="191"/>
        <v>#DIV/0!</v>
      </c>
      <c r="CD75" s="79">
        <f t="array" ref="CD75">SUMIFS('Cắt lồng'!$AC$327:$AC$515,'Cắt lồng'!$AA$327:$AA$515,'Cắt lồng'!$AA75,'Cắt lồng'!$AE$327:$AE$515,'Cắt lồng'!CD$4:CD$4)</f>
        <v>0</v>
      </c>
      <c r="CE75" s="79">
        <f t="array" ref="CE75">SUMIFS('Cắt lồng'!$AH$327:$AH$515,'Cắt lồng'!$AA$327:$AA$515,'Cắt lồng'!$AA75,'Cắt lồng'!$AE$327:$AE$515,'Cắt lồng'!CE$4:CE$4)</f>
        <v>0</v>
      </c>
      <c r="CF75" s="78" t="e">
        <f t="shared" si="192"/>
        <v>#DIV/0!</v>
      </c>
      <c r="CG75" s="79">
        <f t="array" ref="CG75">SUMIFS('Cắt lồng'!$AC$327:$AC$515,'Cắt lồng'!$AA$327:$AA$515,'Cắt lồng'!$AA75,'Cắt lồng'!$AE$327:$AE$515,'Cắt lồng'!CG$4:CG$4)</f>
        <v>0</v>
      </c>
      <c r="CH75" s="79">
        <f t="array" ref="CH75">SUMIFS('Cắt lồng'!$AH$327:$AH$515,'Cắt lồng'!$AA$327:$AA$515,'Cắt lồng'!$AA75,'Cắt lồng'!$AE$327:$AE$515,'Cắt lồng'!CH$4:CH$4)</f>
        <v>0</v>
      </c>
      <c r="CI75" s="78" t="e">
        <f t="shared" si="193"/>
        <v>#DIV/0!</v>
      </c>
      <c r="CJ75" s="79">
        <f t="array" ref="CJ75">SUMIFS('Cắt lồng'!$AC$327:$AC$515,'Cắt lồng'!$AA$327:$AA$515,'Cắt lồng'!$AA75,'Cắt lồng'!$AE$327:$AE$515,'Cắt lồng'!CJ$4:CJ$4)</f>
        <v>0</v>
      </c>
      <c r="CK75" s="79">
        <f t="array" ref="CK75">SUMIFS('Cắt lồng'!$AH$327:$AH$515,'Cắt lồng'!$AA$327:$AA$515,'Cắt lồng'!$AA75,'Cắt lồng'!$AE$327:$AE$515,'Cắt lồng'!CK$4:CK$4)</f>
        <v>0</v>
      </c>
      <c r="CL75" s="78" t="e">
        <f t="shared" si="194"/>
        <v>#DIV/0!</v>
      </c>
      <c r="CM75" s="79">
        <f t="array" ref="CM75">SUMIFS('Cắt lồng'!$AC$327:$AC$515,'Cắt lồng'!$AA$327:$AA$515,'Cắt lồng'!$AA75,'Cắt lồng'!$AE$327:$AE$515,'Cắt lồng'!CM$4:CM$4)</f>
        <v>0</v>
      </c>
      <c r="CN75" s="79">
        <f t="array" ref="CN75">SUMIFS('Cắt lồng'!$AH$327:$AH$515,'Cắt lồng'!$AA$327:$AA$515,'Cắt lồng'!$AA75,'Cắt lồng'!$AE$327:$AE$515,'Cắt lồng'!CN$4:CN$4)</f>
        <v>0</v>
      </c>
      <c r="CO75" s="78" t="e">
        <f t="shared" si="195"/>
        <v>#DIV/0!</v>
      </c>
      <c r="CP75" s="79">
        <f t="array" ref="CP75">SUMIFS('Cắt lồng'!$AC$327:$AC$515,'Cắt lồng'!$AA$327:$AA$515,'Cắt lồng'!$AA75,'Cắt lồng'!$AE$327:$AE$515,'Cắt lồng'!CP$4:CP$4)</f>
        <v>0</v>
      </c>
      <c r="CQ75" s="79">
        <f t="array" ref="CQ75">SUMIFS('Cắt lồng'!$AH$327:$AH$515,'Cắt lồng'!$AA$327:$AA$515,'Cắt lồng'!$AA75,'Cắt lồng'!$AE$327:$AE$515,'Cắt lồng'!CQ$4:CQ$4)</f>
        <v>0</v>
      </c>
      <c r="CR75" s="78" t="e">
        <f t="shared" si="196"/>
        <v>#DIV/0!</v>
      </c>
      <c r="CS75" s="79">
        <f t="array" ref="CS75">SUMIFS('Cắt lồng'!$AC$327:$AC$515,'Cắt lồng'!$AA$327:$AA$515,'Cắt lồng'!$AA75,'Cắt lồng'!$AE$327:$AE$515,'Cắt lồng'!CS$4:CS$4)</f>
        <v>0</v>
      </c>
      <c r="CT75" s="79">
        <f t="array" ref="CT75">SUMIFS('Cắt lồng'!$AH$327:$AH$515,'Cắt lồng'!$AA$327:$AA$515,'Cắt lồng'!$AA75,'Cắt lồng'!$AE$327:$AE$515,'Cắt lồng'!CT$4:CT$4)</f>
        <v>0</v>
      </c>
      <c r="CU75" s="78" t="e">
        <f t="shared" si="197"/>
        <v>#DIV/0!</v>
      </c>
      <c r="CV75" s="79">
        <f t="array" ref="CV75">SUMIFS('Cắt lồng'!$AC$327:$AC$515,'Cắt lồng'!$AA$327:$AA$515,'Cắt lồng'!$AA75,'Cắt lồng'!$AE$327:$AE$515,'Cắt lồng'!CV$4:CV$4)</f>
        <v>0</v>
      </c>
      <c r="CW75" s="79">
        <f t="array" ref="CW75">SUMIFS('Cắt lồng'!$AH$327:$AH$515,'Cắt lồng'!$AA$327:$AA$515,'Cắt lồng'!$AA75,'Cắt lồng'!$AE$327:$AE$515,'Cắt lồng'!CW$4:CW$4)</f>
        <v>0</v>
      </c>
      <c r="CX75" s="78" t="e">
        <f t="shared" si="198"/>
        <v>#DIV/0!</v>
      </c>
      <c r="CY75" s="79">
        <f t="array" ref="CY75">SUMIFS('Cắt lồng'!$AC$327:$AC$515,'Cắt lồng'!$AA$327:$AA$515,'Cắt lồng'!$AA75,'Cắt lồng'!$AE$327:$AE$515,'Cắt lồng'!CY$4:CY$4)</f>
        <v>0</v>
      </c>
      <c r="CZ75" s="79">
        <f t="array" ref="CZ75">SUMIFS('Cắt lồng'!$AH$327:$AH$515,'Cắt lồng'!$AA$327:$AA$515,'Cắt lồng'!$AA75,'Cắt lồng'!$AE$327:$AE$515,'Cắt lồng'!CZ$4:CZ$4)</f>
        <v>0</v>
      </c>
      <c r="DA75" s="78" t="e">
        <f t="shared" si="199"/>
        <v>#DIV/0!</v>
      </c>
      <c r="DB75" s="79">
        <f t="array" ref="DB75">SUMIFS('Cắt lồng'!$AC$327:$AC$515,'Cắt lồng'!$AA$327:$AA$515,'Cắt lồng'!$AA75,'Cắt lồng'!$AE$327:$AE$515,'Cắt lồng'!DB$4:DB$4)</f>
        <v>0</v>
      </c>
      <c r="DC75" s="79">
        <f t="array" ref="DC75">SUMIFS('Cắt lồng'!$AH$327:$AH$515,'Cắt lồng'!$AA$327:$AA$515,'Cắt lồng'!$AA75,'Cắt lồng'!$AE$327:$AE$515,'Cắt lồng'!DC$4:DC$4)</f>
        <v>0</v>
      </c>
      <c r="DD75" s="78" t="e">
        <f t="shared" si="200"/>
        <v>#DIV/0!</v>
      </c>
      <c r="DE75" s="79">
        <f t="array" ref="DE75">SUMIFS('Cắt lồng'!$AC$327:$AC$515,'Cắt lồng'!$AA$327:$AA$515,'Cắt lồng'!$AA75,'Cắt lồng'!$AE$327:$AE$515,'Cắt lồng'!DE$4:DE$4)</f>
        <v>0</v>
      </c>
      <c r="DF75" s="79">
        <f t="array" ref="DF75">SUMIFS('Cắt lồng'!$AH$327:$AH$515,'Cắt lồng'!$AA$327:$AA$515,'Cắt lồng'!$AA75,'Cắt lồng'!$AE$327:$AE$515,'Cắt lồng'!DF$4:DF$4)</f>
        <v>0</v>
      </c>
      <c r="DG75" s="78" t="e">
        <f t="shared" si="201"/>
        <v>#DIV/0!</v>
      </c>
      <c r="DH75" s="79">
        <f t="array" ref="DH75">SUMIFS('Cắt lồng'!$AC$327:$AC$515,'Cắt lồng'!$AA$327:$AA$515,'Cắt lồng'!$AA75,'Cắt lồng'!$AE$327:$AE$515,'Cắt lồng'!DH$4:DH$4)</f>
        <v>0</v>
      </c>
      <c r="DI75" s="79">
        <f t="array" ref="DI75">SUMIFS('Cắt lồng'!$AH$327:$AH$515,'Cắt lồng'!$AA$327:$AA$515,'Cắt lồng'!$AA75,'Cắt lồng'!$AE$327:$AE$515,'Cắt lồng'!DI$4:DI$4)</f>
        <v>0</v>
      </c>
      <c r="DJ75" s="78" t="e">
        <f t="shared" si="202"/>
        <v>#DIV/0!</v>
      </c>
      <c r="DK75" s="79">
        <f t="array" ref="DK75">SUMIFS('Cắt lồng'!$AC$327:$AC$515,'Cắt lồng'!$AA$327:$AA$515,'Cắt lồng'!$AA75,'Cắt lồng'!$AE$327:$AE$515,'Cắt lồng'!DK$4:DK$4)</f>
        <v>0</v>
      </c>
      <c r="DL75" s="79">
        <f t="array" ref="DL75">SUMIFS('Cắt lồng'!$AH$327:$AH$515,'Cắt lồng'!$AA$327:$AA$515,'Cắt lồng'!$AA75,'Cắt lồng'!$AE$327:$AE$515,'Cắt lồng'!DL$4:DL$4)</f>
        <v>0</v>
      </c>
      <c r="DM75" s="78" t="e">
        <f t="shared" si="203"/>
        <v>#DIV/0!</v>
      </c>
      <c r="DN75" s="79">
        <f t="array" ref="DN75">SUMIFS('Cắt lồng'!$AC$327:$AC$515,'Cắt lồng'!$AA$327:$AA$515,'Cắt lồng'!$AA75,'Cắt lồng'!$AE$327:$AE$515,'Cắt lồng'!DN$4:DN$4)</f>
        <v>0</v>
      </c>
      <c r="DO75" s="79">
        <f t="array" ref="DO75">SUMIFS('Cắt lồng'!$AH$327:$AH$515,'Cắt lồng'!$AA$327:$AA$515,'Cắt lồng'!$AA75,'Cắt lồng'!$AE$327:$AE$515,'Cắt lồng'!DO$4:DO$4)</f>
        <v>0</v>
      </c>
      <c r="DP75" s="78" t="e">
        <f t="shared" si="204"/>
        <v>#DIV/0!</v>
      </c>
      <c r="DQ75" s="79">
        <f t="array" ref="DQ75">SUMIFS('Cắt lồng'!$AC$327:$AC$515,'Cắt lồng'!$AA$327:$AA$515,'Cắt lồng'!$AA75,'Cắt lồng'!$AE$327:$AE$515,'Cắt lồng'!DQ$4:DQ$4)</f>
        <v>0</v>
      </c>
      <c r="DR75" s="79">
        <f t="array" ref="DR75">SUMIFS('Cắt lồng'!$AH$327:$AH$515,'Cắt lồng'!$AA$327:$AA$515,'Cắt lồng'!$AA75,'Cắt lồng'!$AE$327:$AE$515,'Cắt lồng'!DR$4:DR$4)</f>
        <v>0</v>
      </c>
      <c r="DS75" s="78" t="e">
        <f t="shared" si="205"/>
        <v>#DIV/0!</v>
      </c>
      <c r="DT75" s="79">
        <f t="array" ref="DT75">SUMIFS('Cắt lồng'!$AC$327:$AC$515,'Cắt lồng'!$AA$327:$AA$515,'Cắt lồng'!$AA75,'Cắt lồng'!$AE$327:$AE$515,'Cắt lồng'!DT$4:DT$4)</f>
        <v>0</v>
      </c>
      <c r="DU75" s="79">
        <f t="array" ref="DU75">SUMIFS('Cắt lồng'!$AH$327:$AH$515,'Cắt lồng'!$AA$327:$AA$515,'Cắt lồng'!$AA75,'Cắt lồng'!$AE$327:$AE$515,'Cắt lồng'!DU$4:DU$4)</f>
        <v>0</v>
      </c>
      <c r="DV75" s="78" t="e">
        <f t="shared" si="206"/>
        <v>#DIV/0!</v>
      </c>
      <c r="DW75" s="79">
        <f t="array" ref="DW75">SUMIFS('Cắt lồng'!$AC$327:$AC$515,'Cắt lồng'!$AA$327:$AA$515,'Cắt lồng'!$AA75,'Cắt lồng'!$AE$327:$AE$515,'Cắt lồng'!DW$4:DW$4)</f>
        <v>0</v>
      </c>
      <c r="DX75" s="79">
        <f t="array" ref="DX75">SUMIFS('Cắt lồng'!$AH$327:$AH$515,'Cắt lồng'!$AA$327:$AA$515,'Cắt lồng'!$AA75,'Cắt lồng'!$AE$327:$AE$515,'Cắt lồng'!DX$4:DX$4)</f>
        <v>0</v>
      </c>
      <c r="DY75" s="78" t="e">
        <f t="shared" si="207"/>
        <v>#DIV/0!</v>
      </c>
      <c r="DZ75" s="79">
        <f t="array" ref="DZ75">SUMIFS('Cắt lồng'!$AC$327:$AC$515,'Cắt lồng'!$AA$327:$AA$515,'Cắt lồng'!$AA75,'Cắt lồng'!$AE$327:$AE$515,'Cắt lồng'!DZ$4:DZ$4)</f>
        <v>0</v>
      </c>
      <c r="EA75" s="79">
        <f t="array" ref="EA75">SUMIFS('Cắt lồng'!$AH$327:$AH$515,'Cắt lồng'!$AA$327:$AA$515,'Cắt lồng'!$AA75,'Cắt lồng'!$AE$327:$AE$515,'Cắt lồng'!EA$4:EA$4)</f>
        <v>0</v>
      </c>
      <c r="EB75" s="78" t="e">
        <f t="shared" si="208"/>
        <v>#DIV/0!</v>
      </c>
      <c r="EC75" s="79">
        <f t="array" ref="EC75">SUMIFS('Cắt lồng'!$AC$327:$AC$515,'Cắt lồng'!$AA$327:$AA$515,'Cắt lồng'!$AA75,'Cắt lồng'!$AE$327:$AE$515,'Cắt lồng'!EC$4:EC$4)</f>
        <v>0</v>
      </c>
      <c r="ED75" s="79">
        <f t="array" ref="ED75">SUMIFS('Cắt lồng'!$AH$327:$AH$515,'Cắt lồng'!$AA$327:$AA$515,'Cắt lồng'!$AA75,'Cắt lồng'!$AE$327:$AE$515,'Cắt lồng'!ED$4:ED$4)</f>
        <v>0</v>
      </c>
      <c r="EE75" s="78" t="e">
        <f t="shared" si="209"/>
        <v>#DIV/0!</v>
      </c>
      <c r="EF75" s="79">
        <f t="array" ref="EF75">SUMIFS('Cắt lồng'!$AC$327:$AC$515,'Cắt lồng'!$AA$327:$AA$515,'Cắt lồng'!$AA75,'Cắt lồng'!$AE$327:$AE$515,'Cắt lồng'!EF$4:EF$4)</f>
        <v>0</v>
      </c>
      <c r="EG75" s="79">
        <f t="array" ref="EG75">SUMIFS('Cắt lồng'!$AH$327:$AH$515,'Cắt lồng'!$AA$327:$AA$515,'Cắt lồng'!$AA75,'Cắt lồng'!$AE$327:$AE$515,'Cắt lồng'!EG$4:EG$4)</f>
        <v>0</v>
      </c>
      <c r="EH75" s="78" t="e">
        <f t="shared" si="210"/>
        <v>#DIV/0!</v>
      </c>
      <c r="EI75" s="79">
        <f t="array" ref="EI75">SUMIFS('Cắt lồng'!$AC$327:$AC$515,'Cắt lồng'!$AA$327:$AA$515,'Cắt lồng'!$AA75,'Cắt lồng'!$AE$327:$AE$515,'Cắt lồng'!EI$4:EI$4)</f>
        <v>0</v>
      </c>
      <c r="EJ75" s="79">
        <f t="array" ref="EJ75">SUMIFS('Cắt lồng'!$AH$327:$AH$515,'Cắt lồng'!$AA$327:$AA$515,'Cắt lồng'!$AA75,'Cắt lồng'!$AE$327:$AE$515,'Cắt lồng'!EJ$4:EJ$4)</f>
        <v>0</v>
      </c>
      <c r="EK75" s="78" t="e">
        <f t="shared" si="211"/>
        <v>#DIV/0!</v>
      </c>
    </row>
    <row r="76" spans="1:179" s="12" customFormat="1" ht="14.25" hidden="1" customHeight="1">
      <c r="A76" s="25">
        <v>47</v>
      </c>
      <c r="B76" s="26"/>
      <c r="C76" s="25"/>
      <c r="D76" s="24"/>
      <c r="E76" s="60"/>
      <c r="F76" s="59"/>
      <c r="G76" s="82">
        <f t="shared" si="144"/>
        <v>0</v>
      </c>
      <c r="H76" s="81">
        <f t="shared" si="145"/>
        <v>0</v>
      </c>
      <c r="I76" s="19">
        <f t="shared" si="146"/>
        <v>0</v>
      </c>
      <c r="J76" s="11">
        <f t="shared" si="147"/>
        <v>0</v>
      </c>
      <c r="K76" s="19">
        <f t="shared" si="148"/>
        <v>0</v>
      </c>
      <c r="L76" s="19">
        <f t="shared" si="149"/>
        <v>0</v>
      </c>
      <c r="M76" s="19">
        <f t="shared" si="150"/>
        <v>0</v>
      </c>
      <c r="N76" s="19">
        <f t="shared" si="151"/>
        <v>0</v>
      </c>
      <c r="O76" s="19">
        <f t="shared" si="152"/>
        <v>0</v>
      </c>
      <c r="P76" s="19">
        <f t="shared" si="153"/>
        <v>0</v>
      </c>
      <c r="Q76" s="19">
        <f t="shared" si="154"/>
        <v>0</v>
      </c>
      <c r="R76" s="19">
        <f t="shared" si="155"/>
        <v>0</v>
      </c>
      <c r="S76" s="19">
        <f t="shared" si="156"/>
        <v>0</v>
      </c>
      <c r="T76" s="19">
        <f t="shared" si="157"/>
        <v>0</v>
      </c>
      <c r="U76" s="19">
        <f t="shared" si="158"/>
        <v>0</v>
      </c>
      <c r="V76" s="19">
        <f t="shared" si="159"/>
        <v>0</v>
      </c>
      <c r="W76" s="19">
        <f t="shared" si="160"/>
        <v>0</v>
      </c>
      <c r="X76" s="19">
        <f t="shared" si="161"/>
        <v>0</v>
      </c>
      <c r="Y76" s="19">
        <f t="shared" si="162"/>
        <v>0</v>
      </c>
      <c r="Z76" s="19">
        <f t="shared" si="163"/>
        <v>0</v>
      </c>
      <c r="AA76" s="171" t="s">
        <v>237</v>
      </c>
      <c r="AB76" s="17" t="e">
        <f>+H76*SUMIF('[1]KẾ HOẠCH'!$B$5:$CK$5,'Cắt lồng'!AA76,'[1]KẾ HOẠCH'!$B$6:$CK$6)+H76*SUMIF('[1]KẾ HOẠCH'!$B$7:$CK$7,'Cắt lồng'!AA76,'[1]KẾ HOẠCH'!$B$8:$CK$8)+H76*SUMIF('[1]KẾ HOẠCH'!$B$15:$CK$15,'Cắt lồng'!AA76,'[1]KẾ HOẠCH'!$B$16:$CK$16)</f>
        <v>#VALUE!</v>
      </c>
      <c r="AC76" s="16">
        <f t="shared" si="164"/>
        <v>0</v>
      </c>
      <c r="AD76" s="15" t="e">
        <f t="shared" si="165"/>
        <v>#VALUE!</v>
      </c>
      <c r="AE76" s="42"/>
      <c r="AF76" s="10" t="e">
        <f t="shared" si="166"/>
        <v>#DIV/0!</v>
      </c>
      <c r="AG76" s="10"/>
      <c r="AH76" s="152">
        <f t="shared" si="167"/>
        <v>0</v>
      </c>
      <c r="AI76" s="54" t="e">
        <f t="shared" si="168"/>
        <v>#DIV/0!</v>
      </c>
      <c r="AJ76" s="25">
        <f t="shared" si="169"/>
        <v>0</v>
      </c>
      <c r="AK76" s="25">
        <f t="shared" si="170"/>
        <v>0</v>
      </c>
      <c r="AL76" s="25">
        <f t="shared" si="171"/>
        <v>0</v>
      </c>
      <c r="AM76" s="30">
        <f t="shared" si="172"/>
        <v>0</v>
      </c>
      <c r="AN76" s="25">
        <f t="shared" si="173"/>
        <v>0</v>
      </c>
      <c r="AO76" s="25">
        <f t="shared" si="174"/>
        <v>0</v>
      </c>
      <c r="AP76" s="25">
        <f t="shared" si="175"/>
        <v>0</v>
      </c>
      <c r="AQ76" s="25">
        <f t="shared" si="176"/>
        <v>0</v>
      </c>
      <c r="AR76" s="25">
        <f t="shared" si="177"/>
        <v>0</v>
      </c>
      <c r="AS76" s="25">
        <f t="shared" si="178"/>
        <v>0</v>
      </c>
      <c r="AT76" s="25">
        <f t="shared" si="179"/>
        <v>0</v>
      </c>
      <c r="AV76" s="79">
        <f t="shared" si="180"/>
        <v>0</v>
      </c>
      <c r="AW76" s="79">
        <f t="array" ref="AW76">SUMIFS('Cắt lồng'!$AC$327:$AC$515,'Cắt lồng'!$AA$327:$AA$515,'Cắt lồng'!$AA76,'Cắt lồng'!$AE$327:$AE$515,'Cắt lồng'!AW$4:AW$4)</f>
        <v>0</v>
      </c>
      <c r="AX76" s="79">
        <f t="array" ref="AX76">SUMIFS('Cắt lồng'!$AH$327:$AH$515,'Cắt lồng'!$AA$327:$AA$515,'Cắt lồng'!$AA76,'Cắt lồng'!$AE$327:$AE$515,'Cắt lồng'!AX$4:AX$4)</f>
        <v>0</v>
      </c>
      <c r="AY76" s="78" t="e">
        <f t="shared" si="181"/>
        <v>#DIV/0!</v>
      </c>
      <c r="AZ76" s="79">
        <f t="array" ref="AZ76">SUMIFS('Cắt lồng'!$AC$327:$AC$515,'Cắt lồng'!$AA$327:$AA$515,'Cắt lồng'!$AA76,'Cắt lồng'!$AE$327:$AE$515,'Cắt lồng'!AZ$4:AZ$4)</f>
        <v>0</v>
      </c>
      <c r="BA76" s="79">
        <f t="array" ref="BA76">SUMIFS('Cắt lồng'!$AH$327:$AH$515,'Cắt lồng'!$AA$327:$AA$515,'Cắt lồng'!$AA76,'Cắt lồng'!$AE$327:$AE$515,'Cắt lồng'!BA$4:BA$4)</f>
        <v>0</v>
      </c>
      <c r="BB76" s="78" t="e">
        <f t="shared" si="182"/>
        <v>#DIV/0!</v>
      </c>
      <c r="BC76" s="79">
        <f>SUMIFS('Cắt lồng'!$AC$327:$AC$515,'Cắt lồng'!$AA$327:$AA$515,'Cắt lồng'!$AA76,'Cắt lồng'!$AE$327:$AE$515,'Cắt lồng'!BC$4:BC$4)</f>
        <v>0</v>
      </c>
      <c r="BD76" s="79">
        <f t="array" ref="BD76">SUMIFS('Cắt lồng'!$AH$327:$AH$515,'Cắt lồng'!$AA$327:$AA$515,'Cắt lồng'!$AA76,'Cắt lồng'!$AE$327:$AE$515,'Cắt lồng'!BD$4:BD$4)</f>
        <v>0</v>
      </c>
      <c r="BE76" s="78" t="e">
        <f t="shared" si="183"/>
        <v>#DIV/0!</v>
      </c>
      <c r="BF76" s="79">
        <f t="array" ref="BF76">SUMIFS('Cắt lồng'!$AC$327:$AC$515,'Cắt lồng'!$AA$327:$AA$515,'Cắt lồng'!$AA76,'Cắt lồng'!$AE$327:$AE$515,'Cắt lồng'!BF$4:BF$4)</f>
        <v>0</v>
      </c>
      <c r="BG76" s="79">
        <f t="array" ref="BG76">SUMIFS('Cắt lồng'!$AH$327:$AH$515,'Cắt lồng'!$AA$327:$AA$515,'Cắt lồng'!$AA76,'Cắt lồng'!$AE$327:$AE$515,'Cắt lồng'!BG$4:BG$4)</f>
        <v>0</v>
      </c>
      <c r="BH76" s="78" t="e">
        <f t="shared" si="184"/>
        <v>#DIV/0!</v>
      </c>
      <c r="BI76" s="79">
        <f t="array" ref="BI76">SUMIFS('Cắt lồng'!$AC$327:$AC$515,'Cắt lồng'!$AA$327:$AA$515,'Cắt lồng'!$AA76,'Cắt lồng'!$AE$327:$AE$515,'Cắt lồng'!BI$4:BI$4)</f>
        <v>0</v>
      </c>
      <c r="BJ76" s="79">
        <f t="array" ref="BJ76">SUMIFS('Cắt lồng'!$AH$327:$AH$515,'Cắt lồng'!$AA$327:$AA$515,'Cắt lồng'!$AA76,'Cắt lồng'!$AE$327:$AE$515,'Cắt lồng'!BJ$4:BJ$4)</f>
        <v>0</v>
      </c>
      <c r="BK76" s="78" t="e">
        <f t="shared" si="185"/>
        <v>#DIV/0!</v>
      </c>
      <c r="BL76" s="79">
        <f t="array" ref="BL76">SUMIFS('Cắt lồng'!$AC$327:$AC$515,'Cắt lồng'!$AA$327:$AA$515,'Cắt lồng'!$AA76,'Cắt lồng'!$AE$327:$AE$515,'Cắt lồng'!BL$4:BL$4)</f>
        <v>0</v>
      </c>
      <c r="BM76" s="79">
        <f t="array" ref="BM76">SUMIFS('Cắt lồng'!$AH$327:$AH$515,'Cắt lồng'!$AA$327:$AA$515,'Cắt lồng'!$AA76,'Cắt lồng'!$AE$327:$AE$515,'Cắt lồng'!BM$4:BM$4)</f>
        <v>0</v>
      </c>
      <c r="BN76" s="78" t="e">
        <f t="shared" si="186"/>
        <v>#DIV/0!</v>
      </c>
      <c r="BO76" s="79">
        <f t="array" ref="BO76">SUMIFS('Cắt lồng'!$AC$327:$AC$515,'Cắt lồng'!$AA$327:$AA$515,'Cắt lồng'!$AA76,'Cắt lồng'!$AE$327:$AE$515,'Cắt lồng'!BO$4:BO$4)</f>
        <v>0</v>
      </c>
      <c r="BP76" s="79">
        <f t="array" ref="BP76">SUMIFS('Cắt lồng'!$AH$327:$AH$515,'Cắt lồng'!$AA$327:$AA$515,'Cắt lồng'!$AA76,'Cắt lồng'!$AE$327:$AE$515,'Cắt lồng'!BP$4:BP$4)</f>
        <v>0</v>
      </c>
      <c r="BQ76" s="78" t="e">
        <f t="shared" si="187"/>
        <v>#DIV/0!</v>
      </c>
      <c r="BR76" s="79">
        <f t="array" ref="BR76">SUMIFS('Cắt lồng'!$AC$327:$AC$515,'Cắt lồng'!$AA$327:$AA$515,'Cắt lồng'!$AA76,'Cắt lồng'!$AE$327:$AE$515,'Cắt lồng'!BR$4:BR$4)</f>
        <v>0</v>
      </c>
      <c r="BS76" s="79">
        <f t="array" ref="BS76">SUMIFS('Cắt lồng'!$AH$327:$AH$515,'Cắt lồng'!$AA$327:$AA$515,'Cắt lồng'!$AA76,'Cắt lồng'!$AE$327:$AE$515,'Cắt lồng'!BS$4:BS$4)</f>
        <v>0</v>
      </c>
      <c r="BT76" s="78" t="e">
        <f t="shared" si="188"/>
        <v>#DIV/0!</v>
      </c>
      <c r="BU76" s="79">
        <f t="array" ref="BU76">SUMIFS('Cắt lồng'!$AC$327:$AC$515,'Cắt lồng'!$AA$327:$AA$515,'Cắt lồng'!$AA76,'Cắt lồng'!$AE$327:$AE$515,'Cắt lồng'!BU$4:BU$4)</f>
        <v>0</v>
      </c>
      <c r="BV76" s="79">
        <f t="array" ref="BV76">SUMIFS('Cắt lồng'!$AH$327:$AH$515,'Cắt lồng'!$AA$327:$AA$515,'Cắt lồng'!$AA76,'Cắt lồng'!$AE$327:$AE$515,'Cắt lồng'!BV$4:BV$4)</f>
        <v>0</v>
      </c>
      <c r="BW76" s="78" t="e">
        <f t="shared" si="189"/>
        <v>#DIV/0!</v>
      </c>
      <c r="BX76" s="79">
        <f t="array" ref="BX76">SUMIFS('Cắt lồng'!$AC$327:$AC$515,'Cắt lồng'!$AA$327:$AA$515,'Cắt lồng'!$AA76,'Cắt lồng'!$AE$327:$AE$515,'Cắt lồng'!BX$4:BX$4)</f>
        <v>0</v>
      </c>
      <c r="BY76" s="79">
        <f t="array" ref="BY76">SUMIFS('Cắt lồng'!$AH$327:$AH$515,'Cắt lồng'!$AA$327:$AA$515,'Cắt lồng'!$AA76,'Cắt lồng'!$AE$327:$AE$515,'Cắt lồng'!BY$4:BY$4)</f>
        <v>0</v>
      </c>
      <c r="BZ76" s="78" t="e">
        <f t="shared" si="190"/>
        <v>#DIV/0!</v>
      </c>
      <c r="CA76" s="79">
        <f t="array" ref="CA76">SUMIFS('Cắt lồng'!$AC$327:$AC$515,'Cắt lồng'!$AA$327:$AA$515,'Cắt lồng'!$AA76,'Cắt lồng'!$AE$327:$AE$515,'Cắt lồng'!CA$4:CA$4)</f>
        <v>0</v>
      </c>
      <c r="CB76" s="79">
        <f t="array" ref="CB76">SUMIFS('Cắt lồng'!$AH$327:$AH$515,'Cắt lồng'!$AA$327:$AA$515,'Cắt lồng'!$AA76,'Cắt lồng'!$AE$327:$AE$515,'Cắt lồng'!CB$4:CB$4)</f>
        <v>0</v>
      </c>
      <c r="CC76" s="78" t="e">
        <f t="shared" si="191"/>
        <v>#DIV/0!</v>
      </c>
      <c r="CD76" s="79">
        <f t="array" ref="CD76">SUMIFS('Cắt lồng'!$AC$327:$AC$515,'Cắt lồng'!$AA$327:$AA$515,'Cắt lồng'!$AA76,'Cắt lồng'!$AE$327:$AE$515,'Cắt lồng'!CD$4:CD$4)</f>
        <v>0</v>
      </c>
      <c r="CE76" s="79">
        <f t="array" ref="CE76">SUMIFS('Cắt lồng'!$AH$327:$AH$515,'Cắt lồng'!$AA$327:$AA$515,'Cắt lồng'!$AA76,'Cắt lồng'!$AE$327:$AE$515,'Cắt lồng'!CE$4:CE$4)</f>
        <v>0</v>
      </c>
      <c r="CF76" s="78" t="e">
        <f t="shared" si="192"/>
        <v>#DIV/0!</v>
      </c>
      <c r="CG76" s="79">
        <f t="array" ref="CG76">SUMIFS('Cắt lồng'!$AC$327:$AC$515,'Cắt lồng'!$AA$327:$AA$515,'Cắt lồng'!$AA76,'Cắt lồng'!$AE$327:$AE$515,'Cắt lồng'!CG$4:CG$4)</f>
        <v>0</v>
      </c>
      <c r="CH76" s="79">
        <f t="array" ref="CH76">SUMIFS('Cắt lồng'!$AH$327:$AH$515,'Cắt lồng'!$AA$327:$AA$515,'Cắt lồng'!$AA76,'Cắt lồng'!$AE$327:$AE$515,'Cắt lồng'!CH$4:CH$4)</f>
        <v>0</v>
      </c>
      <c r="CI76" s="78" t="e">
        <f t="shared" si="193"/>
        <v>#DIV/0!</v>
      </c>
      <c r="CJ76" s="79">
        <f t="array" ref="CJ76">SUMIFS('Cắt lồng'!$AC$327:$AC$515,'Cắt lồng'!$AA$327:$AA$515,'Cắt lồng'!$AA76,'Cắt lồng'!$AE$327:$AE$515,'Cắt lồng'!CJ$4:CJ$4)</f>
        <v>0</v>
      </c>
      <c r="CK76" s="79">
        <f t="array" ref="CK76">SUMIFS('Cắt lồng'!$AH$327:$AH$515,'Cắt lồng'!$AA$327:$AA$515,'Cắt lồng'!$AA76,'Cắt lồng'!$AE$327:$AE$515,'Cắt lồng'!CK$4:CK$4)</f>
        <v>0</v>
      </c>
      <c r="CL76" s="78" t="e">
        <f t="shared" si="194"/>
        <v>#DIV/0!</v>
      </c>
      <c r="CM76" s="79">
        <f t="array" ref="CM76">SUMIFS('Cắt lồng'!$AC$327:$AC$515,'Cắt lồng'!$AA$327:$AA$515,'Cắt lồng'!$AA76,'Cắt lồng'!$AE$327:$AE$515,'Cắt lồng'!CM$4:CM$4)</f>
        <v>0</v>
      </c>
      <c r="CN76" s="79">
        <f t="array" ref="CN76">SUMIFS('Cắt lồng'!$AH$327:$AH$515,'Cắt lồng'!$AA$327:$AA$515,'Cắt lồng'!$AA76,'Cắt lồng'!$AE$327:$AE$515,'Cắt lồng'!CN$4:CN$4)</f>
        <v>0</v>
      </c>
      <c r="CO76" s="78" t="e">
        <f t="shared" si="195"/>
        <v>#DIV/0!</v>
      </c>
      <c r="CP76" s="79">
        <f t="array" ref="CP76">SUMIFS('Cắt lồng'!$AC$327:$AC$515,'Cắt lồng'!$AA$327:$AA$515,'Cắt lồng'!$AA76,'Cắt lồng'!$AE$327:$AE$515,'Cắt lồng'!CP$4:CP$4)</f>
        <v>0</v>
      </c>
      <c r="CQ76" s="79">
        <f t="array" ref="CQ76">SUMIFS('Cắt lồng'!$AH$327:$AH$515,'Cắt lồng'!$AA$327:$AA$515,'Cắt lồng'!$AA76,'Cắt lồng'!$AE$327:$AE$515,'Cắt lồng'!CQ$4:CQ$4)</f>
        <v>0</v>
      </c>
      <c r="CR76" s="78" t="e">
        <f t="shared" si="196"/>
        <v>#DIV/0!</v>
      </c>
      <c r="CS76" s="79">
        <f t="array" ref="CS76">SUMIFS('Cắt lồng'!$AC$327:$AC$515,'Cắt lồng'!$AA$327:$AA$515,'Cắt lồng'!$AA76,'Cắt lồng'!$AE$327:$AE$515,'Cắt lồng'!CS$4:CS$4)</f>
        <v>0</v>
      </c>
      <c r="CT76" s="79">
        <f t="array" ref="CT76">SUMIFS('Cắt lồng'!$AH$327:$AH$515,'Cắt lồng'!$AA$327:$AA$515,'Cắt lồng'!$AA76,'Cắt lồng'!$AE$327:$AE$515,'Cắt lồng'!CT$4:CT$4)</f>
        <v>0</v>
      </c>
      <c r="CU76" s="78" t="e">
        <f t="shared" si="197"/>
        <v>#DIV/0!</v>
      </c>
      <c r="CV76" s="79">
        <f t="array" ref="CV76">SUMIFS('Cắt lồng'!$AC$327:$AC$515,'Cắt lồng'!$AA$327:$AA$515,'Cắt lồng'!$AA76,'Cắt lồng'!$AE$327:$AE$515,'Cắt lồng'!CV$4:CV$4)</f>
        <v>0</v>
      </c>
      <c r="CW76" s="79">
        <f t="array" ref="CW76">SUMIFS('Cắt lồng'!$AH$327:$AH$515,'Cắt lồng'!$AA$327:$AA$515,'Cắt lồng'!$AA76,'Cắt lồng'!$AE$327:$AE$515,'Cắt lồng'!CW$4:CW$4)</f>
        <v>0</v>
      </c>
      <c r="CX76" s="78" t="e">
        <f t="shared" si="198"/>
        <v>#DIV/0!</v>
      </c>
      <c r="CY76" s="79">
        <f t="array" ref="CY76">SUMIFS('Cắt lồng'!$AC$327:$AC$515,'Cắt lồng'!$AA$327:$AA$515,'Cắt lồng'!$AA76,'Cắt lồng'!$AE$327:$AE$515,'Cắt lồng'!CY$4:CY$4)</f>
        <v>0</v>
      </c>
      <c r="CZ76" s="79">
        <f t="array" ref="CZ76">SUMIFS('Cắt lồng'!$AH$327:$AH$515,'Cắt lồng'!$AA$327:$AA$515,'Cắt lồng'!$AA76,'Cắt lồng'!$AE$327:$AE$515,'Cắt lồng'!CZ$4:CZ$4)</f>
        <v>0</v>
      </c>
      <c r="DA76" s="78" t="e">
        <f t="shared" si="199"/>
        <v>#DIV/0!</v>
      </c>
      <c r="DB76" s="79">
        <f t="array" ref="DB76">SUMIFS('Cắt lồng'!$AC$327:$AC$515,'Cắt lồng'!$AA$327:$AA$515,'Cắt lồng'!$AA76,'Cắt lồng'!$AE$327:$AE$515,'Cắt lồng'!DB$4:DB$4)</f>
        <v>0</v>
      </c>
      <c r="DC76" s="79">
        <f t="array" ref="DC76">SUMIFS('Cắt lồng'!$AH$327:$AH$515,'Cắt lồng'!$AA$327:$AA$515,'Cắt lồng'!$AA76,'Cắt lồng'!$AE$327:$AE$515,'Cắt lồng'!DC$4:DC$4)</f>
        <v>0</v>
      </c>
      <c r="DD76" s="78" t="e">
        <f t="shared" si="200"/>
        <v>#DIV/0!</v>
      </c>
      <c r="DE76" s="79">
        <f t="array" ref="DE76">SUMIFS('Cắt lồng'!$AC$327:$AC$515,'Cắt lồng'!$AA$327:$AA$515,'Cắt lồng'!$AA76,'Cắt lồng'!$AE$327:$AE$515,'Cắt lồng'!DE$4:DE$4)</f>
        <v>0</v>
      </c>
      <c r="DF76" s="79">
        <f t="array" ref="DF76">SUMIFS('Cắt lồng'!$AH$327:$AH$515,'Cắt lồng'!$AA$327:$AA$515,'Cắt lồng'!$AA76,'Cắt lồng'!$AE$327:$AE$515,'Cắt lồng'!DF$4:DF$4)</f>
        <v>0</v>
      </c>
      <c r="DG76" s="78" t="e">
        <f t="shared" si="201"/>
        <v>#DIV/0!</v>
      </c>
      <c r="DH76" s="79">
        <f t="array" ref="DH76">SUMIFS('Cắt lồng'!$AC$327:$AC$515,'Cắt lồng'!$AA$327:$AA$515,'Cắt lồng'!$AA76,'Cắt lồng'!$AE$327:$AE$515,'Cắt lồng'!DH$4:DH$4)</f>
        <v>0</v>
      </c>
      <c r="DI76" s="79">
        <f t="array" ref="DI76">SUMIFS('Cắt lồng'!$AH$327:$AH$515,'Cắt lồng'!$AA$327:$AA$515,'Cắt lồng'!$AA76,'Cắt lồng'!$AE$327:$AE$515,'Cắt lồng'!DI$4:DI$4)</f>
        <v>0</v>
      </c>
      <c r="DJ76" s="78" t="e">
        <f t="shared" si="202"/>
        <v>#DIV/0!</v>
      </c>
      <c r="DK76" s="79">
        <f t="array" ref="DK76">SUMIFS('Cắt lồng'!$AC$327:$AC$515,'Cắt lồng'!$AA$327:$AA$515,'Cắt lồng'!$AA76,'Cắt lồng'!$AE$327:$AE$515,'Cắt lồng'!DK$4:DK$4)</f>
        <v>0</v>
      </c>
      <c r="DL76" s="79">
        <f t="array" ref="DL76">SUMIFS('Cắt lồng'!$AH$327:$AH$515,'Cắt lồng'!$AA$327:$AA$515,'Cắt lồng'!$AA76,'Cắt lồng'!$AE$327:$AE$515,'Cắt lồng'!DL$4:DL$4)</f>
        <v>0</v>
      </c>
      <c r="DM76" s="78" t="e">
        <f t="shared" si="203"/>
        <v>#DIV/0!</v>
      </c>
      <c r="DN76" s="79">
        <f t="array" ref="DN76">SUMIFS('Cắt lồng'!$AC$327:$AC$515,'Cắt lồng'!$AA$327:$AA$515,'Cắt lồng'!$AA76,'Cắt lồng'!$AE$327:$AE$515,'Cắt lồng'!DN$4:DN$4)</f>
        <v>0</v>
      </c>
      <c r="DO76" s="79">
        <f t="array" ref="DO76">SUMIFS('Cắt lồng'!$AH$327:$AH$515,'Cắt lồng'!$AA$327:$AA$515,'Cắt lồng'!$AA76,'Cắt lồng'!$AE$327:$AE$515,'Cắt lồng'!DO$4:DO$4)</f>
        <v>0</v>
      </c>
      <c r="DP76" s="78" t="e">
        <f t="shared" si="204"/>
        <v>#DIV/0!</v>
      </c>
      <c r="DQ76" s="79">
        <f t="array" ref="DQ76">SUMIFS('Cắt lồng'!$AC$327:$AC$515,'Cắt lồng'!$AA$327:$AA$515,'Cắt lồng'!$AA76,'Cắt lồng'!$AE$327:$AE$515,'Cắt lồng'!DQ$4:DQ$4)</f>
        <v>0</v>
      </c>
      <c r="DR76" s="79">
        <f t="array" ref="DR76">SUMIFS('Cắt lồng'!$AH$327:$AH$515,'Cắt lồng'!$AA$327:$AA$515,'Cắt lồng'!$AA76,'Cắt lồng'!$AE$327:$AE$515,'Cắt lồng'!DR$4:DR$4)</f>
        <v>0</v>
      </c>
      <c r="DS76" s="78" t="e">
        <f t="shared" si="205"/>
        <v>#DIV/0!</v>
      </c>
      <c r="DT76" s="79">
        <f t="array" ref="DT76">SUMIFS('Cắt lồng'!$AC$327:$AC$515,'Cắt lồng'!$AA$327:$AA$515,'Cắt lồng'!$AA76,'Cắt lồng'!$AE$327:$AE$515,'Cắt lồng'!DT$4:DT$4)</f>
        <v>0</v>
      </c>
      <c r="DU76" s="79">
        <f t="array" ref="DU76">SUMIFS('Cắt lồng'!$AH$327:$AH$515,'Cắt lồng'!$AA$327:$AA$515,'Cắt lồng'!$AA76,'Cắt lồng'!$AE$327:$AE$515,'Cắt lồng'!DU$4:DU$4)</f>
        <v>0</v>
      </c>
      <c r="DV76" s="78" t="e">
        <f t="shared" si="206"/>
        <v>#DIV/0!</v>
      </c>
      <c r="DW76" s="79">
        <f t="array" ref="DW76">SUMIFS('Cắt lồng'!$AC$327:$AC$515,'Cắt lồng'!$AA$327:$AA$515,'Cắt lồng'!$AA76,'Cắt lồng'!$AE$327:$AE$515,'Cắt lồng'!DW$4:DW$4)</f>
        <v>0</v>
      </c>
      <c r="DX76" s="79">
        <f t="array" ref="DX76">SUMIFS('Cắt lồng'!$AH$327:$AH$515,'Cắt lồng'!$AA$327:$AA$515,'Cắt lồng'!$AA76,'Cắt lồng'!$AE$327:$AE$515,'Cắt lồng'!DX$4:DX$4)</f>
        <v>0</v>
      </c>
      <c r="DY76" s="78" t="e">
        <f t="shared" si="207"/>
        <v>#DIV/0!</v>
      </c>
      <c r="DZ76" s="79">
        <f t="array" ref="DZ76">SUMIFS('Cắt lồng'!$AC$327:$AC$515,'Cắt lồng'!$AA$327:$AA$515,'Cắt lồng'!$AA76,'Cắt lồng'!$AE$327:$AE$515,'Cắt lồng'!DZ$4:DZ$4)</f>
        <v>0</v>
      </c>
      <c r="EA76" s="79">
        <f t="array" ref="EA76">SUMIFS('Cắt lồng'!$AH$327:$AH$515,'Cắt lồng'!$AA$327:$AA$515,'Cắt lồng'!$AA76,'Cắt lồng'!$AE$327:$AE$515,'Cắt lồng'!EA$4:EA$4)</f>
        <v>0</v>
      </c>
      <c r="EB76" s="78" t="e">
        <f t="shared" si="208"/>
        <v>#DIV/0!</v>
      </c>
      <c r="EC76" s="79">
        <f t="array" ref="EC76">SUMIFS('Cắt lồng'!$AC$327:$AC$515,'Cắt lồng'!$AA$327:$AA$515,'Cắt lồng'!$AA76,'Cắt lồng'!$AE$327:$AE$515,'Cắt lồng'!EC$4:EC$4)</f>
        <v>0</v>
      </c>
      <c r="ED76" s="79">
        <f t="array" ref="ED76">SUMIFS('Cắt lồng'!$AH$327:$AH$515,'Cắt lồng'!$AA$327:$AA$515,'Cắt lồng'!$AA76,'Cắt lồng'!$AE$327:$AE$515,'Cắt lồng'!ED$4:ED$4)</f>
        <v>0</v>
      </c>
      <c r="EE76" s="78" t="e">
        <f t="shared" si="209"/>
        <v>#DIV/0!</v>
      </c>
      <c r="EF76" s="79">
        <f t="array" ref="EF76">SUMIFS('Cắt lồng'!$AC$327:$AC$515,'Cắt lồng'!$AA$327:$AA$515,'Cắt lồng'!$AA76,'Cắt lồng'!$AE$327:$AE$515,'Cắt lồng'!EF$4:EF$4)</f>
        <v>0</v>
      </c>
      <c r="EG76" s="79">
        <f t="array" ref="EG76">SUMIFS('Cắt lồng'!$AH$327:$AH$515,'Cắt lồng'!$AA$327:$AA$515,'Cắt lồng'!$AA76,'Cắt lồng'!$AE$327:$AE$515,'Cắt lồng'!EG$4:EG$4)</f>
        <v>0</v>
      </c>
      <c r="EH76" s="78" t="e">
        <f t="shared" si="210"/>
        <v>#DIV/0!</v>
      </c>
      <c r="EI76" s="79">
        <f t="array" ref="EI76">SUMIFS('Cắt lồng'!$AC$327:$AC$515,'Cắt lồng'!$AA$327:$AA$515,'Cắt lồng'!$AA76,'Cắt lồng'!$AE$327:$AE$515,'Cắt lồng'!EI$4:EI$4)</f>
        <v>0</v>
      </c>
      <c r="EJ76" s="79">
        <f t="array" ref="EJ76">SUMIFS('Cắt lồng'!$AH$327:$AH$515,'Cắt lồng'!$AA$327:$AA$515,'Cắt lồng'!$AA76,'Cắt lồng'!$AE$327:$AE$515,'Cắt lồng'!EJ$4:EJ$4)</f>
        <v>0</v>
      </c>
      <c r="EK76" s="78" t="e">
        <f t="shared" si="211"/>
        <v>#DIV/0!</v>
      </c>
    </row>
    <row r="77" spans="1:179" s="12" customFormat="1" ht="14.25" hidden="1" customHeight="1">
      <c r="A77" s="25">
        <v>48</v>
      </c>
      <c r="B77" s="26"/>
      <c r="C77" s="25"/>
      <c r="D77" s="24"/>
      <c r="E77" s="60"/>
      <c r="F77" s="59"/>
      <c r="G77" s="82">
        <f t="shared" si="144"/>
        <v>0</v>
      </c>
      <c r="H77" s="81">
        <f t="shared" si="145"/>
        <v>0</v>
      </c>
      <c r="I77" s="19">
        <f t="shared" si="146"/>
        <v>0</v>
      </c>
      <c r="J77" s="11">
        <f t="shared" si="147"/>
        <v>0</v>
      </c>
      <c r="K77" s="19">
        <f t="shared" si="148"/>
        <v>0</v>
      </c>
      <c r="L77" s="19">
        <f t="shared" si="149"/>
        <v>0</v>
      </c>
      <c r="M77" s="19">
        <f t="shared" si="150"/>
        <v>0</v>
      </c>
      <c r="N77" s="19">
        <f t="shared" si="151"/>
        <v>0</v>
      </c>
      <c r="O77" s="19">
        <f t="shared" si="152"/>
        <v>0</v>
      </c>
      <c r="P77" s="19">
        <f t="shared" si="153"/>
        <v>0</v>
      </c>
      <c r="Q77" s="19">
        <f t="shared" si="154"/>
        <v>0</v>
      </c>
      <c r="R77" s="19">
        <f t="shared" si="155"/>
        <v>0</v>
      </c>
      <c r="S77" s="19">
        <f t="shared" si="156"/>
        <v>0</v>
      </c>
      <c r="T77" s="19">
        <f t="shared" si="157"/>
        <v>0</v>
      </c>
      <c r="U77" s="19">
        <f t="shared" si="158"/>
        <v>0</v>
      </c>
      <c r="V77" s="19">
        <f t="shared" si="159"/>
        <v>0</v>
      </c>
      <c r="W77" s="19">
        <f t="shared" si="160"/>
        <v>0</v>
      </c>
      <c r="X77" s="19">
        <f t="shared" si="161"/>
        <v>0</v>
      </c>
      <c r="Y77" s="19">
        <f t="shared" si="162"/>
        <v>0</v>
      </c>
      <c r="Z77" s="19">
        <f t="shared" si="163"/>
        <v>0</v>
      </c>
      <c r="AA77" s="171">
        <v>127</v>
      </c>
      <c r="AB77" s="17" t="e">
        <f>+H77*SUMIF('[1]KẾ HOẠCH'!$B$5:$CK$5,'Cắt lồng'!AA77,'[1]KẾ HOẠCH'!$B$6:$CK$6)+H77*SUMIF('[1]KẾ HOẠCH'!$B$7:$CK$7,'Cắt lồng'!AA77,'[1]KẾ HOẠCH'!$B$8:$CK$8)+H77*SUMIF('[1]KẾ HOẠCH'!$B$15:$CK$15,'Cắt lồng'!AA77,'[1]KẾ HOẠCH'!$B$16:$CK$16)</f>
        <v>#VALUE!</v>
      </c>
      <c r="AC77" s="16">
        <f t="shared" si="164"/>
        <v>0</v>
      </c>
      <c r="AD77" s="15" t="e">
        <f t="shared" si="165"/>
        <v>#VALUE!</v>
      </c>
      <c r="AE77" s="42"/>
      <c r="AF77" s="10" t="e">
        <f t="shared" si="166"/>
        <v>#DIV/0!</v>
      </c>
      <c r="AG77" s="10"/>
      <c r="AH77" s="152">
        <f t="shared" si="167"/>
        <v>0</v>
      </c>
      <c r="AI77" s="54" t="e">
        <f t="shared" si="168"/>
        <v>#DIV/0!</v>
      </c>
      <c r="AJ77" s="25">
        <f t="shared" si="169"/>
        <v>0</v>
      </c>
      <c r="AK77" s="25">
        <f t="shared" si="170"/>
        <v>0</v>
      </c>
      <c r="AL77" s="25">
        <f t="shared" si="171"/>
        <v>0</v>
      </c>
      <c r="AM77" s="30">
        <f t="shared" si="172"/>
        <v>0</v>
      </c>
      <c r="AN77" s="25">
        <f t="shared" si="173"/>
        <v>0</v>
      </c>
      <c r="AO77" s="25">
        <f t="shared" si="174"/>
        <v>0</v>
      </c>
      <c r="AP77" s="25">
        <f t="shared" si="175"/>
        <v>0</v>
      </c>
      <c r="AQ77" s="25">
        <f t="shared" si="176"/>
        <v>0</v>
      </c>
      <c r="AR77" s="25">
        <f t="shared" si="177"/>
        <v>0</v>
      </c>
      <c r="AS77" s="25">
        <f t="shared" si="178"/>
        <v>0</v>
      </c>
      <c r="AT77" s="25">
        <f t="shared" si="179"/>
        <v>0</v>
      </c>
      <c r="AV77" s="79">
        <f t="shared" si="180"/>
        <v>0</v>
      </c>
      <c r="AW77" s="79">
        <f t="array" ref="AW77">SUMIFS('Cắt lồng'!$AC$327:$AC$515,'Cắt lồng'!$AA$327:$AA$515,'Cắt lồng'!$AA77,'Cắt lồng'!$AE$327:$AE$515,'Cắt lồng'!AW$4:AW$4)</f>
        <v>0</v>
      </c>
      <c r="AX77" s="79">
        <f t="array" ref="AX77">SUMIFS('Cắt lồng'!$AH$327:$AH$515,'Cắt lồng'!$AA$327:$AA$515,'Cắt lồng'!$AA77,'Cắt lồng'!$AE$327:$AE$515,'Cắt lồng'!AX$4:AX$4)</f>
        <v>0</v>
      </c>
      <c r="AY77" s="78" t="e">
        <f t="shared" si="181"/>
        <v>#DIV/0!</v>
      </c>
      <c r="AZ77" s="79">
        <f t="array" ref="AZ77">SUMIFS('Cắt lồng'!$AC$327:$AC$515,'Cắt lồng'!$AA$327:$AA$515,'Cắt lồng'!$AA77,'Cắt lồng'!$AE$327:$AE$515,'Cắt lồng'!AZ$4:AZ$4)</f>
        <v>0</v>
      </c>
      <c r="BA77" s="79">
        <f t="array" ref="BA77">SUMIFS('Cắt lồng'!$AH$327:$AH$515,'Cắt lồng'!$AA$327:$AA$515,'Cắt lồng'!$AA77,'Cắt lồng'!$AE$327:$AE$515,'Cắt lồng'!BA$4:BA$4)</f>
        <v>0</v>
      </c>
      <c r="BB77" s="78" t="e">
        <f t="shared" si="182"/>
        <v>#DIV/0!</v>
      </c>
      <c r="BC77" s="79">
        <f>SUMIFS('Cắt lồng'!$AC$327:$AC$515,'Cắt lồng'!$AA$327:$AA$515,'Cắt lồng'!$AA77,'Cắt lồng'!$AE$327:$AE$515,'Cắt lồng'!BC$4:BC$4)</f>
        <v>0</v>
      </c>
      <c r="BD77" s="79">
        <f t="array" ref="BD77">SUMIFS('Cắt lồng'!$AH$327:$AH$515,'Cắt lồng'!$AA$327:$AA$515,'Cắt lồng'!$AA77,'Cắt lồng'!$AE$327:$AE$515,'Cắt lồng'!BD$4:BD$4)</f>
        <v>0</v>
      </c>
      <c r="BE77" s="78" t="e">
        <f t="shared" si="183"/>
        <v>#DIV/0!</v>
      </c>
      <c r="BF77" s="79">
        <f t="array" ref="BF77">SUMIFS('Cắt lồng'!$AC$327:$AC$515,'Cắt lồng'!$AA$327:$AA$515,'Cắt lồng'!$AA77,'Cắt lồng'!$AE$327:$AE$515,'Cắt lồng'!BF$4:BF$4)</f>
        <v>0</v>
      </c>
      <c r="BG77" s="79">
        <f t="array" ref="BG77">SUMIFS('Cắt lồng'!$AH$327:$AH$515,'Cắt lồng'!$AA$327:$AA$515,'Cắt lồng'!$AA77,'Cắt lồng'!$AE$327:$AE$515,'Cắt lồng'!BG$4:BG$4)</f>
        <v>0</v>
      </c>
      <c r="BH77" s="78" t="e">
        <f t="shared" si="184"/>
        <v>#DIV/0!</v>
      </c>
      <c r="BI77" s="79">
        <f t="array" ref="BI77">SUMIFS('Cắt lồng'!$AC$327:$AC$515,'Cắt lồng'!$AA$327:$AA$515,'Cắt lồng'!$AA77,'Cắt lồng'!$AE$327:$AE$515,'Cắt lồng'!BI$4:BI$4)</f>
        <v>0</v>
      </c>
      <c r="BJ77" s="79">
        <f t="array" ref="BJ77">SUMIFS('Cắt lồng'!$AH$327:$AH$515,'Cắt lồng'!$AA$327:$AA$515,'Cắt lồng'!$AA77,'Cắt lồng'!$AE$327:$AE$515,'Cắt lồng'!BJ$4:BJ$4)</f>
        <v>0</v>
      </c>
      <c r="BK77" s="78" t="e">
        <f t="shared" si="185"/>
        <v>#DIV/0!</v>
      </c>
      <c r="BL77" s="79">
        <f t="array" ref="BL77">SUMIFS('Cắt lồng'!$AC$327:$AC$515,'Cắt lồng'!$AA$327:$AA$515,'Cắt lồng'!$AA77,'Cắt lồng'!$AE$327:$AE$515,'Cắt lồng'!BL$4:BL$4)</f>
        <v>0</v>
      </c>
      <c r="BM77" s="79">
        <f t="array" ref="BM77">SUMIFS('Cắt lồng'!$AH$327:$AH$515,'Cắt lồng'!$AA$327:$AA$515,'Cắt lồng'!$AA77,'Cắt lồng'!$AE$327:$AE$515,'Cắt lồng'!BM$4:BM$4)</f>
        <v>0</v>
      </c>
      <c r="BN77" s="78" t="e">
        <f t="shared" si="186"/>
        <v>#DIV/0!</v>
      </c>
      <c r="BO77" s="79">
        <f t="array" ref="BO77">SUMIFS('Cắt lồng'!$AC$327:$AC$515,'Cắt lồng'!$AA$327:$AA$515,'Cắt lồng'!$AA77,'Cắt lồng'!$AE$327:$AE$515,'Cắt lồng'!BO$4:BO$4)</f>
        <v>0</v>
      </c>
      <c r="BP77" s="79">
        <f t="array" ref="BP77">SUMIFS('Cắt lồng'!$AH$327:$AH$515,'Cắt lồng'!$AA$327:$AA$515,'Cắt lồng'!$AA77,'Cắt lồng'!$AE$327:$AE$515,'Cắt lồng'!BP$4:BP$4)</f>
        <v>0</v>
      </c>
      <c r="BQ77" s="78" t="e">
        <f t="shared" si="187"/>
        <v>#DIV/0!</v>
      </c>
      <c r="BR77" s="79">
        <f t="array" ref="BR77">SUMIFS('Cắt lồng'!$AC$327:$AC$515,'Cắt lồng'!$AA$327:$AA$515,'Cắt lồng'!$AA77,'Cắt lồng'!$AE$327:$AE$515,'Cắt lồng'!BR$4:BR$4)</f>
        <v>0</v>
      </c>
      <c r="BS77" s="79">
        <f t="array" ref="BS77">SUMIFS('Cắt lồng'!$AH$327:$AH$515,'Cắt lồng'!$AA$327:$AA$515,'Cắt lồng'!$AA77,'Cắt lồng'!$AE$327:$AE$515,'Cắt lồng'!BS$4:BS$4)</f>
        <v>0</v>
      </c>
      <c r="BT77" s="78" t="e">
        <f t="shared" si="188"/>
        <v>#DIV/0!</v>
      </c>
      <c r="BU77" s="79">
        <f t="array" ref="BU77">SUMIFS('Cắt lồng'!$AC$327:$AC$515,'Cắt lồng'!$AA$327:$AA$515,'Cắt lồng'!$AA77,'Cắt lồng'!$AE$327:$AE$515,'Cắt lồng'!BU$4:BU$4)</f>
        <v>0</v>
      </c>
      <c r="BV77" s="79">
        <f t="array" ref="BV77">SUMIFS('Cắt lồng'!$AH$327:$AH$515,'Cắt lồng'!$AA$327:$AA$515,'Cắt lồng'!$AA77,'Cắt lồng'!$AE$327:$AE$515,'Cắt lồng'!BV$4:BV$4)</f>
        <v>0</v>
      </c>
      <c r="BW77" s="78" t="e">
        <f t="shared" si="189"/>
        <v>#DIV/0!</v>
      </c>
      <c r="BX77" s="79">
        <f t="array" ref="BX77">SUMIFS('Cắt lồng'!$AC$327:$AC$515,'Cắt lồng'!$AA$327:$AA$515,'Cắt lồng'!$AA77,'Cắt lồng'!$AE$327:$AE$515,'Cắt lồng'!BX$4:BX$4)</f>
        <v>0</v>
      </c>
      <c r="BY77" s="79">
        <f t="array" ref="BY77">SUMIFS('Cắt lồng'!$AH$327:$AH$515,'Cắt lồng'!$AA$327:$AA$515,'Cắt lồng'!$AA77,'Cắt lồng'!$AE$327:$AE$515,'Cắt lồng'!BY$4:BY$4)</f>
        <v>0</v>
      </c>
      <c r="BZ77" s="78" t="e">
        <f t="shared" si="190"/>
        <v>#DIV/0!</v>
      </c>
      <c r="CA77" s="79">
        <f t="array" ref="CA77">SUMIFS('Cắt lồng'!$AC$327:$AC$515,'Cắt lồng'!$AA$327:$AA$515,'Cắt lồng'!$AA77,'Cắt lồng'!$AE$327:$AE$515,'Cắt lồng'!CA$4:CA$4)</f>
        <v>0</v>
      </c>
      <c r="CB77" s="79">
        <f t="array" ref="CB77">SUMIFS('Cắt lồng'!$AH$327:$AH$515,'Cắt lồng'!$AA$327:$AA$515,'Cắt lồng'!$AA77,'Cắt lồng'!$AE$327:$AE$515,'Cắt lồng'!CB$4:CB$4)</f>
        <v>0</v>
      </c>
      <c r="CC77" s="78" t="e">
        <f t="shared" si="191"/>
        <v>#DIV/0!</v>
      </c>
      <c r="CD77" s="79">
        <f t="array" ref="CD77">SUMIFS('Cắt lồng'!$AC$327:$AC$515,'Cắt lồng'!$AA$327:$AA$515,'Cắt lồng'!$AA77,'Cắt lồng'!$AE$327:$AE$515,'Cắt lồng'!CD$4:CD$4)</f>
        <v>0</v>
      </c>
      <c r="CE77" s="79">
        <f t="array" ref="CE77">SUMIFS('Cắt lồng'!$AH$327:$AH$515,'Cắt lồng'!$AA$327:$AA$515,'Cắt lồng'!$AA77,'Cắt lồng'!$AE$327:$AE$515,'Cắt lồng'!CE$4:CE$4)</f>
        <v>0</v>
      </c>
      <c r="CF77" s="78" t="e">
        <f t="shared" si="192"/>
        <v>#DIV/0!</v>
      </c>
      <c r="CG77" s="79">
        <f t="array" ref="CG77">SUMIFS('Cắt lồng'!$AC$327:$AC$515,'Cắt lồng'!$AA$327:$AA$515,'Cắt lồng'!$AA77,'Cắt lồng'!$AE$327:$AE$515,'Cắt lồng'!CG$4:CG$4)</f>
        <v>0</v>
      </c>
      <c r="CH77" s="79">
        <f t="array" ref="CH77">SUMIFS('Cắt lồng'!$AH$327:$AH$515,'Cắt lồng'!$AA$327:$AA$515,'Cắt lồng'!$AA77,'Cắt lồng'!$AE$327:$AE$515,'Cắt lồng'!CH$4:CH$4)</f>
        <v>0</v>
      </c>
      <c r="CI77" s="78" t="e">
        <f t="shared" si="193"/>
        <v>#DIV/0!</v>
      </c>
      <c r="CJ77" s="79">
        <f t="array" ref="CJ77">SUMIFS('Cắt lồng'!$AC$327:$AC$515,'Cắt lồng'!$AA$327:$AA$515,'Cắt lồng'!$AA77,'Cắt lồng'!$AE$327:$AE$515,'Cắt lồng'!CJ$4:CJ$4)</f>
        <v>0</v>
      </c>
      <c r="CK77" s="79">
        <f t="array" ref="CK77">SUMIFS('Cắt lồng'!$AH$327:$AH$515,'Cắt lồng'!$AA$327:$AA$515,'Cắt lồng'!$AA77,'Cắt lồng'!$AE$327:$AE$515,'Cắt lồng'!CK$4:CK$4)</f>
        <v>0</v>
      </c>
      <c r="CL77" s="78" t="e">
        <f t="shared" si="194"/>
        <v>#DIV/0!</v>
      </c>
      <c r="CM77" s="79">
        <f t="array" ref="CM77">SUMIFS('Cắt lồng'!$AC$327:$AC$515,'Cắt lồng'!$AA$327:$AA$515,'Cắt lồng'!$AA77,'Cắt lồng'!$AE$327:$AE$515,'Cắt lồng'!CM$4:CM$4)</f>
        <v>0</v>
      </c>
      <c r="CN77" s="79">
        <f t="array" ref="CN77">SUMIFS('Cắt lồng'!$AH$327:$AH$515,'Cắt lồng'!$AA$327:$AA$515,'Cắt lồng'!$AA77,'Cắt lồng'!$AE$327:$AE$515,'Cắt lồng'!CN$4:CN$4)</f>
        <v>0</v>
      </c>
      <c r="CO77" s="78" t="e">
        <f t="shared" si="195"/>
        <v>#DIV/0!</v>
      </c>
      <c r="CP77" s="79">
        <f t="array" ref="CP77">SUMIFS('Cắt lồng'!$AC$327:$AC$515,'Cắt lồng'!$AA$327:$AA$515,'Cắt lồng'!$AA77,'Cắt lồng'!$AE$327:$AE$515,'Cắt lồng'!CP$4:CP$4)</f>
        <v>0</v>
      </c>
      <c r="CQ77" s="79">
        <f t="array" ref="CQ77">SUMIFS('Cắt lồng'!$AH$327:$AH$515,'Cắt lồng'!$AA$327:$AA$515,'Cắt lồng'!$AA77,'Cắt lồng'!$AE$327:$AE$515,'Cắt lồng'!CQ$4:CQ$4)</f>
        <v>0</v>
      </c>
      <c r="CR77" s="78" t="e">
        <f t="shared" si="196"/>
        <v>#DIV/0!</v>
      </c>
      <c r="CS77" s="79">
        <f t="array" ref="CS77">SUMIFS('Cắt lồng'!$AC$327:$AC$515,'Cắt lồng'!$AA$327:$AA$515,'Cắt lồng'!$AA77,'Cắt lồng'!$AE$327:$AE$515,'Cắt lồng'!CS$4:CS$4)</f>
        <v>0</v>
      </c>
      <c r="CT77" s="79">
        <f t="array" ref="CT77">SUMIFS('Cắt lồng'!$AH$327:$AH$515,'Cắt lồng'!$AA$327:$AA$515,'Cắt lồng'!$AA77,'Cắt lồng'!$AE$327:$AE$515,'Cắt lồng'!CT$4:CT$4)</f>
        <v>0</v>
      </c>
      <c r="CU77" s="78" t="e">
        <f t="shared" si="197"/>
        <v>#DIV/0!</v>
      </c>
      <c r="CV77" s="79">
        <f t="array" ref="CV77">SUMIFS('Cắt lồng'!$AC$327:$AC$515,'Cắt lồng'!$AA$327:$AA$515,'Cắt lồng'!$AA77,'Cắt lồng'!$AE$327:$AE$515,'Cắt lồng'!CV$4:CV$4)</f>
        <v>0</v>
      </c>
      <c r="CW77" s="79">
        <f t="array" ref="CW77">SUMIFS('Cắt lồng'!$AH$327:$AH$515,'Cắt lồng'!$AA$327:$AA$515,'Cắt lồng'!$AA77,'Cắt lồng'!$AE$327:$AE$515,'Cắt lồng'!CW$4:CW$4)</f>
        <v>0</v>
      </c>
      <c r="CX77" s="78" t="e">
        <f t="shared" si="198"/>
        <v>#DIV/0!</v>
      </c>
      <c r="CY77" s="79">
        <f t="array" ref="CY77">SUMIFS('Cắt lồng'!$AC$327:$AC$515,'Cắt lồng'!$AA$327:$AA$515,'Cắt lồng'!$AA77,'Cắt lồng'!$AE$327:$AE$515,'Cắt lồng'!CY$4:CY$4)</f>
        <v>0</v>
      </c>
      <c r="CZ77" s="79">
        <f t="array" ref="CZ77">SUMIFS('Cắt lồng'!$AH$327:$AH$515,'Cắt lồng'!$AA$327:$AA$515,'Cắt lồng'!$AA77,'Cắt lồng'!$AE$327:$AE$515,'Cắt lồng'!CZ$4:CZ$4)</f>
        <v>0</v>
      </c>
      <c r="DA77" s="78" t="e">
        <f t="shared" si="199"/>
        <v>#DIV/0!</v>
      </c>
      <c r="DB77" s="79">
        <f t="array" ref="DB77">SUMIFS('Cắt lồng'!$AC$327:$AC$515,'Cắt lồng'!$AA$327:$AA$515,'Cắt lồng'!$AA77,'Cắt lồng'!$AE$327:$AE$515,'Cắt lồng'!DB$4:DB$4)</f>
        <v>0</v>
      </c>
      <c r="DC77" s="79">
        <f t="array" ref="DC77">SUMIFS('Cắt lồng'!$AH$327:$AH$515,'Cắt lồng'!$AA$327:$AA$515,'Cắt lồng'!$AA77,'Cắt lồng'!$AE$327:$AE$515,'Cắt lồng'!DC$4:DC$4)</f>
        <v>0</v>
      </c>
      <c r="DD77" s="78" t="e">
        <f t="shared" si="200"/>
        <v>#DIV/0!</v>
      </c>
      <c r="DE77" s="79">
        <f t="array" ref="DE77">SUMIFS('Cắt lồng'!$AC$327:$AC$515,'Cắt lồng'!$AA$327:$AA$515,'Cắt lồng'!$AA77,'Cắt lồng'!$AE$327:$AE$515,'Cắt lồng'!DE$4:DE$4)</f>
        <v>0</v>
      </c>
      <c r="DF77" s="79">
        <f t="array" ref="DF77">SUMIFS('Cắt lồng'!$AH$327:$AH$515,'Cắt lồng'!$AA$327:$AA$515,'Cắt lồng'!$AA77,'Cắt lồng'!$AE$327:$AE$515,'Cắt lồng'!DF$4:DF$4)</f>
        <v>0</v>
      </c>
      <c r="DG77" s="78" t="e">
        <f t="shared" si="201"/>
        <v>#DIV/0!</v>
      </c>
      <c r="DH77" s="79">
        <f t="array" ref="DH77">SUMIFS('Cắt lồng'!$AC$327:$AC$515,'Cắt lồng'!$AA$327:$AA$515,'Cắt lồng'!$AA77,'Cắt lồng'!$AE$327:$AE$515,'Cắt lồng'!DH$4:DH$4)</f>
        <v>0</v>
      </c>
      <c r="DI77" s="79">
        <f t="array" ref="DI77">SUMIFS('Cắt lồng'!$AH$327:$AH$515,'Cắt lồng'!$AA$327:$AA$515,'Cắt lồng'!$AA77,'Cắt lồng'!$AE$327:$AE$515,'Cắt lồng'!DI$4:DI$4)</f>
        <v>0</v>
      </c>
      <c r="DJ77" s="78" t="e">
        <f t="shared" si="202"/>
        <v>#DIV/0!</v>
      </c>
      <c r="DK77" s="79">
        <f t="array" ref="DK77">SUMIFS('Cắt lồng'!$AC$327:$AC$515,'Cắt lồng'!$AA$327:$AA$515,'Cắt lồng'!$AA77,'Cắt lồng'!$AE$327:$AE$515,'Cắt lồng'!DK$4:DK$4)</f>
        <v>0</v>
      </c>
      <c r="DL77" s="79">
        <f t="array" ref="DL77">SUMIFS('Cắt lồng'!$AH$327:$AH$515,'Cắt lồng'!$AA$327:$AA$515,'Cắt lồng'!$AA77,'Cắt lồng'!$AE$327:$AE$515,'Cắt lồng'!DL$4:DL$4)</f>
        <v>0</v>
      </c>
      <c r="DM77" s="78" t="e">
        <f t="shared" si="203"/>
        <v>#DIV/0!</v>
      </c>
      <c r="DN77" s="79">
        <f t="array" ref="DN77">SUMIFS('Cắt lồng'!$AC$327:$AC$515,'Cắt lồng'!$AA$327:$AA$515,'Cắt lồng'!$AA77,'Cắt lồng'!$AE$327:$AE$515,'Cắt lồng'!DN$4:DN$4)</f>
        <v>0</v>
      </c>
      <c r="DO77" s="79">
        <f t="array" ref="DO77">SUMIFS('Cắt lồng'!$AH$327:$AH$515,'Cắt lồng'!$AA$327:$AA$515,'Cắt lồng'!$AA77,'Cắt lồng'!$AE$327:$AE$515,'Cắt lồng'!DO$4:DO$4)</f>
        <v>0</v>
      </c>
      <c r="DP77" s="78" t="e">
        <f t="shared" si="204"/>
        <v>#DIV/0!</v>
      </c>
      <c r="DQ77" s="79">
        <f t="array" ref="DQ77">SUMIFS('Cắt lồng'!$AC$327:$AC$515,'Cắt lồng'!$AA$327:$AA$515,'Cắt lồng'!$AA77,'Cắt lồng'!$AE$327:$AE$515,'Cắt lồng'!DQ$4:DQ$4)</f>
        <v>0</v>
      </c>
      <c r="DR77" s="79">
        <f t="array" ref="DR77">SUMIFS('Cắt lồng'!$AH$327:$AH$515,'Cắt lồng'!$AA$327:$AA$515,'Cắt lồng'!$AA77,'Cắt lồng'!$AE$327:$AE$515,'Cắt lồng'!DR$4:DR$4)</f>
        <v>0</v>
      </c>
      <c r="DS77" s="78" t="e">
        <f t="shared" si="205"/>
        <v>#DIV/0!</v>
      </c>
      <c r="DT77" s="79">
        <f t="array" ref="DT77">SUMIFS('Cắt lồng'!$AC$327:$AC$515,'Cắt lồng'!$AA$327:$AA$515,'Cắt lồng'!$AA77,'Cắt lồng'!$AE$327:$AE$515,'Cắt lồng'!DT$4:DT$4)</f>
        <v>0</v>
      </c>
      <c r="DU77" s="79">
        <f t="array" ref="DU77">SUMIFS('Cắt lồng'!$AH$327:$AH$515,'Cắt lồng'!$AA$327:$AA$515,'Cắt lồng'!$AA77,'Cắt lồng'!$AE$327:$AE$515,'Cắt lồng'!DU$4:DU$4)</f>
        <v>0</v>
      </c>
      <c r="DV77" s="78" t="e">
        <f t="shared" si="206"/>
        <v>#DIV/0!</v>
      </c>
      <c r="DW77" s="79">
        <f t="array" ref="DW77">SUMIFS('Cắt lồng'!$AC$327:$AC$515,'Cắt lồng'!$AA$327:$AA$515,'Cắt lồng'!$AA77,'Cắt lồng'!$AE$327:$AE$515,'Cắt lồng'!DW$4:DW$4)</f>
        <v>0</v>
      </c>
      <c r="DX77" s="79">
        <f t="array" ref="DX77">SUMIFS('Cắt lồng'!$AH$327:$AH$515,'Cắt lồng'!$AA$327:$AA$515,'Cắt lồng'!$AA77,'Cắt lồng'!$AE$327:$AE$515,'Cắt lồng'!DX$4:DX$4)</f>
        <v>0</v>
      </c>
      <c r="DY77" s="78" t="e">
        <f t="shared" si="207"/>
        <v>#DIV/0!</v>
      </c>
      <c r="DZ77" s="79">
        <f t="array" ref="DZ77">SUMIFS('Cắt lồng'!$AC$327:$AC$515,'Cắt lồng'!$AA$327:$AA$515,'Cắt lồng'!$AA77,'Cắt lồng'!$AE$327:$AE$515,'Cắt lồng'!DZ$4:DZ$4)</f>
        <v>0</v>
      </c>
      <c r="EA77" s="79">
        <f t="array" ref="EA77">SUMIFS('Cắt lồng'!$AH$327:$AH$515,'Cắt lồng'!$AA$327:$AA$515,'Cắt lồng'!$AA77,'Cắt lồng'!$AE$327:$AE$515,'Cắt lồng'!EA$4:EA$4)</f>
        <v>0</v>
      </c>
      <c r="EB77" s="78" t="e">
        <f t="shared" si="208"/>
        <v>#DIV/0!</v>
      </c>
      <c r="EC77" s="79">
        <f t="array" ref="EC77">SUMIFS('Cắt lồng'!$AC$327:$AC$515,'Cắt lồng'!$AA$327:$AA$515,'Cắt lồng'!$AA77,'Cắt lồng'!$AE$327:$AE$515,'Cắt lồng'!EC$4:EC$4)</f>
        <v>0</v>
      </c>
      <c r="ED77" s="79">
        <f t="array" ref="ED77">SUMIFS('Cắt lồng'!$AH$327:$AH$515,'Cắt lồng'!$AA$327:$AA$515,'Cắt lồng'!$AA77,'Cắt lồng'!$AE$327:$AE$515,'Cắt lồng'!ED$4:ED$4)</f>
        <v>0</v>
      </c>
      <c r="EE77" s="78" t="e">
        <f t="shared" si="209"/>
        <v>#DIV/0!</v>
      </c>
      <c r="EF77" s="79">
        <f t="array" ref="EF77">SUMIFS('Cắt lồng'!$AC$327:$AC$515,'Cắt lồng'!$AA$327:$AA$515,'Cắt lồng'!$AA77,'Cắt lồng'!$AE$327:$AE$515,'Cắt lồng'!EF$4:EF$4)</f>
        <v>0</v>
      </c>
      <c r="EG77" s="79">
        <f t="array" ref="EG77">SUMIFS('Cắt lồng'!$AH$327:$AH$515,'Cắt lồng'!$AA$327:$AA$515,'Cắt lồng'!$AA77,'Cắt lồng'!$AE$327:$AE$515,'Cắt lồng'!EG$4:EG$4)</f>
        <v>0</v>
      </c>
      <c r="EH77" s="78" t="e">
        <f t="shared" si="210"/>
        <v>#DIV/0!</v>
      </c>
      <c r="EI77" s="79">
        <f t="array" ref="EI77">SUMIFS('Cắt lồng'!$AC$327:$AC$515,'Cắt lồng'!$AA$327:$AA$515,'Cắt lồng'!$AA77,'Cắt lồng'!$AE$327:$AE$515,'Cắt lồng'!EI$4:EI$4)</f>
        <v>0</v>
      </c>
      <c r="EJ77" s="79">
        <f t="array" ref="EJ77">SUMIFS('Cắt lồng'!$AH$327:$AH$515,'Cắt lồng'!$AA$327:$AA$515,'Cắt lồng'!$AA77,'Cắt lồng'!$AE$327:$AE$515,'Cắt lồng'!EJ$4:EJ$4)</f>
        <v>0</v>
      </c>
      <c r="EK77" s="78" t="e">
        <f t="shared" si="211"/>
        <v>#DIV/0!</v>
      </c>
    </row>
    <row r="78" spans="1:179" s="12" customFormat="1" ht="14.25" hidden="1" customHeight="1">
      <c r="A78" s="25">
        <v>49</v>
      </c>
      <c r="B78" s="26"/>
      <c r="C78" s="25"/>
      <c r="D78" s="24"/>
      <c r="E78" s="60"/>
      <c r="F78" s="59"/>
      <c r="G78" s="82">
        <f t="shared" si="144"/>
        <v>0</v>
      </c>
      <c r="H78" s="81">
        <f t="shared" si="145"/>
        <v>0</v>
      </c>
      <c r="I78" s="19">
        <f t="shared" si="146"/>
        <v>0</v>
      </c>
      <c r="J78" s="11">
        <f t="shared" si="147"/>
        <v>0</v>
      </c>
      <c r="K78" s="19">
        <f t="shared" si="148"/>
        <v>0</v>
      </c>
      <c r="L78" s="19">
        <f t="shared" si="149"/>
        <v>0</v>
      </c>
      <c r="M78" s="19">
        <f t="shared" si="150"/>
        <v>0</v>
      </c>
      <c r="N78" s="19">
        <f t="shared" si="151"/>
        <v>0</v>
      </c>
      <c r="O78" s="19">
        <f t="shared" si="152"/>
        <v>0</v>
      </c>
      <c r="P78" s="19">
        <f t="shared" si="153"/>
        <v>0</v>
      </c>
      <c r="Q78" s="19">
        <f t="shared" si="154"/>
        <v>0</v>
      </c>
      <c r="R78" s="19">
        <f t="shared" si="155"/>
        <v>0</v>
      </c>
      <c r="S78" s="19">
        <f t="shared" si="156"/>
        <v>0</v>
      </c>
      <c r="T78" s="19">
        <f t="shared" si="157"/>
        <v>0</v>
      </c>
      <c r="U78" s="19">
        <f t="shared" si="158"/>
        <v>0</v>
      </c>
      <c r="V78" s="19">
        <f t="shared" si="159"/>
        <v>0</v>
      </c>
      <c r="W78" s="19">
        <f t="shared" si="160"/>
        <v>0</v>
      </c>
      <c r="X78" s="19">
        <f t="shared" si="161"/>
        <v>0</v>
      </c>
      <c r="Y78" s="19">
        <f t="shared" si="162"/>
        <v>0</v>
      </c>
      <c r="Z78" s="19">
        <f t="shared" si="163"/>
        <v>0</v>
      </c>
      <c r="AA78" s="171">
        <v>5243</v>
      </c>
      <c r="AB78" s="17" t="e">
        <f>+H78*SUMIF('[1]KẾ HOẠCH'!$B$5:$CK$5,'Cắt lồng'!AA78,'[1]KẾ HOẠCH'!$B$6:$CK$6)+H78*SUMIF('[1]KẾ HOẠCH'!$B$7:$CK$7,'Cắt lồng'!AA78,'[1]KẾ HOẠCH'!$B$8:$CK$8)+H78*SUMIF('[1]KẾ HOẠCH'!$B$15:$CK$15,'Cắt lồng'!AA78,'[1]KẾ HOẠCH'!$B$16:$CK$16)</f>
        <v>#VALUE!</v>
      </c>
      <c r="AC78" s="16">
        <f t="shared" si="164"/>
        <v>0</v>
      </c>
      <c r="AD78" s="15" t="e">
        <f t="shared" si="165"/>
        <v>#VALUE!</v>
      </c>
      <c r="AE78" s="42"/>
      <c r="AF78" s="10" t="e">
        <f t="shared" si="166"/>
        <v>#DIV/0!</v>
      </c>
      <c r="AG78" s="10"/>
      <c r="AH78" s="152">
        <f t="shared" si="167"/>
        <v>0</v>
      </c>
      <c r="AI78" s="54" t="e">
        <f t="shared" si="168"/>
        <v>#DIV/0!</v>
      </c>
      <c r="AJ78" s="25">
        <f t="shared" si="169"/>
        <v>0</v>
      </c>
      <c r="AK78" s="25">
        <f t="shared" si="170"/>
        <v>0</v>
      </c>
      <c r="AL78" s="25">
        <f t="shared" si="171"/>
        <v>0</v>
      </c>
      <c r="AM78" s="30">
        <f t="shared" si="172"/>
        <v>0</v>
      </c>
      <c r="AN78" s="25">
        <f t="shared" si="173"/>
        <v>0</v>
      </c>
      <c r="AO78" s="25">
        <f t="shared" si="174"/>
        <v>0</v>
      </c>
      <c r="AP78" s="25">
        <f t="shared" si="175"/>
        <v>0</v>
      </c>
      <c r="AQ78" s="25">
        <f t="shared" si="176"/>
        <v>0</v>
      </c>
      <c r="AR78" s="25">
        <f t="shared" si="177"/>
        <v>0</v>
      </c>
      <c r="AS78" s="25">
        <f t="shared" si="178"/>
        <v>0</v>
      </c>
      <c r="AT78" s="25">
        <f t="shared" si="179"/>
        <v>0</v>
      </c>
      <c r="AV78" s="79">
        <f t="shared" si="180"/>
        <v>0</v>
      </c>
      <c r="AW78" s="79">
        <f t="array" ref="AW78">SUMIFS('Cắt lồng'!$AC$327:$AC$515,'Cắt lồng'!$AA$327:$AA$515,'Cắt lồng'!$AA78,'Cắt lồng'!$AE$327:$AE$515,'Cắt lồng'!AW$4:AW$4)</f>
        <v>0</v>
      </c>
      <c r="AX78" s="79">
        <f t="array" ref="AX78">SUMIFS('Cắt lồng'!$AH$327:$AH$515,'Cắt lồng'!$AA$327:$AA$515,'Cắt lồng'!$AA78,'Cắt lồng'!$AE$327:$AE$515,'Cắt lồng'!AX$4:AX$4)</f>
        <v>0</v>
      </c>
      <c r="AY78" s="78" t="e">
        <f t="shared" si="181"/>
        <v>#DIV/0!</v>
      </c>
      <c r="AZ78" s="79">
        <f t="array" ref="AZ78">SUMIFS('Cắt lồng'!$AC$327:$AC$515,'Cắt lồng'!$AA$327:$AA$515,'Cắt lồng'!$AA78,'Cắt lồng'!$AE$327:$AE$515,'Cắt lồng'!AZ$4:AZ$4)</f>
        <v>0</v>
      </c>
      <c r="BA78" s="79">
        <f t="array" ref="BA78">SUMIFS('Cắt lồng'!$AH$327:$AH$515,'Cắt lồng'!$AA$327:$AA$515,'Cắt lồng'!$AA78,'Cắt lồng'!$AE$327:$AE$515,'Cắt lồng'!BA$4:BA$4)</f>
        <v>0</v>
      </c>
      <c r="BB78" s="78" t="e">
        <f t="shared" si="182"/>
        <v>#DIV/0!</v>
      </c>
      <c r="BC78" s="79">
        <f>SUMIFS('Cắt lồng'!$AC$327:$AC$515,'Cắt lồng'!$AA$327:$AA$515,'Cắt lồng'!$AA78,'Cắt lồng'!$AE$327:$AE$515,'Cắt lồng'!BC$4:BC$4)</f>
        <v>0</v>
      </c>
      <c r="BD78" s="79">
        <f t="array" ref="BD78">SUMIFS('Cắt lồng'!$AH$327:$AH$515,'Cắt lồng'!$AA$327:$AA$515,'Cắt lồng'!$AA78,'Cắt lồng'!$AE$327:$AE$515,'Cắt lồng'!BD$4:BD$4)</f>
        <v>0</v>
      </c>
      <c r="BE78" s="78" t="e">
        <f t="shared" si="183"/>
        <v>#DIV/0!</v>
      </c>
      <c r="BF78" s="79">
        <f t="array" ref="BF78">SUMIFS('Cắt lồng'!$AC$327:$AC$515,'Cắt lồng'!$AA$327:$AA$515,'Cắt lồng'!$AA78,'Cắt lồng'!$AE$327:$AE$515,'Cắt lồng'!BF$4:BF$4)</f>
        <v>0</v>
      </c>
      <c r="BG78" s="79">
        <f t="array" ref="BG78">SUMIFS('Cắt lồng'!$AH$327:$AH$515,'Cắt lồng'!$AA$327:$AA$515,'Cắt lồng'!$AA78,'Cắt lồng'!$AE$327:$AE$515,'Cắt lồng'!BG$4:BG$4)</f>
        <v>0</v>
      </c>
      <c r="BH78" s="78" t="e">
        <f t="shared" si="184"/>
        <v>#DIV/0!</v>
      </c>
      <c r="BI78" s="79">
        <f t="array" ref="BI78">SUMIFS('Cắt lồng'!$AC$327:$AC$515,'Cắt lồng'!$AA$327:$AA$515,'Cắt lồng'!$AA78,'Cắt lồng'!$AE$327:$AE$515,'Cắt lồng'!BI$4:BI$4)</f>
        <v>0</v>
      </c>
      <c r="BJ78" s="79">
        <f t="array" ref="BJ78">SUMIFS('Cắt lồng'!$AH$327:$AH$515,'Cắt lồng'!$AA$327:$AA$515,'Cắt lồng'!$AA78,'Cắt lồng'!$AE$327:$AE$515,'Cắt lồng'!BJ$4:BJ$4)</f>
        <v>0</v>
      </c>
      <c r="BK78" s="78" t="e">
        <f t="shared" si="185"/>
        <v>#DIV/0!</v>
      </c>
      <c r="BL78" s="79">
        <f t="array" ref="BL78">SUMIFS('Cắt lồng'!$AC$327:$AC$515,'Cắt lồng'!$AA$327:$AA$515,'Cắt lồng'!$AA78,'Cắt lồng'!$AE$327:$AE$515,'Cắt lồng'!BL$4:BL$4)</f>
        <v>0</v>
      </c>
      <c r="BM78" s="79">
        <f t="array" ref="BM78">SUMIFS('Cắt lồng'!$AH$327:$AH$515,'Cắt lồng'!$AA$327:$AA$515,'Cắt lồng'!$AA78,'Cắt lồng'!$AE$327:$AE$515,'Cắt lồng'!BM$4:BM$4)</f>
        <v>0</v>
      </c>
      <c r="BN78" s="78" t="e">
        <f t="shared" si="186"/>
        <v>#DIV/0!</v>
      </c>
      <c r="BO78" s="79">
        <f t="array" ref="BO78">SUMIFS('Cắt lồng'!$AC$327:$AC$515,'Cắt lồng'!$AA$327:$AA$515,'Cắt lồng'!$AA78,'Cắt lồng'!$AE$327:$AE$515,'Cắt lồng'!BO$4:BO$4)</f>
        <v>0</v>
      </c>
      <c r="BP78" s="79">
        <f t="array" ref="BP78">SUMIFS('Cắt lồng'!$AH$327:$AH$515,'Cắt lồng'!$AA$327:$AA$515,'Cắt lồng'!$AA78,'Cắt lồng'!$AE$327:$AE$515,'Cắt lồng'!BP$4:BP$4)</f>
        <v>0</v>
      </c>
      <c r="BQ78" s="78" t="e">
        <f t="shared" si="187"/>
        <v>#DIV/0!</v>
      </c>
      <c r="BR78" s="79">
        <f t="array" ref="BR78">SUMIFS('Cắt lồng'!$AC$327:$AC$515,'Cắt lồng'!$AA$327:$AA$515,'Cắt lồng'!$AA78,'Cắt lồng'!$AE$327:$AE$515,'Cắt lồng'!BR$4:BR$4)</f>
        <v>0</v>
      </c>
      <c r="BS78" s="79">
        <f t="array" ref="BS78">SUMIFS('Cắt lồng'!$AH$327:$AH$515,'Cắt lồng'!$AA$327:$AA$515,'Cắt lồng'!$AA78,'Cắt lồng'!$AE$327:$AE$515,'Cắt lồng'!BS$4:BS$4)</f>
        <v>0</v>
      </c>
      <c r="BT78" s="78" t="e">
        <f t="shared" si="188"/>
        <v>#DIV/0!</v>
      </c>
      <c r="BU78" s="79">
        <f t="array" ref="BU78">SUMIFS('Cắt lồng'!$AC$327:$AC$515,'Cắt lồng'!$AA$327:$AA$515,'Cắt lồng'!$AA78,'Cắt lồng'!$AE$327:$AE$515,'Cắt lồng'!BU$4:BU$4)</f>
        <v>0</v>
      </c>
      <c r="BV78" s="79">
        <f t="array" ref="BV78">SUMIFS('Cắt lồng'!$AH$327:$AH$515,'Cắt lồng'!$AA$327:$AA$515,'Cắt lồng'!$AA78,'Cắt lồng'!$AE$327:$AE$515,'Cắt lồng'!BV$4:BV$4)</f>
        <v>0</v>
      </c>
      <c r="BW78" s="78" t="e">
        <f t="shared" si="189"/>
        <v>#DIV/0!</v>
      </c>
      <c r="BX78" s="79">
        <f t="array" ref="BX78">SUMIFS('Cắt lồng'!$AC$327:$AC$515,'Cắt lồng'!$AA$327:$AA$515,'Cắt lồng'!$AA78,'Cắt lồng'!$AE$327:$AE$515,'Cắt lồng'!BX$4:BX$4)</f>
        <v>0</v>
      </c>
      <c r="BY78" s="79">
        <f t="array" ref="BY78">SUMIFS('Cắt lồng'!$AH$327:$AH$515,'Cắt lồng'!$AA$327:$AA$515,'Cắt lồng'!$AA78,'Cắt lồng'!$AE$327:$AE$515,'Cắt lồng'!BY$4:BY$4)</f>
        <v>0</v>
      </c>
      <c r="BZ78" s="78" t="e">
        <f t="shared" si="190"/>
        <v>#DIV/0!</v>
      </c>
      <c r="CA78" s="79">
        <f t="array" ref="CA78">SUMIFS('Cắt lồng'!$AC$327:$AC$515,'Cắt lồng'!$AA$327:$AA$515,'Cắt lồng'!$AA78,'Cắt lồng'!$AE$327:$AE$515,'Cắt lồng'!CA$4:CA$4)</f>
        <v>0</v>
      </c>
      <c r="CB78" s="79">
        <f t="array" ref="CB78">SUMIFS('Cắt lồng'!$AH$327:$AH$515,'Cắt lồng'!$AA$327:$AA$515,'Cắt lồng'!$AA78,'Cắt lồng'!$AE$327:$AE$515,'Cắt lồng'!CB$4:CB$4)</f>
        <v>0</v>
      </c>
      <c r="CC78" s="78" t="e">
        <f t="shared" si="191"/>
        <v>#DIV/0!</v>
      </c>
      <c r="CD78" s="79">
        <f t="array" ref="CD78">SUMIFS('Cắt lồng'!$AC$327:$AC$515,'Cắt lồng'!$AA$327:$AA$515,'Cắt lồng'!$AA78,'Cắt lồng'!$AE$327:$AE$515,'Cắt lồng'!CD$4:CD$4)</f>
        <v>0</v>
      </c>
      <c r="CE78" s="79">
        <f t="array" ref="CE78">SUMIFS('Cắt lồng'!$AH$327:$AH$515,'Cắt lồng'!$AA$327:$AA$515,'Cắt lồng'!$AA78,'Cắt lồng'!$AE$327:$AE$515,'Cắt lồng'!CE$4:CE$4)</f>
        <v>0</v>
      </c>
      <c r="CF78" s="78" t="e">
        <f t="shared" si="192"/>
        <v>#DIV/0!</v>
      </c>
      <c r="CG78" s="79">
        <f t="array" ref="CG78">SUMIFS('Cắt lồng'!$AC$327:$AC$515,'Cắt lồng'!$AA$327:$AA$515,'Cắt lồng'!$AA78,'Cắt lồng'!$AE$327:$AE$515,'Cắt lồng'!CG$4:CG$4)</f>
        <v>0</v>
      </c>
      <c r="CH78" s="79">
        <f t="array" ref="CH78">SUMIFS('Cắt lồng'!$AH$327:$AH$515,'Cắt lồng'!$AA$327:$AA$515,'Cắt lồng'!$AA78,'Cắt lồng'!$AE$327:$AE$515,'Cắt lồng'!CH$4:CH$4)</f>
        <v>0</v>
      </c>
      <c r="CI78" s="78" t="e">
        <f t="shared" si="193"/>
        <v>#DIV/0!</v>
      </c>
      <c r="CJ78" s="79">
        <f t="array" ref="CJ78">SUMIFS('Cắt lồng'!$AC$327:$AC$515,'Cắt lồng'!$AA$327:$AA$515,'Cắt lồng'!$AA78,'Cắt lồng'!$AE$327:$AE$515,'Cắt lồng'!CJ$4:CJ$4)</f>
        <v>0</v>
      </c>
      <c r="CK78" s="79">
        <f t="array" ref="CK78">SUMIFS('Cắt lồng'!$AH$327:$AH$515,'Cắt lồng'!$AA$327:$AA$515,'Cắt lồng'!$AA78,'Cắt lồng'!$AE$327:$AE$515,'Cắt lồng'!CK$4:CK$4)</f>
        <v>0</v>
      </c>
      <c r="CL78" s="78" t="e">
        <f t="shared" si="194"/>
        <v>#DIV/0!</v>
      </c>
      <c r="CM78" s="79">
        <f t="array" ref="CM78">SUMIFS('Cắt lồng'!$AC$327:$AC$515,'Cắt lồng'!$AA$327:$AA$515,'Cắt lồng'!$AA78,'Cắt lồng'!$AE$327:$AE$515,'Cắt lồng'!CM$4:CM$4)</f>
        <v>0</v>
      </c>
      <c r="CN78" s="79">
        <f t="array" ref="CN78">SUMIFS('Cắt lồng'!$AH$327:$AH$515,'Cắt lồng'!$AA$327:$AA$515,'Cắt lồng'!$AA78,'Cắt lồng'!$AE$327:$AE$515,'Cắt lồng'!CN$4:CN$4)</f>
        <v>0</v>
      </c>
      <c r="CO78" s="78" t="e">
        <f t="shared" si="195"/>
        <v>#DIV/0!</v>
      </c>
      <c r="CP78" s="79">
        <f t="array" ref="CP78">SUMIFS('Cắt lồng'!$AC$327:$AC$515,'Cắt lồng'!$AA$327:$AA$515,'Cắt lồng'!$AA78,'Cắt lồng'!$AE$327:$AE$515,'Cắt lồng'!CP$4:CP$4)</f>
        <v>0</v>
      </c>
      <c r="CQ78" s="79">
        <f t="array" ref="CQ78">SUMIFS('Cắt lồng'!$AH$327:$AH$515,'Cắt lồng'!$AA$327:$AA$515,'Cắt lồng'!$AA78,'Cắt lồng'!$AE$327:$AE$515,'Cắt lồng'!CQ$4:CQ$4)</f>
        <v>0</v>
      </c>
      <c r="CR78" s="78" t="e">
        <f t="shared" si="196"/>
        <v>#DIV/0!</v>
      </c>
      <c r="CS78" s="79">
        <f t="array" ref="CS78">SUMIFS('Cắt lồng'!$AC$327:$AC$515,'Cắt lồng'!$AA$327:$AA$515,'Cắt lồng'!$AA78,'Cắt lồng'!$AE$327:$AE$515,'Cắt lồng'!CS$4:CS$4)</f>
        <v>0</v>
      </c>
      <c r="CT78" s="79">
        <f t="array" ref="CT78">SUMIFS('Cắt lồng'!$AH$327:$AH$515,'Cắt lồng'!$AA$327:$AA$515,'Cắt lồng'!$AA78,'Cắt lồng'!$AE$327:$AE$515,'Cắt lồng'!CT$4:CT$4)</f>
        <v>0</v>
      </c>
      <c r="CU78" s="78" t="e">
        <f t="shared" si="197"/>
        <v>#DIV/0!</v>
      </c>
      <c r="CV78" s="79">
        <f t="array" ref="CV78">SUMIFS('Cắt lồng'!$AC$327:$AC$515,'Cắt lồng'!$AA$327:$AA$515,'Cắt lồng'!$AA78,'Cắt lồng'!$AE$327:$AE$515,'Cắt lồng'!CV$4:CV$4)</f>
        <v>0</v>
      </c>
      <c r="CW78" s="79">
        <f t="array" ref="CW78">SUMIFS('Cắt lồng'!$AH$327:$AH$515,'Cắt lồng'!$AA$327:$AA$515,'Cắt lồng'!$AA78,'Cắt lồng'!$AE$327:$AE$515,'Cắt lồng'!CW$4:CW$4)</f>
        <v>0</v>
      </c>
      <c r="CX78" s="78" t="e">
        <f t="shared" si="198"/>
        <v>#DIV/0!</v>
      </c>
      <c r="CY78" s="79">
        <f t="array" ref="CY78">SUMIFS('Cắt lồng'!$AC$327:$AC$515,'Cắt lồng'!$AA$327:$AA$515,'Cắt lồng'!$AA78,'Cắt lồng'!$AE$327:$AE$515,'Cắt lồng'!CY$4:CY$4)</f>
        <v>0</v>
      </c>
      <c r="CZ78" s="79">
        <f t="array" ref="CZ78">SUMIFS('Cắt lồng'!$AH$327:$AH$515,'Cắt lồng'!$AA$327:$AA$515,'Cắt lồng'!$AA78,'Cắt lồng'!$AE$327:$AE$515,'Cắt lồng'!CZ$4:CZ$4)</f>
        <v>0</v>
      </c>
      <c r="DA78" s="78" t="e">
        <f t="shared" si="199"/>
        <v>#DIV/0!</v>
      </c>
      <c r="DB78" s="79">
        <f t="array" ref="DB78">SUMIFS('Cắt lồng'!$AC$327:$AC$515,'Cắt lồng'!$AA$327:$AA$515,'Cắt lồng'!$AA78,'Cắt lồng'!$AE$327:$AE$515,'Cắt lồng'!DB$4:DB$4)</f>
        <v>0</v>
      </c>
      <c r="DC78" s="79">
        <f t="array" ref="DC78">SUMIFS('Cắt lồng'!$AH$327:$AH$515,'Cắt lồng'!$AA$327:$AA$515,'Cắt lồng'!$AA78,'Cắt lồng'!$AE$327:$AE$515,'Cắt lồng'!DC$4:DC$4)</f>
        <v>0</v>
      </c>
      <c r="DD78" s="78" t="e">
        <f t="shared" si="200"/>
        <v>#DIV/0!</v>
      </c>
      <c r="DE78" s="79">
        <f t="array" ref="DE78">SUMIFS('Cắt lồng'!$AC$327:$AC$515,'Cắt lồng'!$AA$327:$AA$515,'Cắt lồng'!$AA78,'Cắt lồng'!$AE$327:$AE$515,'Cắt lồng'!DE$4:DE$4)</f>
        <v>0</v>
      </c>
      <c r="DF78" s="79">
        <f t="array" ref="DF78">SUMIFS('Cắt lồng'!$AH$327:$AH$515,'Cắt lồng'!$AA$327:$AA$515,'Cắt lồng'!$AA78,'Cắt lồng'!$AE$327:$AE$515,'Cắt lồng'!DF$4:DF$4)</f>
        <v>0</v>
      </c>
      <c r="DG78" s="78" t="e">
        <f t="shared" si="201"/>
        <v>#DIV/0!</v>
      </c>
      <c r="DH78" s="79">
        <f t="array" ref="DH78">SUMIFS('Cắt lồng'!$AC$327:$AC$515,'Cắt lồng'!$AA$327:$AA$515,'Cắt lồng'!$AA78,'Cắt lồng'!$AE$327:$AE$515,'Cắt lồng'!DH$4:DH$4)</f>
        <v>0</v>
      </c>
      <c r="DI78" s="79">
        <f t="array" ref="DI78">SUMIFS('Cắt lồng'!$AH$327:$AH$515,'Cắt lồng'!$AA$327:$AA$515,'Cắt lồng'!$AA78,'Cắt lồng'!$AE$327:$AE$515,'Cắt lồng'!DI$4:DI$4)</f>
        <v>0</v>
      </c>
      <c r="DJ78" s="78" t="e">
        <f t="shared" si="202"/>
        <v>#DIV/0!</v>
      </c>
      <c r="DK78" s="79">
        <f t="array" ref="DK78">SUMIFS('Cắt lồng'!$AC$327:$AC$515,'Cắt lồng'!$AA$327:$AA$515,'Cắt lồng'!$AA78,'Cắt lồng'!$AE$327:$AE$515,'Cắt lồng'!DK$4:DK$4)</f>
        <v>0</v>
      </c>
      <c r="DL78" s="79">
        <f t="array" ref="DL78">SUMIFS('Cắt lồng'!$AH$327:$AH$515,'Cắt lồng'!$AA$327:$AA$515,'Cắt lồng'!$AA78,'Cắt lồng'!$AE$327:$AE$515,'Cắt lồng'!DL$4:DL$4)</f>
        <v>0</v>
      </c>
      <c r="DM78" s="78" t="e">
        <f t="shared" si="203"/>
        <v>#DIV/0!</v>
      </c>
      <c r="DN78" s="79">
        <f t="array" ref="DN78">SUMIFS('Cắt lồng'!$AC$327:$AC$515,'Cắt lồng'!$AA$327:$AA$515,'Cắt lồng'!$AA78,'Cắt lồng'!$AE$327:$AE$515,'Cắt lồng'!DN$4:DN$4)</f>
        <v>0</v>
      </c>
      <c r="DO78" s="79">
        <f t="array" ref="DO78">SUMIFS('Cắt lồng'!$AH$327:$AH$515,'Cắt lồng'!$AA$327:$AA$515,'Cắt lồng'!$AA78,'Cắt lồng'!$AE$327:$AE$515,'Cắt lồng'!DO$4:DO$4)</f>
        <v>0</v>
      </c>
      <c r="DP78" s="78" t="e">
        <f t="shared" si="204"/>
        <v>#DIV/0!</v>
      </c>
      <c r="DQ78" s="79">
        <f t="array" ref="DQ78">SUMIFS('Cắt lồng'!$AC$327:$AC$515,'Cắt lồng'!$AA$327:$AA$515,'Cắt lồng'!$AA78,'Cắt lồng'!$AE$327:$AE$515,'Cắt lồng'!DQ$4:DQ$4)</f>
        <v>0</v>
      </c>
      <c r="DR78" s="79">
        <f t="array" ref="DR78">SUMIFS('Cắt lồng'!$AH$327:$AH$515,'Cắt lồng'!$AA$327:$AA$515,'Cắt lồng'!$AA78,'Cắt lồng'!$AE$327:$AE$515,'Cắt lồng'!DR$4:DR$4)</f>
        <v>0</v>
      </c>
      <c r="DS78" s="78" t="e">
        <f t="shared" si="205"/>
        <v>#DIV/0!</v>
      </c>
      <c r="DT78" s="79">
        <f t="array" ref="DT78">SUMIFS('Cắt lồng'!$AC$327:$AC$515,'Cắt lồng'!$AA$327:$AA$515,'Cắt lồng'!$AA78,'Cắt lồng'!$AE$327:$AE$515,'Cắt lồng'!DT$4:DT$4)</f>
        <v>0</v>
      </c>
      <c r="DU78" s="79">
        <f t="array" ref="DU78">SUMIFS('Cắt lồng'!$AH$327:$AH$515,'Cắt lồng'!$AA$327:$AA$515,'Cắt lồng'!$AA78,'Cắt lồng'!$AE$327:$AE$515,'Cắt lồng'!DU$4:DU$4)</f>
        <v>0</v>
      </c>
      <c r="DV78" s="78" t="e">
        <f t="shared" si="206"/>
        <v>#DIV/0!</v>
      </c>
      <c r="DW78" s="79">
        <f t="array" ref="DW78">SUMIFS('Cắt lồng'!$AC$327:$AC$515,'Cắt lồng'!$AA$327:$AA$515,'Cắt lồng'!$AA78,'Cắt lồng'!$AE$327:$AE$515,'Cắt lồng'!DW$4:DW$4)</f>
        <v>0</v>
      </c>
      <c r="DX78" s="79">
        <f t="array" ref="DX78">SUMIFS('Cắt lồng'!$AH$327:$AH$515,'Cắt lồng'!$AA$327:$AA$515,'Cắt lồng'!$AA78,'Cắt lồng'!$AE$327:$AE$515,'Cắt lồng'!DX$4:DX$4)</f>
        <v>0</v>
      </c>
      <c r="DY78" s="78" t="e">
        <f t="shared" si="207"/>
        <v>#DIV/0!</v>
      </c>
      <c r="DZ78" s="79">
        <f t="array" ref="DZ78">SUMIFS('Cắt lồng'!$AC$327:$AC$515,'Cắt lồng'!$AA$327:$AA$515,'Cắt lồng'!$AA78,'Cắt lồng'!$AE$327:$AE$515,'Cắt lồng'!DZ$4:DZ$4)</f>
        <v>0</v>
      </c>
      <c r="EA78" s="79">
        <f t="array" ref="EA78">SUMIFS('Cắt lồng'!$AH$327:$AH$515,'Cắt lồng'!$AA$327:$AA$515,'Cắt lồng'!$AA78,'Cắt lồng'!$AE$327:$AE$515,'Cắt lồng'!EA$4:EA$4)</f>
        <v>0</v>
      </c>
      <c r="EB78" s="78" t="e">
        <f t="shared" si="208"/>
        <v>#DIV/0!</v>
      </c>
      <c r="EC78" s="79">
        <f t="array" ref="EC78">SUMIFS('Cắt lồng'!$AC$327:$AC$515,'Cắt lồng'!$AA$327:$AA$515,'Cắt lồng'!$AA78,'Cắt lồng'!$AE$327:$AE$515,'Cắt lồng'!EC$4:EC$4)</f>
        <v>0</v>
      </c>
      <c r="ED78" s="79">
        <f t="array" ref="ED78">SUMIFS('Cắt lồng'!$AH$327:$AH$515,'Cắt lồng'!$AA$327:$AA$515,'Cắt lồng'!$AA78,'Cắt lồng'!$AE$327:$AE$515,'Cắt lồng'!ED$4:ED$4)</f>
        <v>0</v>
      </c>
      <c r="EE78" s="78" t="e">
        <f t="shared" si="209"/>
        <v>#DIV/0!</v>
      </c>
      <c r="EF78" s="79">
        <f t="array" ref="EF78">SUMIFS('Cắt lồng'!$AC$327:$AC$515,'Cắt lồng'!$AA$327:$AA$515,'Cắt lồng'!$AA78,'Cắt lồng'!$AE$327:$AE$515,'Cắt lồng'!EF$4:EF$4)</f>
        <v>0</v>
      </c>
      <c r="EG78" s="79">
        <f t="array" ref="EG78">SUMIFS('Cắt lồng'!$AH$327:$AH$515,'Cắt lồng'!$AA$327:$AA$515,'Cắt lồng'!$AA78,'Cắt lồng'!$AE$327:$AE$515,'Cắt lồng'!EG$4:EG$4)</f>
        <v>0</v>
      </c>
      <c r="EH78" s="78" t="e">
        <f t="shared" si="210"/>
        <v>#DIV/0!</v>
      </c>
      <c r="EI78" s="79">
        <f t="array" ref="EI78">SUMIFS('Cắt lồng'!$AC$327:$AC$515,'Cắt lồng'!$AA$327:$AA$515,'Cắt lồng'!$AA78,'Cắt lồng'!$AE$327:$AE$515,'Cắt lồng'!EI$4:EI$4)</f>
        <v>0</v>
      </c>
      <c r="EJ78" s="79">
        <f t="array" ref="EJ78">SUMIFS('Cắt lồng'!$AH$327:$AH$515,'Cắt lồng'!$AA$327:$AA$515,'Cắt lồng'!$AA78,'Cắt lồng'!$AE$327:$AE$515,'Cắt lồng'!EJ$4:EJ$4)</f>
        <v>0</v>
      </c>
      <c r="EK78" s="78" t="e">
        <f t="shared" si="211"/>
        <v>#DIV/0!</v>
      </c>
    </row>
    <row r="79" spans="1:179" s="12" customFormat="1" ht="14.25" hidden="1" customHeight="1">
      <c r="A79" s="25">
        <v>50</v>
      </c>
      <c r="B79" s="26"/>
      <c r="C79" s="25"/>
      <c r="D79" s="24"/>
      <c r="E79" s="60"/>
      <c r="F79" s="59"/>
      <c r="G79" s="82">
        <f t="shared" si="144"/>
        <v>0</v>
      </c>
      <c r="H79" s="81">
        <f t="shared" si="145"/>
        <v>0</v>
      </c>
      <c r="I79" s="19">
        <f t="shared" si="146"/>
        <v>0</v>
      </c>
      <c r="J79" s="11">
        <f t="shared" si="147"/>
        <v>0</v>
      </c>
      <c r="K79" s="19">
        <f t="shared" si="148"/>
        <v>0</v>
      </c>
      <c r="L79" s="19">
        <f t="shared" si="149"/>
        <v>0</v>
      </c>
      <c r="M79" s="19">
        <f t="shared" si="150"/>
        <v>0</v>
      </c>
      <c r="N79" s="19">
        <f t="shared" si="151"/>
        <v>0</v>
      </c>
      <c r="O79" s="19">
        <f t="shared" si="152"/>
        <v>0</v>
      </c>
      <c r="P79" s="19">
        <f t="shared" si="153"/>
        <v>0</v>
      </c>
      <c r="Q79" s="19">
        <f t="shared" si="154"/>
        <v>0</v>
      </c>
      <c r="R79" s="19">
        <f t="shared" si="155"/>
        <v>0</v>
      </c>
      <c r="S79" s="19">
        <f t="shared" si="156"/>
        <v>0</v>
      </c>
      <c r="T79" s="19">
        <f t="shared" si="157"/>
        <v>0</v>
      </c>
      <c r="U79" s="19">
        <f t="shared" si="158"/>
        <v>0</v>
      </c>
      <c r="V79" s="19">
        <f t="shared" si="159"/>
        <v>0</v>
      </c>
      <c r="W79" s="19">
        <f t="shared" si="160"/>
        <v>0</v>
      </c>
      <c r="X79" s="19">
        <f t="shared" si="161"/>
        <v>0</v>
      </c>
      <c r="Y79" s="19">
        <f t="shared" si="162"/>
        <v>0</v>
      </c>
      <c r="Z79" s="19">
        <f t="shared" si="163"/>
        <v>0</v>
      </c>
      <c r="AA79" s="164" t="s">
        <v>236</v>
      </c>
      <c r="AB79" s="17" t="e">
        <f>+H79*SUMIF('[1]KẾ HOẠCH'!$B$5:$CK$5,'Cắt lồng'!AA79,'[1]KẾ HOẠCH'!$B$6:$CK$6)+H79*SUMIF('[1]KẾ HOẠCH'!$B$7:$CK$7,'Cắt lồng'!AA79,'[1]KẾ HOẠCH'!$B$8:$CK$8)+H79*SUMIF('[1]KẾ HOẠCH'!$B$15:$CK$15,'Cắt lồng'!AA79,'[1]KẾ HOẠCH'!$B$16:$CK$16)</f>
        <v>#VALUE!</v>
      </c>
      <c r="AC79" s="16">
        <f t="shared" si="164"/>
        <v>0</v>
      </c>
      <c r="AD79" s="15" t="e">
        <f t="shared" si="165"/>
        <v>#VALUE!</v>
      </c>
      <c r="AE79" s="42"/>
      <c r="AF79" s="10" t="e">
        <f t="shared" si="166"/>
        <v>#DIV/0!</v>
      </c>
      <c r="AG79" s="10"/>
      <c r="AH79" s="152">
        <f t="shared" si="167"/>
        <v>0</v>
      </c>
      <c r="AI79" s="54" t="e">
        <f t="shared" si="168"/>
        <v>#DIV/0!</v>
      </c>
      <c r="AJ79" s="25">
        <f t="shared" si="169"/>
        <v>0</v>
      </c>
      <c r="AK79" s="25">
        <f t="shared" si="170"/>
        <v>0</v>
      </c>
      <c r="AL79" s="25">
        <f t="shared" si="171"/>
        <v>0</v>
      </c>
      <c r="AM79" s="30">
        <f t="shared" si="172"/>
        <v>0</v>
      </c>
      <c r="AN79" s="25">
        <f t="shared" si="173"/>
        <v>0</v>
      </c>
      <c r="AO79" s="25">
        <f t="shared" si="174"/>
        <v>0</v>
      </c>
      <c r="AP79" s="25">
        <f t="shared" si="175"/>
        <v>0</v>
      </c>
      <c r="AQ79" s="25">
        <f t="shared" si="176"/>
        <v>0</v>
      </c>
      <c r="AR79" s="25">
        <f t="shared" si="177"/>
        <v>0</v>
      </c>
      <c r="AS79" s="25">
        <f t="shared" si="178"/>
        <v>0</v>
      </c>
      <c r="AT79" s="25">
        <f t="shared" si="179"/>
        <v>0</v>
      </c>
      <c r="AV79" s="79">
        <f t="shared" si="180"/>
        <v>0</v>
      </c>
      <c r="AW79" s="79">
        <f t="array" ref="AW79">SUMIFS('Cắt lồng'!$AC$327:$AC$515,'Cắt lồng'!$AA$327:$AA$515,'Cắt lồng'!$AA79,'Cắt lồng'!$AE$327:$AE$515,'Cắt lồng'!AW$4:AW$4)</f>
        <v>0</v>
      </c>
      <c r="AX79" s="79">
        <f t="array" ref="AX79">SUMIFS('Cắt lồng'!$AH$327:$AH$515,'Cắt lồng'!$AA$327:$AA$515,'Cắt lồng'!$AA79,'Cắt lồng'!$AE$327:$AE$515,'Cắt lồng'!AX$4:AX$4)</f>
        <v>0</v>
      </c>
      <c r="AY79" s="78" t="e">
        <f t="shared" si="181"/>
        <v>#DIV/0!</v>
      </c>
      <c r="AZ79" s="79">
        <f t="array" ref="AZ79">SUMIFS('Cắt lồng'!$AC$327:$AC$515,'Cắt lồng'!$AA$327:$AA$515,'Cắt lồng'!$AA79,'Cắt lồng'!$AE$327:$AE$515,'Cắt lồng'!AZ$4:AZ$4)</f>
        <v>0</v>
      </c>
      <c r="BA79" s="79">
        <f t="array" ref="BA79">SUMIFS('Cắt lồng'!$AH$327:$AH$515,'Cắt lồng'!$AA$327:$AA$515,'Cắt lồng'!$AA79,'Cắt lồng'!$AE$327:$AE$515,'Cắt lồng'!BA$4:BA$4)</f>
        <v>0</v>
      </c>
      <c r="BB79" s="78" t="e">
        <f t="shared" si="182"/>
        <v>#DIV/0!</v>
      </c>
      <c r="BC79" s="79">
        <f>SUMIFS('Cắt lồng'!$AC$327:$AC$515,'Cắt lồng'!$AA$327:$AA$515,'Cắt lồng'!$AA79,'Cắt lồng'!$AE$327:$AE$515,'Cắt lồng'!BC$4:BC$4)</f>
        <v>0</v>
      </c>
      <c r="BD79" s="79">
        <f t="array" ref="BD79">SUMIFS('Cắt lồng'!$AH$327:$AH$515,'Cắt lồng'!$AA$327:$AA$515,'Cắt lồng'!$AA79,'Cắt lồng'!$AE$327:$AE$515,'Cắt lồng'!BD$4:BD$4)</f>
        <v>0</v>
      </c>
      <c r="BE79" s="78" t="e">
        <f t="shared" si="183"/>
        <v>#DIV/0!</v>
      </c>
      <c r="BF79" s="79">
        <f t="array" ref="BF79">SUMIFS('Cắt lồng'!$AC$327:$AC$515,'Cắt lồng'!$AA$327:$AA$515,'Cắt lồng'!$AA79,'Cắt lồng'!$AE$327:$AE$515,'Cắt lồng'!BF$4:BF$4)</f>
        <v>0</v>
      </c>
      <c r="BG79" s="79">
        <f t="array" ref="BG79">SUMIFS('Cắt lồng'!$AH$327:$AH$515,'Cắt lồng'!$AA$327:$AA$515,'Cắt lồng'!$AA79,'Cắt lồng'!$AE$327:$AE$515,'Cắt lồng'!BG$4:BG$4)</f>
        <v>0</v>
      </c>
      <c r="BH79" s="78" t="e">
        <f t="shared" si="184"/>
        <v>#DIV/0!</v>
      </c>
      <c r="BI79" s="79">
        <f t="array" ref="BI79">SUMIFS('Cắt lồng'!$AC$327:$AC$515,'Cắt lồng'!$AA$327:$AA$515,'Cắt lồng'!$AA79,'Cắt lồng'!$AE$327:$AE$515,'Cắt lồng'!BI$4:BI$4)</f>
        <v>0</v>
      </c>
      <c r="BJ79" s="79">
        <f t="array" ref="BJ79">SUMIFS('Cắt lồng'!$AH$327:$AH$515,'Cắt lồng'!$AA$327:$AA$515,'Cắt lồng'!$AA79,'Cắt lồng'!$AE$327:$AE$515,'Cắt lồng'!BJ$4:BJ$4)</f>
        <v>0</v>
      </c>
      <c r="BK79" s="78" t="e">
        <f t="shared" si="185"/>
        <v>#DIV/0!</v>
      </c>
      <c r="BL79" s="79">
        <f t="array" ref="BL79">SUMIFS('Cắt lồng'!$AC$327:$AC$515,'Cắt lồng'!$AA$327:$AA$515,'Cắt lồng'!$AA79,'Cắt lồng'!$AE$327:$AE$515,'Cắt lồng'!BL$4:BL$4)</f>
        <v>0</v>
      </c>
      <c r="BM79" s="79">
        <f t="array" ref="BM79">SUMIFS('Cắt lồng'!$AH$327:$AH$515,'Cắt lồng'!$AA$327:$AA$515,'Cắt lồng'!$AA79,'Cắt lồng'!$AE$327:$AE$515,'Cắt lồng'!BM$4:BM$4)</f>
        <v>0</v>
      </c>
      <c r="BN79" s="78" t="e">
        <f t="shared" si="186"/>
        <v>#DIV/0!</v>
      </c>
      <c r="BO79" s="79">
        <f t="array" ref="BO79">SUMIFS('Cắt lồng'!$AC$327:$AC$515,'Cắt lồng'!$AA$327:$AA$515,'Cắt lồng'!$AA79,'Cắt lồng'!$AE$327:$AE$515,'Cắt lồng'!BO$4:BO$4)</f>
        <v>0</v>
      </c>
      <c r="BP79" s="79">
        <f t="array" ref="BP79">SUMIFS('Cắt lồng'!$AH$327:$AH$515,'Cắt lồng'!$AA$327:$AA$515,'Cắt lồng'!$AA79,'Cắt lồng'!$AE$327:$AE$515,'Cắt lồng'!BP$4:BP$4)</f>
        <v>0</v>
      </c>
      <c r="BQ79" s="78" t="e">
        <f t="shared" si="187"/>
        <v>#DIV/0!</v>
      </c>
      <c r="BR79" s="79">
        <f t="array" ref="BR79">SUMIFS('Cắt lồng'!$AC$327:$AC$515,'Cắt lồng'!$AA$327:$AA$515,'Cắt lồng'!$AA79,'Cắt lồng'!$AE$327:$AE$515,'Cắt lồng'!BR$4:BR$4)</f>
        <v>0</v>
      </c>
      <c r="BS79" s="79">
        <f t="array" ref="BS79">SUMIFS('Cắt lồng'!$AH$327:$AH$515,'Cắt lồng'!$AA$327:$AA$515,'Cắt lồng'!$AA79,'Cắt lồng'!$AE$327:$AE$515,'Cắt lồng'!BS$4:BS$4)</f>
        <v>0</v>
      </c>
      <c r="BT79" s="78" t="e">
        <f t="shared" si="188"/>
        <v>#DIV/0!</v>
      </c>
      <c r="BU79" s="79">
        <f t="array" ref="BU79">SUMIFS('Cắt lồng'!$AC$327:$AC$515,'Cắt lồng'!$AA$327:$AA$515,'Cắt lồng'!$AA79,'Cắt lồng'!$AE$327:$AE$515,'Cắt lồng'!BU$4:BU$4)</f>
        <v>0</v>
      </c>
      <c r="BV79" s="79">
        <f t="array" ref="BV79">SUMIFS('Cắt lồng'!$AH$327:$AH$515,'Cắt lồng'!$AA$327:$AA$515,'Cắt lồng'!$AA79,'Cắt lồng'!$AE$327:$AE$515,'Cắt lồng'!BV$4:BV$4)</f>
        <v>0</v>
      </c>
      <c r="BW79" s="78" t="e">
        <f t="shared" si="189"/>
        <v>#DIV/0!</v>
      </c>
      <c r="BX79" s="79">
        <f t="array" ref="BX79">SUMIFS('Cắt lồng'!$AC$327:$AC$515,'Cắt lồng'!$AA$327:$AA$515,'Cắt lồng'!$AA79,'Cắt lồng'!$AE$327:$AE$515,'Cắt lồng'!BX$4:BX$4)</f>
        <v>0</v>
      </c>
      <c r="BY79" s="79">
        <f t="array" ref="BY79">SUMIFS('Cắt lồng'!$AH$327:$AH$515,'Cắt lồng'!$AA$327:$AA$515,'Cắt lồng'!$AA79,'Cắt lồng'!$AE$327:$AE$515,'Cắt lồng'!BY$4:BY$4)</f>
        <v>0</v>
      </c>
      <c r="BZ79" s="78" t="e">
        <f t="shared" si="190"/>
        <v>#DIV/0!</v>
      </c>
      <c r="CA79" s="79">
        <f t="array" ref="CA79">SUMIFS('Cắt lồng'!$AC$327:$AC$515,'Cắt lồng'!$AA$327:$AA$515,'Cắt lồng'!$AA79,'Cắt lồng'!$AE$327:$AE$515,'Cắt lồng'!CA$4:CA$4)</f>
        <v>0</v>
      </c>
      <c r="CB79" s="79">
        <f t="array" ref="CB79">SUMIFS('Cắt lồng'!$AH$327:$AH$515,'Cắt lồng'!$AA$327:$AA$515,'Cắt lồng'!$AA79,'Cắt lồng'!$AE$327:$AE$515,'Cắt lồng'!CB$4:CB$4)</f>
        <v>0</v>
      </c>
      <c r="CC79" s="78" t="e">
        <f t="shared" si="191"/>
        <v>#DIV/0!</v>
      </c>
      <c r="CD79" s="79">
        <f t="array" ref="CD79">SUMIFS('Cắt lồng'!$AC$327:$AC$515,'Cắt lồng'!$AA$327:$AA$515,'Cắt lồng'!$AA79,'Cắt lồng'!$AE$327:$AE$515,'Cắt lồng'!CD$4:CD$4)</f>
        <v>0</v>
      </c>
      <c r="CE79" s="79">
        <f t="array" ref="CE79">SUMIFS('Cắt lồng'!$AH$327:$AH$515,'Cắt lồng'!$AA$327:$AA$515,'Cắt lồng'!$AA79,'Cắt lồng'!$AE$327:$AE$515,'Cắt lồng'!CE$4:CE$4)</f>
        <v>0</v>
      </c>
      <c r="CF79" s="78" t="e">
        <f t="shared" si="192"/>
        <v>#DIV/0!</v>
      </c>
      <c r="CG79" s="79">
        <f t="array" ref="CG79">SUMIFS('Cắt lồng'!$AC$327:$AC$515,'Cắt lồng'!$AA$327:$AA$515,'Cắt lồng'!$AA79,'Cắt lồng'!$AE$327:$AE$515,'Cắt lồng'!CG$4:CG$4)</f>
        <v>0</v>
      </c>
      <c r="CH79" s="79">
        <f t="array" ref="CH79">SUMIFS('Cắt lồng'!$AH$327:$AH$515,'Cắt lồng'!$AA$327:$AA$515,'Cắt lồng'!$AA79,'Cắt lồng'!$AE$327:$AE$515,'Cắt lồng'!CH$4:CH$4)</f>
        <v>0</v>
      </c>
      <c r="CI79" s="78" t="e">
        <f t="shared" si="193"/>
        <v>#DIV/0!</v>
      </c>
      <c r="CJ79" s="79">
        <f t="array" ref="CJ79">SUMIFS('Cắt lồng'!$AC$327:$AC$515,'Cắt lồng'!$AA$327:$AA$515,'Cắt lồng'!$AA79,'Cắt lồng'!$AE$327:$AE$515,'Cắt lồng'!CJ$4:CJ$4)</f>
        <v>0</v>
      </c>
      <c r="CK79" s="79">
        <f t="array" ref="CK79">SUMIFS('Cắt lồng'!$AH$327:$AH$515,'Cắt lồng'!$AA$327:$AA$515,'Cắt lồng'!$AA79,'Cắt lồng'!$AE$327:$AE$515,'Cắt lồng'!CK$4:CK$4)</f>
        <v>0</v>
      </c>
      <c r="CL79" s="78" t="e">
        <f t="shared" si="194"/>
        <v>#DIV/0!</v>
      </c>
      <c r="CM79" s="79">
        <f t="array" ref="CM79">SUMIFS('Cắt lồng'!$AC$327:$AC$515,'Cắt lồng'!$AA$327:$AA$515,'Cắt lồng'!$AA79,'Cắt lồng'!$AE$327:$AE$515,'Cắt lồng'!CM$4:CM$4)</f>
        <v>0</v>
      </c>
      <c r="CN79" s="79">
        <f t="array" ref="CN79">SUMIFS('Cắt lồng'!$AH$327:$AH$515,'Cắt lồng'!$AA$327:$AA$515,'Cắt lồng'!$AA79,'Cắt lồng'!$AE$327:$AE$515,'Cắt lồng'!CN$4:CN$4)</f>
        <v>0</v>
      </c>
      <c r="CO79" s="78" t="e">
        <f t="shared" si="195"/>
        <v>#DIV/0!</v>
      </c>
      <c r="CP79" s="79">
        <f t="array" ref="CP79">SUMIFS('Cắt lồng'!$AC$327:$AC$515,'Cắt lồng'!$AA$327:$AA$515,'Cắt lồng'!$AA79,'Cắt lồng'!$AE$327:$AE$515,'Cắt lồng'!CP$4:CP$4)</f>
        <v>0</v>
      </c>
      <c r="CQ79" s="79">
        <f t="array" ref="CQ79">SUMIFS('Cắt lồng'!$AH$327:$AH$515,'Cắt lồng'!$AA$327:$AA$515,'Cắt lồng'!$AA79,'Cắt lồng'!$AE$327:$AE$515,'Cắt lồng'!CQ$4:CQ$4)</f>
        <v>0</v>
      </c>
      <c r="CR79" s="78" t="e">
        <f t="shared" si="196"/>
        <v>#DIV/0!</v>
      </c>
      <c r="CS79" s="79">
        <f t="array" ref="CS79">SUMIFS('Cắt lồng'!$AC$327:$AC$515,'Cắt lồng'!$AA$327:$AA$515,'Cắt lồng'!$AA79,'Cắt lồng'!$AE$327:$AE$515,'Cắt lồng'!CS$4:CS$4)</f>
        <v>0</v>
      </c>
      <c r="CT79" s="79">
        <f t="array" ref="CT79">SUMIFS('Cắt lồng'!$AH$327:$AH$515,'Cắt lồng'!$AA$327:$AA$515,'Cắt lồng'!$AA79,'Cắt lồng'!$AE$327:$AE$515,'Cắt lồng'!CT$4:CT$4)</f>
        <v>0</v>
      </c>
      <c r="CU79" s="78" t="e">
        <f t="shared" si="197"/>
        <v>#DIV/0!</v>
      </c>
      <c r="CV79" s="79">
        <f t="array" ref="CV79">SUMIFS('Cắt lồng'!$AC$327:$AC$515,'Cắt lồng'!$AA$327:$AA$515,'Cắt lồng'!$AA79,'Cắt lồng'!$AE$327:$AE$515,'Cắt lồng'!CV$4:CV$4)</f>
        <v>0</v>
      </c>
      <c r="CW79" s="79">
        <f t="array" ref="CW79">SUMIFS('Cắt lồng'!$AH$327:$AH$515,'Cắt lồng'!$AA$327:$AA$515,'Cắt lồng'!$AA79,'Cắt lồng'!$AE$327:$AE$515,'Cắt lồng'!CW$4:CW$4)</f>
        <v>0</v>
      </c>
      <c r="CX79" s="78" t="e">
        <f t="shared" si="198"/>
        <v>#DIV/0!</v>
      </c>
      <c r="CY79" s="79">
        <f t="array" ref="CY79">SUMIFS('Cắt lồng'!$AC$327:$AC$515,'Cắt lồng'!$AA$327:$AA$515,'Cắt lồng'!$AA79,'Cắt lồng'!$AE$327:$AE$515,'Cắt lồng'!CY$4:CY$4)</f>
        <v>0</v>
      </c>
      <c r="CZ79" s="79">
        <f t="array" ref="CZ79">SUMIFS('Cắt lồng'!$AH$327:$AH$515,'Cắt lồng'!$AA$327:$AA$515,'Cắt lồng'!$AA79,'Cắt lồng'!$AE$327:$AE$515,'Cắt lồng'!CZ$4:CZ$4)</f>
        <v>0</v>
      </c>
      <c r="DA79" s="78" t="e">
        <f t="shared" si="199"/>
        <v>#DIV/0!</v>
      </c>
      <c r="DB79" s="79">
        <f t="array" ref="DB79">SUMIFS('Cắt lồng'!$AC$327:$AC$515,'Cắt lồng'!$AA$327:$AA$515,'Cắt lồng'!$AA79,'Cắt lồng'!$AE$327:$AE$515,'Cắt lồng'!DB$4:DB$4)</f>
        <v>0</v>
      </c>
      <c r="DC79" s="79">
        <f t="array" ref="DC79">SUMIFS('Cắt lồng'!$AH$327:$AH$515,'Cắt lồng'!$AA$327:$AA$515,'Cắt lồng'!$AA79,'Cắt lồng'!$AE$327:$AE$515,'Cắt lồng'!DC$4:DC$4)</f>
        <v>0</v>
      </c>
      <c r="DD79" s="78" t="e">
        <f t="shared" si="200"/>
        <v>#DIV/0!</v>
      </c>
      <c r="DE79" s="79">
        <f t="array" ref="DE79">SUMIFS('Cắt lồng'!$AC$327:$AC$515,'Cắt lồng'!$AA$327:$AA$515,'Cắt lồng'!$AA79,'Cắt lồng'!$AE$327:$AE$515,'Cắt lồng'!DE$4:DE$4)</f>
        <v>0</v>
      </c>
      <c r="DF79" s="79">
        <f t="array" ref="DF79">SUMIFS('Cắt lồng'!$AH$327:$AH$515,'Cắt lồng'!$AA$327:$AA$515,'Cắt lồng'!$AA79,'Cắt lồng'!$AE$327:$AE$515,'Cắt lồng'!DF$4:DF$4)</f>
        <v>0</v>
      </c>
      <c r="DG79" s="78" t="e">
        <f t="shared" si="201"/>
        <v>#DIV/0!</v>
      </c>
      <c r="DH79" s="79">
        <f t="array" ref="DH79">SUMIFS('Cắt lồng'!$AC$327:$AC$515,'Cắt lồng'!$AA$327:$AA$515,'Cắt lồng'!$AA79,'Cắt lồng'!$AE$327:$AE$515,'Cắt lồng'!DH$4:DH$4)</f>
        <v>0</v>
      </c>
      <c r="DI79" s="79">
        <f t="array" ref="DI79">SUMIFS('Cắt lồng'!$AH$327:$AH$515,'Cắt lồng'!$AA$327:$AA$515,'Cắt lồng'!$AA79,'Cắt lồng'!$AE$327:$AE$515,'Cắt lồng'!DI$4:DI$4)</f>
        <v>0</v>
      </c>
      <c r="DJ79" s="78" t="e">
        <f t="shared" si="202"/>
        <v>#DIV/0!</v>
      </c>
      <c r="DK79" s="79">
        <f t="array" ref="DK79">SUMIFS('Cắt lồng'!$AC$327:$AC$515,'Cắt lồng'!$AA$327:$AA$515,'Cắt lồng'!$AA79,'Cắt lồng'!$AE$327:$AE$515,'Cắt lồng'!DK$4:DK$4)</f>
        <v>0</v>
      </c>
      <c r="DL79" s="79">
        <f t="array" ref="DL79">SUMIFS('Cắt lồng'!$AH$327:$AH$515,'Cắt lồng'!$AA$327:$AA$515,'Cắt lồng'!$AA79,'Cắt lồng'!$AE$327:$AE$515,'Cắt lồng'!DL$4:DL$4)</f>
        <v>0</v>
      </c>
      <c r="DM79" s="78" t="e">
        <f t="shared" si="203"/>
        <v>#DIV/0!</v>
      </c>
      <c r="DN79" s="79">
        <f t="array" ref="DN79">SUMIFS('Cắt lồng'!$AC$327:$AC$515,'Cắt lồng'!$AA$327:$AA$515,'Cắt lồng'!$AA79,'Cắt lồng'!$AE$327:$AE$515,'Cắt lồng'!DN$4:DN$4)</f>
        <v>0</v>
      </c>
      <c r="DO79" s="79">
        <f t="array" ref="DO79">SUMIFS('Cắt lồng'!$AH$327:$AH$515,'Cắt lồng'!$AA$327:$AA$515,'Cắt lồng'!$AA79,'Cắt lồng'!$AE$327:$AE$515,'Cắt lồng'!DO$4:DO$4)</f>
        <v>0</v>
      </c>
      <c r="DP79" s="78" t="e">
        <f t="shared" si="204"/>
        <v>#DIV/0!</v>
      </c>
      <c r="DQ79" s="79">
        <f t="array" ref="DQ79">SUMIFS('Cắt lồng'!$AC$327:$AC$515,'Cắt lồng'!$AA$327:$AA$515,'Cắt lồng'!$AA79,'Cắt lồng'!$AE$327:$AE$515,'Cắt lồng'!DQ$4:DQ$4)</f>
        <v>0</v>
      </c>
      <c r="DR79" s="79">
        <f t="array" ref="DR79">SUMIFS('Cắt lồng'!$AH$327:$AH$515,'Cắt lồng'!$AA$327:$AA$515,'Cắt lồng'!$AA79,'Cắt lồng'!$AE$327:$AE$515,'Cắt lồng'!DR$4:DR$4)</f>
        <v>0</v>
      </c>
      <c r="DS79" s="78" t="e">
        <f t="shared" si="205"/>
        <v>#DIV/0!</v>
      </c>
      <c r="DT79" s="79">
        <f t="array" ref="DT79">SUMIFS('Cắt lồng'!$AC$327:$AC$515,'Cắt lồng'!$AA$327:$AA$515,'Cắt lồng'!$AA79,'Cắt lồng'!$AE$327:$AE$515,'Cắt lồng'!DT$4:DT$4)</f>
        <v>0</v>
      </c>
      <c r="DU79" s="79">
        <f t="array" ref="DU79">SUMIFS('Cắt lồng'!$AH$327:$AH$515,'Cắt lồng'!$AA$327:$AA$515,'Cắt lồng'!$AA79,'Cắt lồng'!$AE$327:$AE$515,'Cắt lồng'!DU$4:DU$4)</f>
        <v>0</v>
      </c>
      <c r="DV79" s="78" t="e">
        <f t="shared" si="206"/>
        <v>#DIV/0!</v>
      </c>
      <c r="DW79" s="79">
        <f t="array" ref="DW79">SUMIFS('Cắt lồng'!$AC$327:$AC$515,'Cắt lồng'!$AA$327:$AA$515,'Cắt lồng'!$AA79,'Cắt lồng'!$AE$327:$AE$515,'Cắt lồng'!DW$4:DW$4)</f>
        <v>0</v>
      </c>
      <c r="DX79" s="79">
        <f t="array" ref="DX79">SUMIFS('Cắt lồng'!$AH$327:$AH$515,'Cắt lồng'!$AA$327:$AA$515,'Cắt lồng'!$AA79,'Cắt lồng'!$AE$327:$AE$515,'Cắt lồng'!DX$4:DX$4)</f>
        <v>0</v>
      </c>
      <c r="DY79" s="78" t="e">
        <f t="shared" si="207"/>
        <v>#DIV/0!</v>
      </c>
      <c r="DZ79" s="79">
        <f t="array" ref="DZ79">SUMIFS('Cắt lồng'!$AC$327:$AC$515,'Cắt lồng'!$AA$327:$AA$515,'Cắt lồng'!$AA79,'Cắt lồng'!$AE$327:$AE$515,'Cắt lồng'!DZ$4:DZ$4)</f>
        <v>0</v>
      </c>
      <c r="EA79" s="79">
        <f t="array" ref="EA79">SUMIFS('Cắt lồng'!$AH$327:$AH$515,'Cắt lồng'!$AA$327:$AA$515,'Cắt lồng'!$AA79,'Cắt lồng'!$AE$327:$AE$515,'Cắt lồng'!EA$4:EA$4)</f>
        <v>0</v>
      </c>
      <c r="EB79" s="78" t="e">
        <f t="shared" si="208"/>
        <v>#DIV/0!</v>
      </c>
      <c r="EC79" s="79">
        <f t="array" ref="EC79">SUMIFS('Cắt lồng'!$AC$327:$AC$515,'Cắt lồng'!$AA$327:$AA$515,'Cắt lồng'!$AA79,'Cắt lồng'!$AE$327:$AE$515,'Cắt lồng'!EC$4:EC$4)</f>
        <v>0</v>
      </c>
      <c r="ED79" s="79">
        <f t="array" ref="ED79">SUMIFS('Cắt lồng'!$AH$327:$AH$515,'Cắt lồng'!$AA$327:$AA$515,'Cắt lồng'!$AA79,'Cắt lồng'!$AE$327:$AE$515,'Cắt lồng'!ED$4:ED$4)</f>
        <v>0</v>
      </c>
      <c r="EE79" s="78" t="e">
        <f t="shared" si="209"/>
        <v>#DIV/0!</v>
      </c>
      <c r="EF79" s="79">
        <f t="array" ref="EF79">SUMIFS('Cắt lồng'!$AC$327:$AC$515,'Cắt lồng'!$AA$327:$AA$515,'Cắt lồng'!$AA79,'Cắt lồng'!$AE$327:$AE$515,'Cắt lồng'!EF$4:EF$4)</f>
        <v>0</v>
      </c>
      <c r="EG79" s="79">
        <f t="array" ref="EG79">SUMIFS('Cắt lồng'!$AH$327:$AH$515,'Cắt lồng'!$AA$327:$AA$515,'Cắt lồng'!$AA79,'Cắt lồng'!$AE$327:$AE$515,'Cắt lồng'!EG$4:EG$4)</f>
        <v>0</v>
      </c>
      <c r="EH79" s="78" t="e">
        <f t="shared" si="210"/>
        <v>#DIV/0!</v>
      </c>
      <c r="EI79" s="79">
        <f t="array" ref="EI79">SUMIFS('Cắt lồng'!$AC$327:$AC$515,'Cắt lồng'!$AA$327:$AA$515,'Cắt lồng'!$AA79,'Cắt lồng'!$AE$327:$AE$515,'Cắt lồng'!EI$4:EI$4)</f>
        <v>0</v>
      </c>
      <c r="EJ79" s="79">
        <f t="array" ref="EJ79">SUMIFS('Cắt lồng'!$AH$327:$AH$515,'Cắt lồng'!$AA$327:$AA$515,'Cắt lồng'!$AA79,'Cắt lồng'!$AE$327:$AE$515,'Cắt lồng'!EJ$4:EJ$4)</f>
        <v>0</v>
      </c>
      <c r="EK79" s="78" t="e">
        <f t="shared" si="211"/>
        <v>#DIV/0!</v>
      </c>
    </row>
    <row r="80" spans="1:179" s="12" customFormat="1" ht="14.25" hidden="1" customHeight="1">
      <c r="A80" s="25">
        <v>51</v>
      </c>
      <c r="B80" s="26"/>
      <c r="C80" s="25"/>
      <c r="D80" s="24"/>
      <c r="E80" s="60"/>
      <c r="F80" s="59"/>
      <c r="G80" s="82">
        <f t="shared" si="144"/>
        <v>0</v>
      </c>
      <c r="H80" s="81">
        <f t="shared" si="145"/>
        <v>0</v>
      </c>
      <c r="I80" s="19">
        <f t="shared" si="146"/>
        <v>0</v>
      </c>
      <c r="J80" s="11">
        <f t="shared" si="147"/>
        <v>0</v>
      </c>
      <c r="K80" s="19">
        <f t="shared" si="148"/>
        <v>0</v>
      </c>
      <c r="L80" s="19">
        <f t="shared" si="149"/>
        <v>0</v>
      </c>
      <c r="M80" s="19">
        <f t="shared" si="150"/>
        <v>0</v>
      </c>
      <c r="N80" s="19">
        <f t="shared" si="151"/>
        <v>0</v>
      </c>
      <c r="O80" s="19">
        <f t="shared" si="152"/>
        <v>0</v>
      </c>
      <c r="P80" s="19">
        <f t="shared" si="153"/>
        <v>0</v>
      </c>
      <c r="Q80" s="19">
        <f t="shared" si="154"/>
        <v>0</v>
      </c>
      <c r="R80" s="19">
        <f t="shared" si="155"/>
        <v>0</v>
      </c>
      <c r="S80" s="19">
        <f t="shared" si="156"/>
        <v>0</v>
      </c>
      <c r="T80" s="19">
        <f t="shared" si="157"/>
        <v>0</v>
      </c>
      <c r="U80" s="19">
        <f t="shared" si="158"/>
        <v>0</v>
      </c>
      <c r="V80" s="19">
        <f t="shared" si="159"/>
        <v>0</v>
      </c>
      <c r="W80" s="19">
        <f t="shared" si="160"/>
        <v>0</v>
      </c>
      <c r="X80" s="19">
        <f t="shared" si="161"/>
        <v>0</v>
      </c>
      <c r="Y80" s="19">
        <f t="shared" si="162"/>
        <v>0</v>
      </c>
      <c r="Z80" s="19">
        <f t="shared" si="163"/>
        <v>0</v>
      </c>
      <c r="AA80" s="164">
        <v>9276</v>
      </c>
      <c r="AB80" s="17" t="e">
        <f>+H80*SUMIF('[1]KẾ HOẠCH'!$B$5:$CK$5,'Cắt lồng'!AA80,'[1]KẾ HOẠCH'!$B$6:$CK$6)+H80*SUMIF('[1]KẾ HOẠCH'!$B$7:$CK$7,'Cắt lồng'!AA80,'[1]KẾ HOẠCH'!$B$8:$CK$8)+H80*SUMIF('[1]KẾ HOẠCH'!$B$15:$CK$15,'Cắt lồng'!AA80,'[1]KẾ HOẠCH'!$B$16:$CK$16)</f>
        <v>#VALUE!</v>
      </c>
      <c r="AC80" s="16">
        <f t="shared" si="164"/>
        <v>0</v>
      </c>
      <c r="AD80" s="15" t="e">
        <f t="shared" si="165"/>
        <v>#VALUE!</v>
      </c>
      <c r="AE80" s="42"/>
      <c r="AF80" s="10" t="e">
        <f t="shared" si="166"/>
        <v>#DIV/0!</v>
      </c>
      <c r="AG80" s="10"/>
      <c r="AH80" s="152">
        <f t="shared" si="167"/>
        <v>0</v>
      </c>
      <c r="AI80" s="54" t="e">
        <f t="shared" si="168"/>
        <v>#DIV/0!</v>
      </c>
      <c r="AJ80" s="25">
        <f t="shared" si="169"/>
        <v>0</v>
      </c>
      <c r="AK80" s="25">
        <f t="shared" si="170"/>
        <v>0</v>
      </c>
      <c r="AL80" s="25">
        <f t="shared" si="171"/>
        <v>0</v>
      </c>
      <c r="AM80" s="30">
        <f t="shared" si="172"/>
        <v>0</v>
      </c>
      <c r="AN80" s="25">
        <f t="shared" si="173"/>
        <v>0</v>
      </c>
      <c r="AO80" s="25">
        <f t="shared" si="174"/>
        <v>0</v>
      </c>
      <c r="AP80" s="25">
        <f t="shared" si="175"/>
        <v>0</v>
      </c>
      <c r="AQ80" s="25">
        <f t="shared" si="176"/>
        <v>0</v>
      </c>
      <c r="AR80" s="25">
        <f t="shared" si="177"/>
        <v>0</v>
      </c>
      <c r="AS80" s="25">
        <f t="shared" si="178"/>
        <v>0</v>
      </c>
      <c r="AT80" s="25">
        <f t="shared" si="179"/>
        <v>0</v>
      </c>
      <c r="AV80" s="79">
        <f t="shared" si="180"/>
        <v>0</v>
      </c>
      <c r="AW80" s="79">
        <f t="array" ref="AW80">SUMIFS('Cắt lồng'!$AC$327:$AC$515,'Cắt lồng'!$AA$327:$AA$515,'Cắt lồng'!$AA80,'Cắt lồng'!$AE$327:$AE$515,'Cắt lồng'!AW$4:AW$4)</f>
        <v>0</v>
      </c>
      <c r="AX80" s="79">
        <f t="array" ref="AX80">SUMIFS('Cắt lồng'!$AH$327:$AH$515,'Cắt lồng'!$AA$327:$AA$515,'Cắt lồng'!$AA80,'Cắt lồng'!$AE$327:$AE$515,'Cắt lồng'!AX$4:AX$4)</f>
        <v>0</v>
      </c>
      <c r="AY80" s="78" t="e">
        <f t="shared" si="181"/>
        <v>#DIV/0!</v>
      </c>
      <c r="AZ80" s="79">
        <f t="array" ref="AZ80">SUMIFS('Cắt lồng'!$AC$327:$AC$515,'Cắt lồng'!$AA$327:$AA$515,'Cắt lồng'!$AA80,'Cắt lồng'!$AE$327:$AE$515,'Cắt lồng'!AZ$4:AZ$4)</f>
        <v>0</v>
      </c>
      <c r="BA80" s="79">
        <f t="array" ref="BA80">SUMIFS('Cắt lồng'!$AH$327:$AH$515,'Cắt lồng'!$AA$327:$AA$515,'Cắt lồng'!$AA80,'Cắt lồng'!$AE$327:$AE$515,'Cắt lồng'!BA$4:BA$4)</f>
        <v>0</v>
      </c>
      <c r="BB80" s="78" t="e">
        <f t="shared" si="182"/>
        <v>#DIV/0!</v>
      </c>
      <c r="BC80" s="79">
        <f>SUMIFS('Cắt lồng'!$AC$327:$AC$515,'Cắt lồng'!$AA$327:$AA$515,'Cắt lồng'!$AA80,'Cắt lồng'!$AE$327:$AE$515,'Cắt lồng'!BC$4:BC$4)</f>
        <v>0</v>
      </c>
      <c r="BD80" s="79">
        <f t="array" ref="BD80">SUMIFS('Cắt lồng'!$AH$327:$AH$515,'Cắt lồng'!$AA$327:$AA$515,'Cắt lồng'!$AA80,'Cắt lồng'!$AE$327:$AE$515,'Cắt lồng'!BD$4:BD$4)</f>
        <v>0</v>
      </c>
      <c r="BE80" s="78" t="e">
        <f t="shared" si="183"/>
        <v>#DIV/0!</v>
      </c>
      <c r="BF80" s="79">
        <f t="array" ref="BF80">SUMIFS('Cắt lồng'!$AC$327:$AC$515,'Cắt lồng'!$AA$327:$AA$515,'Cắt lồng'!$AA80,'Cắt lồng'!$AE$327:$AE$515,'Cắt lồng'!BF$4:BF$4)</f>
        <v>0</v>
      </c>
      <c r="BG80" s="79">
        <f t="array" ref="BG80">SUMIFS('Cắt lồng'!$AH$327:$AH$515,'Cắt lồng'!$AA$327:$AA$515,'Cắt lồng'!$AA80,'Cắt lồng'!$AE$327:$AE$515,'Cắt lồng'!BG$4:BG$4)</f>
        <v>0</v>
      </c>
      <c r="BH80" s="78" t="e">
        <f t="shared" si="184"/>
        <v>#DIV/0!</v>
      </c>
      <c r="BI80" s="79">
        <f t="array" ref="BI80">SUMIFS('Cắt lồng'!$AC$327:$AC$515,'Cắt lồng'!$AA$327:$AA$515,'Cắt lồng'!$AA80,'Cắt lồng'!$AE$327:$AE$515,'Cắt lồng'!BI$4:BI$4)</f>
        <v>0</v>
      </c>
      <c r="BJ80" s="79">
        <f t="array" ref="BJ80">SUMIFS('Cắt lồng'!$AH$327:$AH$515,'Cắt lồng'!$AA$327:$AA$515,'Cắt lồng'!$AA80,'Cắt lồng'!$AE$327:$AE$515,'Cắt lồng'!BJ$4:BJ$4)</f>
        <v>0</v>
      </c>
      <c r="BK80" s="78" t="e">
        <f t="shared" si="185"/>
        <v>#DIV/0!</v>
      </c>
      <c r="BL80" s="79">
        <f t="array" ref="BL80">SUMIFS('Cắt lồng'!$AC$327:$AC$515,'Cắt lồng'!$AA$327:$AA$515,'Cắt lồng'!$AA80,'Cắt lồng'!$AE$327:$AE$515,'Cắt lồng'!BL$4:BL$4)</f>
        <v>0</v>
      </c>
      <c r="BM80" s="79">
        <f t="array" ref="BM80">SUMIFS('Cắt lồng'!$AH$327:$AH$515,'Cắt lồng'!$AA$327:$AA$515,'Cắt lồng'!$AA80,'Cắt lồng'!$AE$327:$AE$515,'Cắt lồng'!BM$4:BM$4)</f>
        <v>0</v>
      </c>
      <c r="BN80" s="78" t="e">
        <f t="shared" si="186"/>
        <v>#DIV/0!</v>
      </c>
      <c r="BO80" s="79">
        <f t="array" ref="BO80">SUMIFS('Cắt lồng'!$AC$327:$AC$515,'Cắt lồng'!$AA$327:$AA$515,'Cắt lồng'!$AA80,'Cắt lồng'!$AE$327:$AE$515,'Cắt lồng'!BO$4:BO$4)</f>
        <v>0</v>
      </c>
      <c r="BP80" s="79">
        <f t="array" ref="BP80">SUMIFS('Cắt lồng'!$AH$327:$AH$515,'Cắt lồng'!$AA$327:$AA$515,'Cắt lồng'!$AA80,'Cắt lồng'!$AE$327:$AE$515,'Cắt lồng'!BP$4:BP$4)</f>
        <v>0</v>
      </c>
      <c r="BQ80" s="78" t="e">
        <f t="shared" si="187"/>
        <v>#DIV/0!</v>
      </c>
      <c r="BR80" s="79">
        <f t="array" ref="BR80">SUMIFS('Cắt lồng'!$AC$327:$AC$515,'Cắt lồng'!$AA$327:$AA$515,'Cắt lồng'!$AA80,'Cắt lồng'!$AE$327:$AE$515,'Cắt lồng'!BR$4:BR$4)</f>
        <v>0</v>
      </c>
      <c r="BS80" s="79">
        <f t="array" ref="BS80">SUMIFS('Cắt lồng'!$AH$327:$AH$515,'Cắt lồng'!$AA$327:$AA$515,'Cắt lồng'!$AA80,'Cắt lồng'!$AE$327:$AE$515,'Cắt lồng'!BS$4:BS$4)</f>
        <v>0</v>
      </c>
      <c r="BT80" s="78" t="e">
        <f t="shared" si="188"/>
        <v>#DIV/0!</v>
      </c>
      <c r="BU80" s="79">
        <f t="array" ref="BU80">SUMIFS('Cắt lồng'!$AC$327:$AC$515,'Cắt lồng'!$AA$327:$AA$515,'Cắt lồng'!$AA80,'Cắt lồng'!$AE$327:$AE$515,'Cắt lồng'!BU$4:BU$4)</f>
        <v>0</v>
      </c>
      <c r="BV80" s="79">
        <f t="array" ref="BV80">SUMIFS('Cắt lồng'!$AH$327:$AH$515,'Cắt lồng'!$AA$327:$AA$515,'Cắt lồng'!$AA80,'Cắt lồng'!$AE$327:$AE$515,'Cắt lồng'!BV$4:BV$4)</f>
        <v>0</v>
      </c>
      <c r="BW80" s="78" t="e">
        <f t="shared" si="189"/>
        <v>#DIV/0!</v>
      </c>
      <c r="BX80" s="79">
        <f t="array" ref="BX80">SUMIFS('Cắt lồng'!$AC$327:$AC$515,'Cắt lồng'!$AA$327:$AA$515,'Cắt lồng'!$AA80,'Cắt lồng'!$AE$327:$AE$515,'Cắt lồng'!BX$4:BX$4)</f>
        <v>0</v>
      </c>
      <c r="BY80" s="79">
        <f t="array" ref="BY80">SUMIFS('Cắt lồng'!$AH$327:$AH$515,'Cắt lồng'!$AA$327:$AA$515,'Cắt lồng'!$AA80,'Cắt lồng'!$AE$327:$AE$515,'Cắt lồng'!BY$4:BY$4)</f>
        <v>0</v>
      </c>
      <c r="BZ80" s="78" t="e">
        <f t="shared" si="190"/>
        <v>#DIV/0!</v>
      </c>
      <c r="CA80" s="79">
        <f t="array" ref="CA80">SUMIFS('Cắt lồng'!$AC$327:$AC$515,'Cắt lồng'!$AA$327:$AA$515,'Cắt lồng'!$AA80,'Cắt lồng'!$AE$327:$AE$515,'Cắt lồng'!CA$4:CA$4)</f>
        <v>0</v>
      </c>
      <c r="CB80" s="79">
        <f t="array" ref="CB80">SUMIFS('Cắt lồng'!$AH$327:$AH$515,'Cắt lồng'!$AA$327:$AA$515,'Cắt lồng'!$AA80,'Cắt lồng'!$AE$327:$AE$515,'Cắt lồng'!CB$4:CB$4)</f>
        <v>0</v>
      </c>
      <c r="CC80" s="78" t="e">
        <f t="shared" si="191"/>
        <v>#DIV/0!</v>
      </c>
      <c r="CD80" s="79">
        <f t="array" ref="CD80">SUMIFS('Cắt lồng'!$AC$327:$AC$515,'Cắt lồng'!$AA$327:$AA$515,'Cắt lồng'!$AA80,'Cắt lồng'!$AE$327:$AE$515,'Cắt lồng'!CD$4:CD$4)</f>
        <v>0</v>
      </c>
      <c r="CE80" s="79">
        <f t="array" ref="CE80">SUMIFS('Cắt lồng'!$AH$327:$AH$515,'Cắt lồng'!$AA$327:$AA$515,'Cắt lồng'!$AA80,'Cắt lồng'!$AE$327:$AE$515,'Cắt lồng'!CE$4:CE$4)</f>
        <v>0</v>
      </c>
      <c r="CF80" s="78" t="e">
        <f t="shared" si="192"/>
        <v>#DIV/0!</v>
      </c>
      <c r="CG80" s="79">
        <f t="array" ref="CG80">SUMIFS('Cắt lồng'!$AC$327:$AC$515,'Cắt lồng'!$AA$327:$AA$515,'Cắt lồng'!$AA80,'Cắt lồng'!$AE$327:$AE$515,'Cắt lồng'!CG$4:CG$4)</f>
        <v>0</v>
      </c>
      <c r="CH80" s="79">
        <f t="array" ref="CH80">SUMIFS('Cắt lồng'!$AH$327:$AH$515,'Cắt lồng'!$AA$327:$AA$515,'Cắt lồng'!$AA80,'Cắt lồng'!$AE$327:$AE$515,'Cắt lồng'!CH$4:CH$4)</f>
        <v>0</v>
      </c>
      <c r="CI80" s="78" t="e">
        <f t="shared" si="193"/>
        <v>#DIV/0!</v>
      </c>
      <c r="CJ80" s="79">
        <f t="array" ref="CJ80">SUMIFS('Cắt lồng'!$AC$327:$AC$515,'Cắt lồng'!$AA$327:$AA$515,'Cắt lồng'!$AA80,'Cắt lồng'!$AE$327:$AE$515,'Cắt lồng'!CJ$4:CJ$4)</f>
        <v>0</v>
      </c>
      <c r="CK80" s="79">
        <f t="array" ref="CK80">SUMIFS('Cắt lồng'!$AH$327:$AH$515,'Cắt lồng'!$AA$327:$AA$515,'Cắt lồng'!$AA80,'Cắt lồng'!$AE$327:$AE$515,'Cắt lồng'!CK$4:CK$4)</f>
        <v>0</v>
      </c>
      <c r="CL80" s="78" t="e">
        <f t="shared" si="194"/>
        <v>#DIV/0!</v>
      </c>
      <c r="CM80" s="79">
        <f t="array" ref="CM80">SUMIFS('Cắt lồng'!$AC$327:$AC$515,'Cắt lồng'!$AA$327:$AA$515,'Cắt lồng'!$AA80,'Cắt lồng'!$AE$327:$AE$515,'Cắt lồng'!CM$4:CM$4)</f>
        <v>0</v>
      </c>
      <c r="CN80" s="79">
        <f t="array" ref="CN80">SUMIFS('Cắt lồng'!$AH$327:$AH$515,'Cắt lồng'!$AA$327:$AA$515,'Cắt lồng'!$AA80,'Cắt lồng'!$AE$327:$AE$515,'Cắt lồng'!CN$4:CN$4)</f>
        <v>0</v>
      </c>
      <c r="CO80" s="78" t="e">
        <f t="shared" si="195"/>
        <v>#DIV/0!</v>
      </c>
      <c r="CP80" s="79">
        <f t="array" ref="CP80">SUMIFS('Cắt lồng'!$AC$327:$AC$515,'Cắt lồng'!$AA$327:$AA$515,'Cắt lồng'!$AA80,'Cắt lồng'!$AE$327:$AE$515,'Cắt lồng'!CP$4:CP$4)</f>
        <v>0</v>
      </c>
      <c r="CQ80" s="79">
        <f t="array" ref="CQ80">SUMIFS('Cắt lồng'!$AH$327:$AH$515,'Cắt lồng'!$AA$327:$AA$515,'Cắt lồng'!$AA80,'Cắt lồng'!$AE$327:$AE$515,'Cắt lồng'!CQ$4:CQ$4)</f>
        <v>0</v>
      </c>
      <c r="CR80" s="78" t="e">
        <f t="shared" si="196"/>
        <v>#DIV/0!</v>
      </c>
      <c r="CS80" s="79">
        <f t="array" ref="CS80">SUMIFS('Cắt lồng'!$AC$327:$AC$515,'Cắt lồng'!$AA$327:$AA$515,'Cắt lồng'!$AA80,'Cắt lồng'!$AE$327:$AE$515,'Cắt lồng'!CS$4:CS$4)</f>
        <v>0</v>
      </c>
      <c r="CT80" s="79">
        <f t="array" ref="CT80">SUMIFS('Cắt lồng'!$AH$327:$AH$515,'Cắt lồng'!$AA$327:$AA$515,'Cắt lồng'!$AA80,'Cắt lồng'!$AE$327:$AE$515,'Cắt lồng'!CT$4:CT$4)</f>
        <v>0</v>
      </c>
      <c r="CU80" s="78" t="e">
        <f t="shared" si="197"/>
        <v>#DIV/0!</v>
      </c>
      <c r="CV80" s="79">
        <f t="array" ref="CV80">SUMIFS('Cắt lồng'!$AC$327:$AC$515,'Cắt lồng'!$AA$327:$AA$515,'Cắt lồng'!$AA80,'Cắt lồng'!$AE$327:$AE$515,'Cắt lồng'!CV$4:CV$4)</f>
        <v>0</v>
      </c>
      <c r="CW80" s="79">
        <f t="array" ref="CW80">SUMIFS('Cắt lồng'!$AH$327:$AH$515,'Cắt lồng'!$AA$327:$AA$515,'Cắt lồng'!$AA80,'Cắt lồng'!$AE$327:$AE$515,'Cắt lồng'!CW$4:CW$4)</f>
        <v>0</v>
      </c>
      <c r="CX80" s="78" t="e">
        <f t="shared" si="198"/>
        <v>#DIV/0!</v>
      </c>
      <c r="CY80" s="79">
        <f t="array" ref="CY80">SUMIFS('Cắt lồng'!$AC$327:$AC$515,'Cắt lồng'!$AA$327:$AA$515,'Cắt lồng'!$AA80,'Cắt lồng'!$AE$327:$AE$515,'Cắt lồng'!CY$4:CY$4)</f>
        <v>0</v>
      </c>
      <c r="CZ80" s="79">
        <f t="array" ref="CZ80">SUMIFS('Cắt lồng'!$AH$327:$AH$515,'Cắt lồng'!$AA$327:$AA$515,'Cắt lồng'!$AA80,'Cắt lồng'!$AE$327:$AE$515,'Cắt lồng'!CZ$4:CZ$4)</f>
        <v>0</v>
      </c>
      <c r="DA80" s="78" t="e">
        <f t="shared" si="199"/>
        <v>#DIV/0!</v>
      </c>
      <c r="DB80" s="79">
        <f t="array" ref="DB80">SUMIFS('Cắt lồng'!$AC$327:$AC$515,'Cắt lồng'!$AA$327:$AA$515,'Cắt lồng'!$AA80,'Cắt lồng'!$AE$327:$AE$515,'Cắt lồng'!DB$4:DB$4)</f>
        <v>0</v>
      </c>
      <c r="DC80" s="79">
        <f t="array" ref="DC80">SUMIFS('Cắt lồng'!$AH$327:$AH$515,'Cắt lồng'!$AA$327:$AA$515,'Cắt lồng'!$AA80,'Cắt lồng'!$AE$327:$AE$515,'Cắt lồng'!DC$4:DC$4)</f>
        <v>0</v>
      </c>
      <c r="DD80" s="78" t="e">
        <f t="shared" si="200"/>
        <v>#DIV/0!</v>
      </c>
      <c r="DE80" s="79">
        <f t="array" ref="DE80">SUMIFS('Cắt lồng'!$AC$327:$AC$515,'Cắt lồng'!$AA$327:$AA$515,'Cắt lồng'!$AA80,'Cắt lồng'!$AE$327:$AE$515,'Cắt lồng'!DE$4:DE$4)</f>
        <v>0</v>
      </c>
      <c r="DF80" s="79">
        <f t="array" ref="DF80">SUMIFS('Cắt lồng'!$AH$327:$AH$515,'Cắt lồng'!$AA$327:$AA$515,'Cắt lồng'!$AA80,'Cắt lồng'!$AE$327:$AE$515,'Cắt lồng'!DF$4:DF$4)</f>
        <v>0</v>
      </c>
      <c r="DG80" s="78" t="e">
        <f t="shared" si="201"/>
        <v>#DIV/0!</v>
      </c>
      <c r="DH80" s="79">
        <f t="array" ref="DH80">SUMIFS('Cắt lồng'!$AC$327:$AC$515,'Cắt lồng'!$AA$327:$AA$515,'Cắt lồng'!$AA80,'Cắt lồng'!$AE$327:$AE$515,'Cắt lồng'!DH$4:DH$4)</f>
        <v>0</v>
      </c>
      <c r="DI80" s="79">
        <f t="array" ref="DI80">SUMIFS('Cắt lồng'!$AH$327:$AH$515,'Cắt lồng'!$AA$327:$AA$515,'Cắt lồng'!$AA80,'Cắt lồng'!$AE$327:$AE$515,'Cắt lồng'!DI$4:DI$4)</f>
        <v>0</v>
      </c>
      <c r="DJ80" s="78" t="e">
        <f t="shared" si="202"/>
        <v>#DIV/0!</v>
      </c>
      <c r="DK80" s="79">
        <f t="array" ref="DK80">SUMIFS('Cắt lồng'!$AC$327:$AC$515,'Cắt lồng'!$AA$327:$AA$515,'Cắt lồng'!$AA80,'Cắt lồng'!$AE$327:$AE$515,'Cắt lồng'!DK$4:DK$4)</f>
        <v>0</v>
      </c>
      <c r="DL80" s="79">
        <f t="array" ref="DL80">SUMIFS('Cắt lồng'!$AH$327:$AH$515,'Cắt lồng'!$AA$327:$AA$515,'Cắt lồng'!$AA80,'Cắt lồng'!$AE$327:$AE$515,'Cắt lồng'!DL$4:DL$4)</f>
        <v>0</v>
      </c>
      <c r="DM80" s="78" t="e">
        <f t="shared" si="203"/>
        <v>#DIV/0!</v>
      </c>
      <c r="DN80" s="79">
        <f t="array" ref="DN80">SUMIFS('Cắt lồng'!$AC$327:$AC$515,'Cắt lồng'!$AA$327:$AA$515,'Cắt lồng'!$AA80,'Cắt lồng'!$AE$327:$AE$515,'Cắt lồng'!DN$4:DN$4)</f>
        <v>0</v>
      </c>
      <c r="DO80" s="79">
        <f t="array" ref="DO80">SUMIFS('Cắt lồng'!$AH$327:$AH$515,'Cắt lồng'!$AA$327:$AA$515,'Cắt lồng'!$AA80,'Cắt lồng'!$AE$327:$AE$515,'Cắt lồng'!DO$4:DO$4)</f>
        <v>0</v>
      </c>
      <c r="DP80" s="78" t="e">
        <f t="shared" si="204"/>
        <v>#DIV/0!</v>
      </c>
      <c r="DQ80" s="79">
        <f t="array" ref="DQ80">SUMIFS('Cắt lồng'!$AC$327:$AC$515,'Cắt lồng'!$AA$327:$AA$515,'Cắt lồng'!$AA80,'Cắt lồng'!$AE$327:$AE$515,'Cắt lồng'!DQ$4:DQ$4)</f>
        <v>0</v>
      </c>
      <c r="DR80" s="79">
        <f t="array" ref="DR80">SUMIFS('Cắt lồng'!$AH$327:$AH$515,'Cắt lồng'!$AA$327:$AA$515,'Cắt lồng'!$AA80,'Cắt lồng'!$AE$327:$AE$515,'Cắt lồng'!DR$4:DR$4)</f>
        <v>0</v>
      </c>
      <c r="DS80" s="78" t="e">
        <f t="shared" si="205"/>
        <v>#DIV/0!</v>
      </c>
      <c r="DT80" s="79">
        <f t="array" ref="DT80">SUMIFS('Cắt lồng'!$AC$327:$AC$515,'Cắt lồng'!$AA$327:$AA$515,'Cắt lồng'!$AA80,'Cắt lồng'!$AE$327:$AE$515,'Cắt lồng'!DT$4:DT$4)</f>
        <v>0</v>
      </c>
      <c r="DU80" s="79">
        <f t="array" ref="DU80">SUMIFS('Cắt lồng'!$AH$327:$AH$515,'Cắt lồng'!$AA$327:$AA$515,'Cắt lồng'!$AA80,'Cắt lồng'!$AE$327:$AE$515,'Cắt lồng'!DU$4:DU$4)</f>
        <v>0</v>
      </c>
      <c r="DV80" s="78" t="e">
        <f t="shared" si="206"/>
        <v>#DIV/0!</v>
      </c>
      <c r="DW80" s="79">
        <f t="array" ref="DW80">SUMIFS('Cắt lồng'!$AC$327:$AC$515,'Cắt lồng'!$AA$327:$AA$515,'Cắt lồng'!$AA80,'Cắt lồng'!$AE$327:$AE$515,'Cắt lồng'!DW$4:DW$4)</f>
        <v>0</v>
      </c>
      <c r="DX80" s="79">
        <f t="array" ref="DX80">SUMIFS('Cắt lồng'!$AH$327:$AH$515,'Cắt lồng'!$AA$327:$AA$515,'Cắt lồng'!$AA80,'Cắt lồng'!$AE$327:$AE$515,'Cắt lồng'!DX$4:DX$4)</f>
        <v>0</v>
      </c>
      <c r="DY80" s="78" t="e">
        <f t="shared" si="207"/>
        <v>#DIV/0!</v>
      </c>
      <c r="DZ80" s="79">
        <f t="array" ref="DZ80">SUMIFS('Cắt lồng'!$AC$327:$AC$515,'Cắt lồng'!$AA$327:$AA$515,'Cắt lồng'!$AA80,'Cắt lồng'!$AE$327:$AE$515,'Cắt lồng'!DZ$4:DZ$4)</f>
        <v>0</v>
      </c>
      <c r="EA80" s="79">
        <f t="array" ref="EA80">SUMIFS('Cắt lồng'!$AH$327:$AH$515,'Cắt lồng'!$AA$327:$AA$515,'Cắt lồng'!$AA80,'Cắt lồng'!$AE$327:$AE$515,'Cắt lồng'!EA$4:EA$4)</f>
        <v>0</v>
      </c>
      <c r="EB80" s="78" t="e">
        <f t="shared" si="208"/>
        <v>#DIV/0!</v>
      </c>
      <c r="EC80" s="79">
        <f t="array" ref="EC80">SUMIFS('Cắt lồng'!$AC$327:$AC$515,'Cắt lồng'!$AA$327:$AA$515,'Cắt lồng'!$AA80,'Cắt lồng'!$AE$327:$AE$515,'Cắt lồng'!EC$4:EC$4)</f>
        <v>0</v>
      </c>
      <c r="ED80" s="79">
        <f t="array" ref="ED80">SUMIFS('Cắt lồng'!$AH$327:$AH$515,'Cắt lồng'!$AA$327:$AA$515,'Cắt lồng'!$AA80,'Cắt lồng'!$AE$327:$AE$515,'Cắt lồng'!ED$4:ED$4)</f>
        <v>0</v>
      </c>
      <c r="EE80" s="78" t="e">
        <f t="shared" si="209"/>
        <v>#DIV/0!</v>
      </c>
      <c r="EF80" s="79">
        <f t="array" ref="EF80">SUMIFS('Cắt lồng'!$AC$327:$AC$515,'Cắt lồng'!$AA$327:$AA$515,'Cắt lồng'!$AA80,'Cắt lồng'!$AE$327:$AE$515,'Cắt lồng'!EF$4:EF$4)</f>
        <v>0</v>
      </c>
      <c r="EG80" s="79">
        <f t="array" ref="EG80">SUMIFS('Cắt lồng'!$AH$327:$AH$515,'Cắt lồng'!$AA$327:$AA$515,'Cắt lồng'!$AA80,'Cắt lồng'!$AE$327:$AE$515,'Cắt lồng'!EG$4:EG$4)</f>
        <v>0</v>
      </c>
      <c r="EH80" s="78" t="e">
        <f t="shared" si="210"/>
        <v>#DIV/0!</v>
      </c>
      <c r="EI80" s="79">
        <f t="array" ref="EI80">SUMIFS('Cắt lồng'!$AC$327:$AC$515,'Cắt lồng'!$AA$327:$AA$515,'Cắt lồng'!$AA80,'Cắt lồng'!$AE$327:$AE$515,'Cắt lồng'!EI$4:EI$4)</f>
        <v>0</v>
      </c>
      <c r="EJ80" s="79">
        <f t="array" ref="EJ80">SUMIFS('Cắt lồng'!$AH$327:$AH$515,'Cắt lồng'!$AA$327:$AA$515,'Cắt lồng'!$AA80,'Cắt lồng'!$AE$327:$AE$515,'Cắt lồng'!EJ$4:EJ$4)</f>
        <v>0</v>
      </c>
      <c r="EK80" s="78" t="e">
        <f t="shared" si="211"/>
        <v>#DIV/0!</v>
      </c>
    </row>
    <row r="81" spans="1:141" s="12" customFormat="1" ht="14.25" hidden="1" customHeight="1">
      <c r="A81" s="25">
        <v>52</v>
      </c>
      <c r="B81" s="26"/>
      <c r="C81" s="25"/>
      <c r="D81" s="24"/>
      <c r="E81" s="60"/>
      <c r="F81" s="59"/>
      <c r="G81" s="82">
        <f t="shared" si="144"/>
        <v>0</v>
      </c>
      <c r="H81" s="81">
        <f t="shared" si="145"/>
        <v>0</v>
      </c>
      <c r="I81" s="19">
        <f t="shared" si="146"/>
        <v>0</v>
      </c>
      <c r="J81" s="11">
        <f t="shared" si="147"/>
        <v>0</v>
      </c>
      <c r="K81" s="19">
        <f t="shared" si="148"/>
        <v>0</v>
      </c>
      <c r="L81" s="19">
        <f t="shared" si="149"/>
        <v>0</v>
      </c>
      <c r="M81" s="19">
        <f t="shared" si="150"/>
        <v>0</v>
      </c>
      <c r="N81" s="19">
        <f t="shared" si="151"/>
        <v>0</v>
      </c>
      <c r="O81" s="19">
        <f t="shared" si="152"/>
        <v>0</v>
      </c>
      <c r="P81" s="19">
        <f t="shared" si="153"/>
        <v>0</v>
      </c>
      <c r="Q81" s="19">
        <f t="shared" si="154"/>
        <v>0</v>
      </c>
      <c r="R81" s="19">
        <f t="shared" si="155"/>
        <v>0</v>
      </c>
      <c r="S81" s="19">
        <f t="shared" si="156"/>
        <v>0</v>
      </c>
      <c r="T81" s="19">
        <f t="shared" si="157"/>
        <v>0</v>
      </c>
      <c r="U81" s="19">
        <f t="shared" si="158"/>
        <v>0</v>
      </c>
      <c r="V81" s="19">
        <f t="shared" si="159"/>
        <v>0</v>
      </c>
      <c r="W81" s="19">
        <f t="shared" si="160"/>
        <v>0</v>
      </c>
      <c r="X81" s="19">
        <f t="shared" si="161"/>
        <v>0</v>
      </c>
      <c r="Y81" s="19">
        <f t="shared" si="162"/>
        <v>0</v>
      </c>
      <c r="Z81" s="19">
        <f t="shared" si="163"/>
        <v>0</v>
      </c>
      <c r="AA81" s="164">
        <v>396</v>
      </c>
      <c r="AB81" s="17" t="e">
        <f>+H81*SUMIF('[1]KẾ HOẠCH'!$B$5:$CK$5,'Cắt lồng'!AA81,'[1]KẾ HOẠCH'!$B$6:$CK$6)+H81*SUMIF('[1]KẾ HOẠCH'!$B$7:$CK$7,'Cắt lồng'!AA81,'[1]KẾ HOẠCH'!$B$8:$CK$8)+H81*SUMIF('[1]KẾ HOẠCH'!$B$15:$CK$15,'Cắt lồng'!AA81,'[1]KẾ HOẠCH'!$B$16:$CK$16)</f>
        <v>#VALUE!</v>
      </c>
      <c r="AC81" s="16">
        <f t="shared" si="164"/>
        <v>0</v>
      </c>
      <c r="AD81" s="15" t="e">
        <f t="shared" si="165"/>
        <v>#VALUE!</v>
      </c>
      <c r="AE81" s="42"/>
      <c r="AF81" s="10" t="e">
        <f t="shared" si="166"/>
        <v>#DIV/0!</v>
      </c>
      <c r="AG81" s="10"/>
      <c r="AH81" s="152">
        <f t="shared" si="167"/>
        <v>0</v>
      </c>
      <c r="AI81" s="54" t="e">
        <f t="shared" si="168"/>
        <v>#DIV/0!</v>
      </c>
      <c r="AJ81" s="25">
        <f t="shared" si="169"/>
        <v>0</v>
      </c>
      <c r="AK81" s="25">
        <f t="shared" si="170"/>
        <v>0</v>
      </c>
      <c r="AL81" s="25">
        <f t="shared" si="171"/>
        <v>0</v>
      </c>
      <c r="AM81" s="30">
        <f t="shared" si="172"/>
        <v>0</v>
      </c>
      <c r="AN81" s="25">
        <f t="shared" si="173"/>
        <v>0</v>
      </c>
      <c r="AO81" s="25">
        <f t="shared" si="174"/>
        <v>0</v>
      </c>
      <c r="AP81" s="25">
        <f t="shared" si="175"/>
        <v>0</v>
      </c>
      <c r="AQ81" s="25">
        <f t="shared" si="176"/>
        <v>0</v>
      </c>
      <c r="AR81" s="25">
        <f t="shared" si="177"/>
        <v>0</v>
      </c>
      <c r="AS81" s="25">
        <f t="shared" si="178"/>
        <v>0</v>
      </c>
      <c r="AT81" s="25">
        <f t="shared" si="179"/>
        <v>0</v>
      </c>
      <c r="AV81" s="79">
        <f t="shared" si="180"/>
        <v>0</v>
      </c>
      <c r="AW81" s="79">
        <f t="array" ref="AW81">SUMIFS('Cắt lồng'!$AC$327:$AC$515,'Cắt lồng'!$AA$327:$AA$515,'Cắt lồng'!$AA81,'Cắt lồng'!$AE$327:$AE$515,'Cắt lồng'!AW$4:AW$4)</f>
        <v>0</v>
      </c>
      <c r="AX81" s="79">
        <f t="array" ref="AX81">SUMIFS('Cắt lồng'!$AH$327:$AH$515,'Cắt lồng'!$AA$327:$AA$515,'Cắt lồng'!$AA81,'Cắt lồng'!$AE$327:$AE$515,'Cắt lồng'!AX$4:AX$4)</f>
        <v>0</v>
      </c>
      <c r="AY81" s="78" t="e">
        <f t="shared" si="181"/>
        <v>#DIV/0!</v>
      </c>
      <c r="AZ81" s="79">
        <f t="array" ref="AZ81">SUMIFS('Cắt lồng'!$AC$327:$AC$515,'Cắt lồng'!$AA$327:$AA$515,'Cắt lồng'!$AA81,'Cắt lồng'!$AE$327:$AE$515,'Cắt lồng'!AZ$4:AZ$4)</f>
        <v>0</v>
      </c>
      <c r="BA81" s="79">
        <f t="array" ref="BA81">SUMIFS('Cắt lồng'!$AH$327:$AH$515,'Cắt lồng'!$AA$327:$AA$515,'Cắt lồng'!$AA81,'Cắt lồng'!$AE$327:$AE$515,'Cắt lồng'!BA$4:BA$4)</f>
        <v>0</v>
      </c>
      <c r="BB81" s="78" t="e">
        <f t="shared" si="182"/>
        <v>#DIV/0!</v>
      </c>
      <c r="BC81" s="79">
        <f>SUMIFS('Cắt lồng'!$AC$327:$AC$515,'Cắt lồng'!$AA$327:$AA$515,'Cắt lồng'!$AA81,'Cắt lồng'!$AE$327:$AE$515,'Cắt lồng'!BC$4:BC$4)</f>
        <v>0</v>
      </c>
      <c r="BD81" s="79">
        <f t="array" ref="BD81">SUMIFS('Cắt lồng'!$AH$327:$AH$515,'Cắt lồng'!$AA$327:$AA$515,'Cắt lồng'!$AA81,'Cắt lồng'!$AE$327:$AE$515,'Cắt lồng'!BD$4:BD$4)</f>
        <v>0</v>
      </c>
      <c r="BE81" s="78" t="e">
        <f t="shared" si="183"/>
        <v>#DIV/0!</v>
      </c>
      <c r="BF81" s="79">
        <f t="array" ref="BF81">SUMIFS('Cắt lồng'!$AC$327:$AC$515,'Cắt lồng'!$AA$327:$AA$515,'Cắt lồng'!$AA81,'Cắt lồng'!$AE$327:$AE$515,'Cắt lồng'!BF$4:BF$4)</f>
        <v>0</v>
      </c>
      <c r="BG81" s="79">
        <f t="array" ref="BG81">SUMIFS('Cắt lồng'!$AH$327:$AH$515,'Cắt lồng'!$AA$327:$AA$515,'Cắt lồng'!$AA81,'Cắt lồng'!$AE$327:$AE$515,'Cắt lồng'!BG$4:BG$4)</f>
        <v>0</v>
      </c>
      <c r="BH81" s="78" t="e">
        <f t="shared" si="184"/>
        <v>#DIV/0!</v>
      </c>
      <c r="BI81" s="79">
        <f t="array" ref="BI81">SUMIFS('Cắt lồng'!$AC$327:$AC$515,'Cắt lồng'!$AA$327:$AA$515,'Cắt lồng'!$AA81,'Cắt lồng'!$AE$327:$AE$515,'Cắt lồng'!BI$4:BI$4)</f>
        <v>0</v>
      </c>
      <c r="BJ81" s="79">
        <f t="array" ref="BJ81">SUMIFS('Cắt lồng'!$AH$327:$AH$515,'Cắt lồng'!$AA$327:$AA$515,'Cắt lồng'!$AA81,'Cắt lồng'!$AE$327:$AE$515,'Cắt lồng'!BJ$4:BJ$4)</f>
        <v>0</v>
      </c>
      <c r="BK81" s="78" t="e">
        <f t="shared" si="185"/>
        <v>#DIV/0!</v>
      </c>
      <c r="BL81" s="79">
        <f t="array" ref="BL81">SUMIFS('Cắt lồng'!$AC$327:$AC$515,'Cắt lồng'!$AA$327:$AA$515,'Cắt lồng'!$AA81,'Cắt lồng'!$AE$327:$AE$515,'Cắt lồng'!BL$4:BL$4)</f>
        <v>0</v>
      </c>
      <c r="BM81" s="79">
        <f t="array" ref="BM81">SUMIFS('Cắt lồng'!$AH$327:$AH$515,'Cắt lồng'!$AA$327:$AA$515,'Cắt lồng'!$AA81,'Cắt lồng'!$AE$327:$AE$515,'Cắt lồng'!BM$4:BM$4)</f>
        <v>0</v>
      </c>
      <c r="BN81" s="78" t="e">
        <f t="shared" si="186"/>
        <v>#DIV/0!</v>
      </c>
      <c r="BO81" s="79">
        <f t="array" ref="BO81">SUMIFS('Cắt lồng'!$AC$327:$AC$515,'Cắt lồng'!$AA$327:$AA$515,'Cắt lồng'!$AA81,'Cắt lồng'!$AE$327:$AE$515,'Cắt lồng'!BO$4:BO$4)</f>
        <v>0</v>
      </c>
      <c r="BP81" s="79">
        <f t="array" ref="BP81">SUMIFS('Cắt lồng'!$AH$327:$AH$515,'Cắt lồng'!$AA$327:$AA$515,'Cắt lồng'!$AA81,'Cắt lồng'!$AE$327:$AE$515,'Cắt lồng'!BP$4:BP$4)</f>
        <v>0</v>
      </c>
      <c r="BQ81" s="78" t="e">
        <f t="shared" si="187"/>
        <v>#DIV/0!</v>
      </c>
      <c r="BR81" s="79">
        <f t="array" ref="BR81">SUMIFS('Cắt lồng'!$AC$327:$AC$515,'Cắt lồng'!$AA$327:$AA$515,'Cắt lồng'!$AA81,'Cắt lồng'!$AE$327:$AE$515,'Cắt lồng'!BR$4:BR$4)</f>
        <v>0</v>
      </c>
      <c r="BS81" s="79">
        <f t="array" ref="BS81">SUMIFS('Cắt lồng'!$AH$327:$AH$515,'Cắt lồng'!$AA$327:$AA$515,'Cắt lồng'!$AA81,'Cắt lồng'!$AE$327:$AE$515,'Cắt lồng'!BS$4:BS$4)</f>
        <v>0</v>
      </c>
      <c r="BT81" s="78" t="e">
        <f t="shared" si="188"/>
        <v>#DIV/0!</v>
      </c>
      <c r="BU81" s="79">
        <f t="array" ref="BU81">SUMIFS('Cắt lồng'!$AC$327:$AC$515,'Cắt lồng'!$AA$327:$AA$515,'Cắt lồng'!$AA81,'Cắt lồng'!$AE$327:$AE$515,'Cắt lồng'!BU$4:BU$4)</f>
        <v>0</v>
      </c>
      <c r="BV81" s="79">
        <f t="array" ref="BV81">SUMIFS('Cắt lồng'!$AH$327:$AH$515,'Cắt lồng'!$AA$327:$AA$515,'Cắt lồng'!$AA81,'Cắt lồng'!$AE$327:$AE$515,'Cắt lồng'!BV$4:BV$4)</f>
        <v>0</v>
      </c>
      <c r="BW81" s="78" t="e">
        <f t="shared" si="189"/>
        <v>#DIV/0!</v>
      </c>
      <c r="BX81" s="79">
        <f t="array" ref="BX81">SUMIFS('Cắt lồng'!$AC$327:$AC$515,'Cắt lồng'!$AA$327:$AA$515,'Cắt lồng'!$AA81,'Cắt lồng'!$AE$327:$AE$515,'Cắt lồng'!BX$4:BX$4)</f>
        <v>0</v>
      </c>
      <c r="BY81" s="79">
        <f t="array" ref="BY81">SUMIFS('Cắt lồng'!$AH$327:$AH$515,'Cắt lồng'!$AA$327:$AA$515,'Cắt lồng'!$AA81,'Cắt lồng'!$AE$327:$AE$515,'Cắt lồng'!BY$4:BY$4)</f>
        <v>0</v>
      </c>
      <c r="BZ81" s="78" t="e">
        <f t="shared" si="190"/>
        <v>#DIV/0!</v>
      </c>
      <c r="CA81" s="79">
        <f t="array" ref="CA81">SUMIFS('Cắt lồng'!$AC$327:$AC$515,'Cắt lồng'!$AA$327:$AA$515,'Cắt lồng'!$AA81,'Cắt lồng'!$AE$327:$AE$515,'Cắt lồng'!CA$4:CA$4)</f>
        <v>0</v>
      </c>
      <c r="CB81" s="79">
        <f t="array" ref="CB81">SUMIFS('Cắt lồng'!$AH$327:$AH$515,'Cắt lồng'!$AA$327:$AA$515,'Cắt lồng'!$AA81,'Cắt lồng'!$AE$327:$AE$515,'Cắt lồng'!CB$4:CB$4)</f>
        <v>0</v>
      </c>
      <c r="CC81" s="78" t="e">
        <f t="shared" si="191"/>
        <v>#DIV/0!</v>
      </c>
      <c r="CD81" s="79">
        <f t="array" ref="CD81">SUMIFS('Cắt lồng'!$AC$327:$AC$515,'Cắt lồng'!$AA$327:$AA$515,'Cắt lồng'!$AA81,'Cắt lồng'!$AE$327:$AE$515,'Cắt lồng'!CD$4:CD$4)</f>
        <v>0</v>
      </c>
      <c r="CE81" s="79">
        <f t="array" ref="CE81">SUMIFS('Cắt lồng'!$AH$327:$AH$515,'Cắt lồng'!$AA$327:$AA$515,'Cắt lồng'!$AA81,'Cắt lồng'!$AE$327:$AE$515,'Cắt lồng'!CE$4:CE$4)</f>
        <v>0</v>
      </c>
      <c r="CF81" s="78" t="e">
        <f t="shared" si="192"/>
        <v>#DIV/0!</v>
      </c>
      <c r="CG81" s="79">
        <f t="array" ref="CG81">SUMIFS('Cắt lồng'!$AC$327:$AC$515,'Cắt lồng'!$AA$327:$AA$515,'Cắt lồng'!$AA81,'Cắt lồng'!$AE$327:$AE$515,'Cắt lồng'!CG$4:CG$4)</f>
        <v>0</v>
      </c>
      <c r="CH81" s="79">
        <f t="array" ref="CH81">SUMIFS('Cắt lồng'!$AH$327:$AH$515,'Cắt lồng'!$AA$327:$AA$515,'Cắt lồng'!$AA81,'Cắt lồng'!$AE$327:$AE$515,'Cắt lồng'!CH$4:CH$4)</f>
        <v>0</v>
      </c>
      <c r="CI81" s="78" t="e">
        <f t="shared" si="193"/>
        <v>#DIV/0!</v>
      </c>
      <c r="CJ81" s="79">
        <f t="array" ref="CJ81">SUMIFS('Cắt lồng'!$AC$327:$AC$515,'Cắt lồng'!$AA$327:$AA$515,'Cắt lồng'!$AA81,'Cắt lồng'!$AE$327:$AE$515,'Cắt lồng'!CJ$4:CJ$4)</f>
        <v>0</v>
      </c>
      <c r="CK81" s="79">
        <f t="array" ref="CK81">SUMIFS('Cắt lồng'!$AH$327:$AH$515,'Cắt lồng'!$AA$327:$AA$515,'Cắt lồng'!$AA81,'Cắt lồng'!$AE$327:$AE$515,'Cắt lồng'!CK$4:CK$4)</f>
        <v>0</v>
      </c>
      <c r="CL81" s="78" t="e">
        <f t="shared" si="194"/>
        <v>#DIV/0!</v>
      </c>
      <c r="CM81" s="79">
        <f t="array" ref="CM81">SUMIFS('Cắt lồng'!$AC$327:$AC$515,'Cắt lồng'!$AA$327:$AA$515,'Cắt lồng'!$AA81,'Cắt lồng'!$AE$327:$AE$515,'Cắt lồng'!CM$4:CM$4)</f>
        <v>0</v>
      </c>
      <c r="CN81" s="79">
        <f t="array" ref="CN81">SUMIFS('Cắt lồng'!$AH$327:$AH$515,'Cắt lồng'!$AA$327:$AA$515,'Cắt lồng'!$AA81,'Cắt lồng'!$AE$327:$AE$515,'Cắt lồng'!CN$4:CN$4)</f>
        <v>0</v>
      </c>
      <c r="CO81" s="78" t="e">
        <f t="shared" si="195"/>
        <v>#DIV/0!</v>
      </c>
      <c r="CP81" s="79">
        <f t="array" ref="CP81">SUMIFS('Cắt lồng'!$AC$327:$AC$515,'Cắt lồng'!$AA$327:$AA$515,'Cắt lồng'!$AA81,'Cắt lồng'!$AE$327:$AE$515,'Cắt lồng'!CP$4:CP$4)</f>
        <v>0</v>
      </c>
      <c r="CQ81" s="79">
        <f t="array" ref="CQ81">SUMIFS('Cắt lồng'!$AH$327:$AH$515,'Cắt lồng'!$AA$327:$AA$515,'Cắt lồng'!$AA81,'Cắt lồng'!$AE$327:$AE$515,'Cắt lồng'!CQ$4:CQ$4)</f>
        <v>0</v>
      </c>
      <c r="CR81" s="78" t="e">
        <f t="shared" si="196"/>
        <v>#DIV/0!</v>
      </c>
      <c r="CS81" s="79">
        <f t="array" ref="CS81">SUMIFS('Cắt lồng'!$AC$327:$AC$515,'Cắt lồng'!$AA$327:$AA$515,'Cắt lồng'!$AA81,'Cắt lồng'!$AE$327:$AE$515,'Cắt lồng'!CS$4:CS$4)</f>
        <v>0</v>
      </c>
      <c r="CT81" s="79">
        <f t="array" ref="CT81">SUMIFS('Cắt lồng'!$AH$327:$AH$515,'Cắt lồng'!$AA$327:$AA$515,'Cắt lồng'!$AA81,'Cắt lồng'!$AE$327:$AE$515,'Cắt lồng'!CT$4:CT$4)</f>
        <v>0</v>
      </c>
      <c r="CU81" s="78" t="e">
        <f t="shared" si="197"/>
        <v>#DIV/0!</v>
      </c>
      <c r="CV81" s="79">
        <f t="array" ref="CV81">SUMIFS('Cắt lồng'!$AC$327:$AC$515,'Cắt lồng'!$AA$327:$AA$515,'Cắt lồng'!$AA81,'Cắt lồng'!$AE$327:$AE$515,'Cắt lồng'!CV$4:CV$4)</f>
        <v>0</v>
      </c>
      <c r="CW81" s="79">
        <f t="array" ref="CW81">SUMIFS('Cắt lồng'!$AH$327:$AH$515,'Cắt lồng'!$AA$327:$AA$515,'Cắt lồng'!$AA81,'Cắt lồng'!$AE$327:$AE$515,'Cắt lồng'!CW$4:CW$4)</f>
        <v>0</v>
      </c>
      <c r="CX81" s="78" t="e">
        <f t="shared" si="198"/>
        <v>#DIV/0!</v>
      </c>
      <c r="CY81" s="79">
        <f t="array" ref="CY81">SUMIFS('Cắt lồng'!$AC$327:$AC$515,'Cắt lồng'!$AA$327:$AA$515,'Cắt lồng'!$AA81,'Cắt lồng'!$AE$327:$AE$515,'Cắt lồng'!CY$4:CY$4)</f>
        <v>0</v>
      </c>
      <c r="CZ81" s="79">
        <f t="array" ref="CZ81">SUMIFS('Cắt lồng'!$AH$327:$AH$515,'Cắt lồng'!$AA$327:$AA$515,'Cắt lồng'!$AA81,'Cắt lồng'!$AE$327:$AE$515,'Cắt lồng'!CZ$4:CZ$4)</f>
        <v>0</v>
      </c>
      <c r="DA81" s="78" t="e">
        <f t="shared" si="199"/>
        <v>#DIV/0!</v>
      </c>
      <c r="DB81" s="79">
        <f t="array" ref="DB81">SUMIFS('Cắt lồng'!$AC$327:$AC$515,'Cắt lồng'!$AA$327:$AA$515,'Cắt lồng'!$AA81,'Cắt lồng'!$AE$327:$AE$515,'Cắt lồng'!DB$4:DB$4)</f>
        <v>0</v>
      </c>
      <c r="DC81" s="79">
        <f t="array" ref="DC81">SUMIFS('Cắt lồng'!$AH$327:$AH$515,'Cắt lồng'!$AA$327:$AA$515,'Cắt lồng'!$AA81,'Cắt lồng'!$AE$327:$AE$515,'Cắt lồng'!DC$4:DC$4)</f>
        <v>0</v>
      </c>
      <c r="DD81" s="78" t="e">
        <f t="shared" si="200"/>
        <v>#DIV/0!</v>
      </c>
      <c r="DE81" s="79">
        <f t="array" ref="DE81">SUMIFS('Cắt lồng'!$AC$327:$AC$515,'Cắt lồng'!$AA$327:$AA$515,'Cắt lồng'!$AA81,'Cắt lồng'!$AE$327:$AE$515,'Cắt lồng'!DE$4:DE$4)</f>
        <v>0</v>
      </c>
      <c r="DF81" s="79">
        <f t="array" ref="DF81">SUMIFS('Cắt lồng'!$AH$327:$AH$515,'Cắt lồng'!$AA$327:$AA$515,'Cắt lồng'!$AA81,'Cắt lồng'!$AE$327:$AE$515,'Cắt lồng'!DF$4:DF$4)</f>
        <v>0</v>
      </c>
      <c r="DG81" s="78" t="e">
        <f t="shared" si="201"/>
        <v>#DIV/0!</v>
      </c>
      <c r="DH81" s="79">
        <f t="array" ref="DH81">SUMIFS('Cắt lồng'!$AC$327:$AC$515,'Cắt lồng'!$AA$327:$AA$515,'Cắt lồng'!$AA81,'Cắt lồng'!$AE$327:$AE$515,'Cắt lồng'!DH$4:DH$4)</f>
        <v>0</v>
      </c>
      <c r="DI81" s="79">
        <f t="array" ref="DI81">SUMIFS('Cắt lồng'!$AH$327:$AH$515,'Cắt lồng'!$AA$327:$AA$515,'Cắt lồng'!$AA81,'Cắt lồng'!$AE$327:$AE$515,'Cắt lồng'!DI$4:DI$4)</f>
        <v>0</v>
      </c>
      <c r="DJ81" s="78" t="e">
        <f t="shared" si="202"/>
        <v>#DIV/0!</v>
      </c>
      <c r="DK81" s="79">
        <f t="array" ref="DK81">SUMIFS('Cắt lồng'!$AC$327:$AC$515,'Cắt lồng'!$AA$327:$AA$515,'Cắt lồng'!$AA81,'Cắt lồng'!$AE$327:$AE$515,'Cắt lồng'!DK$4:DK$4)</f>
        <v>0</v>
      </c>
      <c r="DL81" s="79">
        <f t="array" ref="DL81">SUMIFS('Cắt lồng'!$AH$327:$AH$515,'Cắt lồng'!$AA$327:$AA$515,'Cắt lồng'!$AA81,'Cắt lồng'!$AE$327:$AE$515,'Cắt lồng'!DL$4:DL$4)</f>
        <v>0</v>
      </c>
      <c r="DM81" s="78" t="e">
        <f t="shared" si="203"/>
        <v>#DIV/0!</v>
      </c>
      <c r="DN81" s="79">
        <f t="array" ref="DN81">SUMIFS('Cắt lồng'!$AC$327:$AC$515,'Cắt lồng'!$AA$327:$AA$515,'Cắt lồng'!$AA81,'Cắt lồng'!$AE$327:$AE$515,'Cắt lồng'!DN$4:DN$4)</f>
        <v>0</v>
      </c>
      <c r="DO81" s="79">
        <f t="array" ref="DO81">SUMIFS('Cắt lồng'!$AH$327:$AH$515,'Cắt lồng'!$AA$327:$AA$515,'Cắt lồng'!$AA81,'Cắt lồng'!$AE$327:$AE$515,'Cắt lồng'!DO$4:DO$4)</f>
        <v>0</v>
      </c>
      <c r="DP81" s="78" t="e">
        <f t="shared" si="204"/>
        <v>#DIV/0!</v>
      </c>
      <c r="DQ81" s="79">
        <f t="array" ref="DQ81">SUMIFS('Cắt lồng'!$AC$327:$AC$515,'Cắt lồng'!$AA$327:$AA$515,'Cắt lồng'!$AA81,'Cắt lồng'!$AE$327:$AE$515,'Cắt lồng'!DQ$4:DQ$4)</f>
        <v>0</v>
      </c>
      <c r="DR81" s="79">
        <f t="array" ref="DR81">SUMIFS('Cắt lồng'!$AH$327:$AH$515,'Cắt lồng'!$AA$327:$AA$515,'Cắt lồng'!$AA81,'Cắt lồng'!$AE$327:$AE$515,'Cắt lồng'!DR$4:DR$4)</f>
        <v>0</v>
      </c>
      <c r="DS81" s="78" t="e">
        <f t="shared" si="205"/>
        <v>#DIV/0!</v>
      </c>
      <c r="DT81" s="79">
        <f t="array" ref="DT81">SUMIFS('Cắt lồng'!$AC$327:$AC$515,'Cắt lồng'!$AA$327:$AA$515,'Cắt lồng'!$AA81,'Cắt lồng'!$AE$327:$AE$515,'Cắt lồng'!DT$4:DT$4)</f>
        <v>0</v>
      </c>
      <c r="DU81" s="79">
        <f t="array" ref="DU81">SUMIFS('Cắt lồng'!$AH$327:$AH$515,'Cắt lồng'!$AA$327:$AA$515,'Cắt lồng'!$AA81,'Cắt lồng'!$AE$327:$AE$515,'Cắt lồng'!DU$4:DU$4)</f>
        <v>0</v>
      </c>
      <c r="DV81" s="78" t="e">
        <f t="shared" si="206"/>
        <v>#DIV/0!</v>
      </c>
      <c r="DW81" s="79">
        <f t="array" ref="DW81">SUMIFS('Cắt lồng'!$AC$327:$AC$515,'Cắt lồng'!$AA$327:$AA$515,'Cắt lồng'!$AA81,'Cắt lồng'!$AE$327:$AE$515,'Cắt lồng'!DW$4:DW$4)</f>
        <v>0</v>
      </c>
      <c r="DX81" s="79">
        <f t="array" ref="DX81">SUMIFS('Cắt lồng'!$AH$327:$AH$515,'Cắt lồng'!$AA$327:$AA$515,'Cắt lồng'!$AA81,'Cắt lồng'!$AE$327:$AE$515,'Cắt lồng'!DX$4:DX$4)</f>
        <v>0</v>
      </c>
      <c r="DY81" s="78" t="e">
        <f t="shared" si="207"/>
        <v>#DIV/0!</v>
      </c>
      <c r="DZ81" s="79">
        <f t="array" ref="DZ81">SUMIFS('Cắt lồng'!$AC$327:$AC$515,'Cắt lồng'!$AA$327:$AA$515,'Cắt lồng'!$AA81,'Cắt lồng'!$AE$327:$AE$515,'Cắt lồng'!DZ$4:DZ$4)</f>
        <v>0</v>
      </c>
      <c r="EA81" s="79">
        <f t="array" ref="EA81">SUMIFS('Cắt lồng'!$AH$327:$AH$515,'Cắt lồng'!$AA$327:$AA$515,'Cắt lồng'!$AA81,'Cắt lồng'!$AE$327:$AE$515,'Cắt lồng'!EA$4:EA$4)</f>
        <v>0</v>
      </c>
      <c r="EB81" s="78" t="e">
        <f t="shared" si="208"/>
        <v>#DIV/0!</v>
      </c>
      <c r="EC81" s="79">
        <f t="array" ref="EC81">SUMIFS('Cắt lồng'!$AC$327:$AC$515,'Cắt lồng'!$AA$327:$AA$515,'Cắt lồng'!$AA81,'Cắt lồng'!$AE$327:$AE$515,'Cắt lồng'!EC$4:EC$4)</f>
        <v>0</v>
      </c>
      <c r="ED81" s="79">
        <f t="array" ref="ED81">SUMIFS('Cắt lồng'!$AH$327:$AH$515,'Cắt lồng'!$AA$327:$AA$515,'Cắt lồng'!$AA81,'Cắt lồng'!$AE$327:$AE$515,'Cắt lồng'!ED$4:ED$4)</f>
        <v>0</v>
      </c>
      <c r="EE81" s="78" t="e">
        <f t="shared" si="209"/>
        <v>#DIV/0!</v>
      </c>
      <c r="EF81" s="79">
        <f t="array" ref="EF81">SUMIFS('Cắt lồng'!$AC$327:$AC$515,'Cắt lồng'!$AA$327:$AA$515,'Cắt lồng'!$AA81,'Cắt lồng'!$AE$327:$AE$515,'Cắt lồng'!EF$4:EF$4)</f>
        <v>0</v>
      </c>
      <c r="EG81" s="79">
        <f t="array" ref="EG81">SUMIFS('Cắt lồng'!$AH$327:$AH$515,'Cắt lồng'!$AA$327:$AA$515,'Cắt lồng'!$AA81,'Cắt lồng'!$AE$327:$AE$515,'Cắt lồng'!EG$4:EG$4)</f>
        <v>0</v>
      </c>
      <c r="EH81" s="78" t="e">
        <f t="shared" si="210"/>
        <v>#DIV/0!</v>
      </c>
      <c r="EI81" s="79">
        <f t="array" ref="EI81">SUMIFS('Cắt lồng'!$AC$327:$AC$515,'Cắt lồng'!$AA$327:$AA$515,'Cắt lồng'!$AA81,'Cắt lồng'!$AE$327:$AE$515,'Cắt lồng'!EI$4:EI$4)</f>
        <v>0</v>
      </c>
      <c r="EJ81" s="79">
        <f t="array" ref="EJ81">SUMIFS('Cắt lồng'!$AH$327:$AH$515,'Cắt lồng'!$AA$327:$AA$515,'Cắt lồng'!$AA81,'Cắt lồng'!$AE$327:$AE$515,'Cắt lồng'!EJ$4:EJ$4)</f>
        <v>0</v>
      </c>
      <c r="EK81" s="78" t="e">
        <f t="shared" si="211"/>
        <v>#DIV/0!</v>
      </c>
    </row>
    <row r="82" spans="1:141" s="12" customFormat="1" ht="14.25" hidden="1" customHeight="1">
      <c r="A82" s="25">
        <v>53</v>
      </c>
      <c r="B82" s="26"/>
      <c r="C82" s="25"/>
      <c r="D82" s="24"/>
      <c r="E82" s="60"/>
      <c r="F82" s="59"/>
      <c r="G82" s="82">
        <f t="shared" si="144"/>
        <v>0</v>
      </c>
      <c r="H82" s="81">
        <f t="shared" si="145"/>
        <v>0</v>
      </c>
      <c r="I82" s="19">
        <f t="shared" si="146"/>
        <v>0</v>
      </c>
      <c r="J82" s="11">
        <f t="shared" si="147"/>
        <v>0</v>
      </c>
      <c r="K82" s="19">
        <f t="shared" si="148"/>
        <v>0</v>
      </c>
      <c r="L82" s="19">
        <f t="shared" si="149"/>
        <v>0</v>
      </c>
      <c r="M82" s="19">
        <f t="shared" si="150"/>
        <v>0</v>
      </c>
      <c r="N82" s="19">
        <f t="shared" si="151"/>
        <v>0</v>
      </c>
      <c r="O82" s="19">
        <f t="shared" si="152"/>
        <v>0</v>
      </c>
      <c r="P82" s="19">
        <f t="shared" si="153"/>
        <v>0</v>
      </c>
      <c r="Q82" s="19">
        <f t="shared" si="154"/>
        <v>0</v>
      </c>
      <c r="R82" s="19">
        <f t="shared" si="155"/>
        <v>0</v>
      </c>
      <c r="S82" s="19">
        <f t="shared" si="156"/>
        <v>0</v>
      </c>
      <c r="T82" s="19">
        <f t="shared" si="157"/>
        <v>0</v>
      </c>
      <c r="U82" s="19">
        <f t="shared" si="158"/>
        <v>0</v>
      </c>
      <c r="V82" s="19">
        <f t="shared" si="159"/>
        <v>0</v>
      </c>
      <c r="W82" s="19">
        <f t="shared" si="160"/>
        <v>0</v>
      </c>
      <c r="X82" s="19">
        <f t="shared" si="161"/>
        <v>0</v>
      </c>
      <c r="Y82" s="19">
        <f t="shared" si="162"/>
        <v>0</v>
      </c>
      <c r="Z82" s="19">
        <f t="shared" si="163"/>
        <v>0</v>
      </c>
      <c r="AA82" s="164" t="s">
        <v>235</v>
      </c>
      <c r="AB82" s="17" t="e">
        <f>+H82*SUMIF('[1]KẾ HOẠCH'!$B$5:$CK$5,'Cắt lồng'!AA82,'[1]KẾ HOẠCH'!$B$6:$CK$6)+H82*SUMIF('[1]KẾ HOẠCH'!$B$7:$CK$7,'Cắt lồng'!AA82,'[1]KẾ HOẠCH'!$B$8:$CK$8)+H82*SUMIF('[1]KẾ HOẠCH'!$B$15:$CK$15,'Cắt lồng'!AA82,'[1]KẾ HOẠCH'!$B$16:$CK$16)</f>
        <v>#VALUE!</v>
      </c>
      <c r="AC82" s="16">
        <f t="shared" si="164"/>
        <v>0</v>
      </c>
      <c r="AD82" s="15" t="e">
        <f t="shared" si="165"/>
        <v>#VALUE!</v>
      </c>
      <c r="AE82" s="42"/>
      <c r="AF82" s="10" t="e">
        <f t="shared" si="166"/>
        <v>#DIV/0!</v>
      </c>
      <c r="AG82" s="10"/>
      <c r="AH82" s="152">
        <f t="shared" si="167"/>
        <v>0</v>
      </c>
      <c r="AI82" s="54" t="e">
        <f t="shared" si="168"/>
        <v>#DIV/0!</v>
      </c>
      <c r="AJ82" s="25">
        <f t="shared" si="169"/>
        <v>0</v>
      </c>
      <c r="AK82" s="25">
        <f t="shared" si="170"/>
        <v>0</v>
      </c>
      <c r="AL82" s="25">
        <f t="shared" si="171"/>
        <v>0</v>
      </c>
      <c r="AM82" s="30">
        <f t="shared" si="172"/>
        <v>0</v>
      </c>
      <c r="AN82" s="25">
        <f t="shared" si="173"/>
        <v>0</v>
      </c>
      <c r="AO82" s="25">
        <f t="shared" si="174"/>
        <v>0</v>
      </c>
      <c r="AP82" s="25">
        <f t="shared" si="175"/>
        <v>0</v>
      </c>
      <c r="AQ82" s="25">
        <f t="shared" si="176"/>
        <v>0</v>
      </c>
      <c r="AR82" s="25">
        <f t="shared" si="177"/>
        <v>0</v>
      </c>
      <c r="AS82" s="25">
        <f t="shared" si="178"/>
        <v>0</v>
      </c>
      <c r="AT82" s="25">
        <f t="shared" si="179"/>
        <v>0</v>
      </c>
      <c r="AV82" s="79">
        <f t="shared" si="180"/>
        <v>0</v>
      </c>
      <c r="AW82" s="79">
        <f t="array" ref="AW82">SUMIFS('Cắt lồng'!$AC$327:$AC$515,'Cắt lồng'!$AA$327:$AA$515,'Cắt lồng'!$AA82,'Cắt lồng'!$AE$327:$AE$515,'Cắt lồng'!AW$4:AW$4)</f>
        <v>0</v>
      </c>
      <c r="AX82" s="79">
        <f t="array" ref="AX82">SUMIFS('Cắt lồng'!$AH$327:$AH$515,'Cắt lồng'!$AA$327:$AA$515,'Cắt lồng'!$AA82,'Cắt lồng'!$AE$327:$AE$515,'Cắt lồng'!AX$4:AX$4)</f>
        <v>0</v>
      </c>
      <c r="AY82" s="78" t="e">
        <f t="shared" si="181"/>
        <v>#DIV/0!</v>
      </c>
      <c r="AZ82" s="79">
        <f t="array" ref="AZ82">SUMIFS('Cắt lồng'!$AC$327:$AC$515,'Cắt lồng'!$AA$327:$AA$515,'Cắt lồng'!$AA82,'Cắt lồng'!$AE$327:$AE$515,'Cắt lồng'!AZ$4:AZ$4)</f>
        <v>0</v>
      </c>
      <c r="BA82" s="79">
        <f t="array" ref="BA82">SUMIFS('Cắt lồng'!$AH$327:$AH$515,'Cắt lồng'!$AA$327:$AA$515,'Cắt lồng'!$AA82,'Cắt lồng'!$AE$327:$AE$515,'Cắt lồng'!BA$4:BA$4)</f>
        <v>0</v>
      </c>
      <c r="BB82" s="78" t="e">
        <f t="shared" si="182"/>
        <v>#DIV/0!</v>
      </c>
      <c r="BC82" s="79">
        <f t="array" ref="BC82">SUMIFS('Cắt lồng'!$AC$327:$AC$515,'Cắt lồng'!$AA$327:$AA$515,'Cắt lồng'!$AA82,'Cắt lồng'!$AE$327:$AE$515,'Cắt lồng'!BC$4:BC$4)</f>
        <v>0</v>
      </c>
      <c r="BD82" s="79">
        <f t="array" ref="BD82">SUMIFS('Cắt lồng'!$AH$327:$AH$515,'Cắt lồng'!$AA$327:$AA$515,'Cắt lồng'!$AA82,'Cắt lồng'!$AE$327:$AE$515,'Cắt lồng'!BD$4:BD$4)</f>
        <v>0</v>
      </c>
      <c r="BE82" s="78" t="e">
        <f t="shared" si="183"/>
        <v>#DIV/0!</v>
      </c>
      <c r="BF82" s="79">
        <f t="array" ref="BF82">SUMIFS('Cắt lồng'!$AC$327:$AC$515,'Cắt lồng'!$AA$327:$AA$515,'Cắt lồng'!$AA82,'Cắt lồng'!$AE$327:$AE$515,'Cắt lồng'!BF$4:BF$4)</f>
        <v>0</v>
      </c>
      <c r="BG82" s="79">
        <f t="array" ref="BG82">SUMIFS('Cắt lồng'!$AH$327:$AH$515,'Cắt lồng'!$AA$327:$AA$515,'Cắt lồng'!$AA82,'Cắt lồng'!$AE$327:$AE$515,'Cắt lồng'!BG$4:BG$4)</f>
        <v>0</v>
      </c>
      <c r="BH82" s="78" t="e">
        <f t="shared" si="184"/>
        <v>#DIV/0!</v>
      </c>
      <c r="BI82" s="79">
        <f t="array" ref="BI82">SUMIFS('Cắt lồng'!$AC$327:$AC$515,'Cắt lồng'!$AA$327:$AA$515,'Cắt lồng'!$AA82,'Cắt lồng'!$AE$327:$AE$515,'Cắt lồng'!BI$4:BI$4)</f>
        <v>0</v>
      </c>
      <c r="BJ82" s="79">
        <f t="array" ref="BJ82">SUMIFS('Cắt lồng'!$AH$327:$AH$515,'Cắt lồng'!$AA$327:$AA$515,'Cắt lồng'!$AA82,'Cắt lồng'!$AE$327:$AE$515,'Cắt lồng'!BJ$4:BJ$4)</f>
        <v>0</v>
      </c>
      <c r="BK82" s="78" t="e">
        <f t="shared" si="185"/>
        <v>#DIV/0!</v>
      </c>
      <c r="BL82" s="79">
        <f t="array" ref="BL82">SUMIFS('Cắt lồng'!$AC$327:$AC$515,'Cắt lồng'!$AA$327:$AA$515,'Cắt lồng'!$AA82,'Cắt lồng'!$AE$327:$AE$515,'Cắt lồng'!BL$4:BL$4)</f>
        <v>0</v>
      </c>
      <c r="BM82" s="79">
        <f t="array" ref="BM82">SUMIFS('Cắt lồng'!$AH$327:$AH$515,'Cắt lồng'!$AA$327:$AA$515,'Cắt lồng'!$AA82,'Cắt lồng'!$AE$327:$AE$515,'Cắt lồng'!BM$4:BM$4)</f>
        <v>0</v>
      </c>
      <c r="BN82" s="78" t="e">
        <f t="shared" si="186"/>
        <v>#DIV/0!</v>
      </c>
      <c r="BO82" s="79">
        <f t="array" ref="BO82">SUMIFS('Cắt lồng'!$AC$327:$AC$515,'Cắt lồng'!$AA$327:$AA$515,'Cắt lồng'!$AA82,'Cắt lồng'!$AE$327:$AE$515,'Cắt lồng'!BO$4:BO$4)</f>
        <v>0</v>
      </c>
      <c r="BP82" s="79">
        <f t="array" ref="BP82">SUMIFS('Cắt lồng'!$AH$327:$AH$515,'Cắt lồng'!$AA$327:$AA$515,'Cắt lồng'!$AA82,'Cắt lồng'!$AE$327:$AE$515,'Cắt lồng'!BP$4:BP$4)</f>
        <v>0</v>
      </c>
      <c r="BQ82" s="78" t="e">
        <f t="shared" si="187"/>
        <v>#DIV/0!</v>
      </c>
      <c r="BR82" s="79">
        <f t="array" ref="BR82">SUMIFS('Cắt lồng'!$AC$327:$AC$515,'Cắt lồng'!$AA$327:$AA$515,'Cắt lồng'!$AA82,'Cắt lồng'!$AE$327:$AE$515,'Cắt lồng'!BR$4:BR$4)</f>
        <v>0</v>
      </c>
      <c r="BS82" s="79">
        <f t="array" ref="BS82">SUMIFS('Cắt lồng'!$AH$327:$AH$515,'Cắt lồng'!$AA$327:$AA$515,'Cắt lồng'!$AA82,'Cắt lồng'!$AE$327:$AE$515,'Cắt lồng'!BS$4:BS$4)</f>
        <v>0</v>
      </c>
      <c r="BT82" s="78" t="e">
        <f t="shared" si="188"/>
        <v>#DIV/0!</v>
      </c>
      <c r="BU82" s="79">
        <f t="array" ref="BU82">SUMIFS('Cắt lồng'!$AC$327:$AC$515,'Cắt lồng'!$AA$327:$AA$515,'Cắt lồng'!$AA82,'Cắt lồng'!$AE$327:$AE$515,'Cắt lồng'!BU$4:BU$4)</f>
        <v>0</v>
      </c>
      <c r="BV82" s="79">
        <f t="array" ref="BV82">SUMIFS('Cắt lồng'!$AH$327:$AH$515,'Cắt lồng'!$AA$327:$AA$515,'Cắt lồng'!$AA82,'Cắt lồng'!$AE$327:$AE$515,'Cắt lồng'!BV$4:BV$4)</f>
        <v>0</v>
      </c>
      <c r="BW82" s="78" t="e">
        <f t="shared" si="189"/>
        <v>#DIV/0!</v>
      </c>
      <c r="BX82" s="79">
        <f t="array" ref="BX82">SUMIFS('Cắt lồng'!$AC$327:$AC$515,'Cắt lồng'!$AA$327:$AA$515,'Cắt lồng'!$AA82,'Cắt lồng'!$AE$327:$AE$515,'Cắt lồng'!BX$4:BX$4)</f>
        <v>0</v>
      </c>
      <c r="BY82" s="79">
        <f t="array" ref="BY82">SUMIFS('Cắt lồng'!$AH$327:$AH$515,'Cắt lồng'!$AA$327:$AA$515,'Cắt lồng'!$AA82,'Cắt lồng'!$AE$327:$AE$515,'Cắt lồng'!BY$4:BY$4)</f>
        <v>0</v>
      </c>
      <c r="BZ82" s="78" t="e">
        <f t="shared" si="190"/>
        <v>#DIV/0!</v>
      </c>
      <c r="CA82" s="79">
        <f t="array" ref="CA82">SUMIFS('Cắt lồng'!$AC$327:$AC$515,'Cắt lồng'!$AA$327:$AA$515,'Cắt lồng'!$AA82,'Cắt lồng'!$AE$327:$AE$515,'Cắt lồng'!CA$4:CA$4)</f>
        <v>0</v>
      </c>
      <c r="CB82" s="79">
        <f t="array" ref="CB82">SUMIFS('Cắt lồng'!$AH$327:$AH$515,'Cắt lồng'!$AA$327:$AA$515,'Cắt lồng'!$AA82,'Cắt lồng'!$AE$327:$AE$515,'Cắt lồng'!CB$4:CB$4)</f>
        <v>0</v>
      </c>
      <c r="CC82" s="78" t="e">
        <f t="shared" si="191"/>
        <v>#DIV/0!</v>
      </c>
      <c r="CD82" s="79">
        <f t="array" ref="CD82">SUMIFS('Cắt lồng'!$AC$327:$AC$515,'Cắt lồng'!$AA$327:$AA$515,'Cắt lồng'!$AA82,'Cắt lồng'!$AE$327:$AE$515,'Cắt lồng'!CD$4:CD$4)</f>
        <v>0</v>
      </c>
      <c r="CE82" s="79">
        <f t="array" ref="CE82">SUMIFS('Cắt lồng'!$AH$327:$AH$515,'Cắt lồng'!$AA$327:$AA$515,'Cắt lồng'!$AA82,'Cắt lồng'!$AE$327:$AE$515,'Cắt lồng'!CE$4:CE$4)</f>
        <v>0</v>
      </c>
      <c r="CF82" s="78" t="e">
        <f t="shared" si="192"/>
        <v>#DIV/0!</v>
      </c>
      <c r="CG82" s="79">
        <f t="array" ref="CG82">SUMIFS('Cắt lồng'!$AC$327:$AC$515,'Cắt lồng'!$AA$327:$AA$515,'Cắt lồng'!$AA82,'Cắt lồng'!$AE$327:$AE$515,'Cắt lồng'!CG$4:CG$4)</f>
        <v>0</v>
      </c>
      <c r="CH82" s="79">
        <f t="array" ref="CH82">SUMIFS('Cắt lồng'!$AH$327:$AH$515,'Cắt lồng'!$AA$327:$AA$515,'Cắt lồng'!$AA82,'Cắt lồng'!$AE$327:$AE$515,'Cắt lồng'!CH$4:CH$4)</f>
        <v>0</v>
      </c>
      <c r="CI82" s="78" t="e">
        <f t="shared" si="193"/>
        <v>#DIV/0!</v>
      </c>
      <c r="CJ82" s="79">
        <f t="array" ref="CJ82">SUMIFS('Cắt lồng'!$AC$327:$AC$515,'Cắt lồng'!$AA$327:$AA$515,'Cắt lồng'!$AA82,'Cắt lồng'!$AE$327:$AE$515,'Cắt lồng'!CJ$4:CJ$4)</f>
        <v>0</v>
      </c>
      <c r="CK82" s="79">
        <f t="array" ref="CK82">SUMIFS('Cắt lồng'!$AH$327:$AH$515,'Cắt lồng'!$AA$327:$AA$515,'Cắt lồng'!$AA82,'Cắt lồng'!$AE$327:$AE$515,'Cắt lồng'!CK$4:CK$4)</f>
        <v>0</v>
      </c>
      <c r="CL82" s="78" t="e">
        <f t="shared" si="194"/>
        <v>#DIV/0!</v>
      </c>
      <c r="CM82" s="79">
        <f t="array" ref="CM82">SUMIFS('Cắt lồng'!$AC$327:$AC$515,'Cắt lồng'!$AA$327:$AA$515,'Cắt lồng'!$AA82,'Cắt lồng'!$AE$327:$AE$515,'Cắt lồng'!CM$4:CM$4)</f>
        <v>0</v>
      </c>
      <c r="CN82" s="79">
        <f t="array" ref="CN82">SUMIFS('Cắt lồng'!$AH$327:$AH$515,'Cắt lồng'!$AA$327:$AA$515,'Cắt lồng'!$AA82,'Cắt lồng'!$AE$327:$AE$515,'Cắt lồng'!CN$4:CN$4)</f>
        <v>0</v>
      </c>
      <c r="CO82" s="78" t="e">
        <f t="shared" si="195"/>
        <v>#DIV/0!</v>
      </c>
      <c r="CP82" s="79">
        <f t="array" ref="CP82">SUMIFS('Cắt lồng'!$AC$327:$AC$515,'Cắt lồng'!$AA$327:$AA$515,'Cắt lồng'!$AA82,'Cắt lồng'!$AE$327:$AE$515,'Cắt lồng'!CP$4:CP$4)</f>
        <v>0</v>
      </c>
      <c r="CQ82" s="79">
        <f t="array" ref="CQ82">SUMIFS('Cắt lồng'!$AH$327:$AH$515,'Cắt lồng'!$AA$327:$AA$515,'Cắt lồng'!$AA82,'Cắt lồng'!$AE$327:$AE$515,'Cắt lồng'!CQ$4:CQ$4)</f>
        <v>0</v>
      </c>
      <c r="CR82" s="78" t="e">
        <f t="shared" si="196"/>
        <v>#DIV/0!</v>
      </c>
      <c r="CS82" s="79">
        <f t="array" ref="CS82">SUMIFS('Cắt lồng'!$AC$327:$AC$515,'Cắt lồng'!$AA$327:$AA$515,'Cắt lồng'!$AA82,'Cắt lồng'!$AE$327:$AE$515,'Cắt lồng'!CS$4:CS$4)</f>
        <v>0</v>
      </c>
      <c r="CT82" s="79">
        <f t="array" ref="CT82">SUMIFS('Cắt lồng'!$AH$327:$AH$515,'Cắt lồng'!$AA$327:$AA$515,'Cắt lồng'!$AA82,'Cắt lồng'!$AE$327:$AE$515,'Cắt lồng'!CT$4:CT$4)</f>
        <v>0</v>
      </c>
      <c r="CU82" s="78" t="e">
        <f t="shared" si="197"/>
        <v>#DIV/0!</v>
      </c>
      <c r="CV82" s="79">
        <f t="array" ref="CV82">SUMIFS('Cắt lồng'!$AC$327:$AC$515,'Cắt lồng'!$AA$327:$AA$515,'Cắt lồng'!$AA82,'Cắt lồng'!$AE$327:$AE$515,'Cắt lồng'!CV$4:CV$4)</f>
        <v>0</v>
      </c>
      <c r="CW82" s="79">
        <f t="array" ref="CW82">SUMIFS('Cắt lồng'!$AH$327:$AH$515,'Cắt lồng'!$AA$327:$AA$515,'Cắt lồng'!$AA82,'Cắt lồng'!$AE$327:$AE$515,'Cắt lồng'!CW$4:CW$4)</f>
        <v>0</v>
      </c>
      <c r="CX82" s="78" t="e">
        <f t="shared" si="198"/>
        <v>#DIV/0!</v>
      </c>
      <c r="CY82" s="79">
        <f t="array" ref="CY82">SUMIFS('Cắt lồng'!$AC$327:$AC$515,'Cắt lồng'!$AA$327:$AA$515,'Cắt lồng'!$AA82,'Cắt lồng'!$AE$327:$AE$515,'Cắt lồng'!CY$4:CY$4)</f>
        <v>0</v>
      </c>
      <c r="CZ82" s="79">
        <f t="array" ref="CZ82">SUMIFS('Cắt lồng'!$AH$327:$AH$515,'Cắt lồng'!$AA$327:$AA$515,'Cắt lồng'!$AA82,'Cắt lồng'!$AE$327:$AE$515,'Cắt lồng'!CZ$4:CZ$4)</f>
        <v>0</v>
      </c>
      <c r="DA82" s="78" t="e">
        <f t="shared" si="199"/>
        <v>#DIV/0!</v>
      </c>
      <c r="DB82" s="79">
        <f t="array" ref="DB82">SUMIFS('Cắt lồng'!$AC$327:$AC$515,'Cắt lồng'!$AA$327:$AA$515,'Cắt lồng'!$AA82,'Cắt lồng'!$AE$327:$AE$515,'Cắt lồng'!DB$4:DB$4)</f>
        <v>0</v>
      </c>
      <c r="DC82" s="79">
        <f t="array" ref="DC82">SUMIFS('Cắt lồng'!$AH$327:$AH$515,'Cắt lồng'!$AA$327:$AA$515,'Cắt lồng'!$AA82,'Cắt lồng'!$AE$327:$AE$515,'Cắt lồng'!DC$4:DC$4)</f>
        <v>0</v>
      </c>
      <c r="DD82" s="78" t="e">
        <f t="shared" si="200"/>
        <v>#DIV/0!</v>
      </c>
      <c r="DE82" s="79">
        <f t="array" ref="DE82">SUMIFS('Cắt lồng'!$AC$327:$AC$515,'Cắt lồng'!$AA$327:$AA$515,'Cắt lồng'!$AA82,'Cắt lồng'!$AE$327:$AE$515,'Cắt lồng'!DE$4:DE$4)</f>
        <v>0</v>
      </c>
      <c r="DF82" s="79">
        <f t="array" ref="DF82">SUMIFS('Cắt lồng'!$AH$327:$AH$515,'Cắt lồng'!$AA$327:$AA$515,'Cắt lồng'!$AA82,'Cắt lồng'!$AE$327:$AE$515,'Cắt lồng'!DF$4:DF$4)</f>
        <v>0</v>
      </c>
      <c r="DG82" s="78" t="e">
        <f t="shared" si="201"/>
        <v>#DIV/0!</v>
      </c>
      <c r="DH82" s="79">
        <f t="array" ref="DH82">SUMIFS('Cắt lồng'!$AC$327:$AC$515,'Cắt lồng'!$AA$327:$AA$515,'Cắt lồng'!$AA82,'Cắt lồng'!$AE$327:$AE$515,'Cắt lồng'!DH$4:DH$4)</f>
        <v>0</v>
      </c>
      <c r="DI82" s="79">
        <f t="array" ref="DI82">SUMIFS('Cắt lồng'!$AH$327:$AH$515,'Cắt lồng'!$AA$327:$AA$515,'Cắt lồng'!$AA82,'Cắt lồng'!$AE$327:$AE$515,'Cắt lồng'!DI$4:DI$4)</f>
        <v>0</v>
      </c>
      <c r="DJ82" s="78" t="e">
        <f t="shared" si="202"/>
        <v>#DIV/0!</v>
      </c>
      <c r="DK82" s="79">
        <f t="array" ref="DK82">SUMIFS('Cắt lồng'!$AC$327:$AC$515,'Cắt lồng'!$AA$327:$AA$515,'Cắt lồng'!$AA82,'Cắt lồng'!$AE$327:$AE$515,'Cắt lồng'!DK$4:DK$4)</f>
        <v>0</v>
      </c>
      <c r="DL82" s="79">
        <f t="array" ref="DL82">SUMIFS('Cắt lồng'!$AH$327:$AH$515,'Cắt lồng'!$AA$327:$AA$515,'Cắt lồng'!$AA82,'Cắt lồng'!$AE$327:$AE$515,'Cắt lồng'!DL$4:DL$4)</f>
        <v>0</v>
      </c>
      <c r="DM82" s="78" t="e">
        <f t="shared" si="203"/>
        <v>#DIV/0!</v>
      </c>
      <c r="DN82" s="79">
        <f t="array" ref="DN82">SUMIFS('Cắt lồng'!$AC$327:$AC$515,'Cắt lồng'!$AA$327:$AA$515,'Cắt lồng'!$AA82,'Cắt lồng'!$AE$327:$AE$515,'Cắt lồng'!DN$4:DN$4)</f>
        <v>0</v>
      </c>
      <c r="DO82" s="79">
        <f t="array" ref="DO82">SUMIFS('Cắt lồng'!$AH$327:$AH$515,'Cắt lồng'!$AA$327:$AA$515,'Cắt lồng'!$AA82,'Cắt lồng'!$AE$327:$AE$515,'Cắt lồng'!DO$4:DO$4)</f>
        <v>0</v>
      </c>
      <c r="DP82" s="78" t="e">
        <f t="shared" si="204"/>
        <v>#DIV/0!</v>
      </c>
      <c r="DQ82" s="79">
        <f t="array" ref="DQ82">SUMIFS('Cắt lồng'!$AC$327:$AC$515,'Cắt lồng'!$AA$327:$AA$515,'Cắt lồng'!$AA82,'Cắt lồng'!$AE$327:$AE$515,'Cắt lồng'!DQ$4:DQ$4)</f>
        <v>0</v>
      </c>
      <c r="DR82" s="79">
        <f t="array" ref="DR82">SUMIFS('Cắt lồng'!$AH$327:$AH$515,'Cắt lồng'!$AA$327:$AA$515,'Cắt lồng'!$AA82,'Cắt lồng'!$AE$327:$AE$515,'Cắt lồng'!DR$4:DR$4)</f>
        <v>0</v>
      </c>
      <c r="DS82" s="78" t="e">
        <f t="shared" si="205"/>
        <v>#DIV/0!</v>
      </c>
      <c r="DT82" s="79">
        <f t="array" ref="DT82">SUMIFS('Cắt lồng'!$AC$327:$AC$515,'Cắt lồng'!$AA$327:$AA$515,'Cắt lồng'!$AA82,'Cắt lồng'!$AE$327:$AE$515,'Cắt lồng'!DT$4:DT$4)</f>
        <v>0</v>
      </c>
      <c r="DU82" s="79">
        <f t="array" ref="DU82">SUMIFS('Cắt lồng'!$AH$327:$AH$515,'Cắt lồng'!$AA$327:$AA$515,'Cắt lồng'!$AA82,'Cắt lồng'!$AE$327:$AE$515,'Cắt lồng'!DU$4:DU$4)</f>
        <v>0</v>
      </c>
      <c r="DV82" s="78" t="e">
        <f t="shared" si="206"/>
        <v>#DIV/0!</v>
      </c>
      <c r="DW82" s="79">
        <f t="array" ref="DW82">SUMIFS('Cắt lồng'!$AC$327:$AC$515,'Cắt lồng'!$AA$327:$AA$515,'Cắt lồng'!$AA82,'Cắt lồng'!$AE$327:$AE$515,'Cắt lồng'!DW$4:DW$4)</f>
        <v>0</v>
      </c>
      <c r="DX82" s="79">
        <f t="array" ref="DX82">SUMIFS('Cắt lồng'!$AH$327:$AH$515,'Cắt lồng'!$AA$327:$AA$515,'Cắt lồng'!$AA82,'Cắt lồng'!$AE$327:$AE$515,'Cắt lồng'!DX$4:DX$4)</f>
        <v>0</v>
      </c>
      <c r="DY82" s="78" t="e">
        <f t="shared" si="207"/>
        <v>#DIV/0!</v>
      </c>
      <c r="DZ82" s="79">
        <f t="array" ref="DZ82">SUMIFS('Cắt lồng'!$AC$327:$AC$515,'Cắt lồng'!$AA$327:$AA$515,'Cắt lồng'!$AA82,'Cắt lồng'!$AE$327:$AE$515,'Cắt lồng'!DZ$4:DZ$4)</f>
        <v>0</v>
      </c>
      <c r="EA82" s="79">
        <f t="array" ref="EA82">SUMIFS('Cắt lồng'!$AH$327:$AH$515,'Cắt lồng'!$AA$327:$AA$515,'Cắt lồng'!$AA82,'Cắt lồng'!$AE$327:$AE$515,'Cắt lồng'!EA$4:EA$4)</f>
        <v>0</v>
      </c>
      <c r="EB82" s="78" t="e">
        <f t="shared" si="208"/>
        <v>#DIV/0!</v>
      </c>
      <c r="EC82" s="79">
        <f t="array" ref="EC82">SUMIFS('Cắt lồng'!$AC$327:$AC$515,'Cắt lồng'!$AA$327:$AA$515,'Cắt lồng'!$AA82,'Cắt lồng'!$AE$327:$AE$515,'Cắt lồng'!EC$4:EC$4)</f>
        <v>0</v>
      </c>
      <c r="ED82" s="79">
        <f t="array" ref="ED82">SUMIFS('Cắt lồng'!$AH$327:$AH$515,'Cắt lồng'!$AA$327:$AA$515,'Cắt lồng'!$AA82,'Cắt lồng'!$AE$327:$AE$515,'Cắt lồng'!ED$4:ED$4)</f>
        <v>0</v>
      </c>
      <c r="EE82" s="78" t="e">
        <f t="shared" si="209"/>
        <v>#DIV/0!</v>
      </c>
      <c r="EF82" s="79">
        <f t="array" ref="EF82">SUMIFS('Cắt lồng'!$AC$327:$AC$515,'Cắt lồng'!$AA$327:$AA$515,'Cắt lồng'!$AA82,'Cắt lồng'!$AE$327:$AE$515,'Cắt lồng'!EF$4:EF$4)</f>
        <v>0</v>
      </c>
      <c r="EG82" s="79">
        <f t="array" ref="EG82">SUMIFS('Cắt lồng'!$AH$327:$AH$515,'Cắt lồng'!$AA$327:$AA$515,'Cắt lồng'!$AA82,'Cắt lồng'!$AE$327:$AE$515,'Cắt lồng'!EG$4:EG$4)</f>
        <v>0</v>
      </c>
      <c r="EH82" s="78" t="e">
        <f t="shared" si="210"/>
        <v>#DIV/0!</v>
      </c>
      <c r="EI82" s="79">
        <f t="array" ref="EI82">SUMIFS('Cắt lồng'!$AC$327:$AC$515,'Cắt lồng'!$AA$327:$AA$515,'Cắt lồng'!$AA82,'Cắt lồng'!$AE$327:$AE$515,'Cắt lồng'!EI$4:EI$4)</f>
        <v>0</v>
      </c>
      <c r="EJ82" s="79">
        <f t="array" ref="EJ82">SUMIFS('Cắt lồng'!$AH$327:$AH$515,'Cắt lồng'!$AA$327:$AA$515,'Cắt lồng'!$AA82,'Cắt lồng'!$AE$327:$AE$515,'Cắt lồng'!EJ$4:EJ$4)</f>
        <v>0</v>
      </c>
      <c r="EK82" s="78" t="e">
        <f t="shared" si="211"/>
        <v>#DIV/0!</v>
      </c>
    </row>
    <row r="83" spans="1:141" s="12" customFormat="1" ht="14.25" hidden="1" customHeight="1">
      <c r="A83" s="25">
        <v>54</v>
      </c>
      <c r="B83" s="26"/>
      <c r="C83" s="25"/>
      <c r="D83" s="24"/>
      <c r="E83" s="60"/>
      <c r="F83" s="59"/>
      <c r="G83" s="82">
        <f t="shared" si="144"/>
        <v>0</v>
      </c>
      <c r="H83" s="81">
        <f t="shared" si="145"/>
        <v>0</v>
      </c>
      <c r="I83" s="19">
        <f t="shared" si="146"/>
        <v>0</v>
      </c>
      <c r="J83" s="11">
        <f t="shared" si="147"/>
        <v>0</v>
      </c>
      <c r="K83" s="19">
        <f t="shared" si="148"/>
        <v>0</v>
      </c>
      <c r="L83" s="19">
        <f t="shared" si="149"/>
        <v>0</v>
      </c>
      <c r="M83" s="19">
        <f t="shared" si="150"/>
        <v>0</v>
      </c>
      <c r="N83" s="19">
        <f t="shared" si="151"/>
        <v>0</v>
      </c>
      <c r="O83" s="19">
        <f t="shared" si="152"/>
        <v>0</v>
      </c>
      <c r="P83" s="19">
        <f t="shared" si="153"/>
        <v>0</v>
      </c>
      <c r="Q83" s="19">
        <f t="shared" si="154"/>
        <v>0</v>
      </c>
      <c r="R83" s="19">
        <f t="shared" si="155"/>
        <v>0</v>
      </c>
      <c r="S83" s="19">
        <f t="shared" si="156"/>
        <v>0</v>
      </c>
      <c r="T83" s="19">
        <f t="shared" si="157"/>
        <v>0</v>
      </c>
      <c r="U83" s="19">
        <f t="shared" si="158"/>
        <v>0</v>
      </c>
      <c r="V83" s="19">
        <f t="shared" si="159"/>
        <v>0</v>
      </c>
      <c r="W83" s="19">
        <f t="shared" si="160"/>
        <v>0</v>
      </c>
      <c r="X83" s="19">
        <f t="shared" si="161"/>
        <v>0</v>
      </c>
      <c r="Y83" s="19">
        <f t="shared" si="162"/>
        <v>0</v>
      </c>
      <c r="Z83" s="19">
        <f t="shared" si="163"/>
        <v>0</v>
      </c>
      <c r="AA83" s="164" t="s">
        <v>234</v>
      </c>
      <c r="AB83" s="17" t="e">
        <f>+H83*SUMIF('[1]KẾ HOẠCH'!$B$5:$CK$5,'Cắt lồng'!AA83,'[1]KẾ HOẠCH'!$B$6:$CK$6)+H83*SUMIF('[1]KẾ HOẠCH'!$B$7:$CK$7,'Cắt lồng'!AA83,'[1]KẾ HOẠCH'!$B$8:$CK$8)+H83*SUMIF('[1]KẾ HOẠCH'!$B$15:$CK$15,'Cắt lồng'!AA83,'[1]KẾ HOẠCH'!$B$16:$CK$16)</f>
        <v>#VALUE!</v>
      </c>
      <c r="AC83" s="16">
        <f t="shared" si="164"/>
        <v>0</v>
      </c>
      <c r="AD83" s="15" t="e">
        <f t="shared" si="165"/>
        <v>#VALUE!</v>
      </c>
      <c r="AE83" s="42"/>
      <c r="AF83" s="10" t="e">
        <f t="shared" si="166"/>
        <v>#DIV/0!</v>
      </c>
      <c r="AG83" s="10"/>
      <c r="AH83" s="152">
        <f t="shared" si="167"/>
        <v>0</v>
      </c>
      <c r="AI83" s="54" t="e">
        <f t="shared" si="168"/>
        <v>#DIV/0!</v>
      </c>
      <c r="AJ83" s="25">
        <f t="shared" si="169"/>
        <v>0</v>
      </c>
      <c r="AK83" s="25">
        <f t="shared" si="170"/>
        <v>0</v>
      </c>
      <c r="AL83" s="25">
        <f t="shared" si="171"/>
        <v>0</v>
      </c>
      <c r="AM83" s="30">
        <f t="shared" si="172"/>
        <v>0</v>
      </c>
      <c r="AN83" s="25">
        <f t="shared" si="173"/>
        <v>0</v>
      </c>
      <c r="AO83" s="25">
        <f t="shared" si="174"/>
        <v>0</v>
      </c>
      <c r="AP83" s="25">
        <f t="shared" si="175"/>
        <v>0</v>
      </c>
      <c r="AQ83" s="25">
        <f t="shared" si="176"/>
        <v>0</v>
      </c>
      <c r="AR83" s="25">
        <f t="shared" si="177"/>
        <v>0</v>
      </c>
      <c r="AS83" s="25">
        <f t="shared" si="178"/>
        <v>0</v>
      </c>
      <c r="AT83" s="25">
        <f t="shared" si="179"/>
        <v>0</v>
      </c>
      <c r="AV83" s="79">
        <f t="shared" si="180"/>
        <v>0</v>
      </c>
      <c r="AW83" s="79">
        <f t="array" ref="AW83">SUMIFS('Cắt lồng'!$AC$327:$AC$515,'Cắt lồng'!$AA$327:$AA$515,'Cắt lồng'!$AA83,'Cắt lồng'!$AE$327:$AE$515,'Cắt lồng'!AW$4:AW$4)</f>
        <v>0</v>
      </c>
      <c r="AX83" s="79">
        <f t="array" ref="AX83">SUMIFS('Cắt lồng'!$AH$327:$AH$515,'Cắt lồng'!$AA$327:$AA$515,'Cắt lồng'!$AA83,'Cắt lồng'!$AE$327:$AE$515,'Cắt lồng'!AX$4:AX$4)</f>
        <v>0</v>
      </c>
      <c r="AY83" s="78" t="e">
        <f t="shared" si="181"/>
        <v>#DIV/0!</v>
      </c>
      <c r="AZ83" s="79">
        <f t="array" ref="AZ83">SUMIFS('Cắt lồng'!$AC$327:$AC$515,'Cắt lồng'!$AA$327:$AA$515,'Cắt lồng'!$AA83,'Cắt lồng'!$AE$327:$AE$515,'Cắt lồng'!AZ$4:AZ$4)</f>
        <v>0</v>
      </c>
      <c r="BA83" s="79">
        <f t="array" ref="BA83">SUMIFS('Cắt lồng'!$AH$327:$AH$515,'Cắt lồng'!$AA$327:$AA$515,'Cắt lồng'!$AA83,'Cắt lồng'!$AE$327:$AE$515,'Cắt lồng'!BA$4:BA$4)</f>
        <v>0</v>
      </c>
      <c r="BB83" s="78" t="e">
        <f t="shared" si="182"/>
        <v>#DIV/0!</v>
      </c>
      <c r="BC83" s="79">
        <f t="array" ref="BC83">SUMIFS('Cắt lồng'!$AC$327:$AC$515,'Cắt lồng'!$AA$327:$AA$515,'Cắt lồng'!$AA83,'Cắt lồng'!$AE$327:$AE$515,'Cắt lồng'!BC$4:BC$4)</f>
        <v>0</v>
      </c>
      <c r="BD83" s="79">
        <f t="array" ref="BD83">SUMIFS('Cắt lồng'!$AH$327:$AH$515,'Cắt lồng'!$AA$327:$AA$515,'Cắt lồng'!$AA83,'Cắt lồng'!$AE$327:$AE$515,'Cắt lồng'!BD$4:BD$4)</f>
        <v>0</v>
      </c>
      <c r="BE83" s="78" t="e">
        <f t="shared" si="183"/>
        <v>#DIV/0!</v>
      </c>
      <c r="BF83" s="79">
        <f t="array" ref="BF83">SUMIFS('Cắt lồng'!$AC$327:$AC$515,'Cắt lồng'!$AA$327:$AA$515,'Cắt lồng'!$AA83,'Cắt lồng'!$AE$327:$AE$515,'Cắt lồng'!BF$4:BF$4)</f>
        <v>0</v>
      </c>
      <c r="BG83" s="79">
        <f t="array" ref="BG83">SUMIFS('Cắt lồng'!$AH$327:$AH$515,'Cắt lồng'!$AA$327:$AA$515,'Cắt lồng'!$AA83,'Cắt lồng'!$AE$327:$AE$515,'Cắt lồng'!BG$4:BG$4)</f>
        <v>0</v>
      </c>
      <c r="BH83" s="78" t="e">
        <f t="shared" si="184"/>
        <v>#DIV/0!</v>
      </c>
      <c r="BI83" s="79">
        <f t="array" ref="BI83">SUMIFS('Cắt lồng'!$AC$327:$AC$515,'Cắt lồng'!$AA$327:$AA$515,'Cắt lồng'!$AA83,'Cắt lồng'!$AE$327:$AE$515,'Cắt lồng'!BI$4:BI$4)</f>
        <v>0</v>
      </c>
      <c r="BJ83" s="79">
        <f t="array" ref="BJ83">SUMIFS('Cắt lồng'!$AH$327:$AH$515,'Cắt lồng'!$AA$327:$AA$515,'Cắt lồng'!$AA83,'Cắt lồng'!$AE$327:$AE$515,'Cắt lồng'!BJ$4:BJ$4)</f>
        <v>0</v>
      </c>
      <c r="BK83" s="78" t="e">
        <f t="shared" si="185"/>
        <v>#DIV/0!</v>
      </c>
      <c r="BL83" s="79">
        <f t="array" ref="BL83">SUMIFS('Cắt lồng'!$AC$327:$AC$515,'Cắt lồng'!$AA$327:$AA$515,'Cắt lồng'!$AA83,'Cắt lồng'!$AE$327:$AE$515,'Cắt lồng'!BL$4:BL$4)</f>
        <v>0</v>
      </c>
      <c r="BM83" s="79">
        <f t="array" ref="BM83">SUMIFS('Cắt lồng'!$AH$327:$AH$515,'Cắt lồng'!$AA$327:$AA$515,'Cắt lồng'!$AA83,'Cắt lồng'!$AE$327:$AE$515,'Cắt lồng'!BM$4:BM$4)</f>
        <v>0</v>
      </c>
      <c r="BN83" s="78" t="e">
        <f t="shared" si="186"/>
        <v>#DIV/0!</v>
      </c>
      <c r="BO83" s="79">
        <f t="array" ref="BO83">SUMIFS('Cắt lồng'!$AC$327:$AC$515,'Cắt lồng'!$AA$327:$AA$515,'Cắt lồng'!$AA83,'Cắt lồng'!$AE$327:$AE$515,'Cắt lồng'!BO$4:BO$4)</f>
        <v>0</v>
      </c>
      <c r="BP83" s="79">
        <f t="array" ref="BP83">SUMIFS('Cắt lồng'!$AH$327:$AH$515,'Cắt lồng'!$AA$327:$AA$515,'Cắt lồng'!$AA83,'Cắt lồng'!$AE$327:$AE$515,'Cắt lồng'!BP$4:BP$4)</f>
        <v>0</v>
      </c>
      <c r="BQ83" s="78" t="e">
        <f t="shared" si="187"/>
        <v>#DIV/0!</v>
      </c>
      <c r="BR83" s="79">
        <f t="array" ref="BR83">SUMIFS('Cắt lồng'!$AC$327:$AC$515,'Cắt lồng'!$AA$327:$AA$515,'Cắt lồng'!$AA83,'Cắt lồng'!$AE$327:$AE$515,'Cắt lồng'!BR$4:BR$4)</f>
        <v>0</v>
      </c>
      <c r="BS83" s="79">
        <f t="array" ref="BS83">SUMIFS('Cắt lồng'!$AH$327:$AH$515,'Cắt lồng'!$AA$327:$AA$515,'Cắt lồng'!$AA83,'Cắt lồng'!$AE$327:$AE$515,'Cắt lồng'!BS$4:BS$4)</f>
        <v>0</v>
      </c>
      <c r="BT83" s="78" t="e">
        <f t="shared" si="188"/>
        <v>#DIV/0!</v>
      </c>
      <c r="BU83" s="79">
        <f t="array" ref="BU83">SUMIFS('Cắt lồng'!$AC$327:$AC$515,'Cắt lồng'!$AA$327:$AA$515,'Cắt lồng'!$AA83,'Cắt lồng'!$AE$327:$AE$515,'Cắt lồng'!BU$4:BU$4)</f>
        <v>0</v>
      </c>
      <c r="BV83" s="79">
        <f t="array" ref="BV83">SUMIFS('Cắt lồng'!$AH$327:$AH$515,'Cắt lồng'!$AA$327:$AA$515,'Cắt lồng'!$AA83,'Cắt lồng'!$AE$327:$AE$515,'Cắt lồng'!BV$4:BV$4)</f>
        <v>0</v>
      </c>
      <c r="BW83" s="78" t="e">
        <f t="shared" si="189"/>
        <v>#DIV/0!</v>
      </c>
      <c r="BX83" s="79">
        <f t="array" ref="BX83">SUMIFS('Cắt lồng'!$AC$327:$AC$515,'Cắt lồng'!$AA$327:$AA$515,'Cắt lồng'!$AA83,'Cắt lồng'!$AE$327:$AE$515,'Cắt lồng'!BX$4:BX$4)</f>
        <v>0</v>
      </c>
      <c r="BY83" s="79">
        <f t="array" ref="BY83">SUMIFS('Cắt lồng'!$AH$327:$AH$515,'Cắt lồng'!$AA$327:$AA$515,'Cắt lồng'!$AA83,'Cắt lồng'!$AE$327:$AE$515,'Cắt lồng'!BY$4:BY$4)</f>
        <v>0</v>
      </c>
      <c r="BZ83" s="78" t="e">
        <f t="shared" si="190"/>
        <v>#DIV/0!</v>
      </c>
      <c r="CA83" s="79">
        <f t="array" ref="CA83">SUMIFS('Cắt lồng'!$AC$327:$AC$515,'Cắt lồng'!$AA$327:$AA$515,'Cắt lồng'!$AA83,'Cắt lồng'!$AE$327:$AE$515,'Cắt lồng'!CA$4:CA$4)</f>
        <v>0</v>
      </c>
      <c r="CB83" s="79">
        <f t="array" ref="CB83">SUMIFS('Cắt lồng'!$AH$327:$AH$515,'Cắt lồng'!$AA$327:$AA$515,'Cắt lồng'!$AA83,'Cắt lồng'!$AE$327:$AE$515,'Cắt lồng'!CB$4:CB$4)</f>
        <v>0</v>
      </c>
      <c r="CC83" s="78" t="e">
        <f t="shared" si="191"/>
        <v>#DIV/0!</v>
      </c>
      <c r="CD83" s="79">
        <f t="array" ref="CD83">SUMIFS('Cắt lồng'!$AC$327:$AC$515,'Cắt lồng'!$AA$327:$AA$515,'Cắt lồng'!$AA83,'Cắt lồng'!$AE$327:$AE$515,'Cắt lồng'!CD$4:CD$4)</f>
        <v>0</v>
      </c>
      <c r="CE83" s="79">
        <f t="array" ref="CE83">SUMIFS('Cắt lồng'!$AH$327:$AH$515,'Cắt lồng'!$AA$327:$AA$515,'Cắt lồng'!$AA83,'Cắt lồng'!$AE$327:$AE$515,'Cắt lồng'!CE$4:CE$4)</f>
        <v>0</v>
      </c>
      <c r="CF83" s="78" t="e">
        <f t="shared" si="192"/>
        <v>#DIV/0!</v>
      </c>
      <c r="CG83" s="79">
        <f t="array" ref="CG83">SUMIFS('Cắt lồng'!$AC$327:$AC$515,'Cắt lồng'!$AA$327:$AA$515,'Cắt lồng'!$AA83,'Cắt lồng'!$AE$327:$AE$515,'Cắt lồng'!CG$4:CG$4)</f>
        <v>0</v>
      </c>
      <c r="CH83" s="79">
        <f t="array" ref="CH83">SUMIFS('Cắt lồng'!$AH$327:$AH$515,'Cắt lồng'!$AA$327:$AA$515,'Cắt lồng'!$AA83,'Cắt lồng'!$AE$327:$AE$515,'Cắt lồng'!CH$4:CH$4)</f>
        <v>0</v>
      </c>
      <c r="CI83" s="78" t="e">
        <f t="shared" si="193"/>
        <v>#DIV/0!</v>
      </c>
      <c r="CJ83" s="79">
        <f t="array" ref="CJ83">SUMIFS('Cắt lồng'!$AC$327:$AC$515,'Cắt lồng'!$AA$327:$AA$515,'Cắt lồng'!$AA83,'Cắt lồng'!$AE$327:$AE$515,'Cắt lồng'!CJ$4:CJ$4)</f>
        <v>0</v>
      </c>
      <c r="CK83" s="79">
        <f t="array" ref="CK83">SUMIFS('Cắt lồng'!$AH$327:$AH$515,'Cắt lồng'!$AA$327:$AA$515,'Cắt lồng'!$AA83,'Cắt lồng'!$AE$327:$AE$515,'Cắt lồng'!CK$4:CK$4)</f>
        <v>0</v>
      </c>
      <c r="CL83" s="78" t="e">
        <f t="shared" si="194"/>
        <v>#DIV/0!</v>
      </c>
      <c r="CM83" s="79">
        <f t="array" ref="CM83">SUMIFS('Cắt lồng'!$AC$327:$AC$515,'Cắt lồng'!$AA$327:$AA$515,'Cắt lồng'!$AA83,'Cắt lồng'!$AE$327:$AE$515,'Cắt lồng'!CM$4:CM$4)</f>
        <v>0</v>
      </c>
      <c r="CN83" s="79">
        <f t="array" ref="CN83">SUMIFS('Cắt lồng'!$AH$327:$AH$515,'Cắt lồng'!$AA$327:$AA$515,'Cắt lồng'!$AA83,'Cắt lồng'!$AE$327:$AE$515,'Cắt lồng'!CN$4:CN$4)</f>
        <v>0</v>
      </c>
      <c r="CO83" s="78" t="e">
        <f t="shared" si="195"/>
        <v>#DIV/0!</v>
      </c>
      <c r="CP83" s="79">
        <f t="array" ref="CP83">SUMIFS('Cắt lồng'!$AC$327:$AC$515,'Cắt lồng'!$AA$327:$AA$515,'Cắt lồng'!$AA83,'Cắt lồng'!$AE$327:$AE$515,'Cắt lồng'!CP$4:CP$4)</f>
        <v>0</v>
      </c>
      <c r="CQ83" s="79">
        <f t="array" ref="CQ83">SUMIFS('Cắt lồng'!$AH$327:$AH$515,'Cắt lồng'!$AA$327:$AA$515,'Cắt lồng'!$AA83,'Cắt lồng'!$AE$327:$AE$515,'Cắt lồng'!CQ$4:CQ$4)</f>
        <v>0</v>
      </c>
      <c r="CR83" s="78" t="e">
        <f t="shared" si="196"/>
        <v>#DIV/0!</v>
      </c>
      <c r="CS83" s="79">
        <f t="array" ref="CS83">SUMIFS('Cắt lồng'!$AC$327:$AC$515,'Cắt lồng'!$AA$327:$AA$515,'Cắt lồng'!$AA83,'Cắt lồng'!$AE$327:$AE$515,'Cắt lồng'!CS$4:CS$4)</f>
        <v>0</v>
      </c>
      <c r="CT83" s="79">
        <f t="array" ref="CT83">SUMIFS('Cắt lồng'!$AH$327:$AH$515,'Cắt lồng'!$AA$327:$AA$515,'Cắt lồng'!$AA83,'Cắt lồng'!$AE$327:$AE$515,'Cắt lồng'!CT$4:CT$4)</f>
        <v>0</v>
      </c>
      <c r="CU83" s="78" t="e">
        <f t="shared" si="197"/>
        <v>#DIV/0!</v>
      </c>
      <c r="CV83" s="79">
        <f t="array" ref="CV83">SUMIFS('Cắt lồng'!$AC$327:$AC$515,'Cắt lồng'!$AA$327:$AA$515,'Cắt lồng'!$AA83,'Cắt lồng'!$AE$327:$AE$515,'Cắt lồng'!CV$4:CV$4)</f>
        <v>0</v>
      </c>
      <c r="CW83" s="79">
        <f t="array" ref="CW83">SUMIFS('Cắt lồng'!$AH$327:$AH$515,'Cắt lồng'!$AA$327:$AA$515,'Cắt lồng'!$AA83,'Cắt lồng'!$AE$327:$AE$515,'Cắt lồng'!CW$4:CW$4)</f>
        <v>0</v>
      </c>
      <c r="CX83" s="78" t="e">
        <f t="shared" si="198"/>
        <v>#DIV/0!</v>
      </c>
      <c r="CY83" s="79">
        <f t="array" ref="CY83">SUMIFS('Cắt lồng'!$AC$327:$AC$515,'Cắt lồng'!$AA$327:$AA$515,'Cắt lồng'!$AA83,'Cắt lồng'!$AE$327:$AE$515,'Cắt lồng'!CY$4:CY$4)</f>
        <v>0</v>
      </c>
      <c r="CZ83" s="79">
        <f t="array" ref="CZ83">SUMIFS('Cắt lồng'!$AH$327:$AH$515,'Cắt lồng'!$AA$327:$AA$515,'Cắt lồng'!$AA83,'Cắt lồng'!$AE$327:$AE$515,'Cắt lồng'!CZ$4:CZ$4)</f>
        <v>0</v>
      </c>
      <c r="DA83" s="78" t="e">
        <f t="shared" si="199"/>
        <v>#DIV/0!</v>
      </c>
      <c r="DB83" s="79">
        <f t="array" ref="DB83">SUMIFS('Cắt lồng'!$AC$327:$AC$515,'Cắt lồng'!$AA$327:$AA$515,'Cắt lồng'!$AA83,'Cắt lồng'!$AE$327:$AE$515,'Cắt lồng'!DB$4:DB$4)</f>
        <v>0</v>
      </c>
      <c r="DC83" s="79">
        <f t="array" ref="DC83">SUMIFS('Cắt lồng'!$AH$327:$AH$515,'Cắt lồng'!$AA$327:$AA$515,'Cắt lồng'!$AA83,'Cắt lồng'!$AE$327:$AE$515,'Cắt lồng'!DC$4:DC$4)</f>
        <v>0</v>
      </c>
      <c r="DD83" s="78" t="e">
        <f t="shared" si="200"/>
        <v>#DIV/0!</v>
      </c>
      <c r="DE83" s="79">
        <f t="array" ref="DE83">SUMIFS('Cắt lồng'!$AC$327:$AC$515,'Cắt lồng'!$AA$327:$AA$515,'Cắt lồng'!$AA83,'Cắt lồng'!$AE$327:$AE$515,'Cắt lồng'!DE$4:DE$4)</f>
        <v>0</v>
      </c>
      <c r="DF83" s="79">
        <f t="array" ref="DF83">SUMIFS('Cắt lồng'!$AH$327:$AH$515,'Cắt lồng'!$AA$327:$AA$515,'Cắt lồng'!$AA83,'Cắt lồng'!$AE$327:$AE$515,'Cắt lồng'!DF$4:DF$4)</f>
        <v>0</v>
      </c>
      <c r="DG83" s="78" t="e">
        <f t="shared" si="201"/>
        <v>#DIV/0!</v>
      </c>
      <c r="DH83" s="79">
        <f t="array" ref="DH83">SUMIFS('Cắt lồng'!$AC$327:$AC$515,'Cắt lồng'!$AA$327:$AA$515,'Cắt lồng'!$AA83,'Cắt lồng'!$AE$327:$AE$515,'Cắt lồng'!DH$4:DH$4)</f>
        <v>0</v>
      </c>
      <c r="DI83" s="79">
        <f t="array" ref="DI83">SUMIFS('Cắt lồng'!$AH$327:$AH$515,'Cắt lồng'!$AA$327:$AA$515,'Cắt lồng'!$AA83,'Cắt lồng'!$AE$327:$AE$515,'Cắt lồng'!DI$4:DI$4)</f>
        <v>0</v>
      </c>
      <c r="DJ83" s="78" t="e">
        <f t="shared" si="202"/>
        <v>#DIV/0!</v>
      </c>
      <c r="DK83" s="79">
        <f t="array" ref="DK83">SUMIFS('Cắt lồng'!$AC$327:$AC$515,'Cắt lồng'!$AA$327:$AA$515,'Cắt lồng'!$AA83,'Cắt lồng'!$AE$327:$AE$515,'Cắt lồng'!DK$4:DK$4)</f>
        <v>0</v>
      </c>
      <c r="DL83" s="79">
        <f t="array" ref="DL83">SUMIFS('Cắt lồng'!$AH$327:$AH$515,'Cắt lồng'!$AA$327:$AA$515,'Cắt lồng'!$AA83,'Cắt lồng'!$AE$327:$AE$515,'Cắt lồng'!DL$4:DL$4)</f>
        <v>0</v>
      </c>
      <c r="DM83" s="78" t="e">
        <f t="shared" si="203"/>
        <v>#DIV/0!</v>
      </c>
      <c r="DN83" s="79">
        <f t="array" ref="DN83">SUMIFS('Cắt lồng'!$AC$327:$AC$515,'Cắt lồng'!$AA$327:$AA$515,'Cắt lồng'!$AA83,'Cắt lồng'!$AE$327:$AE$515,'Cắt lồng'!DN$4:DN$4)</f>
        <v>0</v>
      </c>
      <c r="DO83" s="79">
        <f t="array" ref="DO83">SUMIFS('Cắt lồng'!$AH$327:$AH$515,'Cắt lồng'!$AA$327:$AA$515,'Cắt lồng'!$AA83,'Cắt lồng'!$AE$327:$AE$515,'Cắt lồng'!DO$4:DO$4)</f>
        <v>0</v>
      </c>
      <c r="DP83" s="78" t="e">
        <f t="shared" si="204"/>
        <v>#DIV/0!</v>
      </c>
      <c r="DQ83" s="79">
        <f t="array" ref="DQ83">SUMIFS('Cắt lồng'!$AC$327:$AC$515,'Cắt lồng'!$AA$327:$AA$515,'Cắt lồng'!$AA83,'Cắt lồng'!$AE$327:$AE$515,'Cắt lồng'!DQ$4:DQ$4)</f>
        <v>0</v>
      </c>
      <c r="DR83" s="79">
        <f t="array" ref="DR83">SUMIFS('Cắt lồng'!$AH$327:$AH$515,'Cắt lồng'!$AA$327:$AA$515,'Cắt lồng'!$AA83,'Cắt lồng'!$AE$327:$AE$515,'Cắt lồng'!DR$4:DR$4)</f>
        <v>0</v>
      </c>
      <c r="DS83" s="78" t="e">
        <f t="shared" si="205"/>
        <v>#DIV/0!</v>
      </c>
      <c r="DT83" s="79">
        <f t="array" ref="DT83">SUMIFS('Cắt lồng'!$AC$327:$AC$515,'Cắt lồng'!$AA$327:$AA$515,'Cắt lồng'!$AA83,'Cắt lồng'!$AE$327:$AE$515,'Cắt lồng'!DT$4:DT$4)</f>
        <v>0</v>
      </c>
      <c r="DU83" s="79">
        <f t="array" ref="DU83">SUMIFS('Cắt lồng'!$AH$327:$AH$515,'Cắt lồng'!$AA$327:$AA$515,'Cắt lồng'!$AA83,'Cắt lồng'!$AE$327:$AE$515,'Cắt lồng'!DU$4:DU$4)</f>
        <v>0</v>
      </c>
      <c r="DV83" s="78" t="e">
        <f t="shared" si="206"/>
        <v>#DIV/0!</v>
      </c>
      <c r="DW83" s="79">
        <f t="array" ref="DW83">SUMIFS('Cắt lồng'!$AC$327:$AC$515,'Cắt lồng'!$AA$327:$AA$515,'Cắt lồng'!$AA83,'Cắt lồng'!$AE$327:$AE$515,'Cắt lồng'!DW$4:DW$4)</f>
        <v>0</v>
      </c>
      <c r="DX83" s="79">
        <f t="array" ref="DX83">SUMIFS('Cắt lồng'!$AH$327:$AH$515,'Cắt lồng'!$AA$327:$AA$515,'Cắt lồng'!$AA83,'Cắt lồng'!$AE$327:$AE$515,'Cắt lồng'!DX$4:DX$4)</f>
        <v>0</v>
      </c>
      <c r="DY83" s="78" t="e">
        <f t="shared" si="207"/>
        <v>#DIV/0!</v>
      </c>
      <c r="DZ83" s="79">
        <f t="array" ref="DZ83">SUMIFS('Cắt lồng'!$AC$327:$AC$515,'Cắt lồng'!$AA$327:$AA$515,'Cắt lồng'!$AA83,'Cắt lồng'!$AE$327:$AE$515,'Cắt lồng'!DZ$4:DZ$4)</f>
        <v>0</v>
      </c>
      <c r="EA83" s="79">
        <f t="array" ref="EA83">SUMIFS('Cắt lồng'!$AH$327:$AH$515,'Cắt lồng'!$AA$327:$AA$515,'Cắt lồng'!$AA83,'Cắt lồng'!$AE$327:$AE$515,'Cắt lồng'!EA$4:EA$4)</f>
        <v>0</v>
      </c>
      <c r="EB83" s="78" t="e">
        <f t="shared" si="208"/>
        <v>#DIV/0!</v>
      </c>
      <c r="EC83" s="79">
        <f t="array" ref="EC83">SUMIFS('Cắt lồng'!$AC$327:$AC$515,'Cắt lồng'!$AA$327:$AA$515,'Cắt lồng'!$AA83,'Cắt lồng'!$AE$327:$AE$515,'Cắt lồng'!EC$4:EC$4)</f>
        <v>0</v>
      </c>
      <c r="ED83" s="79">
        <f t="array" ref="ED83">SUMIFS('Cắt lồng'!$AH$327:$AH$515,'Cắt lồng'!$AA$327:$AA$515,'Cắt lồng'!$AA83,'Cắt lồng'!$AE$327:$AE$515,'Cắt lồng'!ED$4:ED$4)</f>
        <v>0</v>
      </c>
      <c r="EE83" s="78" t="e">
        <f t="shared" si="209"/>
        <v>#DIV/0!</v>
      </c>
      <c r="EF83" s="79">
        <f t="array" ref="EF83">SUMIFS('Cắt lồng'!$AC$327:$AC$515,'Cắt lồng'!$AA$327:$AA$515,'Cắt lồng'!$AA83,'Cắt lồng'!$AE$327:$AE$515,'Cắt lồng'!EF$4:EF$4)</f>
        <v>0</v>
      </c>
      <c r="EG83" s="79">
        <f t="array" ref="EG83">SUMIFS('Cắt lồng'!$AH$327:$AH$515,'Cắt lồng'!$AA$327:$AA$515,'Cắt lồng'!$AA83,'Cắt lồng'!$AE$327:$AE$515,'Cắt lồng'!EG$4:EG$4)</f>
        <v>0</v>
      </c>
      <c r="EH83" s="78" t="e">
        <f t="shared" si="210"/>
        <v>#DIV/0!</v>
      </c>
      <c r="EI83" s="79">
        <f t="array" ref="EI83">SUMIFS('Cắt lồng'!$AC$327:$AC$515,'Cắt lồng'!$AA$327:$AA$515,'Cắt lồng'!$AA83,'Cắt lồng'!$AE$327:$AE$515,'Cắt lồng'!EI$4:EI$4)</f>
        <v>0</v>
      </c>
      <c r="EJ83" s="79">
        <f t="array" ref="EJ83">SUMIFS('Cắt lồng'!$AH$327:$AH$515,'Cắt lồng'!$AA$327:$AA$515,'Cắt lồng'!$AA83,'Cắt lồng'!$AE$327:$AE$515,'Cắt lồng'!EJ$4:EJ$4)</f>
        <v>0</v>
      </c>
      <c r="EK83" s="78" t="e">
        <f t="shared" si="211"/>
        <v>#DIV/0!</v>
      </c>
    </row>
    <row r="84" spans="1:141" s="12" customFormat="1" ht="14.25" hidden="1" customHeight="1">
      <c r="A84" s="25">
        <v>55</v>
      </c>
      <c r="B84" s="26"/>
      <c r="C84" s="25"/>
      <c r="D84" s="24"/>
      <c r="E84" s="60"/>
      <c r="F84" s="59"/>
      <c r="G84" s="82">
        <f t="shared" si="144"/>
        <v>0</v>
      </c>
      <c r="H84" s="81">
        <f t="shared" si="145"/>
        <v>0</v>
      </c>
      <c r="I84" s="19">
        <f t="shared" si="146"/>
        <v>0</v>
      </c>
      <c r="J84" s="11">
        <f t="shared" si="147"/>
        <v>0</v>
      </c>
      <c r="K84" s="19">
        <f t="shared" si="148"/>
        <v>0</v>
      </c>
      <c r="L84" s="19">
        <f t="shared" si="149"/>
        <v>0</v>
      </c>
      <c r="M84" s="19">
        <f t="shared" si="150"/>
        <v>0</v>
      </c>
      <c r="N84" s="19">
        <f t="shared" si="151"/>
        <v>0</v>
      </c>
      <c r="O84" s="19">
        <f t="shared" si="152"/>
        <v>0</v>
      </c>
      <c r="P84" s="19">
        <f t="shared" si="153"/>
        <v>0</v>
      </c>
      <c r="Q84" s="19">
        <f t="shared" si="154"/>
        <v>0</v>
      </c>
      <c r="R84" s="19">
        <f t="shared" si="155"/>
        <v>0</v>
      </c>
      <c r="S84" s="19">
        <f t="shared" si="156"/>
        <v>0</v>
      </c>
      <c r="T84" s="19">
        <f t="shared" si="157"/>
        <v>0</v>
      </c>
      <c r="U84" s="19">
        <f t="shared" si="158"/>
        <v>0</v>
      </c>
      <c r="V84" s="19">
        <f t="shared" si="159"/>
        <v>0</v>
      </c>
      <c r="W84" s="19">
        <f t="shared" si="160"/>
        <v>0</v>
      </c>
      <c r="X84" s="19">
        <f t="shared" si="161"/>
        <v>0</v>
      </c>
      <c r="Y84" s="19">
        <f t="shared" si="162"/>
        <v>0</v>
      </c>
      <c r="Z84" s="19">
        <f t="shared" si="163"/>
        <v>0</v>
      </c>
      <c r="AA84" s="164" t="s">
        <v>183</v>
      </c>
      <c r="AB84" s="17" t="e">
        <f>+H84*SUMIF('[1]KẾ HOẠCH'!$B$5:$CK$5,'Cắt lồng'!AA84,'[1]KẾ HOẠCH'!$B$6:$CK$6)+H84*SUMIF('[1]KẾ HOẠCH'!$B$7:$CK$7,'Cắt lồng'!AA84,'[1]KẾ HOẠCH'!$B$8:$CK$8)+H84*SUMIF('[1]KẾ HOẠCH'!$B$15:$CK$15,'Cắt lồng'!AA84,'[1]KẾ HOẠCH'!$B$16:$CK$16)</f>
        <v>#VALUE!</v>
      </c>
      <c r="AC84" s="16">
        <f t="shared" si="164"/>
        <v>0</v>
      </c>
      <c r="AD84" s="15" t="e">
        <f t="shared" si="165"/>
        <v>#VALUE!</v>
      </c>
      <c r="AE84" s="42"/>
      <c r="AF84" s="10" t="e">
        <f t="shared" si="166"/>
        <v>#DIV/0!</v>
      </c>
      <c r="AG84" s="10"/>
      <c r="AH84" s="152">
        <f t="shared" si="167"/>
        <v>0</v>
      </c>
      <c r="AI84" s="54" t="e">
        <f t="shared" si="168"/>
        <v>#DIV/0!</v>
      </c>
      <c r="AJ84" s="25">
        <f t="shared" si="169"/>
        <v>0</v>
      </c>
      <c r="AK84" s="25">
        <f t="shared" si="170"/>
        <v>0</v>
      </c>
      <c r="AL84" s="25">
        <f t="shared" si="171"/>
        <v>0</v>
      </c>
      <c r="AM84" s="30">
        <f t="shared" si="172"/>
        <v>0</v>
      </c>
      <c r="AN84" s="25">
        <f t="shared" si="173"/>
        <v>0</v>
      </c>
      <c r="AO84" s="25">
        <f t="shared" si="174"/>
        <v>0</v>
      </c>
      <c r="AP84" s="25">
        <f t="shared" si="175"/>
        <v>0</v>
      </c>
      <c r="AQ84" s="25">
        <f t="shared" si="176"/>
        <v>0</v>
      </c>
      <c r="AR84" s="25">
        <f t="shared" si="177"/>
        <v>0</v>
      </c>
      <c r="AS84" s="25">
        <f t="shared" si="178"/>
        <v>0</v>
      </c>
      <c r="AT84" s="25">
        <f t="shared" si="179"/>
        <v>0</v>
      </c>
      <c r="AV84" s="79">
        <f t="shared" si="180"/>
        <v>0</v>
      </c>
      <c r="AW84" s="79">
        <f t="array" ref="AW84">SUMIFS('Cắt lồng'!$AC$327:$AC$515,'Cắt lồng'!$AA$327:$AA$515,'Cắt lồng'!$AA84,'Cắt lồng'!$AE$327:$AE$515,'Cắt lồng'!AW$4:AW$4)</f>
        <v>0</v>
      </c>
      <c r="AX84" s="79">
        <f t="array" ref="AX84">SUMIFS('Cắt lồng'!$AH$327:$AH$515,'Cắt lồng'!$AA$327:$AA$515,'Cắt lồng'!$AA84,'Cắt lồng'!$AE$327:$AE$515,'Cắt lồng'!AX$4:AX$4)</f>
        <v>0</v>
      </c>
      <c r="AY84" s="78" t="e">
        <f t="shared" si="181"/>
        <v>#DIV/0!</v>
      </c>
      <c r="AZ84" s="79">
        <f t="array" ref="AZ84">SUMIFS('Cắt lồng'!$AC$327:$AC$515,'Cắt lồng'!$AA$327:$AA$515,'Cắt lồng'!$AA84,'Cắt lồng'!$AE$327:$AE$515,'Cắt lồng'!AZ$4:AZ$4)</f>
        <v>0</v>
      </c>
      <c r="BA84" s="79">
        <f t="array" ref="BA84">SUMIFS('Cắt lồng'!$AH$327:$AH$515,'Cắt lồng'!$AA$327:$AA$515,'Cắt lồng'!$AA84,'Cắt lồng'!$AE$327:$AE$515,'Cắt lồng'!BA$4:BA$4)</f>
        <v>0</v>
      </c>
      <c r="BB84" s="78" t="e">
        <f t="shared" si="182"/>
        <v>#DIV/0!</v>
      </c>
      <c r="BC84" s="79">
        <f t="array" ref="BC84">SUMIFS('Cắt lồng'!$AC$327:$AC$515,'Cắt lồng'!$AA$327:$AA$515,'Cắt lồng'!$AA84,'Cắt lồng'!$AE$327:$AE$515,'Cắt lồng'!BC$4:BC$4)</f>
        <v>0</v>
      </c>
      <c r="BD84" s="79">
        <f t="array" ref="BD84">SUMIFS('Cắt lồng'!$AH$327:$AH$515,'Cắt lồng'!$AA$327:$AA$515,'Cắt lồng'!$AA84,'Cắt lồng'!$AE$327:$AE$515,'Cắt lồng'!BD$4:BD$4)</f>
        <v>0</v>
      </c>
      <c r="BE84" s="78" t="e">
        <f t="shared" si="183"/>
        <v>#DIV/0!</v>
      </c>
      <c r="BF84" s="79">
        <f t="array" ref="BF84">SUMIFS('Cắt lồng'!$AC$327:$AC$515,'Cắt lồng'!$AA$327:$AA$515,'Cắt lồng'!$AA84,'Cắt lồng'!$AE$327:$AE$515,'Cắt lồng'!BF$4:BF$4)</f>
        <v>0</v>
      </c>
      <c r="BG84" s="79">
        <f t="array" ref="BG84">SUMIFS('Cắt lồng'!$AH$327:$AH$515,'Cắt lồng'!$AA$327:$AA$515,'Cắt lồng'!$AA84,'Cắt lồng'!$AE$327:$AE$515,'Cắt lồng'!BG$4:BG$4)</f>
        <v>0</v>
      </c>
      <c r="BH84" s="78" t="e">
        <f t="shared" si="184"/>
        <v>#DIV/0!</v>
      </c>
      <c r="BI84" s="79">
        <f t="array" ref="BI84">SUMIFS('Cắt lồng'!$AC$327:$AC$515,'Cắt lồng'!$AA$327:$AA$515,'Cắt lồng'!$AA84,'Cắt lồng'!$AE$327:$AE$515,'Cắt lồng'!BI$4:BI$4)</f>
        <v>0</v>
      </c>
      <c r="BJ84" s="79">
        <f t="array" ref="BJ84">SUMIFS('Cắt lồng'!$AH$327:$AH$515,'Cắt lồng'!$AA$327:$AA$515,'Cắt lồng'!$AA84,'Cắt lồng'!$AE$327:$AE$515,'Cắt lồng'!BJ$4:BJ$4)</f>
        <v>0</v>
      </c>
      <c r="BK84" s="78" t="e">
        <f t="shared" si="185"/>
        <v>#DIV/0!</v>
      </c>
      <c r="BL84" s="79">
        <f t="array" ref="BL84">SUMIFS('Cắt lồng'!$AC$327:$AC$515,'Cắt lồng'!$AA$327:$AA$515,'Cắt lồng'!$AA84,'Cắt lồng'!$AE$327:$AE$515,'Cắt lồng'!BL$4:BL$4)</f>
        <v>0</v>
      </c>
      <c r="BM84" s="79">
        <f t="array" ref="BM84">SUMIFS('Cắt lồng'!$AH$327:$AH$515,'Cắt lồng'!$AA$327:$AA$515,'Cắt lồng'!$AA84,'Cắt lồng'!$AE$327:$AE$515,'Cắt lồng'!BM$4:BM$4)</f>
        <v>0</v>
      </c>
      <c r="BN84" s="78" t="e">
        <f t="shared" si="186"/>
        <v>#DIV/0!</v>
      </c>
      <c r="BO84" s="79">
        <f t="array" ref="BO84">SUMIFS('Cắt lồng'!$AC$327:$AC$515,'Cắt lồng'!$AA$327:$AA$515,'Cắt lồng'!$AA84,'Cắt lồng'!$AE$327:$AE$515,'Cắt lồng'!BO$4:BO$4)</f>
        <v>0</v>
      </c>
      <c r="BP84" s="79">
        <f t="array" ref="BP84">SUMIFS('Cắt lồng'!$AH$327:$AH$515,'Cắt lồng'!$AA$327:$AA$515,'Cắt lồng'!$AA84,'Cắt lồng'!$AE$327:$AE$515,'Cắt lồng'!BP$4:BP$4)</f>
        <v>0</v>
      </c>
      <c r="BQ84" s="78" t="e">
        <f t="shared" si="187"/>
        <v>#DIV/0!</v>
      </c>
      <c r="BR84" s="79">
        <f t="array" ref="BR84">SUMIFS('Cắt lồng'!$AC$327:$AC$515,'Cắt lồng'!$AA$327:$AA$515,'Cắt lồng'!$AA84,'Cắt lồng'!$AE$327:$AE$515,'Cắt lồng'!BR$4:BR$4)</f>
        <v>0</v>
      </c>
      <c r="BS84" s="79">
        <f t="array" ref="BS84">SUMIFS('Cắt lồng'!$AH$327:$AH$515,'Cắt lồng'!$AA$327:$AA$515,'Cắt lồng'!$AA84,'Cắt lồng'!$AE$327:$AE$515,'Cắt lồng'!BS$4:BS$4)</f>
        <v>0</v>
      </c>
      <c r="BT84" s="78" t="e">
        <f t="shared" si="188"/>
        <v>#DIV/0!</v>
      </c>
      <c r="BU84" s="79">
        <f t="array" ref="BU84">SUMIFS('Cắt lồng'!$AC$327:$AC$515,'Cắt lồng'!$AA$327:$AA$515,'Cắt lồng'!$AA84,'Cắt lồng'!$AE$327:$AE$515,'Cắt lồng'!BU$4:BU$4)</f>
        <v>0</v>
      </c>
      <c r="BV84" s="79">
        <f t="array" ref="BV84">SUMIFS('Cắt lồng'!$AH$327:$AH$515,'Cắt lồng'!$AA$327:$AA$515,'Cắt lồng'!$AA84,'Cắt lồng'!$AE$327:$AE$515,'Cắt lồng'!BV$4:BV$4)</f>
        <v>0</v>
      </c>
      <c r="BW84" s="78" t="e">
        <f t="shared" si="189"/>
        <v>#DIV/0!</v>
      </c>
      <c r="BX84" s="79">
        <f t="array" ref="BX84">SUMIFS('Cắt lồng'!$AC$327:$AC$515,'Cắt lồng'!$AA$327:$AA$515,'Cắt lồng'!$AA84,'Cắt lồng'!$AE$327:$AE$515,'Cắt lồng'!BX$4:BX$4)</f>
        <v>0</v>
      </c>
      <c r="BY84" s="79">
        <f t="array" ref="BY84">SUMIFS('Cắt lồng'!$AH$327:$AH$515,'Cắt lồng'!$AA$327:$AA$515,'Cắt lồng'!$AA84,'Cắt lồng'!$AE$327:$AE$515,'Cắt lồng'!BY$4:BY$4)</f>
        <v>0</v>
      </c>
      <c r="BZ84" s="78" t="e">
        <f t="shared" si="190"/>
        <v>#DIV/0!</v>
      </c>
      <c r="CA84" s="79">
        <f t="array" ref="CA84">SUMIFS('Cắt lồng'!$AC$327:$AC$515,'Cắt lồng'!$AA$327:$AA$515,'Cắt lồng'!$AA84,'Cắt lồng'!$AE$327:$AE$515,'Cắt lồng'!CA$4:CA$4)</f>
        <v>0</v>
      </c>
      <c r="CB84" s="79">
        <f t="array" ref="CB84">SUMIFS('Cắt lồng'!$AH$327:$AH$515,'Cắt lồng'!$AA$327:$AA$515,'Cắt lồng'!$AA84,'Cắt lồng'!$AE$327:$AE$515,'Cắt lồng'!CB$4:CB$4)</f>
        <v>0</v>
      </c>
      <c r="CC84" s="78" t="e">
        <f t="shared" si="191"/>
        <v>#DIV/0!</v>
      </c>
      <c r="CD84" s="79">
        <f t="array" ref="CD84">SUMIFS('Cắt lồng'!$AC$327:$AC$515,'Cắt lồng'!$AA$327:$AA$515,'Cắt lồng'!$AA84,'Cắt lồng'!$AE$327:$AE$515,'Cắt lồng'!CD$4:CD$4)</f>
        <v>0</v>
      </c>
      <c r="CE84" s="79">
        <f t="array" ref="CE84">SUMIFS('Cắt lồng'!$AH$327:$AH$515,'Cắt lồng'!$AA$327:$AA$515,'Cắt lồng'!$AA84,'Cắt lồng'!$AE$327:$AE$515,'Cắt lồng'!CE$4:CE$4)</f>
        <v>0</v>
      </c>
      <c r="CF84" s="78" t="e">
        <f t="shared" si="192"/>
        <v>#DIV/0!</v>
      </c>
      <c r="CG84" s="79">
        <f t="array" ref="CG84">SUMIFS('Cắt lồng'!$AC$327:$AC$515,'Cắt lồng'!$AA$327:$AA$515,'Cắt lồng'!$AA84,'Cắt lồng'!$AE$327:$AE$515,'Cắt lồng'!CG$4:CG$4)</f>
        <v>0</v>
      </c>
      <c r="CH84" s="79">
        <f t="array" ref="CH84">SUMIFS('Cắt lồng'!$AH$327:$AH$515,'Cắt lồng'!$AA$327:$AA$515,'Cắt lồng'!$AA84,'Cắt lồng'!$AE$327:$AE$515,'Cắt lồng'!CH$4:CH$4)</f>
        <v>0</v>
      </c>
      <c r="CI84" s="78" t="e">
        <f t="shared" si="193"/>
        <v>#DIV/0!</v>
      </c>
      <c r="CJ84" s="79">
        <f t="array" ref="CJ84">SUMIFS('Cắt lồng'!$AC$327:$AC$515,'Cắt lồng'!$AA$327:$AA$515,'Cắt lồng'!$AA84,'Cắt lồng'!$AE$327:$AE$515,'Cắt lồng'!CJ$4:CJ$4)</f>
        <v>0</v>
      </c>
      <c r="CK84" s="79">
        <f t="array" ref="CK84">SUMIFS('Cắt lồng'!$AH$327:$AH$515,'Cắt lồng'!$AA$327:$AA$515,'Cắt lồng'!$AA84,'Cắt lồng'!$AE$327:$AE$515,'Cắt lồng'!CK$4:CK$4)</f>
        <v>0</v>
      </c>
      <c r="CL84" s="78" t="e">
        <f t="shared" si="194"/>
        <v>#DIV/0!</v>
      </c>
      <c r="CM84" s="79">
        <f t="array" ref="CM84">SUMIFS('Cắt lồng'!$AC$327:$AC$515,'Cắt lồng'!$AA$327:$AA$515,'Cắt lồng'!$AA84,'Cắt lồng'!$AE$327:$AE$515,'Cắt lồng'!CM$4:CM$4)</f>
        <v>0</v>
      </c>
      <c r="CN84" s="79">
        <f t="array" ref="CN84">SUMIFS('Cắt lồng'!$AH$327:$AH$515,'Cắt lồng'!$AA$327:$AA$515,'Cắt lồng'!$AA84,'Cắt lồng'!$AE$327:$AE$515,'Cắt lồng'!CN$4:CN$4)</f>
        <v>0</v>
      </c>
      <c r="CO84" s="78" t="e">
        <f t="shared" si="195"/>
        <v>#DIV/0!</v>
      </c>
      <c r="CP84" s="79">
        <f t="array" ref="CP84">SUMIFS('Cắt lồng'!$AC$327:$AC$515,'Cắt lồng'!$AA$327:$AA$515,'Cắt lồng'!$AA84,'Cắt lồng'!$AE$327:$AE$515,'Cắt lồng'!CP$4:CP$4)</f>
        <v>0</v>
      </c>
      <c r="CQ84" s="79">
        <f t="array" ref="CQ84">SUMIFS('Cắt lồng'!$AH$327:$AH$515,'Cắt lồng'!$AA$327:$AA$515,'Cắt lồng'!$AA84,'Cắt lồng'!$AE$327:$AE$515,'Cắt lồng'!CQ$4:CQ$4)</f>
        <v>0</v>
      </c>
      <c r="CR84" s="78" t="e">
        <f t="shared" si="196"/>
        <v>#DIV/0!</v>
      </c>
      <c r="CS84" s="79">
        <f t="array" ref="CS84">SUMIFS('Cắt lồng'!$AC$327:$AC$515,'Cắt lồng'!$AA$327:$AA$515,'Cắt lồng'!$AA84,'Cắt lồng'!$AE$327:$AE$515,'Cắt lồng'!CS$4:CS$4)</f>
        <v>0</v>
      </c>
      <c r="CT84" s="79">
        <f t="array" ref="CT84">SUMIFS('Cắt lồng'!$AH$327:$AH$515,'Cắt lồng'!$AA$327:$AA$515,'Cắt lồng'!$AA84,'Cắt lồng'!$AE$327:$AE$515,'Cắt lồng'!CT$4:CT$4)</f>
        <v>0</v>
      </c>
      <c r="CU84" s="78" t="e">
        <f t="shared" si="197"/>
        <v>#DIV/0!</v>
      </c>
      <c r="CV84" s="79">
        <f t="array" ref="CV84">SUMIFS('Cắt lồng'!$AC$327:$AC$515,'Cắt lồng'!$AA$327:$AA$515,'Cắt lồng'!$AA84,'Cắt lồng'!$AE$327:$AE$515,'Cắt lồng'!CV$4:CV$4)</f>
        <v>0</v>
      </c>
      <c r="CW84" s="79">
        <f t="array" ref="CW84">SUMIFS('Cắt lồng'!$AH$327:$AH$515,'Cắt lồng'!$AA$327:$AA$515,'Cắt lồng'!$AA84,'Cắt lồng'!$AE$327:$AE$515,'Cắt lồng'!CW$4:CW$4)</f>
        <v>0</v>
      </c>
      <c r="CX84" s="78" t="e">
        <f t="shared" si="198"/>
        <v>#DIV/0!</v>
      </c>
      <c r="CY84" s="79">
        <f t="array" ref="CY84">SUMIFS('Cắt lồng'!$AC$327:$AC$515,'Cắt lồng'!$AA$327:$AA$515,'Cắt lồng'!$AA84,'Cắt lồng'!$AE$327:$AE$515,'Cắt lồng'!CY$4:CY$4)</f>
        <v>0</v>
      </c>
      <c r="CZ84" s="79">
        <f t="array" ref="CZ84">SUMIFS('Cắt lồng'!$AH$327:$AH$515,'Cắt lồng'!$AA$327:$AA$515,'Cắt lồng'!$AA84,'Cắt lồng'!$AE$327:$AE$515,'Cắt lồng'!CZ$4:CZ$4)</f>
        <v>0</v>
      </c>
      <c r="DA84" s="78" t="e">
        <f t="shared" si="199"/>
        <v>#DIV/0!</v>
      </c>
      <c r="DB84" s="79">
        <f t="array" ref="DB84">SUMIFS('Cắt lồng'!$AC$327:$AC$515,'Cắt lồng'!$AA$327:$AA$515,'Cắt lồng'!$AA84,'Cắt lồng'!$AE$327:$AE$515,'Cắt lồng'!DB$4:DB$4)</f>
        <v>0</v>
      </c>
      <c r="DC84" s="79">
        <f t="array" ref="DC84">SUMIFS('Cắt lồng'!$AH$327:$AH$515,'Cắt lồng'!$AA$327:$AA$515,'Cắt lồng'!$AA84,'Cắt lồng'!$AE$327:$AE$515,'Cắt lồng'!DC$4:DC$4)</f>
        <v>0</v>
      </c>
      <c r="DD84" s="78" t="e">
        <f t="shared" si="200"/>
        <v>#DIV/0!</v>
      </c>
      <c r="DE84" s="79">
        <f t="array" ref="DE84">SUMIFS('Cắt lồng'!$AC$327:$AC$515,'Cắt lồng'!$AA$327:$AA$515,'Cắt lồng'!$AA84,'Cắt lồng'!$AE$327:$AE$515,'Cắt lồng'!DE$4:DE$4)</f>
        <v>0</v>
      </c>
      <c r="DF84" s="79">
        <f t="array" ref="DF84">SUMIFS('Cắt lồng'!$AH$327:$AH$515,'Cắt lồng'!$AA$327:$AA$515,'Cắt lồng'!$AA84,'Cắt lồng'!$AE$327:$AE$515,'Cắt lồng'!DF$4:DF$4)</f>
        <v>0</v>
      </c>
      <c r="DG84" s="78" t="e">
        <f t="shared" si="201"/>
        <v>#DIV/0!</v>
      </c>
      <c r="DH84" s="79">
        <f t="array" ref="DH84">SUMIFS('Cắt lồng'!$AC$327:$AC$515,'Cắt lồng'!$AA$327:$AA$515,'Cắt lồng'!$AA84,'Cắt lồng'!$AE$327:$AE$515,'Cắt lồng'!DH$4:DH$4)</f>
        <v>0</v>
      </c>
      <c r="DI84" s="79">
        <f t="array" ref="DI84">SUMIFS('Cắt lồng'!$AH$327:$AH$515,'Cắt lồng'!$AA$327:$AA$515,'Cắt lồng'!$AA84,'Cắt lồng'!$AE$327:$AE$515,'Cắt lồng'!DI$4:DI$4)</f>
        <v>0</v>
      </c>
      <c r="DJ84" s="78" t="e">
        <f t="shared" si="202"/>
        <v>#DIV/0!</v>
      </c>
      <c r="DK84" s="79">
        <f t="array" ref="DK84">SUMIFS('Cắt lồng'!$AC$327:$AC$515,'Cắt lồng'!$AA$327:$AA$515,'Cắt lồng'!$AA84,'Cắt lồng'!$AE$327:$AE$515,'Cắt lồng'!DK$4:DK$4)</f>
        <v>0</v>
      </c>
      <c r="DL84" s="79">
        <f t="array" ref="DL84">SUMIFS('Cắt lồng'!$AH$327:$AH$515,'Cắt lồng'!$AA$327:$AA$515,'Cắt lồng'!$AA84,'Cắt lồng'!$AE$327:$AE$515,'Cắt lồng'!DL$4:DL$4)</f>
        <v>0</v>
      </c>
      <c r="DM84" s="78" t="e">
        <f t="shared" si="203"/>
        <v>#DIV/0!</v>
      </c>
      <c r="DN84" s="79">
        <f t="array" ref="DN84">SUMIFS('Cắt lồng'!$AC$327:$AC$515,'Cắt lồng'!$AA$327:$AA$515,'Cắt lồng'!$AA84,'Cắt lồng'!$AE$327:$AE$515,'Cắt lồng'!DN$4:DN$4)</f>
        <v>0</v>
      </c>
      <c r="DO84" s="79">
        <f t="array" ref="DO84">SUMIFS('Cắt lồng'!$AH$327:$AH$515,'Cắt lồng'!$AA$327:$AA$515,'Cắt lồng'!$AA84,'Cắt lồng'!$AE$327:$AE$515,'Cắt lồng'!DO$4:DO$4)</f>
        <v>0</v>
      </c>
      <c r="DP84" s="78" t="e">
        <f t="shared" si="204"/>
        <v>#DIV/0!</v>
      </c>
      <c r="DQ84" s="79">
        <f t="array" ref="DQ84">SUMIFS('Cắt lồng'!$AC$327:$AC$515,'Cắt lồng'!$AA$327:$AA$515,'Cắt lồng'!$AA84,'Cắt lồng'!$AE$327:$AE$515,'Cắt lồng'!DQ$4:DQ$4)</f>
        <v>0</v>
      </c>
      <c r="DR84" s="79">
        <f t="array" ref="DR84">SUMIFS('Cắt lồng'!$AH$327:$AH$515,'Cắt lồng'!$AA$327:$AA$515,'Cắt lồng'!$AA84,'Cắt lồng'!$AE$327:$AE$515,'Cắt lồng'!DR$4:DR$4)</f>
        <v>0</v>
      </c>
      <c r="DS84" s="78" t="e">
        <f t="shared" si="205"/>
        <v>#DIV/0!</v>
      </c>
      <c r="DT84" s="79">
        <f t="array" ref="DT84">SUMIFS('Cắt lồng'!$AC$327:$AC$515,'Cắt lồng'!$AA$327:$AA$515,'Cắt lồng'!$AA84,'Cắt lồng'!$AE$327:$AE$515,'Cắt lồng'!DT$4:DT$4)</f>
        <v>0</v>
      </c>
      <c r="DU84" s="79">
        <f t="array" ref="DU84">SUMIFS('Cắt lồng'!$AH$327:$AH$515,'Cắt lồng'!$AA$327:$AA$515,'Cắt lồng'!$AA84,'Cắt lồng'!$AE$327:$AE$515,'Cắt lồng'!DU$4:DU$4)</f>
        <v>0</v>
      </c>
      <c r="DV84" s="78" t="e">
        <f t="shared" si="206"/>
        <v>#DIV/0!</v>
      </c>
      <c r="DW84" s="79">
        <f t="array" ref="DW84">SUMIFS('Cắt lồng'!$AC$327:$AC$515,'Cắt lồng'!$AA$327:$AA$515,'Cắt lồng'!$AA84,'Cắt lồng'!$AE$327:$AE$515,'Cắt lồng'!DW$4:DW$4)</f>
        <v>0</v>
      </c>
      <c r="DX84" s="79">
        <f t="array" ref="DX84">SUMIFS('Cắt lồng'!$AH$327:$AH$515,'Cắt lồng'!$AA$327:$AA$515,'Cắt lồng'!$AA84,'Cắt lồng'!$AE$327:$AE$515,'Cắt lồng'!DX$4:DX$4)</f>
        <v>0</v>
      </c>
      <c r="DY84" s="78" t="e">
        <f t="shared" si="207"/>
        <v>#DIV/0!</v>
      </c>
      <c r="DZ84" s="79">
        <f t="array" ref="DZ84">SUMIFS('Cắt lồng'!$AC$327:$AC$515,'Cắt lồng'!$AA$327:$AA$515,'Cắt lồng'!$AA84,'Cắt lồng'!$AE$327:$AE$515,'Cắt lồng'!DZ$4:DZ$4)</f>
        <v>0</v>
      </c>
      <c r="EA84" s="79">
        <f t="array" ref="EA84">SUMIFS('Cắt lồng'!$AH$327:$AH$515,'Cắt lồng'!$AA$327:$AA$515,'Cắt lồng'!$AA84,'Cắt lồng'!$AE$327:$AE$515,'Cắt lồng'!EA$4:EA$4)</f>
        <v>0</v>
      </c>
      <c r="EB84" s="78" t="e">
        <f t="shared" si="208"/>
        <v>#DIV/0!</v>
      </c>
      <c r="EC84" s="79">
        <f t="array" ref="EC84">SUMIFS('Cắt lồng'!$AC$327:$AC$515,'Cắt lồng'!$AA$327:$AA$515,'Cắt lồng'!$AA84,'Cắt lồng'!$AE$327:$AE$515,'Cắt lồng'!EC$4:EC$4)</f>
        <v>0</v>
      </c>
      <c r="ED84" s="79">
        <f t="array" ref="ED84">SUMIFS('Cắt lồng'!$AH$327:$AH$515,'Cắt lồng'!$AA$327:$AA$515,'Cắt lồng'!$AA84,'Cắt lồng'!$AE$327:$AE$515,'Cắt lồng'!ED$4:ED$4)</f>
        <v>0</v>
      </c>
      <c r="EE84" s="78" t="e">
        <f t="shared" si="209"/>
        <v>#DIV/0!</v>
      </c>
      <c r="EF84" s="79">
        <f t="array" ref="EF84">SUMIFS('Cắt lồng'!$AC$327:$AC$515,'Cắt lồng'!$AA$327:$AA$515,'Cắt lồng'!$AA84,'Cắt lồng'!$AE$327:$AE$515,'Cắt lồng'!EF$4:EF$4)</f>
        <v>0</v>
      </c>
      <c r="EG84" s="79">
        <f t="array" ref="EG84">SUMIFS('Cắt lồng'!$AH$327:$AH$515,'Cắt lồng'!$AA$327:$AA$515,'Cắt lồng'!$AA84,'Cắt lồng'!$AE$327:$AE$515,'Cắt lồng'!EG$4:EG$4)</f>
        <v>0</v>
      </c>
      <c r="EH84" s="78" t="e">
        <f t="shared" si="210"/>
        <v>#DIV/0!</v>
      </c>
      <c r="EI84" s="79">
        <f t="array" ref="EI84">SUMIFS('Cắt lồng'!$AC$327:$AC$515,'Cắt lồng'!$AA$327:$AA$515,'Cắt lồng'!$AA84,'Cắt lồng'!$AE$327:$AE$515,'Cắt lồng'!EI$4:EI$4)</f>
        <v>0</v>
      </c>
      <c r="EJ84" s="79">
        <f t="array" ref="EJ84">SUMIFS('Cắt lồng'!$AH$327:$AH$515,'Cắt lồng'!$AA$327:$AA$515,'Cắt lồng'!$AA84,'Cắt lồng'!$AE$327:$AE$515,'Cắt lồng'!EJ$4:EJ$4)</f>
        <v>0</v>
      </c>
      <c r="EK84" s="78" t="e">
        <f t="shared" si="211"/>
        <v>#DIV/0!</v>
      </c>
    </row>
    <row r="85" spans="1:141" s="12" customFormat="1" ht="14.25" hidden="1" customHeight="1">
      <c r="A85" s="25">
        <v>56</v>
      </c>
      <c r="B85" s="26"/>
      <c r="C85" s="25"/>
      <c r="D85" s="24"/>
      <c r="E85" s="60"/>
      <c r="F85" s="59"/>
      <c r="G85" s="82">
        <f t="shared" si="144"/>
        <v>0</v>
      </c>
      <c r="H85" s="81">
        <f t="shared" si="145"/>
        <v>0</v>
      </c>
      <c r="I85" s="19">
        <f t="shared" si="146"/>
        <v>0</v>
      </c>
      <c r="J85" s="11">
        <f t="shared" si="147"/>
        <v>0</v>
      </c>
      <c r="K85" s="19">
        <f t="shared" si="148"/>
        <v>0</v>
      </c>
      <c r="L85" s="19">
        <f t="shared" si="149"/>
        <v>0</v>
      </c>
      <c r="M85" s="19">
        <f t="shared" si="150"/>
        <v>0</v>
      </c>
      <c r="N85" s="19">
        <f t="shared" si="151"/>
        <v>0</v>
      </c>
      <c r="O85" s="19">
        <f t="shared" si="152"/>
        <v>0</v>
      </c>
      <c r="P85" s="19">
        <f t="shared" si="153"/>
        <v>0</v>
      </c>
      <c r="Q85" s="19">
        <f t="shared" si="154"/>
        <v>0</v>
      </c>
      <c r="R85" s="19">
        <f t="shared" si="155"/>
        <v>0</v>
      </c>
      <c r="S85" s="19">
        <f t="shared" si="156"/>
        <v>0</v>
      </c>
      <c r="T85" s="19">
        <f t="shared" si="157"/>
        <v>0</v>
      </c>
      <c r="U85" s="19">
        <f t="shared" si="158"/>
        <v>0</v>
      </c>
      <c r="V85" s="19">
        <f t="shared" si="159"/>
        <v>0</v>
      </c>
      <c r="W85" s="19">
        <f t="shared" si="160"/>
        <v>0</v>
      </c>
      <c r="X85" s="19">
        <f t="shared" si="161"/>
        <v>0</v>
      </c>
      <c r="Y85" s="19">
        <f t="shared" si="162"/>
        <v>0</v>
      </c>
      <c r="Z85" s="19">
        <f t="shared" si="163"/>
        <v>0</v>
      </c>
      <c r="AA85" s="164" t="s">
        <v>233</v>
      </c>
      <c r="AB85" s="17" t="e">
        <f>+H85*SUMIF('[1]KẾ HOẠCH'!$B$5:$CK$5,'Cắt lồng'!AA85,'[1]KẾ HOẠCH'!$B$6:$CK$6)+H85*SUMIF('[1]KẾ HOẠCH'!$B$7:$CK$7,'Cắt lồng'!AA85,'[1]KẾ HOẠCH'!$B$8:$CK$8)+H85*SUMIF('[1]KẾ HOẠCH'!$B$15:$CK$15,'Cắt lồng'!AA85,'[1]KẾ HOẠCH'!$B$16:$CK$16)</f>
        <v>#VALUE!</v>
      </c>
      <c r="AC85" s="16">
        <f t="shared" si="164"/>
        <v>0</v>
      </c>
      <c r="AD85" s="15" t="e">
        <f t="shared" si="165"/>
        <v>#VALUE!</v>
      </c>
      <c r="AE85" s="42"/>
      <c r="AF85" s="10" t="e">
        <f t="shared" si="166"/>
        <v>#DIV/0!</v>
      </c>
      <c r="AG85" s="10"/>
      <c r="AH85" s="152">
        <f t="shared" si="167"/>
        <v>0</v>
      </c>
      <c r="AI85" s="54" t="e">
        <f t="shared" si="168"/>
        <v>#DIV/0!</v>
      </c>
      <c r="AJ85" s="25">
        <f t="shared" si="169"/>
        <v>0</v>
      </c>
      <c r="AK85" s="25">
        <f t="shared" si="170"/>
        <v>0</v>
      </c>
      <c r="AL85" s="25">
        <f t="shared" si="171"/>
        <v>0</v>
      </c>
      <c r="AM85" s="30">
        <f t="shared" si="172"/>
        <v>0</v>
      </c>
      <c r="AN85" s="25">
        <f t="shared" si="173"/>
        <v>0</v>
      </c>
      <c r="AO85" s="25">
        <f t="shared" si="174"/>
        <v>0</v>
      </c>
      <c r="AP85" s="25">
        <f t="shared" si="175"/>
        <v>0</v>
      </c>
      <c r="AQ85" s="25">
        <f t="shared" si="176"/>
        <v>0</v>
      </c>
      <c r="AR85" s="25">
        <f t="shared" si="177"/>
        <v>0</v>
      </c>
      <c r="AS85" s="25">
        <f t="shared" si="178"/>
        <v>0</v>
      </c>
      <c r="AT85" s="25">
        <f t="shared" si="179"/>
        <v>0</v>
      </c>
      <c r="AV85" s="79">
        <f t="shared" si="180"/>
        <v>0</v>
      </c>
      <c r="AW85" s="79">
        <f t="array" ref="AW85">SUMIFS('Cắt lồng'!$AC$327:$AC$515,'Cắt lồng'!$AA$327:$AA$515,'Cắt lồng'!$AA85,'Cắt lồng'!$AE$327:$AE$515,'Cắt lồng'!AW$4:AW$4)</f>
        <v>0</v>
      </c>
      <c r="AX85" s="79">
        <f t="array" ref="AX85">SUMIFS('Cắt lồng'!$AH$327:$AH$515,'Cắt lồng'!$AA$327:$AA$515,'Cắt lồng'!$AA85,'Cắt lồng'!$AE$327:$AE$515,'Cắt lồng'!AX$4:AX$4)</f>
        <v>0</v>
      </c>
      <c r="AY85" s="78" t="e">
        <f t="shared" si="181"/>
        <v>#DIV/0!</v>
      </c>
      <c r="AZ85" s="79">
        <f t="array" ref="AZ85">SUMIFS('Cắt lồng'!$AC$327:$AC$515,'Cắt lồng'!$AA$327:$AA$515,'Cắt lồng'!$AA85,'Cắt lồng'!$AE$327:$AE$515,'Cắt lồng'!AZ$4:AZ$4)</f>
        <v>0</v>
      </c>
      <c r="BA85" s="79">
        <f t="array" ref="BA85">SUMIFS('Cắt lồng'!$AH$327:$AH$515,'Cắt lồng'!$AA$327:$AA$515,'Cắt lồng'!$AA85,'Cắt lồng'!$AE$327:$AE$515,'Cắt lồng'!BA$4:BA$4)</f>
        <v>0</v>
      </c>
      <c r="BB85" s="78" t="e">
        <f t="shared" si="182"/>
        <v>#DIV/0!</v>
      </c>
      <c r="BC85" s="79">
        <f t="array" ref="BC85">SUMIFS('Cắt lồng'!$AC$327:$AC$515,'Cắt lồng'!$AA$327:$AA$515,'Cắt lồng'!$AA85,'Cắt lồng'!$AE$327:$AE$515,'Cắt lồng'!BC$4:BC$4)</f>
        <v>0</v>
      </c>
      <c r="BD85" s="79">
        <f t="array" ref="BD85">SUMIFS('Cắt lồng'!$AH$327:$AH$515,'Cắt lồng'!$AA$327:$AA$515,'Cắt lồng'!$AA85,'Cắt lồng'!$AE$327:$AE$515,'Cắt lồng'!BD$4:BD$4)</f>
        <v>0</v>
      </c>
      <c r="BE85" s="78" t="e">
        <f t="shared" si="183"/>
        <v>#DIV/0!</v>
      </c>
      <c r="BF85" s="79">
        <f t="array" ref="BF85">SUMIFS('Cắt lồng'!$AC$327:$AC$515,'Cắt lồng'!$AA$327:$AA$515,'Cắt lồng'!$AA85,'Cắt lồng'!$AE$327:$AE$515,'Cắt lồng'!BF$4:BF$4)</f>
        <v>0</v>
      </c>
      <c r="BG85" s="79">
        <f t="array" ref="BG85">SUMIFS('Cắt lồng'!$AH$327:$AH$515,'Cắt lồng'!$AA$327:$AA$515,'Cắt lồng'!$AA85,'Cắt lồng'!$AE$327:$AE$515,'Cắt lồng'!BG$4:BG$4)</f>
        <v>0</v>
      </c>
      <c r="BH85" s="78" t="e">
        <f t="shared" si="184"/>
        <v>#DIV/0!</v>
      </c>
      <c r="BI85" s="79">
        <f t="array" ref="BI85">SUMIFS('Cắt lồng'!$AC$327:$AC$515,'Cắt lồng'!$AA$327:$AA$515,'Cắt lồng'!$AA85,'Cắt lồng'!$AE$327:$AE$515,'Cắt lồng'!BI$4:BI$4)</f>
        <v>0</v>
      </c>
      <c r="BJ85" s="79">
        <f t="array" ref="BJ85">SUMIFS('Cắt lồng'!$AH$327:$AH$515,'Cắt lồng'!$AA$327:$AA$515,'Cắt lồng'!$AA85,'Cắt lồng'!$AE$327:$AE$515,'Cắt lồng'!BJ$4:BJ$4)</f>
        <v>0</v>
      </c>
      <c r="BK85" s="78" t="e">
        <f t="shared" si="185"/>
        <v>#DIV/0!</v>
      </c>
      <c r="BL85" s="79">
        <f t="array" ref="BL85">SUMIFS('Cắt lồng'!$AC$327:$AC$515,'Cắt lồng'!$AA$327:$AA$515,'Cắt lồng'!$AA85,'Cắt lồng'!$AE$327:$AE$515,'Cắt lồng'!BL$4:BL$4)</f>
        <v>0</v>
      </c>
      <c r="BM85" s="79">
        <f t="array" ref="BM85">SUMIFS('Cắt lồng'!$AH$327:$AH$515,'Cắt lồng'!$AA$327:$AA$515,'Cắt lồng'!$AA85,'Cắt lồng'!$AE$327:$AE$515,'Cắt lồng'!BM$4:BM$4)</f>
        <v>0</v>
      </c>
      <c r="BN85" s="78" t="e">
        <f t="shared" si="186"/>
        <v>#DIV/0!</v>
      </c>
      <c r="BO85" s="79">
        <f t="array" ref="BO85">SUMIFS('Cắt lồng'!$AC$327:$AC$515,'Cắt lồng'!$AA$327:$AA$515,'Cắt lồng'!$AA85,'Cắt lồng'!$AE$327:$AE$515,'Cắt lồng'!BO$4:BO$4)</f>
        <v>0</v>
      </c>
      <c r="BP85" s="79">
        <f t="array" ref="BP85">SUMIFS('Cắt lồng'!$AH$327:$AH$515,'Cắt lồng'!$AA$327:$AA$515,'Cắt lồng'!$AA85,'Cắt lồng'!$AE$327:$AE$515,'Cắt lồng'!BP$4:BP$4)</f>
        <v>0</v>
      </c>
      <c r="BQ85" s="78" t="e">
        <f t="shared" si="187"/>
        <v>#DIV/0!</v>
      </c>
      <c r="BR85" s="79">
        <f t="array" ref="BR85">SUMIFS('Cắt lồng'!$AC$327:$AC$515,'Cắt lồng'!$AA$327:$AA$515,'Cắt lồng'!$AA85,'Cắt lồng'!$AE$327:$AE$515,'Cắt lồng'!BR$4:BR$4)</f>
        <v>0</v>
      </c>
      <c r="BS85" s="79">
        <f t="array" ref="BS85">SUMIFS('Cắt lồng'!$AH$327:$AH$515,'Cắt lồng'!$AA$327:$AA$515,'Cắt lồng'!$AA85,'Cắt lồng'!$AE$327:$AE$515,'Cắt lồng'!BS$4:BS$4)</f>
        <v>0</v>
      </c>
      <c r="BT85" s="78" t="e">
        <f t="shared" si="188"/>
        <v>#DIV/0!</v>
      </c>
      <c r="BU85" s="79">
        <f t="array" ref="BU85">SUMIFS('Cắt lồng'!$AC$327:$AC$515,'Cắt lồng'!$AA$327:$AA$515,'Cắt lồng'!$AA85,'Cắt lồng'!$AE$327:$AE$515,'Cắt lồng'!BU$4:BU$4)</f>
        <v>0</v>
      </c>
      <c r="BV85" s="79">
        <f t="array" ref="BV85">SUMIFS('Cắt lồng'!$AH$327:$AH$515,'Cắt lồng'!$AA$327:$AA$515,'Cắt lồng'!$AA85,'Cắt lồng'!$AE$327:$AE$515,'Cắt lồng'!BV$4:BV$4)</f>
        <v>0</v>
      </c>
      <c r="BW85" s="78" t="e">
        <f t="shared" si="189"/>
        <v>#DIV/0!</v>
      </c>
      <c r="BX85" s="79">
        <f t="array" ref="BX85">SUMIFS('Cắt lồng'!$AC$327:$AC$515,'Cắt lồng'!$AA$327:$AA$515,'Cắt lồng'!$AA85,'Cắt lồng'!$AE$327:$AE$515,'Cắt lồng'!BX$4:BX$4)</f>
        <v>0</v>
      </c>
      <c r="BY85" s="79">
        <f t="array" ref="BY85">SUMIFS('Cắt lồng'!$AH$327:$AH$515,'Cắt lồng'!$AA$327:$AA$515,'Cắt lồng'!$AA85,'Cắt lồng'!$AE$327:$AE$515,'Cắt lồng'!BY$4:BY$4)</f>
        <v>0</v>
      </c>
      <c r="BZ85" s="78" t="e">
        <f t="shared" si="190"/>
        <v>#DIV/0!</v>
      </c>
      <c r="CA85" s="79">
        <f t="array" ref="CA85">SUMIFS('Cắt lồng'!$AC$327:$AC$515,'Cắt lồng'!$AA$327:$AA$515,'Cắt lồng'!$AA85,'Cắt lồng'!$AE$327:$AE$515,'Cắt lồng'!CA$4:CA$4)</f>
        <v>0</v>
      </c>
      <c r="CB85" s="79">
        <f t="array" ref="CB85">SUMIFS('Cắt lồng'!$AH$327:$AH$515,'Cắt lồng'!$AA$327:$AA$515,'Cắt lồng'!$AA85,'Cắt lồng'!$AE$327:$AE$515,'Cắt lồng'!CB$4:CB$4)</f>
        <v>0</v>
      </c>
      <c r="CC85" s="78" t="e">
        <f t="shared" si="191"/>
        <v>#DIV/0!</v>
      </c>
      <c r="CD85" s="79">
        <f t="array" ref="CD85">SUMIFS('Cắt lồng'!$AC$327:$AC$515,'Cắt lồng'!$AA$327:$AA$515,'Cắt lồng'!$AA85,'Cắt lồng'!$AE$327:$AE$515,'Cắt lồng'!CD$4:CD$4)</f>
        <v>0</v>
      </c>
      <c r="CE85" s="79">
        <f t="array" ref="CE85">SUMIFS('Cắt lồng'!$AH$327:$AH$515,'Cắt lồng'!$AA$327:$AA$515,'Cắt lồng'!$AA85,'Cắt lồng'!$AE$327:$AE$515,'Cắt lồng'!CE$4:CE$4)</f>
        <v>0</v>
      </c>
      <c r="CF85" s="78" t="e">
        <f t="shared" si="192"/>
        <v>#DIV/0!</v>
      </c>
      <c r="CG85" s="79">
        <f t="array" ref="CG85">SUMIFS('Cắt lồng'!$AC$327:$AC$515,'Cắt lồng'!$AA$327:$AA$515,'Cắt lồng'!$AA85,'Cắt lồng'!$AE$327:$AE$515,'Cắt lồng'!CG$4:CG$4)</f>
        <v>0</v>
      </c>
      <c r="CH85" s="79">
        <f t="array" ref="CH85">SUMIFS('Cắt lồng'!$AH$327:$AH$515,'Cắt lồng'!$AA$327:$AA$515,'Cắt lồng'!$AA85,'Cắt lồng'!$AE$327:$AE$515,'Cắt lồng'!CH$4:CH$4)</f>
        <v>0</v>
      </c>
      <c r="CI85" s="78" t="e">
        <f t="shared" si="193"/>
        <v>#DIV/0!</v>
      </c>
      <c r="CJ85" s="79">
        <f t="array" ref="CJ85">SUMIFS('Cắt lồng'!$AC$327:$AC$515,'Cắt lồng'!$AA$327:$AA$515,'Cắt lồng'!$AA85,'Cắt lồng'!$AE$327:$AE$515,'Cắt lồng'!CJ$4:CJ$4)</f>
        <v>0</v>
      </c>
      <c r="CK85" s="79">
        <f t="array" ref="CK85">SUMIFS('Cắt lồng'!$AH$327:$AH$515,'Cắt lồng'!$AA$327:$AA$515,'Cắt lồng'!$AA85,'Cắt lồng'!$AE$327:$AE$515,'Cắt lồng'!CK$4:CK$4)</f>
        <v>0</v>
      </c>
      <c r="CL85" s="78" t="e">
        <f t="shared" si="194"/>
        <v>#DIV/0!</v>
      </c>
      <c r="CM85" s="79">
        <f t="array" ref="CM85">SUMIFS('Cắt lồng'!$AC$327:$AC$515,'Cắt lồng'!$AA$327:$AA$515,'Cắt lồng'!$AA85,'Cắt lồng'!$AE$327:$AE$515,'Cắt lồng'!CM$4:CM$4)</f>
        <v>0</v>
      </c>
      <c r="CN85" s="79">
        <f t="array" ref="CN85">SUMIFS('Cắt lồng'!$AH$327:$AH$515,'Cắt lồng'!$AA$327:$AA$515,'Cắt lồng'!$AA85,'Cắt lồng'!$AE$327:$AE$515,'Cắt lồng'!CN$4:CN$4)</f>
        <v>0</v>
      </c>
      <c r="CO85" s="78" t="e">
        <f t="shared" si="195"/>
        <v>#DIV/0!</v>
      </c>
      <c r="CP85" s="79">
        <f t="array" ref="CP85">SUMIFS('Cắt lồng'!$AC$327:$AC$515,'Cắt lồng'!$AA$327:$AA$515,'Cắt lồng'!$AA85,'Cắt lồng'!$AE$327:$AE$515,'Cắt lồng'!CP$4:CP$4)</f>
        <v>0</v>
      </c>
      <c r="CQ85" s="79">
        <f t="array" ref="CQ85">SUMIFS('Cắt lồng'!$AH$327:$AH$515,'Cắt lồng'!$AA$327:$AA$515,'Cắt lồng'!$AA85,'Cắt lồng'!$AE$327:$AE$515,'Cắt lồng'!CQ$4:CQ$4)</f>
        <v>0</v>
      </c>
      <c r="CR85" s="78" t="e">
        <f t="shared" si="196"/>
        <v>#DIV/0!</v>
      </c>
      <c r="CS85" s="79">
        <f t="array" ref="CS85">SUMIFS('Cắt lồng'!$AC$327:$AC$515,'Cắt lồng'!$AA$327:$AA$515,'Cắt lồng'!$AA85,'Cắt lồng'!$AE$327:$AE$515,'Cắt lồng'!CS$4:CS$4)</f>
        <v>0</v>
      </c>
      <c r="CT85" s="79">
        <f t="array" ref="CT85">SUMIFS('Cắt lồng'!$AH$327:$AH$515,'Cắt lồng'!$AA$327:$AA$515,'Cắt lồng'!$AA85,'Cắt lồng'!$AE$327:$AE$515,'Cắt lồng'!CT$4:CT$4)</f>
        <v>0</v>
      </c>
      <c r="CU85" s="78" t="e">
        <f t="shared" si="197"/>
        <v>#DIV/0!</v>
      </c>
      <c r="CV85" s="79">
        <f t="array" ref="CV85">SUMIFS('Cắt lồng'!$AC$327:$AC$515,'Cắt lồng'!$AA$327:$AA$515,'Cắt lồng'!$AA85,'Cắt lồng'!$AE$327:$AE$515,'Cắt lồng'!CV$4:CV$4)</f>
        <v>0</v>
      </c>
      <c r="CW85" s="79">
        <f t="array" ref="CW85">SUMIFS('Cắt lồng'!$AH$327:$AH$515,'Cắt lồng'!$AA$327:$AA$515,'Cắt lồng'!$AA85,'Cắt lồng'!$AE$327:$AE$515,'Cắt lồng'!CW$4:CW$4)</f>
        <v>0</v>
      </c>
      <c r="CX85" s="78" t="e">
        <f t="shared" si="198"/>
        <v>#DIV/0!</v>
      </c>
      <c r="CY85" s="79">
        <f t="array" ref="CY85">SUMIFS('Cắt lồng'!$AC$327:$AC$515,'Cắt lồng'!$AA$327:$AA$515,'Cắt lồng'!$AA85,'Cắt lồng'!$AE$327:$AE$515,'Cắt lồng'!CY$4:CY$4)</f>
        <v>0</v>
      </c>
      <c r="CZ85" s="79">
        <f t="array" ref="CZ85">SUMIFS('Cắt lồng'!$AH$327:$AH$515,'Cắt lồng'!$AA$327:$AA$515,'Cắt lồng'!$AA85,'Cắt lồng'!$AE$327:$AE$515,'Cắt lồng'!CZ$4:CZ$4)</f>
        <v>0</v>
      </c>
      <c r="DA85" s="78" t="e">
        <f t="shared" si="199"/>
        <v>#DIV/0!</v>
      </c>
      <c r="DB85" s="79">
        <f t="array" ref="DB85">SUMIFS('Cắt lồng'!$AC$327:$AC$515,'Cắt lồng'!$AA$327:$AA$515,'Cắt lồng'!$AA85,'Cắt lồng'!$AE$327:$AE$515,'Cắt lồng'!DB$4:DB$4)</f>
        <v>0</v>
      </c>
      <c r="DC85" s="79">
        <f t="array" ref="DC85">SUMIFS('Cắt lồng'!$AH$327:$AH$515,'Cắt lồng'!$AA$327:$AA$515,'Cắt lồng'!$AA85,'Cắt lồng'!$AE$327:$AE$515,'Cắt lồng'!DC$4:DC$4)</f>
        <v>0</v>
      </c>
      <c r="DD85" s="78" t="e">
        <f t="shared" si="200"/>
        <v>#DIV/0!</v>
      </c>
      <c r="DE85" s="79">
        <f t="array" ref="DE85">SUMIFS('Cắt lồng'!$AC$327:$AC$515,'Cắt lồng'!$AA$327:$AA$515,'Cắt lồng'!$AA85,'Cắt lồng'!$AE$327:$AE$515,'Cắt lồng'!DE$4:DE$4)</f>
        <v>0</v>
      </c>
      <c r="DF85" s="79">
        <f t="array" ref="DF85">SUMIFS('Cắt lồng'!$AH$327:$AH$515,'Cắt lồng'!$AA$327:$AA$515,'Cắt lồng'!$AA85,'Cắt lồng'!$AE$327:$AE$515,'Cắt lồng'!DF$4:DF$4)</f>
        <v>0</v>
      </c>
      <c r="DG85" s="78" t="e">
        <f t="shared" si="201"/>
        <v>#DIV/0!</v>
      </c>
      <c r="DH85" s="79">
        <f t="array" ref="DH85">SUMIFS('Cắt lồng'!$AC$327:$AC$515,'Cắt lồng'!$AA$327:$AA$515,'Cắt lồng'!$AA85,'Cắt lồng'!$AE$327:$AE$515,'Cắt lồng'!DH$4:DH$4)</f>
        <v>0</v>
      </c>
      <c r="DI85" s="79">
        <f t="array" ref="DI85">SUMIFS('Cắt lồng'!$AH$327:$AH$515,'Cắt lồng'!$AA$327:$AA$515,'Cắt lồng'!$AA85,'Cắt lồng'!$AE$327:$AE$515,'Cắt lồng'!DI$4:DI$4)</f>
        <v>0</v>
      </c>
      <c r="DJ85" s="78" t="e">
        <f t="shared" si="202"/>
        <v>#DIV/0!</v>
      </c>
      <c r="DK85" s="79">
        <f t="array" ref="DK85">SUMIFS('Cắt lồng'!$AC$327:$AC$515,'Cắt lồng'!$AA$327:$AA$515,'Cắt lồng'!$AA85,'Cắt lồng'!$AE$327:$AE$515,'Cắt lồng'!DK$4:DK$4)</f>
        <v>0</v>
      </c>
      <c r="DL85" s="79">
        <f t="array" ref="DL85">SUMIFS('Cắt lồng'!$AH$327:$AH$515,'Cắt lồng'!$AA$327:$AA$515,'Cắt lồng'!$AA85,'Cắt lồng'!$AE$327:$AE$515,'Cắt lồng'!DL$4:DL$4)</f>
        <v>0</v>
      </c>
      <c r="DM85" s="78" t="e">
        <f t="shared" si="203"/>
        <v>#DIV/0!</v>
      </c>
      <c r="DN85" s="79">
        <f t="array" ref="DN85">SUMIFS('Cắt lồng'!$AC$327:$AC$515,'Cắt lồng'!$AA$327:$AA$515,'Cắt lồng'!$AA85,'Cắt lồng'!$AE$327:$AE$515,'Cắt lồng'!DN$4:DN$4)</f>
        <v>0</v>
      </c>
      <c r="DO85" s="79">
        <f t="array" ref="DO85">SUMIFS('Cắt lồng'!$AH$327:$AH$515,'Cắt lồng'!$AA$327:$AA$515,'Cắt lồng'!$AA85,'Cắt lồng'!$AE$327:$AE$515,'Cắt lồng'!DO$4:DO$4)</f>
        <v>0</v>
      </c>
      <c r="DP85" s="78" t="e">
        <f t="shared" si="204"/>
        <v>#DIV/0!</v>
      </c>
      <c r="DQ85" s="79">
        <f t="array" ref="DQ85">SUMIFS('Cắt lồng'!$AC$327:$AC$515,'Cắt lồng'!$AA$327:$AA$515,'Cắt lồng'!$AA85,'Cắt lồng'!$AE$327:$AE$515,'Cắt lồng'!DQ$4:DQ$4)</f>
        <v>0</v>
      </c>
      <c r="DR85" s="79">
        <f t="array" ref="DR85">SUMIFS('Cắt lồng'!$AH$327:$AH$515,'Cắt lồng'!$AA$327:$AA$515,'Cắt lồng'!$AA85,'Cắt lồng'!$AE$327:$AE$515,'Cắt lồng'!DR$4:DR$4)</f>
        <v>0</v>
      </c>
      <c r="DS85" s="78" t="e">
        <f t="shared" si="205"/>
        <v>#DIV/0!</v>
      </c>
      <c r="DT85" s="79">
        <f t="array" ref="DT85">SUMIFS('Cắt lồng'!$AC$327:$AC$515,'Cắt lồng'!$AA$327:$AA$515,'Cắt lồng'!$AA85,'Cắt lồng'!$AE$327:$AE$515,'Cắt lồng'!DT$4:DT$4)</f>
        <v>0</v>
      </c>
      <c r="DU85" s="79">
        <f t="array" ref="DU85">SUMIFS('Cắt lồng'!$AH$327:$AH$515,'Cắt lồng'!$AA$327:$AA$515,'Cắt lồng'!$AA85,'Cắt lồng'!$AE$327:$AE$515,'Cắt lồng'!DU$4:DU$4)</f>
        <v>0</v>
      </c>
      <c r="DV85" s="78" t="e">
        <f t="shared" si="206"/>
        <v>#DIV/0!</v>
      </c>
      <c r="DW85" s="79">
        <f t="array" ref="DW85">SUMIFS('Cắt lồng'!$AC$327:$AC$515,'Cắt lồng'!$AA$327:$AA$515,'Cắt lồng'!$AA85,'Cắt lồng'!$AE$327:$AE$515,'Cắt lồng'!DW$4:DW$4)</f>
        <v>0</v>
      </c>
      <c r="DX85" s="79">
        <f t="array" ref="DX85">SUMIFS('Cắt lồng'!$AH$327:$AH$515,'Cắt lồng'!$AA$327:$AA$515,'Cắt lồng'!$AA85,'Cắt lồng'!$AE$327:$AE$515,'Cắt lồng'!DX$4:DX$4)</f>
        <v>0</v>
      </c>
      <c r="DY85" s="78" t="e">
        <f t="shared" si="207"/>
        <v>#DIV/0!</v>
      </c>
      <c r="DZ85" s="79">
        <f t="array" ref="DZ85">SUMIFS('Cắt lồng'!$AC$327:$AC$515,'Cắt lồng'!$AA$327:$AA$515,'Cắt lồng'!$AA85,'Cắt lồng'!$AE$327:$AE$515,'Cắt lồng'!DZ$4:DZ$4)</f>
        <v>0</v>
      </c>
      <c r="EA85" s="79">
        <f t="array" ref="EA85">SUMIFS('Cắt lồng'!$AH$327:$AH$515,'Cắt lồng'!$AA$327:$AA$515,'Cắt lồng'!$AA85,'Cắt lồng'!$AE$327:$AE$515,'Cắt lồng'!EA$4:EA$4)</f>
        <v>0</v>
      </c>
      <c r="EB85" s="78" t="e">
        <f t="shared" si="208"/>
        <v>#DIV/0!</v>
      </c>
      <c r="EC85" s="79">
        <f t="array" ref="EC85">SUMIFS('Cắt lồng'!$AC$327:$AC$515,'Cắt lồng'!$AA$327:$AA$515,'Cắt lồng'!$AA85,'Cắt lồng'!$AE$327:$AE$515,'Cắt lồng'!EC$4:EC$4)</f>
        <v>0</v>
      </c>
      <c r="ED85" s="79">
        <f t="array" ref="ED85">SUMIFS('Cắt lồng'!$AH$327:$AH$515,'Cắt lồng'!$AA$327:$AA$515,'Cắt lồng'!$AA85,'Cắt lồng'!$AE$327:$AE$515,'Cắt lồng'!ED$4:ED$4)</f>
        <v>0</v>
      </c>
      <c r="EE85" s="78" t="e">
        <f t="shared" si="209"/>
        <v>#DIV/0!</v>
      </c>
      <c r="EF85" s="79">
        <f t="array" ref="EF85">SUMIFS('Cắt lồng'!$AC$327:$AC$515,'Cắt lồng'!$AA$327:$AA$515,'Cắt lồng'!$AA85,'Cắt lồng'!$AE$327:$AE$515,'Cắt lồng'!EF$4:EF$4)</f>
        <v>0</v>
      </c>
      <c r="EG85" s="79">
        <f t="array" ref="EG85">SUMIFS('Cắt lồng'!$AH$327:$AH$515,'Cắt lồng'!$AA$327:$AA$515,'Cắt lồng'!$AA85,'Cắt lồng'!$AE$327:$AE$515,'Cắt lồng'!EG$4:EG$4)</f>
        <v>0</v>
      </c>
      <c r="EH85" s="78" t="e">
        <f t="shared" si="210"/>
        <v>#DIV/0!</v>
      </c>
      <c r="EI85" s="79">
        <f t="array" ref="EI85">SUMIFS('Cắt lồng'!$AC$327:$AC$515,'Cắt lồng'!$AA$327:$AA$515,'Cắt lồng'!$AA85,'Cắt lồng'!$AE$327:$AE$515,'Cắt lồng'!EI$4:EI$4)</f>
        <v>0</v>
      </c>
      <c r="EJ85" s="79">
        <f t="array" ref="EJ85">SUMIFS('Cắt lồng'!$AH$327:$AH$515,'Cắt lồng'!$AA$327:$AA$515,'Cắt lồng'!$AA85,'Cắt lồng'!$AE$327:$AE$515,'Cắt lồng'!EJ$4:EJ$4)</f>
        <v>0</v>
      </c>
      <c r="EK85" s="78" t="e">
        <f t="shared" si="211"/>
        <v>#DIV/0!</v>
      </c>
    </row>
    <row r="86" spans="1:141" s="12" customFormat="1" ht="14.25" hidden="1" customHeight="1">
      <c r="A86" s="25">
        <v>57</v>
      </c>
      <c r="B86" s="26"/>
      <c r="C86" s="25"/>
      <c r="D86" s="24"/>
      <c r="E86" s="60"/>
      <c r="F86" s="59"/>
      <c r="G86" s="82">
        <f t="shared" si="144"/>
        <v>0</v>
      </c>
      <c r="H86" s="81">
        <f t="shared" si="145"/>
        <v>0</v>
      </c>
      <c r="I86" s="19">
        <f t="shared" si="146"/>
        <v>0</v>
      </c>
      <c r="J86" s="11">
        <f t="shared" si="147"/>
        <v>0</v>
      </c>
      <c r="K86" s="19">
        <f t="shared" si="148"/>
        <v>0</v>
      </c>
      <c r="L86" s="19">
        <f t="shared" si="149"/>
        <v>0</v>
      </c>
      <c r="M86" s="19">
        <f t="shared" si="150"/>
        <v>0</v>
      </c>
      <c r="N86" s="19">
        <f t="shared" si="151"/>
        <v>0</v>
      </c>
      <c r="O86" s="19">
        <f t="shared" si="152"/>
        <v>0</v>
      </c>
      <c r="P86" s="19">
        <f t="shared" si="153"/>
        <v>0</v>
      </c>
      <c r="Q86" s="19">
        <f t="shared" si="154"/>
        <v>0</v>
      </c>
      <c r="R86" s="19">
        <f t="shared" si="155"/>
        <v>0</v>
      </c>
      <c r="S86" s="19">
        <f t="shared" si="156"/>
        <v>0</v>
      </c>
      <c r="T86" s="19">
        <f t="shared" si="157"/>
        <v>0</v>
      </c>
      <c r="U86" s="19">
        <f t="shared" si="158"/>
        <v>0</v>
      </c>
      <c r="V86" s="19">
        <f t="shared" si="159"/>
        <v>0</v>
      </c>
      <c r="W86" s="19">
        <f t="shared" si="160"/>
        <v>0</v>
      </c>
      <c r="X86" s="19">
        <f t="shared" si="161"/>
        <v>0</v>
      </c>
      <c r="Y86" s="19">
        <f t="shared" si="162"/>
        <v>0</v>
      </c>
      <c r="Z86" s="19">
        <f t="shared" si="163"/>
        <v>0</v>
      </c>
      <c r="AA86" s="164" t="s">
        <v>232</v>
      </c>
      <c r="AB86" s="17" t="e">
        <f>+H86*SUMIF('[1]KẾ HOẠCH'!$B$5:$CK$5,'Cắt lồng'!AA86,'[1]KẾ HOẠCH'!$B$6:$CK$6)+H86*SUMIF('[1]KẾ HOẠCH'!$B$7:$CK$7,'Cắt lồng'!AA86,'[1]KẾ HOẠCH'!$B$8:$CK$8)+H86*SUMIF('[1]KẾ HOẠCH'!$B$15:$CK$15,'Cắt lồng'!AA86,'[1]KẾ HOẠCH'!$B$16:$CK$16)</f>
        <v>#VALUE!</v>
      </c>
      <c r="AC86" s="16">
        <f t="shared" si="164"/>
        <v>0</v>
      </c>
      <c r="AD86" s="15" t="e">
        <f t="shared" si="165"/>
        <v>#VALUE!</v>
      </c>
      <c r="AE86" s="42"/>
      <c r="AF86" s="10" t="e">
        <f t="shared" si="166"/>
        <v>#DIV/0!</v>
      </c>
      <c r="AG86" s="10"/>
      <c r="AH86" s="152">
        <f t="shared" si="167"/>
        <v>0</v>
      </c>
      <c r="AI86" s="54" t="e">
        <f t="shared" si="168"/>
        <v>#DIV/0!</v>
      </c>
      <c r="AJ86" s="25">
        <f t="shared" si="169"/>
        <v>0</v>
      </c>
      <c r="AK86" s="25">
        <f t="shared" si="170"/>
        <v>0</v>
      </c>
      <c r="AL86" s="25">
        <f t="shared" si="171"/>
        <v>0</v>
      </c>
      <c r="AM86" s="30">
        <f t="shared" si="172"/>
        <v>0</v>
      </c>
      <c r="AN86" s="25">
        <f t="shared" si="173"/>
        <v>0</v>
      </c>
      <c r="AO86" s="25">
        <f t="shared" si="174"/>
        <v>0</v>
      </c>
      <c r="AP86" s="25">
        <f t="shared" si="175"/>
        <v>0</v>
      </c>
      <c r="AQ86" s="25">
        <f t="shared" si="176"/>
        <v>0</v>
      </c>
      <c r="AR86" s="25">
        <f t="shared" si="177"/>
        <v>0</v>
      </c>
      <c r="AS86" s="25">
        <f t="shared" si="178"/>
        <v>0</v>
      </c>
      <c r="AT86" s="25">
        <f t="shared" si="179"/>
        <v>0</v>
      </c>
      <c r="AV86" s="79">
        <f t="shared" si="180"/>
        <v>0</v>
      </c>
      <c r="AW86" s="79">
        <f t="array" ref="AW86">SUMIFS('Cắt lồng'!$AC$327:$AC$515,'Cắt lồng'!$AA$327:$AA$515,'Cắt lồng'!$AA86,'Cắt lồng'!$AE$327:$AE$515,'Cắt lồng'!AW$4:AW$4)</f>
        <v>0</v>
      </c>
      <c r="AX86" s="79">
        <f t="array" ref="AX86">SUMIFS('Cắt lồng'!$AH$327:$AH$515,'Cắt lồng'!$AA$327:$AA$515,'Cắt lồng'!$AA86,'Cắt lồng'!$AE$327:$AE$515,'Cắt lồng'!AX$4:AX$4)</f>
        <v>0</v>
      </c>
      <c r="AY86" s="78" t="e">
        <f t="shared" si="181"/>
        <v>#DIV/0!</v>
      </c>
      <c r="AZ86" s="79">
        <f t="array" ref="AZ86">SUMIFS('Cắt lồng'!$AC$327:$AC$515,'Cắt lồng'!$AA$327:$AA$515,'Cắt lồng'!$AA86,'Cắt lồng'!$AE$327:$AE$515,'Cắt lồng'!AZ$4:AZ$4)</f>
        <v>0</v>
      </c>
      <c r="BA86" s="79">
        <f t="array" ref="BA86">SUMIFS('Cắt lồng'!$AH$327:$AH$515,'Cắt lồng'!$AA$327:$AA$515,'Cắt lồng'!$AA86,'Cắt lồng'!$AE$327:$AE$515,'Cắt lồng'!BA$4:BA$4)</f>
        <v>0</v>
      </c>
      <c r="BB86" s="78" t="e">
        <f t="shared" si="182"/>
        <v>#DIV/0!</v>
      </c>
      <c r="BC86" s="79">
        <f t="array" ref="BC86">SUMIFS('Cắt lồng'!$AC$327:$AC$515,'Cắt lồng'!$AA$327:$AA$515,'Cắt lồng'!$AA86,'Cắt lồng'!$AE$327:$AE$515,'Cắt lồng'!BC$4:BC$4)</f>
        <v>0</v>
      </c>
      <c r="BD86" s="79">
        <f t="array" ref="BD86">SUMIFS('Cắt lồng'!$AH$327:$AH$515,'Cắt lồng'!$AA$327:$AA$515,'Cắt lồng'!$AA86,'Cắt lồng'!$AE$327:$AE$515,'Cắt lồng'!BD$4:BD$4)</f>
        <v>0</v>
      </c>
      <c r="BE86" s="78" t="e">
        <f t="shared" si="183"/>
        <v>#DIV/0!</v>
      </c>
      <c r="BF86" s="79">
        <f t="array" ref="BF86">SUMIFS('Cắt lồng'!$AC$327:$AC$515,'Cắt lồng'!$AA$327:$AA$515,'Cắt lồng'!$AA86,'Cắt lồng'!$AE$327:$AE$515,'Cắt lồng'!BF$4:BF$4)</f>
        <v>0</v>
      </c>
      <c r="BG86" s="79">
        <f t="array" ref="BG86">SUMIFS('Cắt lồng'!$AH$327:$AH$515,'Cắt lồng'!$AA$327:$AA$515,'Cắt lồng'!$AA86,'Cắt lồng'!$AE$327:$AE$515,'Cắt lồng'!BG$4:BG$4)</f>
        <v>0</v>
      </c>
      <c r="BH86" s="78" t="e">
        <f t="shared" si="184"/>
        <v>#DIV/0!</v>
      </c>
      <c r="BI86" s="79">
        <f t="array" ref="BI86">SUMIFS('Cắt lồng'!$AC$327:$AC$515,'Cắt lồng'!$AA$327:$AA$515,'Cắt lồng'!$AA86,'Cắt lồng'!$AE$327:$AE$515,'Cắt lồng'!BI$4:BI$4)</f>
        <v>0</v>
      </c>
      <c r="BJ86" s="79">
        <f t="array" ref="BJ86">SUMIFS('Cắt lồng'!$AH$327:$AH$515,'Cắt lồng'!$AA$327:$AA$515,'Cắt lồng'!$AA86,'Cắt lồng'!$AE$327:$AE$515,'Cắt lồng'!BJ$4:BJ$4)</f>
        <v>0</v>
      </c>
      <c r="BK86" s="78" t="e">
        <f t="shared" si="185"/>
        <v>#DIV/0!</v>
      </c>
      <c r="BL86" s="79">
        <f t="array" ref="BL86">SUMIFS('Cắt lồng'!$AC$327:$AC$515,'Cắt lồng'!$AA$327:$AA$515,'Cắt lồng'!$AA86,'Cắt lồng'!$AE$327:$AE$515,'Cắt lồng'!BL$4:BL$4)</f>
        <v>0</v>
      </c>
      <c r="BM86" s="79">
        <f t="array" ref="BM86">SUMIFS('Cắt lồng'!$AH$327:$AH$515,'Cắt lồng'!$AA$327:$AA$515,'Cắt lồng'!$AA86,'Cắt lồng'!$AE$327:$AE$515,'Cắt lồng'!BM$4:BM$4)</f>
        <v>0</v>
      </c>
      <c r="BN86" s="78" t="e">
        <f t="shared" si="186"/>
        <v>#DIV/0!</v>
      </c>
      <c r="BO86" s="79">
        <f t="array" ref="BO86">SUMIFS('Cắt lồng'!$AC$327:$AC$515,'Cắt lồng'!$AA$327:$AA$515,'Cắt lồng'!$AA86,'Cắt lồng'!$AE$327:$AE$515,'Cắt lồng'!BO$4:BO$4)</f>
        <v>0</v>
      </c>
      <c r="BP86" s="79">
        <f t="array" ref="BP86">SUMIFS('Cắt lồng'!$AH$327:$AH$515,'Cắt lồng'!$AA$327:$AA$515,'Cắt lồng'!$AA86,'Cắt lồng'!$AE$327:$AE$515,'Cắt lồng'!BP$4:BP$4)</f>
        <v>0</v>
      </c>
      <c r="BQ86" s="78" t="e">
        <f t="shared" si="187"/>
        <v>#DIV/0!</v>
      </c>
      <c r="BR86" s="79">
        <f t="array" ref="BR86">SUMIFS('Cắt lồng'!$AC$327:$AC$515,'Cắt lồng'!$AA$327:$AA$515,'Cắt lồng'!$AA86,'Cắt lồng'!$AE$327:$AE$515,'Cắt lồng'!BR$4:BR$4)</f>
        <v>0</v>
      </c>
      <c r="BS86" s="79">
        <f t="array" ref="BS86">SUMIFS('Cắt lồng'!$AH$327:$AH$515,'Cắt lồng'!$AA$327:$AA$515,'Cắt lồng'!$AA86,'Cắt lồng'!$AE$327:$AE$515,'Cắt lồng'!BS$4:BS$4)</f>
        <v>0</v>
      </c>
      <c r="BT86" s="78" t="e">
        <f t="shared" si="188"/>
        <v>#DIV/0!</v>
      </c>
      <c r="BU86" s="79">
        <f t="array" ref="BU86">SUMIFS('Cắt lồng'!$AC$327:$AC$515,'Cắt lồng'!$AA$327:$AA$515,'Cắt lồng'!$AA86,'Cắt lồng'!$AE$327:$AE$515,'Cắt lồng'!BU$4:BU$4)</f>
        <v>0</v>
      </c>
      <c r="BV86" s="79">
        <f t="array" ref="BV86">SUMIFS('Cắt lồng'!$AH$327:$AH$515,'Cắt lồng'!$AA$327:$AA$515,'Cắt lồng'!$AA86,'Cắt lồng'!$AE$327:$AE$515,'Cắt lồng'!BV$4:BV$4)</f>
        <v>0</v>
      </c>
      <c r="BW86" s="78" t="e">
        <f t="shared" si="189"/>
        <v>#DIV/0!</v>
      </c>
      <c r="BX86" s="79">
        <f t="array" ref="BX86">SUMIFS('Cắt lồng'!$AC$327:$AC$515,'Cắt lồng'!$AA$327:$AA$515,'Cắt lồng'!$AA86,'Cắt lồng'!$AE$327:$AE$515,'Cắt lồng'!BX$4:BX$4)</f>
        <v>0</v>
      </c>
      <c r="BY86" s="79">
        <f t="array" ref="BY86">SUMIFS('Cắt lồng'!$AH$327:$AH$515,'Cắt lồng'!$AA$327:$AA$515,'Cắt lồng'!$AA86,'Cắt lồng'!$AE$327:$AE$515,'Cắt lồng'!BY$4:BY$4)</f>
        <v>0</v>
      </c>
      <c r="BZ86" s="78" t="e">
        <f t="shared" si="190"/>
        <v>#DIV/0!</v>
      </c>
      <c r="CA86" s="79">
        <f t="array" ref="CA86">SUMIFS('Cắt lồng'!$AC$327:$AC$515,'Cắt lồng'!$AA$327:$AA$515,'Cắt lồng'!$AA86,'Cắt lồng'!$AE$327:$AE$515,'Cắt lồng'!CA$4:CA$4)</f>
        <v>0</v>
      </c>
      <c r="CB86" s="79">
        <f t="array" ref="CB86">SUMIFS('Cắt lồng'!$AH$327:$AH$515,'Cắt lồng'!$AA$327:$AA$515,'Cắt lồng'!$AA86,'Cắt lồng'!$AE$327:$AE$515,'Cắt lồng'!CB$4:CB$4)</f>
        <v>0</v>
      </c>
      <c r="CC86" s="78" t="e">
        <f t="shared" si="191"/>
        <v>#DIV/0!</v>
      </c>
      <c r="CD86" s="79">
        <f t="array" ref="CD86">SUMIFS('Cắt lồng'!$AC$327:$AC$515,'Cắt lồng'!$AA$327:$AA$515,'Cắt lồng'!$AA86,'Cắt lồng'!$AE$327:$AE$515,'Cắt lồng'!CD$4:CD$4)</f>
        <v>0</v>
      </c>
      <c r="CE86" s="79">
        <f t="array" ref="CE86">SUMIFS('Cắt lồng'!$AH$327:$AH$515,'Cắt lồng'!$AA$327:$AA$515,'Cắt lồng'!$AA86,'Cắt lồng'!$AE$327:$AE$515,'Cắt lồng'!CE$4:CE$4)</f>
        <v>0</v>
      </c>
      <c r="CF86" s="78" t="e">
        <f t="shared" si="192"/>
        <v>#DIV/0!</v>
      </c>
      <c r="CG86" s="79">
        <f t="array" ref="CG86">SUMIFS('Cắt lồng'!$AC$327:$AC$515,'Cắt lồng'!$AA$327:$AA$515,'Cắt lồng'!$AA86,'Cắt lồng'!$AE$327:$AE$515,'Cắt lồng'!CG$4:CG$4)</f>
        <v>0</v>
      </c>
      <c r="CH86" s="79">
        <f t="array" ref="CH86">SUMIFS('Cắt lồng'!$AH$327:$AH$515,'Cắt lồng'!$AA$327:$AA$515,'Cắt lồng'!$AA86,'Cắt lồng'!$AE$327:$AE$515,'Cắt lồng'!CH$4:CH$4)</f>
        <v>0</v>
      </c>
      <c r="CI86" s="78" t="e">
        <f t="shared" si="193"/>
        <v>#DIV/0!</v>
      </c>
      <c r="CJ86" s="79">
        <f t="array" ref="CJ86">SUMIFS('Cắt lồng'!$AC$327:$AC$515,'Cắt lồng'!$AA$327:$AA$515,'Cắt lồng'!$AA86,'Cắt lồng'!$AE$327:$AE$515,'Cắt lồng'!CJ$4:CJ$4)</f>
        <v>0</v>
      </c>
      <c r="CK86" s="79">
        <f t="array" ref="CK86">SUMIFS('Cắt lồng'!$AH$327:$AH$515,'Cắt lồng'!$AA$327:$AA$515,'Cắt lồng'!$AA86,'Cắt lồng'!$AE$327:$AE$515,'Cắt lồng'!CK$4:CK$4)</f>
        <v>0</v>
      </c>
      <c r="CL86" s="78" t="e">
        <f t="shared" si="194"/>
        <v>#DIV/0!</v>
      </c>
      <c r="CM86" s="79">
        <f t="array" ref="CM86">SUMIFS('Cắt lồng'!$AC$327:$AC$515,'Cắt lồng'!$AA$327:$AA$515,'Cắt lồng'!$AA86,'Cắt lồng'!$AE$327:$AE$515,'Cắt lồng'!CM$4:CM$4)</f>
        <v>0</v>
      </c>
      <c r="CN86" s="79">
        <f t="array" ref="CN86">SUMIFS('Cắt lồng'!$AH$327:$AH$515,'Cắt lồng'!$AA$327:$AA$515,'Cắt lồng'!$AA86,'Cắt lồng'!$AE$327:$AE$515,'Cắt lồng'!CN$4:CN$4)</f>
        <v>0</v>
      </c>
      <c r="CO86" s="78" t="e">
        <f t="shared" si="195"/>
        <v>#DIV/0!</v>
      </c>
      <c r="CP86" s="79">
        <f t="array" ref="CP86">SUMIFS('Cắt lồng'!$AC$327:$AC$515,'Cắt lồng'!$AA$327:$AA$515,'Cắt lồng'!$AA86,'Cắt lồng'!$AE$327:$AE$515,'Cắt lồng'!CP$4:CP$4)</f>
        <v>0</v>
      </c>
      <c r="CQ86" s="79">
        <f t="array" ref="CQ86">SUMIFS('Cắt lồng'!$AH$327:$AH$515,'Cắt lồng'!$AA$327:$AA$515,'Cắt lồng'!$AA86,'Cắt lồng'!$AE$327:$AE$515,'Cắt lồng'!CQ$4:CQ$4)</f>
        <v>0</v>
      </c>
      <c r="CR86" s="78" t="e">
        <f t="shared" si="196"/>
        <v>#DIV/0!</v>
      </c>
      <c r="CS86" s="79">
        <f t="array" ref="CS86">SUMIFS('Cắt lồng'!$AC$327:$AC$515,'Cắt lồng'!$AA$327:$AA$515,'Cắt lồng'!$AA86,'Cắt lồng'!$AE$327:$AE$515,'Cắt lồng'!CS$4:CS$4)</f>
        <v>0</v>
      </c>
      <c r="CT86" s="79">
        <f t="array" ref="CT86">SUMIFS('Cắt lồng'!$AH$327:$AH$515,'Cắt lồng'!$AA$327:$AA$515,'Cắt lồng'!$AA86,'Cắt lồng'!$AE$327:$AE$515,'Cắt lồng'!CT$4:CT$4)</f>
        <v>0</v>
      </c>
      <c r="CU86" s="78" t="e">
        <f t="shared" si="197"/>
        <v>#DIV/0!</v>
      </c>
      <c r="CV86" s="79">
        <f t="array" ref="CV86">SUMIFS('Cắt lồng'!$AC$327:$AC$515,'Cắt lồng'!$AA$327:$AA$515,'Cắt lồng'!$AA86,'Cắt lồng'!$AE$327:$AE$515,'Cắt lồng'!CV$4:CV$4)</f>
        <v>0</v>
      </c>
      <c r="CW86" s="79">
        <f t="array" ref="CW86">SUMIFS('Cắt lồng'!$AH$327:$AH$515,'Cắt lồng'!$AA$327:$AA$515,'Cắt lồng'!$AA86,'Cắt lồng'!$AE$327:$AE$515,'Cắt lồng'!CW$4:CW$4)</f>
        <v>0</v>
      </c>
      <c r="CX86" s="78" t="e">
        <f t="shared" si="198"/>
        <v>#DIV/0!</v>
      </c>
      <c r="CY86" s="79">
        <f t="array" ref="CY86">SUMIFS('Cắt lồng'!$AC$327:$AC$515,'Cắt lồng'!$AA$327:$AA$515,'Cắt lồng'!$AA86,'Cắt lồng'!$AE$327:$AE$515,'Cắt lồng'!CY$4:CY$4)</f>
        <v>0</v>
      </c>
      <c r="CZ86" s="79">
        <f t="array" ref="CZ86">SUMIFS('Cắt lồng'!$AH$327:$AH$515,'Cắt lồng'!$AA$327:$AA$515,'Cắt lồng'!$AA86,'Cắt lồng'!$AE$327:$AE$515,'Cắt lồng'!CZ$4:CZ$4)</f>
        <v>0</v>
      </c>
      <c r="DA86" s="78" t="e">
        <f t="shared" si="199"/>
        <v>#DIV/0!</v>
      </c>
      <c r="DB86" s="79">
        <f t="array" ref="DB86">SUMIFS('Cắt lồng'!$AC$327:$AC$515,'Cắt lồng'!$AA$327:$AA$515,'Cắt lồng'!$AA86,'Cắt lồng'!$AE$327:$AE$515,'Cắt lồng'!DB$4:DB$4)</f>
        <v>0</v>
      </c>
      <c r="DC86" s="79">
        <f t="array" ref="DC86">SUMIFS('Cắt lồng'!$AH$327:$AH$515,'Cắt lồng'!$AA$327:$AA$515,'Cắt lồng'!$AA86,'Cắt lồng'!$AE$327:$AE$515,'Cắt lồng'!DC$4:DC$4)</f>
        <v>0</v>
      </c>
      <c r="DD86" s="78" t="e">
        <f t="shared" si="200"/>
        <v>#DIV/0!</v>
      </c>
      <c r="DE86" s="79">
        <f t="array" ref="DE86">SUMIFS('Cắt lồng'!$AC$327:$AC$515,'Cắt lồng'!$AA$327:$AA$515,'Cắt lồng'!$AA86,'Cắt lồng'!$AE$327:$AE$515,'Cắt lồng'!DE$4:DE$4)</f>
        <v>0</v>
      </c>
      <c r="DF86" s="79">
        <f t="array" ref="DF86">SUMIFS('Cắt lồng'!$AH$327:$AH$515,'Cắt lồng'!$AA$327:$AA$515,'Cắt lồng'!$AA86,'Cắt lồng'!$AE$327:$AE$515,'Cắt lồng'!DF$4:DF$4)</f>
        <v>0</v>
      </c>
      <c r="DG86" s="78" t="e">
        <f t="shared" si="201"/>
        <v>#DIV/0!</v>
      </c>
      <c r="DH86" s="79">
        <f t="array" ref="DH86">SUMIFS('Cắt lồng'!$AC$327:$AC$515,'Cắt lồng'!$AA$327:$AA$515,'Cắt lồng'!$AA86,'Cắt lồng'!$AE$327:$AE$515,'Cắt lồng'!DH$4:DH$4)</f>
        <v>0</v>
      </c>
      <c r="DI86" s="79">
        <f t="array" ref="DI86">SUMIFS('Cắt lồng'!$AH$327:$AH$515,'Cắt lồng'!$AA$327:$AA$515,'Cắt lồng'!$AA86,'Cắt lồng'!$AE$327:$AE$515,'Cắt lồng'!DI$4:DI$4)</f>
        <v>0</v>
      </c>
      <c r="DJ86" s="78" t="e">
        <f t="shared" si="202"/>
        <v>#DIV/0!</v>
      </c>
      <c r="DK86" s="79">
        <f t="array" ref="DK86">SUMIFS('Cắt lồng'!$AC$327:$AC$515,'Cắt lồng'!$AA$327:$AA$515,'Cắt lồng'!$AA86,'Cắt lồng'!$AE$327:$AE$515,'Cắt lồng'!DK$4:DK$4)</f>
        <v>0</v>
      </c>
      <c r="DL86" s="79">
        <f t="array" ref="DL86">SUMIFS('Cắt lồng'!$AH$327:$AH$515,'Cắt lồng'!$AA$327:$AA$515,'Cắt lồng'!$AA86,'Cắt lồng'!$AE$327:$AE$515,'Cắt lồng'!DL$4:DL$4)</f>
        <v>0</v>
      </c>
      <c r="DM86" s="78" t="e">
        <f t="shared" si="203"/>
        <v>#DIV/0!</v>
      </c>
      <c r="DN86" s="79">
        <f t="array" ref="DN86">SUMIFS('Cắt lồng'!$AC$327:$AC$515,'Cắt lồng'!$AA$327:$AA$515,'Cắt lồng'!$AA86,'Cắt lồng'!$AE$327:$AE$515,'Cắt lồng'!DN$4:DN$4)</f>
        <v>0</v>
      </c>
      <c r="DO86" s="79">
        <f t="array" ref="DO86">SUMIFS('Cắt lồng'!$AH$327:$AH$515,'Cắt lồng'!$AA$327:$AA$515,'Cắt lồng'!$AA86,'Cắt lồng'!$AE$327:$AE$515,'Cắt lồng'!DO$4:DO$4)</f>
        <v>0</v>
      </c>
      <c r="DP86" s="78" t="e">
        <f t="shared" si="204"/>
        <v>#DIV/0!</v>
      </c>
      <c r="DQ86" s="79">
        <f t="array" ref="DQ86">SUMIFS('Cắt lồng'!$AC$327:$AC$515,'Cắt lồng'!$AA$327:$AA$515,'Cắt lồng'!$AA86,'Cắt lồng'!$AE$327:$AE$515,'Cắt lồng'!DQ$4:DQ$4)</f>
        <v>0</v>
      </c>
      <c r="DR86" s="79">
        <f t="array" ref="DR86">SUMIFS('Cắt lồng'!$AH$327:$AH$515,'Cắt lồng'!$AA$327:$AA$515,'Cắt lồng'!$AA86,'Cắt lồng'!$AE$327:$AE$515,'Cắt lồng'!DR$4:DR$4)</f>
        <v>0</v>
      </c>
      <c r="DS86" s="78" t="e">
        <f t="shared" si="205"/>
        <v>#DIV/0!</v>
      </c>
      <c r="DT86" s="79">
        <f t="array" ref="DT86">SUMIFS('Cắt lồng'!$AC$327:$AC$515,'Cắt lồng'!$AA$327:$AA$515,'Cắt lồng'!$AA86,'Cắt lồng'!$AE$327:$AE$515,'Cắt lồng'!DT$4:DT$4)</f>
        <v>0</v>
      </c>
      <c r="DU86" s="79">
        <f t="array" ref="DU86">SUMIFS('Cắt lồng'!$AH$327:$AH$515,'Cắt lồng'!$AA$327:$AA$515,'Cắt lồng'!$AA86,'Cắt lồng'!$AE$327:$AE$515,'Cắt lồng'!DU$4:DU$4)</f>
        <v>0</v>
      </c>
      <c r="DV86" s="78" t="e">
        <f t="shared" si="206"/>
        <v>#DIV/0!</v>
      </c>
      <c r="DW86" s="79">
        <f t="array" ref="DW86">SUMIFS('Cắt lồng'!$AC$327:$AC$515,'Cắt lồng'!$AA$327:$AA$515,'Cắt lồng'!$AA86,'Cắt lồng'!$AE$327:$AE$515,'Cắt lồng'!DW$4:DW$4)</f>
        <v>0</v>
      </c>
      <c r="DX86" s="79">
        <f t="array" ref="DX86">SUMIFS('Cắt lồng'!$AH$327:$AH$515,'Cắt lồng'!$AA$327:$AA$515,'Cắt lồng'!$AA86,'Cắt lồng'!$AE$327:$AE$515,'Cắt lồng'!DX$4:DX$4)</f>
        <v>0</v>
      </c>
      <c r="DY86" s="78" t="e">
        <f t="shared" si="207"/>
        <v>#DIV/0!</v>
      </c>
      <c r="DZ86" s="79">
        <f t="array" ref="DZ86">SUMIFS('Cắt lồng'!$AC$327:$AC$515,'Cắt lồng'!$AA$327:$AA$515,'Cắt lồng'!$AA86,'Cắt lồng'!$AE$327:$AE$515,'Cắt lồng'!DZ$4:DZ$4)</f>
        <v>0</v>
      </c>
      <c r="EA86" s="79">
        <f t="array" ref="EA86">SUMIFS('Cắt lồng'!$AH$327:$AH$515,'Cắt lồng'!$AA$327:$AA$515,'Cắt lồng'!$AA86,'Cắt lồng'!$AE$327:$AE$515,'Cắt lồng'!EA$4:EA$4)</f>
        <v>0</v>
      </c>
      <c r="EB86" s="78" t="e">
        <f t="shared" si="208"/>
        <v>#DIV/0!</v>
      </c>
      <c r="EC86" s="79">
        <f t="array" ref="EC86">SUMIFS('Cắt lồng'!$AC$327:$AC$515,'Cắt lồng'!$AA$327:$AA$515,'Cắt lồng'!$AA86,'Cắt lồng'!$AE$327:$AE$515,'Cắt lồng'!EC$4:EC$4)</f>
        <v>0</v>
      </c>
      <c r="ED86" s="79">
        <f t="array" ref="ED86">SUMIFS('Cắt lồng'!$AH$327:$AH$515,'Cắt lồng'!$AA$327:$AA$515,'Cắt lồng'!$AA86,'Cắt lồng'!$AE$327:$AE$515,'Cắt lồng'!ED$4:ED$4)</f>
        <v>0</v>
      </c>
      <c r="EE86" s="78" t="e">
        <f t="shared" si="209"/>
        <v>#DIV/0!</v>
      </c>
      <c r="EF86" s="79">
        <f t="array" ref="EF86">SUMIFS('Cắt lồng'!$AC$327:$AC$515,'Cắt lồng'!$AA$327:$AA$515,'Cắt lồng'!$AA86,'Cắt lồng'!$AE$327:$AE$515,'Cắt lồng'!EF$4:EF$4)</f>
        <v>0</v>
      </c>
      <c r="EG86" s="79">
        <f t="array" ref="EG86">SUMIFS('Cắt lồng'!$AH$327:$AH$515,'Cắt lồng'!$AA$327:$AA$515,'Cắt lồng'!$AA86,'Cắt lồng'!$AE$327:$AE$515,'Cắt lồng'!EG$4:EG$4)</f>
        <v>0</v>
      </c>
      <c r="EH86" s="78" t="e">
        <f t="shared" si="210"/>
        <v>#DIV/0!</v>
      </c>
      <c r="EI86" s="79">
        <f t="array" ref="EI86">SUMIFS('Cắt lồng'!$AC$327:$AC$515,'Cắt lồng'!$AA$327:$AA$515,'Cắt lồng'!$AA86,'Cắt lồng'!$AE$327:$AE$515,'Cắt lồng'!EI$4:EI$4)</f>
        <v>0</v>
      </c>
      <c r="EJ86" s="79">
        <f t="array" ref="EJ86">SUMIFS('Cắt lồng'!$AH$327:$AH$515,'Cắt lồng'!$AA$327:$AA$515,'Cắt lồng'!$AA86,'Cắt lồng'!$AE$327:$AE$515,'Cắt lồng'!EJ$4:EJ$4)</f>
        <v>0</v>
      </c>
      <c r="EK86" s="78" t="e">
        <f t="shared" si="211"/>
        <v>#DIV/0!</v>
      </c>
    </row>
    <row r="87" spans="1:141" s="12" customFormat="1" ht="15" hidden="1" customHeight="1">
      <c r="A87" s="25">
        <v>58</v>
      </c>
      <c r="B87" s="26"/>
      <c r="C87" s="25"/>
      <c r="D87" s="24"/>
      <c r="E87" s="60"/>
      <c r="F87" s="59"/>
      <c r="G87" s="82">
        <f t="shared" si="144"/>
        <v>0</v>
      </c>
      <c r="H87" s="81">
        <f t="shared" si="145"/>
        <v>21.490000000000002</v>
      </c>
      <c r="I87" s="19">
        <f t="shared" si="146"/>
        <v>0</v>
      </c>
      <c r="J87" s="11">
        <f t="shared" si="147"/>
        <v>2.5</v>
      </c>
      <c r="K87" s="19">
        <f t="shared" si="148"/>
        <v>0</v>
      </c>
      <c r="L87" s="19">
        <f t="shared" si="149"/>
        <v>0</v>
      </c>
      <c r="M87" s="19">
        <f t="shared" si="150"/>
        <v>0</v>
      </c>
      <c r="N87" s="19">
        <f t="shared" si="151"/>
        <v>0</v>
      </c>
      <c r="O87" s="19">
        <f t="shared" si="152"/>
        <v>0</v>
      </c>
      <c r="P87" s="19">
        <f t="shared" si="153"/>
        <v>0</v>
      </c>
      <c r="Q87" s="19">
        <f t="shared" si="154"/>
        <v>0</v>
      </c>
      <c r="R87" s="19">
        <f t="shared" si="155"/>
        <v>0</v>
      </c>
      <c r="S87" s="19">
        <f t="shared" si="156"/>
        <v>0</v>
      </c>
      <c r="T87" s="19">
        <f t="shared" si="157"/>
        <v>2.5</v>
      </c>
      <c r="U87" s="19">
        <f t="shared" si="158"/>
        <v>0</v>
      </c>
      <c r="V87" s="19">
        <f t="shared" si="159"/>
        <v>0</v>
      </c>
      <c r="W87" s="19">
        <f t="shared" si="160"/>
        <v>0</v>
      </c>
      <c r="X87" s="19">
        <f t="shared" si="161"/>
        <v>0</v>
      </c>
      <c r="Y87" s="19">
        <f t="shared" si="162"/>
        <v>0</v>
      </c>
      <c r="Z87" s="19">
        <f t="shared" si="163"/>
        <v>0</v>
      </c>
      <c r="AA87" s="164" t="s">
        <v>231</v>
      </c>
      <c r="AB87" s="17" t="e">
        <f>+H87*SUMIF('[1]KẾ HOẠCH'!$B$5:$CK$5,'Cắt lồng'!AA87,'[1]KẾ HOẠCH'!$B$6:$CK$6)+H87*SUMIF('[1]KẾ HOẠCH'!$B$7:$CK$7,'Cắt lồng'!AA87,'[1]KẾ HOẠCH'!$B$8:$CK$8)+H87*SUMIF('[1]KẾ HOẠCH'!$B$15:$CK$15,'Cắt lồng'!AA87,'[1]KẾ HOẠCH'!$B$16:$CK$16)</f>
        <v>#VALUE!</v>
      </c>
      <c r="AC87" s="16">
        <f t="shared" si="164"/>
        <v>5150</v>
      </c>
      <c r="AD87" s="15" t="e">
        <f t="shared" si="165"/>
        <v>#VALUE!</v>
      </c>
      <c r="AE87" s="42"/>
      <c r="AF87" s="10">
        <f t="shared" si="166"/>
        <v>239.64634713820379</v>
      </c>
      <c r="AG87" s="10"/>
      <c r="AH87" s="152">
        <f t="shared" si="167"/>
        <v>0</v>
      </c>
      <c r="AI87" s="54">
        <f t="shared" si="168"/>
        <v>0</v>
      </c>
      <c r="AJ87" s="25">
        <f t="shared" si="169"/>
        <v>0</v>
      </c>
      <c r="AK87" s="25">
        <f t="shared" si="170"/>
        <v>0</v>
      </c>
      <c r="AL87" s="25">
        <f t="shared" si="171"/>
        <v>0</v>
      </c>
      <c r="AM87" s="30">
        <f t="shared" si="172"/>
        <v>0</v>
      </c>
      <c r="AN87" s="25">
        <f t="shared" si="173"/>
        <v>0</v>
      </c>
      <c r="AO87" s="25">
        <f t="shared" si="174"/>
        <v>0</v>
      </c>
      <c r="AP87" s="25">
        <f t="shared" si="175"/>
        <v>0</v>
      </c>
      <c r="AQ87" s="25">
        <f t="shared" si="176"/>
        <v>0</v>
      </c>
      <c r="AR87" s="25">
        <f t="shared" si="177"/>
        <v>0</v>
      </c>
      <c r="AS87" s="25">
        <f t="shared" si="178"/>
        <v>0</v>
      </c>
      <c r="AT87" s="25">
        <f t="shared" si="179"/>
        <v>0</v>
      </c>
      <c r="AV87" s="79">
        <f t="shared" si="180"/>
        <v>21.490000000000002</v>
      </c>
      <c r="AW87" s="79">
        <f t="array" ref="AW87">SUMIFS('Cắt lồng'!$AC$327:$AC$515,'Cắt lồng'!$AA$327:$AA$515,'Cắt lồng'!$AA87,'Cắt lồng'!$AE$327:$AE$515,'Cắt lồng'!AW$4:AW$4)</f>
        <v>5150</v>
      </c>
      <c r="AX87" s="79">
        <f t="array" ref="AX87">SUMIFS('Cắt lồng'!$AH$327:$AH$515,'Cắt lồng'!$AA$327:$AA$515,'Cắt lồng'!$AA87,'Cắt lồng'!$AE$327:$AE$515,'Cắt lồng'!AX$4:AX$4)</f>
        <v>0</v>
      </c>
      <c r="AY87" s="78">
        <f t="shared" si="181"/>
        <v>0</v>
      </c>
      <c r="AZ87" s="79">
        <f t="array" ref="AZ87">SUMIFS('Cắt lồng'!$AC$327:$AC$515,'Cắt lồng'!$AA$327:$AA$515,'Cắt lồng'!$AA87,'Cắt lồng'!$AE$327:$AE$515,'Cắt lồng'!AZ$4:AZ$4)</f>
        <v>0</v>
      </c>
      <c r="BA87" s="79">
        <f t="array" ref="BA87">SUMIFS('Cắt lồng'!$AH$327:$AH$515,'Cắt lồng'!$AA$327:$AA$515,'Cắt lồng'!$AA87,'Cắt lồng'!$AE$327:$AE$515,'Cắt lồng'!BA$4:BA$4)</f>
        <v>0</v>
      </c>
      <c r="BB87" s="78" t="e">
        <f t="shared" si="182"/>
        <v>#DIV/0!</v>
      </c>
      <c r="BC87" s="79">
        <f t="array" ref="BC87">SUMIFS('Cắt lồng'!$AC$327:$AC$515,'Cắt lồng'!$AA$327:$AA$515,'Cắt lồng'!$AA87,'Cắt lồng'!$AE$327:$AE$515,'Cắt lồng'!BC$4:BC$4)</f>
        <v>0</v>
      </c>
      <c r="BD87" s="79">
        <f t="array" ref="BD87">SUMIFS('Cắt lồng'!$AH$327:$AH$515,'Cắt lồng'!$AA$327:$AA$515,'Cắt lồng'!$AA87,'Cắt lồng'!$AE$327:$AE$515,'Cắt lồng'!BD$4:BD$4)</f>
        <v>0</v>
      </c>
      <c r="BE87" s="78" t="e">
        <f t="shared" si="183"/>
        <v>#DIV/0!</v>
      </c>
      <c r="BF87" s="79">
        <f t="array" ref="BF87">SUMIFS('Cắt lồng'!$AC$327:$AC$515,'Cắt lồng'!$AA$327:$AA$515,'Cắt lồng'!$AA87,'Cắt lồng'!$AE$327:$AE$515,'Cắt lồng'!BF$4:BF$4)</f>
        <v>0</v>
      </c>
      <c r="BG87" s="79">
        <f t="array" ref="BG87">SUMIFS('Cắt lồng'!$AH$327:$AH$515,'Cắt lồng'!$AA$327:$AA$515,'Cắt lồng'!$AA87,'Cắt lồng'!$AE$327:$AE$515,'Cắt lồng'!BG$4:BG$4)</f>
        <v>0</v>
      </c>
      <c r="BH87" s="78" t="e">
        <f t="shared" si="184"/>
        <v>#DIV/0!</v>
      </c>
      <c r="BI87" s="79">
        <f t="array" ref="BI87">SUMIFS('Cắt lồng'!$AC$327:$AC$515,'Cắt lồng'!$AA$327:$AA$515,'Cắt lồng'!$AA87,'Cắt lồng'!$AE$327:$AE$515,'Cắt lồng'!BI$4:BI$4)</f>
        <v>0</v>
      </c>
      <c r="BJ87" s="79">
        <f t="array" ref="BJ87">SUMIFS('Cắt lồng'!$AH$327:$AH$515,'Cắt lồng'!$AA$327:$AA$515,'Cắt lồng'!$AA87,'Cắt lồng'!$AE$327:$AE$515,'Cắt lồng'!BJ$4:BJ$4)</f>
        <v>0</v>
      </c>
      <c r="BK87" s="78" t="e">
        <f t="shared" si="185"/>
        <v>#DIV/0!</v>
      </c>
      <c r="BL87" s="79">
        <f t="array" ref="BL87">SUMIFS('Cắt lồng'!$AC$327:$AC$515,'Cắt lồng'!$AA$327:$AA$515,'Cắt lồng'!$AA87,'Cắt lồng'!$AE$327:$AE$515,'Cắt lồng'!BL$4:BL$4)</f>
        <v>0</v>
      </c>
      <c r="BM87" s="79">
        <f t="array" ref="BM87">SUMIFS('Cắt lồng'!$AH$327:$AH$515,'Cắt lồng'!$AA$327:$AA$515,'Cắt lồng'!$AA87,'Cắt lồng'!$AE$327:$AE$515,'Cắt lồng'!BM$4:BM$4)</f>
        <v>0</v>
      </c>
      <c r="BN87" s="78" t="e">
        <f t="shared" si="186"/>
        <v>#DIV/0!</v>
      </c>
      <c r="BO87" s="79">
        <f t="array" ref="BO87">SUMIFS('Cắt lồng'!$AC$327:$AC$515,'Cắt lồng'!$AA$327:$AA$515,'Cắt lồng'!$AA87,'Cắt lồng'!$AE$327:$AE$515,'Cắt lồng'!BO$4:BO$4)</f>
        <v>0</v>
      </c>
      <c r="BP87" s="79">
        <f t="array" ref="BP87">SUMIFS('Cắt lồng'!$AH$327:$AH$515,'Cắt lồng'!$AA$327:$AA$515,'Cắt lồng'!$AA87,'Cắt lồng'!$AE$327:$AE$515,'Cắt lồng'!BP$4:BP$4)</f>
        <v>0</v>
      </c>
      <c r="BQ87" s="78" t="e">
        <f t="shared" si="187"/>
        <v>#DIV/0!</v>
      </c>
      <c r="BR87" s="79">
        <f t="array" ref="BR87">SUMIFS('Cắt lồng'!$AC$327:$AC$515,'Cắt lồng'!$AA$327:$AA$515,'Cắt lồng'!$AA87,'Cắt lồng'!$AE$327:$AE$515,'Cắt lồng'!BR$4:BR$4)</f>
        <v>0</v>
      </c>
      <c r="BS87" s="79">
        <f t="array" ref="BS87">SUMIFS('Cắt lồng'!$AH$327:$AH$515,'Cắt lồng'!$AA$327:$AA$515,'Cắt lồng'!$AA87,'Cắt lồng'!$AE$327:$AE$515,'Cắt lồng'!BS$4:BS$4)</f>
        <v>0</v>
      </c>
      <c r="BT87" s="78" t="e">
        <f t="shared" si="188"/>
        <v>#DIV/0!</v>
      </c>
      <c r="BU87" s="79">
        <f t="array" ref="BU87">SUMIFS('Cắt lồng'!$AC$327:$AC$515,'Cắt lồng'!$AA$327:$AA$515,'Cắt lồng'!$AA87,'Cắt lồng'!$AE$327:$AE$515,'Cắt lồng'!BU$4:BU$4)</f>
        <v>0</v>
      </c>
      <c r="BV87" s="79">
        <f t="array" ref="BV87">SUMIFS('Cắt lồng'!$AH$327:$AH$515,'Cắt lồng'!$AA$327:$AA$515,'Cắt lồng'!$AA87,'Cắt lồng'!$AE$327:$AE$515,'Cắt lồng'!BV$4:BV$4)</f>
        <v>0</v>
      </c>
      <c r="BW87" s="78" t="e">
        <f t="shared" si="189"/>
        <v>#DIV/0!</v>
      </c>
      <c r="BX87" s="79">
        <f t="array" ref="BX87">SUMIFS('Cắt lồng'!$AC$327:$AC$515,'Cắt lồng'!$AA$327:$AA$515,'Cắt lồng'!$AA87,'Cắt lồng'!$AE$327:$AE$515,'Cắt lồng'!BX$4:BX$4)</f>
        <v>0</v>
      </c>
      <c r="BY87" s="79">
        <f t="array" ref="BY87">SUMIFS('Cắt lồng'!$AH$327:$AH$515,'Cắt lồng'!$AA$327:$AA$515,'Cắt lồng'!$AA87,'Cắt lồng'!$AE$327:$AE$515,'Cắt lồng'!BY$4:BY$4)</f>
        <v>0</v>
      </c>
      <c r="BZ87" s="78" t="e">
        <f t="shared" si="190"/>
        <v>#DIV/0!</v>
      </c>
      <c r="CA87" s="79">
        <f t="array" ref="CA87">SUMIFS('Cắt lồng'!$AC$327:$AC$515,'Cắt lồng'!$AA$327:$AA$515,'Cắt lồng'!$AA87,'Cắt lồng'!$AE$327:$AE$515,'Cắt lồng'!CA$4:CA$4)</f>
        <v>0</v>
      </c>
      <c r="CB87" s="79">
        <f t="array" ref="CB87">SUMIFS('Cắt lồng'!$AH$327:$AH$515,'Cắt lồng'!$AA$327:$AA$515,'Cắt lồng'!$AA87,'Cắt lồng'!$AE$327:$AE$515,'Cắt lồng'!CB$4:CB$4)</f>
        <v>0</v>
      </c>
      <c r="CC87" s="78" t="e">
        <f t="shared" si="191"/>
        <v>#DIV/0!</v>
      </c>
      <c r="CD87" s="79">
        <f t="array" ref="CD87">SUMIFS('Cắt lồng'!$AC$327:$AC$515,'Cắt lồng'!$AA$327:$AA$515,'Cắt lồng'!$AA87,'Cắt lồng'!$AE$327:$AE$515,'Cắt lồng'!CD$4:CD$4)</f>
        <v>0</v>
      </c>
      <c r="CE87" s="79">
        <f t="array" ref="CE87">SUMIFS('Cắt lồng'!$AH$327:$AH$515,'Cắt lồng'!$AA$327:$AA$515,'Cắt lồng'!$AA87,'Cắt lồng'!$AE$327:$AE$515,'Cắt lồng'!CE$4:CE$4)</f>
        <v>0</v>
      </c>
      <c r="CF87" s="78" t="e">
        <f t="shared" si="192"/>
        <v>#DIV/0!</v>
      </c>
      <c r="CG87" s="79">
        <f t="array" ref="CG87">SUMIFS('Cắt lồng'!$AC$327:$AC$515,'Cắt lồng'!$AA$327:$AA$515,'Cắt lồng'!$AA87,'Cắt lồng'!$AE$327:$AE$515,'Cắt lồng'!CG$4:CG$4)</f>
        <v>0</v>
      </c>
      <c r="CH87" s="79">
        <f t="array" ref="CH87">SUMIFS('Cắt lồng'!$AH$327:$AH$515,'Cắt lồng'!$AA$327:$AA$515,'Cắt lồng'!$AA87,'Cắt lồng'!$AE$327:$AE$515,'Cắt lồng'!CH$4:CH$4)</f>
        <v>0</v>
      </c>
      <c r="CI87" s="78" t="e">
        <f t="shared" si="193"/>
        <v>#DIV/0!</v>
      </c>
      <c r="CJ87" s="79">
        <f t="array" ref="CJ87">SUMIFS('Cắt lồng'!$AC$327:$AC$515,'Cắt lồng'!$AA$327:$AA$515,'Cắt lồng'!$AA87,'Cắt lồng'!$AE$327:$AE$515,'Cắt lồng'!CJ$4:CJ$4)</f>
        <v>0</v>
      </c>
      <c r="CK87" s="79">
        <f t="array" ref="CK87">SUMIFS('Cắt lồng'!$AH$327:$AH$515,'Cắt lồng'!$AA$327:$AA$515,'Cắt lồng'!$AA87,'Cắt lồng'!$AE$327:$AE$515,'Cắt lồng'!CK$4:CK$4)</f>
        <v>0</v>
      </c>
      <c r="CL87" s="78" t="e">
        <f t="shared" si="194"/>
        <v>#DIV/0!</v>
      </c>
      <c r="CM87" s="79">
        <f t="array" ref="CM87">SUMIFS('Cắt lồng'!$AC$327:$AC$515,'Cắt lồng'!$AA$327:$AA$515,'Cắt lồng'!$AA87,'Cắt lồng'!$AE$327:$AE$515,'Cắt lồng'!CM$4:CM$4)</f>
        <v>0</v>
      </c>
      <c r="CN87" s="79">
        <f t="array" ref="CN87">SUMIFS('Cắt lồng'!$AH$327:$AH$515,'Cắt lồng'!$AA$327:$AA$515,'Cắt lồng'!$AA87,'Cắt lồng'!$AE$327:$AE$515,'Cắt lồng'!CN$4:CN$4)</f>
        <v>0</v>
      </c>
      <c r="CO87" s="78" t="e">
        <f t="shared" si="195"/>
        <v>#DIV/0!</v>
      </c>
      <c r="CP87" s="79">
        <f t="array" ref="CP87">SUMIFS('Cắt lồng'!$AC$327:$AC$515,'Cắt lồng'!$AA$327:$AA$515,'Cắt lồng'!$AA87,'Cắt lồng'!$AE$327:$AE$515,'Cắt lồng'!CP$4:CP$4)</f>
        <v>0</v>
      </c>
      <c r="CQ87" s="79">
        <f t="array" ref="CQ87">SUMIFS('Cắt lồng'!$AH$327:$AH$515,'Cắt lồng'!$AA$327:$AA$515,'Cắt lồng'!$AA87,'Cắt lồng'!$AE$327:$AE$515,'Cắt lồng'!CQ$4:CQ$4)</f>
        <v>0</v>
      </c>
      <c r="CR87" s="78" t="e">
        <f t="shared" si="196"/>
        <v>#DIV/0!</v>
      </c>
      <c r="CS87" s="79">
        <f t="array" ref="CS87">SUMIFS('Cắt lồng'!$AC$327:$AC$515,'Cắt lồng'!$AA$327:$AA$515,'Cắt lồng'!$AA87,'Cắt lồng'!$AE$327:$AE$515,'Cắt lồng'!CS$4:CS$4)</f>
        <v>0</v>
      </c>
      <c r="CT87" s="79">
        <f t="array" ref="CT87">SUMIFS('Cắt lồng'!$AH$327:$AH$515,'Cắt lồng'!$AA$327:$AA$515,'Cắt lồng'!$AA87,'Cắt lồng'!$AE$327:$AE$515,'Cắt lồng'!CT$4:CT$4)</f>
        <v>0</v>
      </c>
      <c r="CU87" s="78" t="e">
        <f t="shared" si="197"/>
        <v>#DIV/0!</v>
      </c>
      <c r="CV87" s="79">
        <f t="array" ref="CV87">SUMIFS('Cắt lồng'!$AC$327:$AC$515,'Cắt lồng'!$AA$327:$AA$515,'Cắt lồng'!$AA87,'Cắt lồng'!$AE$327:$AE$515,'Cắt lồng'!CV$4:CV$4)</f>
        <v>0</v>
      </c>
      <c r="CW87" s="79">
        <f t="array" ref="CW87">SUMIFS('Cắt lồng'!$AH$327:$AH$515,'Cắt lồng'!$AA$327:$AA$515,'Cắt lồng'!$AA87,'Cắt lồng'!$AE$327:$AE$515,'Cắt lồng'!CW$4:CW$4)</f>
        <v>0</v>
      </c>
      <c r="CX87" s="78" t="e">
        <f t="shared" si="198"/>
        <v>#DIV/0!</v>
      </c>
      <c r="CY87" s="79">
        <f t="array" ref="CY87">SUMIFS('Cắt lồng'!$AC$327:$AC$515,'Cắt lồng'!$AA$327:$AA$515,'Cắt lồng'!$AA87,'Cắt lồng'!$AE$327:$AE$515,'Cắt lồng'!CY$4:CY$4)</f>
        <v>0</v>
      </c>
      <c r="CZ87" s="79">
        <f t="array" ref="CZ87">SUMIFS('Cắt lồng'!$AH$327:$AH$515,'Cắt lồng'!$AA$327:$AA$515,'Cắt lồng'!$AA87,'Cắt lồng'!$AE$327:$AE$515,'Cắt lồng'!CZ$4:CZ$4)</f>
        <v>0</v>
      </c>
      <c r="DA87" s="78" t="e">
        <f t="shared" si="199"/>
        <v>#DIV/0!</v>
      </c>
      <c r="DB87" s="79">
        <f t="array" ref="DB87">SUMIFS('Cắt lồng'!$AC$327:$AC$515,'Cắt lồng'!$AA$327:$AA$515,'Cắt lồng'!$AA87,'Cắt lồng'!$AE$327:$AE$515,'Cắt lồng'!DB$4:DB$4)</f>
        <v>0</v>
      </c>
      <c r="DC87" s="79">
        <f t="array" ref="DC87">SUMIFS('Cắt lồng'!$AH$327:$AH$515,'Cắt lồng'!$AA$327:$AA$515,'Cắt lồng'!$AA87,'Cắt lồng'!$AE$327:$AE$515,'Cắt lồng'!DC$4:DC$4)</f>
        <v>0</v>
      </c>
      <c r="DD87" s="78" t="e">
        <f t="shared" si="200"/>
        <v>#DIV/0!</v>
      </c>
      <c r="DE87" s="79">
        <f t="array" ref="DE87">SUMIFS('Cắt lồng'!$AC$327:$AC$515,'Cắt lồng'!$AA$327:$AA$515,'Cắt lồng'!$AA87,'Cắt lồng'!$AE$327:$AE$515,'Cắt lồng'!DE$4:DE$4)</f>
        <v>0</v>
      </c>
      <c r="DF87" s="79">
        <f t="array" ref="DF87">SUMIFS('Cắt lồng'!$AH$327:$AH$515,'Cắt lồng'!$AA$327:$AA$515,'Cắt lồng'!$AA87,'Cắt lồng'!$AE$327:$AE$515,'Cắt lồng'!DF$4:DF$4)</f>
        <v>0</v>
      </c>
      <c r="DG87" s="78" t="e">
        <f t="shared" si="201"/>
        <v>#DIV/0!</v>
      </c>
      <c r="DH87" s="79">
        <f t="array" ref="DH87">SUMIFS('Cắt lồng'!$AC$327:$AC$515,'Cắt lồng'!$AA$327:$AA$515,'Cắt lồng'!$AA87,'Cắt lồng'!$AE$327:$AE$515,'Cắt lồng'!DH$4:DH$4)</f>
        <v>0</v>
      </c>
      <c r="DI87" s="79">
        <f t="array" ref="DI87">SUMIFS('Cắt lồng'!$AH$327:$AH$515,'Cắt lồng'!$AA$327:$AA$515,'Cắt lồng'!$AA87,'Cắt lồng'!$AE$327:$AE$515,'Cắt lồng'!DI$4:DI$4)</f>
        <v>0</v>
      </c>
      <c r="DJ87" s="78" t="e">
        <f t="shared" si="202"/>
        <v>#DIV/0!</v>
      </c>
      <c r="DK87" s="79">
        <f t="array" ref="DK87">SUMIFS('Cắt lồng'!$AC$327:$AC$515,'Cắt lồng'!$AA$327:$AA$515,'Cắt lồng'!$AA87,'Cắt lồng'!$AE$327:$AE$515,'Cắt lồng'!DK$4:DK$4)</f>
        <v>0</v>
      </c>
      <c r="DL87" s="79">
        <f t="array" ref="DL87">SUMIFS('Cắt lồng'!$AH$327:$AH$515,'Cắt lồng'!$AA$327:$AA$515,'Cắt lồng'!$AA87,'Cắt lồng'!$AE$327:$AE$515,'Cắt lồng'!DL$4:DL$4)</f>
        <v>0</v>
      </c>
      <c r="DM87" s="78" t="e">
        <f t="shared" si="203"/>
        <v>#DIV/0!</v>
      </c>
      <c r="DN87" s="79">
        <f t="array" ref="DN87">SUMIFS('Cắt lồng'!$AC$327:$AC$515,'Cắt lồng'!$AA$327:$AA$515,'Cắt lồng'!$AA87,'Cắt lồng'!$AE$327:$AE$515,'Cắt lồng'!DN$4:DN$4)</f>
        <v>0</v>
      </c>
      <c r="DO87" s="79">
        <f t="array" ref="DO87">SUMIFS('Cắt lồng'!$AH$327:$AH$515,'Cắt lồng'!$AA$327:$AA$515,'Cắt lồng'!$AA87,'Cắt lồng'!$AE$327:$AE$515,'Cắt lồng'!DO$4:DO$4)</f>
        <v>0</v>
      </c>
      <c r="DP87" s="78" t="e">
        <f t="shared" si="204"/>
        <v>#DIV/0!</v>
      </c>
      <c r="DQ87" s="79">
        <f t="array" ref="DQ87">SUMIFS('Cắt lồng'!$AC$327:$AC$515,'Cắt lồng'!$AA$327:$AA$515,'Cắt lồng'!$AA87,'Cắt lồng'!$AE$327:$AE$515,'Cắt lồng'!DQ$4:DQ$4)</f>
        <v>0</v>
      </c>
      <c r="DR87" s="79">
        <f t="array" ref="DR87">SUMIFS('Cắt lồng'!$AH$327:$AH$515,'Cắt lồng'!$AA$327:$AA$515,'Cắt lồng'!$AA87,'Cắt lồng'!$AE$327:$AE$515,'Cắt lồng'!DR$4:DR$4)</f>
        <v>0</v>
      </c>
      <c r="DS87" s="78" t="e">
        <f t="shared" si="205"/>
        <v>#DIV/0!</v>
      </c>
      <c r="DT87" s="79">
        <f t="array" ref="DT87">SUMIFS('Cắt lồng'!$AC$327:$AC$515,'Cắt lồng'!$AA$327:$AA$515,'Cắt lồng'!$AA87,'Cắt lồng'!$AE$327:$AE$515,'Cắt lồng'!DT$4:DT$4)</f>
        <v>0</v>
      </c>
      <c r="DU87" s="79">
        <f t="array" ref="DU87">SUMIFS('Cắt lồng'!$AH$327:$AH$515,'Cắt lồng'!$AA$327:$AA$515,'Cắt lồng'!$AA87,'Cắt lồng'!$AE$327:$AE$515,'Cắt lồng'!DU$4:DU$4)</f>
        <v>0</v>
      </c>
      <c r="DV87" s="78" t="e">
        <f t="shared" si="206"/>
        <v>#DIV/0!</v>
      </c>
      <c r="DW87" s="79">
        <f t="array" ref="DW87">SUMIFS('Cắt lồng'!$AC$327:$AC$515,'Cắt lồng'!$AA$327:$AA$515,'Cắt lồng'!$AA87,'Cắt lồng'!$AE$327:$AE$515,'Cắt lồng'!DW$4:DW$4)</f>
        <v>0</v>
      </c>
      <c r="DX87" s="79">
        <f t="array" ref="DX87">SUMIFS('Cắt lồng'!$AH$327:$AH$515,'Cắt lồng'!$AA$327:$AA$515,'Cắt lồng'!$AA87,'Cắt lồng'!$AE$327:$AE$515,'Cắt lồng'!DX$4:DX$4)</f>
        <v>0</v>
      </c>
      <c r="DY87" s="78" t="e">
        <f t="shared" si="207"/>
        <v>#DIV/0!</v>
      </c>
      <c r="DZ87" s="79">
        <f t="array" ref="DZ87">SUMIFS('Cắt lồng'!$AC$327:$AC$515,'Cắt lồng'!$AA$327:$AA$515,'Cắt lồng'!$AA87,'Cắt lồng'!$AE$327:$AE$515,'Cắt lồng'!DZ$4:DZ$4)</f>
        <v>0</v>
      </c>
      <c r="EA87" s="79">
        <f t="array" ref="EA87">SUMIFS('Cắt lồng'!$AH$327:$AH$515,'Cắt lồng'!$AA$327:$AA$515,'Cắt lồng'!$AA87,'Cắt lồng'!$AE$327:$AE$515,'Cắt lồng'!EA$4:EA$4)</f>
        <v>0</v>
      </c>
      <c r="EB87" s="78" t="e">
        <f t="shared" si="208"/>
        <v>#DIV/0!</v>
      </c>
      <c r="EC87" s="79">
        <f t="array" ref="EC87">SUMIFS('Cắt lồng'!$AC$327:$AC$515,'Cắt lồng'!$AA$327:$AA$515,'Cắt lồng'!$AA87,'Cắt lồng'!$AE$327:$AE$515,'Cắt lồng'!EC$4:EC$4)</f>
        <v>0</v>
      </c>
      <c r="ED87" s="79">
        <f t="array" ref="ED87">SUMIFS('Cắt lồng'!$AH$327:$AH$515,'Cắt lồng'!$AA$327:$AA$515,'Cắt lồng'!$AA87,'Cắt lồng'!$AE$327:$AE$515,'Cắt lồng'!ED$4:ED$4)</f>
        <v>0</v>
      </c>
      <c r="EE87" s="78" t="e">
        <f t="shared" si="209"/>
        <v>#DIV/0!</v>
      </c>
      <c r="EF87" s="79">
        <f t="array" ref="EF87">SUMIFS('Cắt lồng'!$AC$327:$AC$515,'Cắt lồng'!$AA$327:$AA$515,'Cắt lồng'!$AA87,'Cắt lồng'!$AE$327:$AE$515,'Cắt lồng'!EF$4:EF$4)</f>
        <v>0</v>
      </c>
      <c r="EG87" s="79">
        <f t="array" ref="EG87">SUMIFS('Cắt lồng'!$AH$327:$AH$515,'Cắt lồng'!$AA$327:$AA$515,'Cắt lồng'!$AA87,'Cắt lồng'!$AE$327:$AE$515,'Cắt lồng'!EG$4:EG$4)</f>
        <v>0</v>
      </c>
      <c r="EH87" s="78" t="e">
        <f t="shared" si="210"/>
        <v>#DIV/0!</v>
      </c>
      <c r="EI87" s="79">
        <f t="array" ref="EI87">SUMIFS('Cắt lồng'!$AC$327:$AC$515,'Cắt lồng'!$AA$327:$AA$515,'Cắt lồng'!$AA87,'Cắt lồng'!$AE$327:$AE$515,'Cắt lồng'!EI$4:EI$4)</f>
        <v>0</v>
      </c>
      <c r="EJ87" s="79">
        <f t="array" ref="EJ87">SUMIFS('Cắt lồng'!$AH$327:$AH$515,'Cắt lồng'!$AA$327:$AA$515,'Cắt lồng'!$AA87,'Cắt lồng'!$AE$327:$AE$515,'Cắt lồng'!EJ$4:EJ$4)</f>
        <v>0</v>
      </c>
      <c r="EK87" s="78" t="e">
        <f t="shared" si="211"/>
        <v>#DIV/0!</v>
      </c>
    </row>
    <row r="88" spans="1:141" s="12" customFormat="1" ht="14.25" hidden="1" customHeight="1">
      <c r="A88" s="25">
        <v>59</v>
      </c>
      <c r="B88" s="26"/>
      <c r="C88" s="25"/>
      <c r="D88" s="24"/>
      <c r="E88" s="60"/>
      <c r="F88" s="59"/>
      <c r="G88" s="82">
        <f t="shared" si="144"/>
        <v>0</v>
      </c>
      <c r="H88" s="81">
        <f t="shared" si="145"/>
        <v>0</v>
      </c>
      <c r="I88" s="19">
        <f t="shared" si="146"/>
        <v>0</v>
      </c>
      <c r="J88" s="11">
        <f t="shared" si="147"/>
        <v>0</v>
      </c>
      <c r="K88" s="19">
        <f t="shared" si="148"/>
        <v>0</v>
      </c>
      <c r="L88" s="19">
        <f t="shared" si="149"/>
        <v>0</v>
      </c>
      <c r="M88" s="19">
        <f t="shared" si="150"/>
        <v>0</v>
      </c>
      <c r="N88" s="19">
        <f t="shared" si="151"/>
        <v>0</v>
      </c>
      <c r="O88" s="19">
        <f t="shared" si="152"/>
        <v>0</v>
      </c>
      <c r="P88" s="19">
        <f t="shared" si="153"/>
        <v>0</v>
      </c>
      <c r="Q88" s="19">
        <f t="shared" si="154"/>
        <v>0</v>
      </c>
      <c r="R88" s="19">
        <f t="shared" si="155"/>
        <v>0</v>
      </c>
      <c r="S88" s="19">
        <f t="shared" si="156"/>
        <v>0</v>
      </c>
      <c r="T88" s="19">
        <f t="shared" si="157"/>
        <v>0</v>
      </c>
      <c r="U88" s="19">
        <f t="shared" si="158"/>
        <v>0</v>
      </c>
      <c r="V88" s="19">
        <f t="shared" si="159"/>
        <v>0</v>
      </c>
      <c r="W88" s="19">
        <f t="shared" si="160"/>
        <v>0</v>
      </c>
      <c r="X88" s="19">
        <f t="shared" si="161"/>
        <v>0</v>
      </c>
      <c r="Y88" s="19">
        <f t="shared" si="162"/>
        <v>0</v>
      </c>
      <c r="Z88" s="19">
        <f t="shared" si="163"/>
        <v>0</v>
      </c>
      <c r="AA88" s="170">
        <v>575</v>
      </c>
      <c r="AB88" s="17" t="e">
        <f>+H88*SUMIF('[1]KẾ HOẠCH'!$B$5:$CK$5,'Cắt lồng'!AA88,'[1]KẾ HOẠCH'!$B$6:$CK$6)+H88*SUMIF('[1]KẾ HOẠCH'!$B$7:$CK$7,'Cắt lồng'!AA88,'[1]KẾ HOẠCH'!$B$8:$CK$8)+H88*SUMIF('[1]KẾ HOẠCH'!$B$15:$CK$15,'Cắt lồng'!AA88,'[1]KẾ HOẠCH'!$B$16:$CK$16)</f>
        <v>#VALUE!</v>
      </c>
      <c r="AC88" s="16">
        <f t="shared" si="164"/>
        <v>0</v>
      </c>
      <c r="AD88" s="15" t="e">
        <f t="shared" si="165"/>
        <v>#VALUE!</v>
      </c>
      <c r="AE88" s="42"/>
      <c r="AF88" s="10" t="e">
        <f t="shared" si="166"/>
        <v>#DIV/0!</v>
      </c>
      <c r="AG88" s="10"/>
      <c r="AH88" s="152">
        <f t="shared" si="167"/>
        <v>0</v>
      </c>
      <c r="AI88" s="54" t="e">
        <f t="shared" si="168"/>
        <v>#DIV/0!</v>
      </c>
      <c r="AJ88" s="25">
        <f t="shared" si="169"/>
        <v>0</v>
      </c>
      <c r="AK88" s="25">
        <f t="shared" si="170"/>
        <v>0</v>
      </c>
      <c r="AL88" s="25">
        <f t="shared" si="171"/>
        <v>0</v>
      </c>
      <c r="AM88" s="30">
        <f t="shared" si="172"/>
        <v>0</v>
      </c>
      <c r="AN88" s="25">
        <f t="shared" si="173"/>
        <v>0</v>
      </c>
      <c r="AO88" s="25">
        <f t="shared" si="174"/>
        <v>0</v>
      </c>
      <c r="AP88" s="25">
        <f t="shared" si="175"/>
        <v>0</v>
      </c>
      <c r="AQ88" s="25">
        <f t="shared" si="176"/>
        <v>0</v>
      </c>
      <c r="AR88" s="25">
        <f t="shared" si="177"/>
        <v>0</v>
      </c>
      <c r="AS88" s="25">
        <f t="shared" si="178"/>
        <v>0</v>
      </c>
      <c r="AT88" s="25">
        <f t="shared" si="179"/>
        <v>0</v>
      </c>
      <c r="AV88" s="79">
        <f t="shared" si="180"/>
        <v>0</v>
      </c>
      <c r="AW88" s="79">
        <f t="array" ref="AW88">SUMIFS('Cắt lồng'!$AC$327:$AC$515,'Cắt lồng'!$AA$327:$AA$515,'Cắt lồng'!$AA88,'Cắt lồng'!$AE$327:$AE$515,'Cắt lồng'!AW$4:AW$4)</f>
        <v>0</v>
      </c>
      <c r="AX88" s="79">
        <f t="array" ref="AX88">SUMIFS('Cắt lồng'!$AH$327:$AH$515,'Cắt lồng'!$AA$327:$AA$515,'Cắt lồng'!$AA88,'Cắt lồng'!$AE$327:$AE$515,'Cắt lồng'!AX$4:AX$4)</f>
        <v>0</v>
      </c>
      <c r="AY88" s="78" t="e">
        <f t="shared" si="181"/>
        <v>#DIV/0!</v>
      </c>
      <c r="AZ88" s="79">
        <f t="array" ref="AZ88">SUMIFS('Cắt lồng'!$AC$327:$AC$515,'Cắt lồng'!$AA$327:$AA$515,'Cắt lồng'!$AA88,'Cắt lồng'!$AE$327:$AE$515,'Cắt lồng'!AZ$4:AZ$4)</f>
        <v>0</v>
      </c>
      <c r="BA88" s="79">
        <f t="array" ref="BA88">SUMIFS('Cắt lồng'!$AH$327:$AH$515,'Cắt lồng'!$AA$327:$AA$515,'Cắt lồng'!$AA88,'Cắt lồng'!$AE$327:$AE$515,'Cắt lồng'!BA$4:BA$4)</f>
        <v>0</v>
      </c>
      <c r="BB88" s="78" t="e">
        <f t="shared" si="182"/>
        <v>#DIV/0!</v>
      </c>
      <c r="BC88" s="79">
        <f t="array" ref="BC88">SUMIFS('Cắt lồng'!$AC$327:$AC$515,'Cắt lồng'!$AA$327:$AA$515,'Cắt lồng'!$AA88,'Cắt lồng'!$AE$327:$AE$515,'Cắt lồng'!BC$4:BC$4)</f>
        <v>0</v>
      </c>
      <c r="BD88" s="79">
        <f t="array" ref="BD88">SUMIFS('Cắt lồng'!$AH$327:$AH$515,'Cắt lồng'!$AA$327:$AA$515,'Cắt lồng'!$AA88,'Cắt lồng'!$AE$327:$AE$515,'Cắt lồng'!BD$4:BD$4)</f>
        <v>0</v>
      </c>
      <c r="BE88" s="78" t="e">
        <f t="shared" si="183"/>
        <v>#DIV/0!</v>
      </c>
      <c r="BF88" s="79">
        <f t="array" ref="BF88">SUMIFS('Cắt lồng'!$AC$327:$AC$515,'Cắt lồng'!$AA$327:$AA$515,'Cắt lồng'!$AA88,'Cắt lồng'!$AE$327:$AE$515,'Cắt lồng'!BF$4:BF$4)</f>
        <v>0</v>
      </c>
      <c r="BG88" s="79">
        <f t="array" ref="BG88">SUMIFS('Cắt lồng'!$AH$327:$AH$515,'Cắt lồng'!$AA$327:$AA$515,'Cắt lồng'!$AA88,'Cắt lồng'!$AE$327:$AE$515,'Cắt lồng'!BG$4:BG$4)</f>
        <v>0</v>
      </c>
      <c r="BH88" s="78" t="e">
        <f t="shared" si="184"/>
        <v>#DIV/0!</v>
      </c>
      <c r="BI88" s="79">
        <f t="array" ref="BI88">SUMIFS('Cắt lồng'!$AC$327:$AC$515,'Cắt lồng'!$AA$327:$AA$515,'Cắt lồng'!$AA88,'Cắt lồng'!$AE$327:$AE$515,'Cắt lồng'!BI$4:BI$4)</f>
        <v>0</v>
      </c>
      <c r="BJ88" s="79">
        <f t="array" ref="BJ88">SUMIFS('Cắt lồng'!$AH$327:$AH$515,'Cắt lồng'!$AA$327:$AA$515,'Cắt lồng'!$AA88,'Cắt lồng'!$AE$327:$AE$515,'Cắt lồng'!BJ$4:BJ$4)</f>
        <v>0</v>
      </c>
      <c r="BK88" s="78" t="e">
        <f t="shared" si="185"/>
        <v>#DIV/0!</v>
      </c>
      <c r="BL88" s="79">
        <f t="array" ref="BL88">SUMIFS('Cắt lồng'!$AC$327:$AC$515,'Cắt lồng'!$AA$327:$AA$515,'Cắt lồng'!$AA88,'Cắt lồng'!$AE$327:$AE$515,'Cắt lồng'!BL$4:BL$4)</f>
        <v>0</v>
      </c>
      <c r="BM88" s="79">
        <f t="array" ref="BM88">SUMIFS('Cắt lồng'!$AH$327:$AH$515,'Cắt lồng'!$AA$327:$AA$515,'Cắt lồng'!$AA88,'Cắt lồng'!$AE$327:$AE$515,'Cắt lồng'!BM$4:BM$4)</f>
        <v>0</v>
      </c>
      <c r="BN88" s="78" t="e">
        <f t="shared" si="186"/>
        <v>#DIV/0!</v>
      </c>
      <c r="BO88" s="79">
        <f t="array" ref="BO88">SUMIFS('Cắt lồng'!$AC$327:$AC$515,'Cắt lồng'!$AA$327:$AA$515,'Cắt lồng'!$AA88,'Cắt lồng'!$AE$327:$AE$515,'Cắt lồng'!BO$4:BO$4)</f>
        <v>0</v>
      </c>
      <c r="BP88" s="79">
        <f t="array" ref="BP88">SUMIFS('Cắt lồng'!$AH$327:$AH$515,'Cắt lồng'!$AA$327:$AA$515,'Cắt lồng'!$AA88,'Cắt lồng'!$AE$327:$AE$515,'Cắt lồng'!BP$4:BP$4)</f>
        <v>0</v>
      </c>
      <c r="BQ88" s="78" t="e">
        <f t="shared" si="187"/>
        <v>#DIV/0!</v>
      </c>
      <c r="BR88" s="79">
        <f t="array" ref="BR88">SUMIFS('Cắt lồng'!$AC$327:$AC$515,'Cắt lồng'!$AA$327:$AA$515,'Cắt lồng'!$AA88,'Cắt lồng'!$AE$327:$AE$515,'Cắt lồng'!BR$4:BR$4)</f>
        <v>0</v>
      </c>
      <c r="BS88" s="79">
        <f t="array" ref="BS88">SUMIFS('Cắt lồng'!$AH$327:$AH$515,'Cắt lồng'!$AA$327:$AA$515,'Cắt lồng'!$AA88,'Cắt lồng'!$AE$327:$AE$515,'Cắt lồng'!BS$4:BS$4)</f>
        <v>0</v>
      </c>
      <c r="BT88" s="78" t="e">
        <f t="shared" si="188"/>
        <v>#DIV/0!</v>
      </c>
      <c r="BU88" s="79">
        <f t="array" ref="BU88">SUMIFS('Cắt lồng'!$AC$327:$AC$515,'Cắt lồng'!$AA$327:$AA$515,'Cắt lồng'!$AA88,'Cắt lồng'!$AE$327:$AE$515,'Cắt lồng'!BU$4:BU$4)</f>
        <v>0</v>
      </c>
      <c r="BV88" s="79">
        <f t="array" ref="BV88">SUMIFS('Cắt lồng'!$AH$327:$AH$515,'Cắt lồng'!$AA$327:$AA$515,'Cắt lồng'!$AA88,'Cắt lồng'!$AE$327:$AE$515,'Cắt lồng'!BV$4:BV$4)</f>
        <v>0</v>
      </c>
      <c r="BW88" s="78" t="e">
        <f t="shared" si="189"/>
        <v>#DIV/0!</v>
      </c>
      <c r="BX88" s="79">
        <f t="array" ref="BX88">SUMIFS('Cắt lồng'!$AC$327:$AC$515,'Cắt lồng'!$AA$327:$AA$515,'Cắt lồng'!$AA88,'Cắt lồng'!$AE$327:$AE$515,'Cắt lồng'!BX$4:BX$4)</f>
        <v>0</v>
      </c>
      <c r="BY88" s="79">
        <f t="array" ref="BY88">SUMIFS('Cắt lồng'!$AH$327:$AH$515,'Cắt lồng'!$AA$327:$AA$515,'Cắt lồng'!$AA88,'Cắt lồng'!$AE$327:$AE$515,'Cắt lồng'!BY$4:BY$4)</f>
        <v>0</v>
      </c>
      <c r="BZ88" s="78" t="e">
        <f t="shared" si="190"/>
        <v>#DIV/0!</v>
      </c>
      <c r="CA88" s="79">
        <f t="array" ref="CA88">SUMIFS('Cắt lồng'!$AC$327:$AC$515,'Cắt lồng'!$AA$327:$AA$515,'Cắt lồng'!$AA88,'Cắt lồng'!$AE$327:$AE$515,'Cắt lồng'!CA$4:CA$4)</f>
        <v>0</v>
      </c>
      <c r="CB88" s="79">
        <f t="array" ref="CB88">SUMIFS('Cắt lồng'!$AH$327:$AH$515,'Cắt lồng'!$AA$327:$AA$515,'Cắt lồng'!$AA88,'Cắt lồng'!$AE$327:$AE$515,'Cắt lồng'!CB$4:CB$4)</f>
        <v>0</v>
      </c>
      <c r="CC88" s="78" t="e">
        <f t="shared" si="191"/>
        <v>#DIV/0!</v>
      </c>
      <c r="CD88" s="79">
        <f t="array" ref="CD88">SUMIFS('Cắt lồng'!$AC$327:$AC$515,'Cắt lồng'!$AA$327:$AA$515,'Cắt lồng'!$AA88,'Cắt lồng'!$AE$327:$AE$515,'Cắt lồng'!CD$4:CD$4)</f>
        <v>0</v>
      </c>
      <c r="CE88" s="79">
        <f t="array" ref="CE88">SUMIFS('Cắt lồng'!$AH$327:$AH$515,'Cắt lồng'!$AA$327:$AA$515,'Cắt lồng'!$AA88,'Cắt lồng'!$AE$327:$AE$515,'Cắt lồng'!CE$4:CE$4)</f>
        <v>0</v>
      </c>
      <c r="CF88" s="78" t="e">
        <f t="shared" si="192"/>
        <v>#DIV/0!</v>
      </c>
      <c r="CG88" s="79">
        <f t="array" ref="CG88">SUMIFS('Cắt lồng'!$AC$327:$AC$515,'Cắt lồng'!$AA$327:$AA$515,'Cắt lồng'!$AA88,'Cắt lồng'!$AE$327:$AE$515,'Cắt lồng'!CG$4:CG$4)</f>
        <v>0</v>
      </c>
      <c r="CH88" s="79">
        <f t="array" ref="CH88">SUMIFS('Cắt lồng'!$AH$327:$AH$515,'Cắt lồng'!$AA$327:$AA$515,'Cắt lồng'!$AA88,'Cắt lồng'!$AE$327:$AE$515,'Cắt lồng'!CH$4:CH$4)</f>
        <v>0</v>
      </c>
      <c r="CI88" s="78" t="e">
        <f t="shared" si="193"/>
        <v>#DIV/0!</v>
      </c>
      <c r="CJ88" s="79">
        <f t="array" ref="CJ88">SUMIFS('Cắt lồng'!$AC$327:$AC$515,'Cắt lồng'!$AA$327:$AA$515,'Cắt lồng'!$AA88,'Cắt lồng'!$AE$327:$AE$515,'Cắt lồng'!CJ$4:CJ$4)</f>
        <v>0</v>
      </c>
      <c r="CK88" s="79">
        <f t="array" ref="CK88">SUMIFS('Cắt lồng'!$AH$327:$AH$515,'Cắt lồng'!$AA$327:$AA$515,'Cắt lồng'!$AA88,'Cắt lồng'!$AE$327:$AE$515,'Cắt lồng'!CK$4:CK$4)</f>
        <v>0</v>
      </c>
      <c r="CL88" s="78" t="e">
        <f t="shared" si="194"/>
        <v>#DIV/0!</v>
      </c>
      <c r="CM88" s="79">
        <f t="array" ref="CM88">SUMIFS('Cắt lồng'!$AC$327:$AC$515,'Cắt lồng'!$AA$327:$AA$515,'Cắt lồng'!$AA88,'Cắt lồng'!$AE$327:$AE$515,'Cắt lồng'!CM$4:CM$4)</f>
        <v>0</v>
      </c>
      <c r="CN88" s="79">
        <f t="array" ref="CN88">SUMIFS('Cắt lồng'!$AH$327:$AH$515,'Cắt lồng'!$AA$327:$AA$515,'Cắt lồng'!$AA88,'Cắt lồng'!$AE$327:$AE$515,'Cắt lồng'!CN$4:CN$4)</f>
        <v>0</v>
      </c>
      <c r="CO88" s="78" t="e">
        <f t="shared" si="195"/>
        <v>#DIV/0!</v>
      </c>
      <c r="CP88" s="79">
        <f t="array" ref="CP88">SUMIFS('Cắt lồng'!$AC$327:$AC$515,'Cắt lồng'!$AA$327:$AA$515,'Cắt lồng'!$AA88,'Cắt lồng'!$AE$327:$AE$515,'Cắt lồng'!CP$4:CP$4)</f>
        <v>0</v>
      </c>
      <c r="CQ88" s="79">
        <f t="array" ref="CQ88">SUMIFS('Cắt lồng'!$AH$327:$AH$515,'Cắt lồng'!$AA$327:$AA$515,'Cắt lồng'!$AA88,'Cắt lồng'!$AE$327:$AE$515,'Cắt lồng'!CQ$4:CQ$4)</f>
        <v>0</v>
      </c>
      <c r="CR88" s="78" t="e">
        <f t="shared" si="196"/>
        <v>#DIV/0!</v>
      </c>
      <c r="CS88" s="79">
        <f t="array" ref="CS88">SUMIFS('Cắt lồng'!$AC$327:$AC$515,'Cắt lồng'!$AA$327:$AA$515,'Cắt lồng'!$AA88,'Cắt lồng'!$AE$327:$AE$515,'Cắt lồng'!CS$4:CS$4)</f>
        <v>0</v>
      </c>
      <c r="CT88" s="79">
        <f t="array" ref="CT88">SUMIFS('Cắt lồng'!$AH$327:$AH$515,'Cắt lồng'!$AA$327:$AA$515,'Cắt lồng'!$AA88,'Cắt lồng'!$AE$327:$AE$515,'Cắt lồng'!CT$4:CT$4)</f>
        <v>0</v>
      </c>
      <c r="CU88" s="78" t="e">
        <f t="shared" si="197"/>
        <v>#DIV/0!</v>
      </c>
      <c r="CV88" s="79">
        <f t="array" ref="CV88">SUMIFS('Cắt lồng'!$AC$327:$AC$515,'Cắt lồng'!$AA$327:$AA$515,'Cắt lồng'!$AA88,'Cắt lồng'!$AE$327:$AE$515,'Cắt lồng'!CV$4:CV$4)</f>
        <v>0</v>
      </c>
      <c r="CW88" s="79">
        <f t="array" ref="CW88">SUMIFS('Cắt lồng'!$AH$327:$AH$515,'Cắt lồng'!$AA$327:$AA$515,'Cắt lồng'!$AA88,'Cắt lồng'!$AE$327:$AE$515,'Cắt lồng'!CW$4:CW$4)</f>
        <v>0</v>
      </c>
      <c r="CX88" s="78" t="e">
        <f t="shared" si="198"/>
        <v>#DIV/0!</v>
      </c>
      <c r="CY88" s="79">
        <f t="array" ref="CY88">SUMIFS('Cắt lồng'!$AC$327:$AC$515,'Cắt lồng'!$AA$327:$AA$515,'Cắt lồng'!$AA88,'Cắt lồng'!$AE$327:$AE$515,'Cắt lồng'!CY$4:CY$4)</f>
        <v>0</v>
      </c>
      <c r="CZ88" s="79">
        <f t="array" ref="CZ88">SUMIFS('Cắt lồng'!$AH$327:$AH$515,'Cắt lồng'!$AA$327:$AA$515,'Cắt lồng'!$AA88,'Cắt lồng'!$AE$327:$AE$515,'Cắt lồng'!CZ$4:CZ$4)</f>
        <v>0</v>
      </c>
      <c r="DA88" s="78" t="e">
        <f t="shared" si="199"/>
        <v>#DIV/0!</v>
      </c>
      <c r="DB88" s="79">
        <f t="array" ref="DB88">SUMIFS('Cắt lồng'!$AC$327:$AC$515,'Cắt lồng'!$AA$327:$AA$515,'Cắt lồng'!$AA88,'Cắt lồng'!$AE$327:$AE$515,'Cắt lồng'!DB$4:DB$4)</f>
        <v>0</v>
      </c>
      <c r="DC88" s="79">
        <f t="array" ref="DC88">SUMIFS('Cắt lồng'!$AH$327:$AH$515,'Cắt lồng'!$AA$327:$AA$515,'Cắt lồng'!$AA88,'Cắt lồng'!$AE$327:$AE$515,'Cắt lồng'!DC$4:DC$4)</f>
        <v>0</v>
      </c>
      <c r="DD88" s="78" t="e">
        <f t="shared" si="200"/>
        <v>#DIV/0!</v>
      </c>
      <c r="DE88" s="79">
        <f t="array" ref="DE88">SUMIFS('Cắt lồng'!$AC$327:$AC$515,'Cắt lồng'!$AA$327:$AA$515,'Cắt lồng'!$AA88,'Cắt lồng'!$AE$327:$AE$515,'Cắt lồng'!DE$4:DE$4)</f>
        <v>0</v>
      </c>
      <c r="DF88" s="79">
        <f t="array" ref="DF88">SUMIFS('Cắt lồng'!$AH$327:$AH$515,'Cắt lồng'!$AA$327:$AA$515,'Cắt lồng'!$AA88,'Cắt lồng'!$AE$327:$AE$515,'Cắt lồng'!DF$4:DF$4)</f>
        <v>0</v>
      </c>
      <c r="DG88" s="78" t="e">
        <f t="shared" si="201"/>
        <v>#DIV/0!</v>
      </c>
      <c r="DH88" s="79">
        <f t="array" ref="DH88">SUMIFS('Cắt lồng'!$AC$327:$AC$515,'Cắt lồng'!$AA$327:$AA$515,'Cắt lồng'!$AA88,'Cắt lồng'!$AE$327:$AE$515,'Cắt lồng'!DH$4:DH$4)</f>
        <v>0</v>
      </c>
      <c r="DI88" s="79">
        <f t="array" ref="DI88">SUMIFS('Cắt lồng'!$AH$327:$AH$515,'Cắt lồng'!$AA$327:$AA$515,'Cắt lồng'!$AA88,'Cắt lồng'!$AE$327:$AE$515,'Cắt lồng'!DI$4:DI$4)</f>
        <v>0</v>
      </c>
      <c r="DJ88" s="78" t="e">
        <f t="shared" si="202"/>
        <v>#DIV/0!</v>
      </c>
      <c r="DK88" s="79">
        <f t="array" ref="DK88">SUMIFS('Cắt lồng'!$AC$327:$AC$515,'Cắt lồng'!$AA$327:$AA$515,'Cắt lồng'!$AA88,'Cắt lồng'!$AE$327:$AE$515,'Cắt lồng'!DK$4:DK$4)</f>
        <v>0</v>
      </c>
      <c r="DL88" s="79">
        <f t="array" ref="DL88">SUMIFS('Cắt lồng'!$AH$327:$AH$515,'Cắt lồng'!$AA$327:$AA$515,'Cắt lồng'!$AA88,'Cắt lồng'!$AE$327:$AE$515,'Cắt lồng'!DL$4:DL$4)</f>
        <v>0</v>
      </c>
      <c r="DM88" s="78" t="e">
        <f t="shared" si="203"/>
        <v>#DIV/0!</v>
      </c>
      <c r="DN88" s="79">
        <f t="array" ref="DN88">SUMIFS('Cắt lồng'!$AC$327:$AC$515,'Cắt lồng'!$AA$327:$AA$515,'Cắt lồng'!$AA88,'Cắt lồng'!$AE$327:$AE$515,'Cắt lồng'!DN$4:DN$4)</f>
        <v>0</v>
      </c>
      <c r="DO88" s="79">
        <f t="array" ref="DO88">SUMIFS('Cắt lồng'!$AH$327:$AH$515,'Cắt lồng'!$AA$327:$AA$515,'Cắt lồng'!$AA88,'Cắt lồng'!$AE$327:$AE$515,'Cắt lồng'!DO$4:DO$4)</f>
        <v>0</v>
      </c>
      <c r="DP88" s="78" t="e">
        <f t="shared" si="204"/>
        <v>#DIV/0!</v>
      </c>
      <c r="DQ88" s="79">
        <f t="array" ref="DQ88">SUMIFS('Cắt lồng'!$AC$327:$AC$515,'Cắt lồng'!$AA$327:$AA$515,'Cắt lồng'!$AA88,'Cắt lồng'!$AE$327:$AE$515,'Cắt lồng'!DQ$4:DQ$4)</f>
        <v>0</v>
      </c>
      <c r="DR88" s="79">
        <f t="array" ref="DR88">SUMIFS('Cắt lồng'!$AH$327:$AH$515,'Cắt lồng'!$AA$327:$AA$515,'Cắt lồng'!$AA88,'Cắt lồng'!$AE$327:$AE$515,'Cắt lồng'!DR$4:DR$4)</f>
        <v>0</v>
      </c>
      <c r="DS88" s="78" t="e">
        <f t="shared" si="205"/>
        <v>#DIV/0!</v>
      </c>
      <c r="DT88" s="79">
        <f t="array" ref="DT88">SUMIFS('Cắt lồng'!$AC$327:$AC$515,'Cắt lồng'!$AA$327:$AA$515,'Cắt lồng'!$AA88,'Cắt lồng'!$AE$327:$AE$515,'Cắt lồng'!DT$4:DT$4)</f>
        <v>0</v>
      </c>
      <c r="DU88" s="79">
        <f t="array" ref="DU88">SUMIFS('Cắt lồng'!$AH$327:$AH$515,'Cắt lồng'!$AA$327:$AA$515,'Cắt lồng'!$AA88,'Cắt lồng'!$AE$327:$AE$515,'Cắt lồng'!DU$4:DU$4)</f>
        <v>0</v>
      </c>
      <c r="DV88" s="78" t="e">
        <f t="shared" si="206"/>
        <v>#DIV/0!</v>
      </c>
      <c r="DW88" s="79">
        <f t="array" ref="DW88">SUMIFS('Cắt lồng'!$AC$327:$AC$515,'Cắt lồng'!$AA$327:$AA$515,'Cắt lồng'!$AA88,'Cắt lồng'!$AE$327:$AE$515,'Cắt lồng'!DW$4:DW$4)</f>
        <v>0</v>
      </c>
      <c r="DX88" s="79">
        <f t="array" ref="DX88">SUMIFS('Cắt lồng'!$AH$327:$AH$515,'Cắt lồng'!$AA$327:$AA$515,'Cắt lồng'!$AA88,'Cắt lồng'!$AE$327:$AE$515,'Cắt lồng'!DX$4:DX$4)</f>
        <v>0</v>
      </c>
      <c r="DY88" s="78" t="e">
        <f t="shared" si="207"/>
        <v>#DIV/0!</v>
      </c>
      <c r="DZ88" s="79">
        <f t="array" ref="DZ88">SUMIFS('Cắt lồng'!$AC$327:$AC$515,'Cắt lồng'!$AA$327:$AA$515,'Cắt lồng'!$AA88,'Cắt lồng'!$AE$327:$AE$515,'Cắt lồng'!DZ$4:DZ$4)</f>
        <v>0</v>
      </c>
      <c r="EA88" s="79">
        <f t="array" ref="EA88">SUMIFS('Cắt lồng'!$AH$327:$AH$515,'Cắt lồng'!$AA$327:$AA$515,'Cắt lồng'!$AA88,'Cắt lồng'!$AE$327:$AE$515,'Cắt lồng'!EA$4:EA$4)</f>
        <v>0</v>
      </c>
      <c r="EB88" s="78" t="e">
        <f t="shared" si="208"/>
        <v>#DIV/0!</v>
      </c>
      <c r="EC88" s="79">
        <f t="array" ref="EC88">SUMIFS('Cắt lồng'!$AC$327:$AC$515,'Cắt lồng'!$AA$327:$AA$515,'Cắt lồng'!$AA88,'Cắt lồng'!$AE$327:$AE$515,'Cắt lồng'!EC$4:EC$4)</f>
        <v>0</v>
      </c>
      <c r="ED88" s="79">
        <f t="array" ref="ED88">SUMIFS('Cắt lồng'!$AH$327:$AH$515,'Cắt lồng'!$AA$327:$AA$515,'Cắt lồng'!$AA88,'Cắt lồng'!$AE$327:$AE$515,'Cắt lồng'!ED$4:ED$4)</f>
        <v>0</v>
      </c>
      <c r="EE88" s="78" t="e">
        <f t="shared" si="209"/>
        <v>#DIV/0!</v>
      </c>
      <c r="EF88" s="79">
        <f t="array" ref="EF88">SUMIFS('Cắt lồng'!$AC$327:$AC$515,'Cắt lồng'!$AA$327:$AA$515,'Cắt lồng'!$AA88,'Cắt lồng'!$AE$327:$AE$515,'Cắt lồng'!EF$4:EF$4)</f>
        <v>0</v>
      </c>
      <c r="EG88" s="79">
        <f t="array" ref="EG88">SUMIFS('Cắt lồng'!$AH$327:$AH$515,'Cắt lồng'!$AA$327:$AA$515,'Cắt lồng'!$AA88,'Cắt lồng'!$AE$327:$AE$515,'Cắt lồng'!EG$4:EG$4)</f>
        <v>0</v>
      </c>
      <c r="EH88" s="78" t="e">
        <f t="shared" si="210"/>
        <v>#DIV/0!</v>
      </c>
      <c r="EI88" s="79">
        <f t="array" ref="EI88">SUMIFS('Cắt lồng'!$AC$327:$AC$515,'Cắt lồng'!$AA$327:$AA$515,'Cắt lồng'!$AA88,'Cắt lồng'!$AE$327:$AE$515,'Cắt lồng'!EI$4:EI$4)</f>
        <v>0</v>
      </c>
      <c r="EJ88" s="79">
        <f t="array" ref="EJ88">SUMIFS('Cắt lồng'!$AH$327:$AH$515,'Cắt lồng'!$AA$327:$AA$515,'Cắt lồng'!$AA88,'Cắt lồng'!$AE$327:$AE$515,'Cắt lồng'!EJ$4:EJ$4)</f>
        <v>0</v>
      </c>
      <c r="EK88" s="78" t="e">
        <f t="shared" si="211"/>
        <v>#DIV/0!</v>
      </c>
    </row>
    <row r="89" spans="1:141" s="12" customFormat="1" ht="14.25" hidden="1" customHeight="1">
      <c r="A89" s="25">
        <v>60</v>
      </c>
      <c r="B89" s="26"/>
      <c r="C89" s="25"/>
      <c r="D89" s="24"/>
      <c r="E89" s="60"/>
      <c r="F89" s="59"/>
      <c r="G89" s="82">
        <f t="shared" si="144"/>
        <v>0</v>
      </c>
      <c r="H89" s="81">
        <f t="shared" si="145"/>
        <v>5</v>
      </c>
      <c r="I89" s="19">
        <f t="shared" si="146"/>
        <v>0</v>
      </c>
      <c r="J89" s="11">
        <f t="shared" si="147"/>
        <v>3</v>
      </c>
      <c r="K89" s="19">
        <f t="shared" si="148"/>
        <v>0</v>
      </c>
      <c r="L89" s="19">
        <f t="shared" si="149"/>
        <v>0</v>
      </c>
      <c r="M89" s="19">
        <f t="shared" si="150"/>
        <v>1</v>
      </c>
      <c r="N89" s="19">
        <f t="shared" si="151"/>
        <v>0.5</v>
      </c>
      <c r="O89" s="19">
        <f t="shared" si="152"/>
        <v>0</v>
      </c>
      <c r="P89" s="19">
        <f t="shared" si="153"/>
        <v>0</v>
      </c>
      <c r="Q89" s="19">
        <f t="shared" si="154"/>
        <v>0</v>
      </c>
      <c r="R89" s="19">
        <f t="shared" si="155"/>
        <v>0</v>
      </c>
      <c r="S89" s="19">
        <f t="shared" si="156"/>
        <v>0</v>
      </c>
      <c r="T89" s="19">
        <f t="shared" si="157"/>
        <v>1.33</v>
      </c>
      <c r="U89" s="19">
        <f t="shared" si="158"/>
        <v>0</v>
      </c>
      <c r="V89" s="19">
        <f t="shared" si="159"/>
        <v>0</v>
      </c>
      <c r="W89" s="19">
        <f t="shared" si="160"/>
        <v>0</v>
      </c>
      <c r="X89" s="19">
        <f t="shared" si="161"/>
        <v>0.17</v>
      </c>
      <c r="Y89" s="19">
        <f t="shared" si="162"/>
        <v>0</v>
      </c>
      <c r="Z89" s="19">
        <f t="shared" si="163"/>
        <v>0</v>
      </c>
      <c r="AA89" s="164">
        <v>123</v>
      </c>
      <c r="AB89" s="17" t="e">
        <f>+H89*SUMIF('[1]KẾ HOẠCH'!$B$5:$CK$5,'Cắt lồng'!AA89,'[1]KẾ HOẠCH'!$B$6:$CK$6)+H89*SUMIF('[1]KẾ HOẠCH'!$B$7:$CK$7,'Cắt lồng'!AA89,'[1]KẾ HOẠCH'!$B$8:$CK$8)+H89*SUMIF('[1]KẾ HOẠCH'!$B$15:$CK$15,'Cắt lồng'!AA89,'[1]KẾ HOẠCH'!$B$16:$CK$16)</f>
        <v>#VALUE!</v>
      </c>
      <c r="AC89" s="16">
        <f t="shared" si="164"/>
        <v>1680</v>
      </c>
      <c r="AD89" s="15" t="e">
        <f t="shared" si="165"/>
        <v>#VALUE!</v>
      </c>
      <c r="AE89" s="42"/>
      <c r="AF89" s="10">
        <f t="shared" si="166"/>
        <v>336</v>
      </c>
      <c r="AG89" s="10"/>
      <c r="AH89" s="152">
        <f t="shared" si="167"/>
        <v>0</v>
      </c>
      <c r="AI89" s="54">
        <f t="shared" si="168"/>
        <v>0</v>
      </c>
      <c r="AJ89" s="25">
        <f t="shared" si="169"/>
        <v>0</v>
      </c>
      <c r="AK89" s="25">
        <f t="shared" si="170"/>
        <v>0</v>
      </c>
      <c r="AL89" s="25">
        <f t="shared" si="171"/>
        <v>0</v>
      </c>
      <c r="AM89" s="30">
        <f t="shared" si="172"/>
        <v>0</v>
      </c>
      <c r="AN89" s="25">
        <f t="shared" si="173"/>
        <v>0</v>
      </c>
      <c r="AO89" s="25">
        <f t="shared" si="174"/>
        <v>0</v>
      </c>
      <c r="AP89" s="25">
        <f t="shared" si="175"/>
        <v>0</v>
      </c>
      <c r="AQ89" s="25">
        <f t="shared" si="176"/>
        <v>0</v>
      </c>
      <c r="AR89" s="25">
        <f t="shared" si="177"/>
        <v>0</v>
      </c>
      <c r="AS89" s="25">
        <f t="shared" si="178"/>
        <v>0</v>
      </c>
      <c r="AT89" s="25">
        <f t="shared" si="179"/>
        <v>0</v>
      </c>
      <c r="AV89" s="79">
        <f t="shared" si="180"/>
        <v>5</v>
      </c>
      <c r="AW89" s="79">
        <f t="array" ref="AW89">SUMIFS('Cắt lồng'!$AC$327:$AC$515,'Cắt lồng'!$AA$327:$AA$515,'Cắt lồng'!$AA89,'Cắt lồng'!$AE$327:$AE$515,'Cắt lồng'!AW$4:AW$4)</f>
        <v>1680</v>
      </c>
      <c r="AX89" s="79">
        <f t="array" ref="AX89">SUMIFS('Cắt lồng'!$AH$327:$AH$515,'Cắt lồng'!$AA$327:$AA$515,'Cắt lồng'!$AA89,'Cắt lồng'!$AE$327:$AE$515,'Cắt lồng'!AX$4:AX$4)</f>
        <v>0</v>
      </c>
      <c r="AY89" s="78">
        <f t="shared" si="181"/>
        <v>0</v>
      </c>
      <c r="AZ89" s="79">
        <f t="array" ref="AZ89">SUMIFS('Cắt lồng'!$AC$327:$AC$515,'Cắt lồng'!$AA$327:$AA$515,'Cắt lồng'!$AA89,'Cắt lồng'!$AE$327:$AE$515,'Cắt lồng'!AZ$4:AZ$4)</f>
        <v>0</v>
      </c>
      <c r="BA89" s="79">
        <f t="array" ref="BA89">SUMIFS('Cắt lồng'!$AH$327:$AH$515,'Cắt lồng'!$AA$327:$AA$515,'Cắt lồng'!$AA89,'Cắt lồng'!$AE$327:$AE$515,'Cắt lồng'!BA$4:BA$4)</f>
        <v>0</v>
      </c>
      <c r="BB89" s="78" t="e">
        <f t="shared" si="182"/>
        <v>#DIV/0!</v>
      </c>
      <c r="BC89" s="79">
        <f t="array" ref="BC89">SUMIFS('Cắt lồng'!$AC$327:$AC$515,'Cắt lồng'!$AA$327:$AA$515,'Cắt lồng'!$AA89,'Cắt lồng'!$AE$327:$AE$515,'Cắt lồng'!BC$4:BC$4)</f>
        <v>0</v>
      </c>
      <c r="BD89" s="79">
        <f t="array" ref="BD89">SUMIFS('Cắt lồng'!$AH$327:$AH$515,'Cắt lồng'!$AA$327:$AA$515,'Cắt lồng'!$AA89,'Cắt lồng'!$AE$327:$AE$515,'Cắt lồng'!BD$4:BD$4)</f>
        <v>0</v>
      </c>
      <c r="BE89" s="78" t="e">
        <f t="shared" si="183"/>
        <v>#DIV/0!</v>
      </c>
      <c r="BF89" s="79">
        <f t="array" ref="BF89">SUMIFS('Cắt lồng'!$AC$327:$AC$515,'Cắt lồng'!$AA$327:$AA$515,'Cắt lồng'!$AA89,'Cắt lồng'!$AE$327:$AE$515,'Cắt lồng'!BF$4:BF$4)</f>
        <v>0</v>
      </c>
      <c r="BG89" s="79">
        <f t="array" ref="BG89">SUMIFS('Cắt lồng'!$AH$327:$AH$515,'Cắt lồng'!$AA$327:$AA$515,'Cắt lồng'!$AA89,'Cắt lồng'!$AE$327:$AE$515,'Cắt lồng'!BG$4:BG$4)</f>
        <v>0</v>
      </c>
      <c r="BH89" s="78" t="e">
        <f t="shared" si="184"/>
        <v>#DIV/0!</v>
      </c>
      <c r="BI89" s="79">
        <f t="array" ref="BI89">SUMIFS('Cắt lồng'!$AC$327:$AC$515,'Cắt lồng'!$AA$327:$AA$515,'Cắt lồng'!$AA89,'Cắt lồng'!$AE$327:$AE$515,'Cắt lồng'!BI$4:BI$4)</f>
        <v>0</v>
      </c>
      <c r="BJ89" s="79">
        <f t="array" ref="BJ89">SUMIFS('Cắt lồng'!$AH$327:$AH$515,'Cắt lồng'!$AA$327:$AA$515,'Cắt lồng'!$AA89,'Cắt lồng'!$AE$327:$AE$515,'Cắt lồng'!BJ$4:BJ$4)</f>
        <v>0</v>
      </c>
      <c r="BK89" s="78" t="e">
        <f t="shared" si="185"/>
        <v>#DIV/0!</v>
      </c>
      <c r="BL89" s="79">
        <f t="array" ref="BL89">SUMIFS('Cắt lồng'!$AC$327:$AC$515,'Cắt lồng'!$AA$327:$AA$515,'Cắt lồng'!$AA89,'Cắt lồng'!$AE$327:$AE$515,'Cắt lồng'!BL$4:BL$4)</f>
        <v>0</v>
      </c>
      <c r="BM89" s="79">
        <f t="array" ref="BM89">SUMIFS('Cắt lồng'!$AH$327:$AH$515,'Cắt lồng'!$AA$327:$AA$515,'Cắt lồng'!$AA89,'Cắt lồng'!$AE$327:$AE$515,'Cắt lồng'!BM$4:BM$4)</f>
        <v>0</v>
      </c>
      <c r="BN89" s="78" t="e">
        <f t="shared" si="186"/>
        <v>#DIV/0!</v>
      </c>
      <c r="BO89" s="79">
        <f t="array" ref="BO89">SUMIFS('Cắt lồng'!$AC$327:$AC$515,'Cắt lồng'!$AA$327:$AA$515,'Cắt lồng'!$AA89,'Cắt lồng'!$AE$327:$AE$515,'Cắt lồng'!BO$4:BO$4)</f>
        <v>0</v>
      </c>
      <c r="BP89" s="79">
        <f t="array" ref="BP89">SUMIFS('Cắt lồng'!$AH$327:$AH$515,'Cắt lồng'!$AA$327:$AA$515,'Cắt lồng'!$AA89,'Cắt lồng'!$AE$327:$AE$515,'Cắt lồng'!BP$4:BP$4)</f>
        <v>0</v>
      </c>
      <c r="BQ89" s="78" t="e">
        <f t="shared" si="187"/>
        <v>#DIV/0!</v>
      </c>
      <c r="BR89" s="79">
        <f t="array" ref="BR89">SUMIFS('Cắt lồng'!$AC$327:$AC$515,'Cắt lồng'!$AA$327:$AA$515,'Cắt lồng'!$AA89,'Cắt lồng'!$AE$327:$AE$515,'Cắt lồng'!BR$4:BR$4)</f>
        <v>0</v>
      </c>
      <c r="BS89" s="79">
        <f t="array" ref="BS89">SUMIFS('Cắt lồng'!$AH$327:$AH$515,'Cắt lồng'!$AA$327:$AA$515,'Cắt lồng'!$AA89,'Cắt lồng'!$AE$327:$AE$515,'Cắt lồng'!BS$4:BS$4)</f>
        <v>0</v>
      </c>
      <c r="BT89" s="78" t="e">
        <f t="shared" si="188"/>
        <v>#DIV/0!</v>
      </c>
      <c r="BU89" s="79">
        <f t="array" ref="BU89">SUMIFS('Cắt lồng'!$AC$327:$AC$515,'Cắt lồng'!$AA$327:$AA$515,'Cắt lồng'!$AA89,'Cắt lồng'!$AE$327:$AE$515,'Cắt lồng'!BU$4:BU$4)</f>
        <v>0</v>
      </c>
      <c r="BV89" s="79">
        <f t="array" ref="BV89">SUMIFS('Cắt lồng'!$AH$327:$AH$515,'Cắt lồng'!$AA$327:$AA$515,'Cắt lồng'!$AA89,'Cắt lồng'!$AE$327:$AE$515,'Cắt lồng'!BV$4:BV$4)</f>
        <v>0</v>
      </c>
      <c r="BW89" s="78" t="e">
        <f t="shared" si="189"/>
        <v>#DIV/0!</v>
      </c>
      <c r="BX89" s="79">
        <f t="array" ref="BX89">SUMIFS('Cắt lồng'!$AC$327:$AC$515,'Cắt lồng'!$AA$327:$AA$515,'Cắt lồng'!$AA89,'Cắt lồng'!$AE$327:$AE$515,'Cắt lồng'!BX$4:BX$4)</f>
        <v>0</v>
      </c>
      <c r="BY89" s="79">
        <f t="array" ref="BY89">SUMIFS('Cắt lồng'!$AH$327:$AH$515,'Cắt lồng'!$AA$327:$AA$515,'Cắt lồng'!$AA89,'Cắt lồng'!$AE$327:$AE$515,'Cắt lồng'!BY$4:BY$4)</f>
        <v>0</v>
      </c>
      <c r="BZ89" s="78" t="e">
        <f t="shared" si="190"/>
        <v>#DIV/0!</v>
      </c>
      <c r="CA89" s="79">
        <f t="array" ref="CA89">SUMIFS('Cắt lồng'!$AC$327:$AC$515,'Cắt lồng'!$AA$327:$AA$515,'Cắt lồng'!$AA89,'Cắt lồng'!$AE$327:$AE$515,'Cắt lồng'!CA$4:CA$4)</f>
        <v>0</v>
      </c>
      <c r="CB89" s="79">
        <f t="array" ref="CB89">SUMIFS('Cắt lồng'!$AH$327:$AH$515,'Cắt lồng'!$AA$327:$AA$515,'Cắt lồng'!$AA89,'Cắt lồng'!$AE$327:$AE$515,'Cắt lồng'!CB$4:CB$4)</f>
        <v>0</v>
      </c>
      <c r="CC89" s="78" t="e">
        <f t="shared" si="191"/>
        <v>#DIV/0!</v>
      </c>
      <c r="CD89" s="79">
        <f t="array" ref="CD89">SUMIFS('Cắt lồng'!$AC$327:$AC$515,'Cắt lồng'!$AA$327:$AA$515,'Cắt lồng'!$AA89,'Cắt lồng'!$AE$327:$AE$515,'Cắt lồng'!CD$4:CD$4)</f>
        <v>0</v>
      </c>
      <c r="CE89" s="79">
        <f t="array" ref="CE89">SUMIFS('Cắt lồng'!$AH$327:$AH$515,'Cắt lồng'!$AA$327:$AA$515,'Cắt lồng'!$AA89,'Cắt lồng'!$AE$327:$AE$515,'Cắt lồng'!CE$4:CE$4)</f>
        <v>0</v>
      </c>
      <c r="CF89" s="78" t="e">
        <f t="shared" si="192"/>
        <v>#DIV/0!</v>
      </c>
      <c r="CG89" s="79">
        <f t="array" ref="CG89">SUMIFS('Cắt lồng'!$AC$327:$AC$515,'Cắt lồng'!$AA$327:$AA$515,'Cắt lồng'!$AA89,'Cắt lồng'!$AE$327:$AE$515,'Cắt lồng'!CG$4:CG$4)</f>
        <v>0</v>
      </c>
      <c r="CH89" s="79">
        <f t="array" ref="CH89">SUMIFS('Cắt lồng'!$AH$327:$AH$515,'Cắt lồng'!$AA$327:$AA$515,'Cắt lồng'!$AA89,'Cắt lồng'!$AE$327:$AE$515,'Cắt lồng'!CH$4:CH$4)</f>
        <v>0</v>
      </c>
      <c r="CI89" s="78" t="e">
        <f t="shared" si="193"/>
        <v>#DIV/0!</v>
      </c>
      <c r="CJ89" s="79">
        <f t="array" ref="CJ89">SUMIFS('Cắt lồng'!$AC$327:$AC$515,'Cắt lồng'!$AA$327:$AA$515,'Cắt lồng'!$AA89,'Cắt lồng'!$AE$327:$AE$515,'Cắt lồng'!CJ$4:CJ$4)</f>
        <v>0</v>
      </c>
      <c r="CK89" s="79">
        <f t="array" ref="CK89">SUMIFS('Cắt lồng'!$AH$327:$AH$515,'Cắt lồng'!$AA$327:$AA$515,'Cắt lồng'!$AA89,'Cắt lồng'!$AE$327:$AE$515,'Cắt lồng'!CK$4:CK$4)</f>
        <v>0</v>
      </c>
      <c r="CL89" s="78" t="e">
        <f t="shared" si="194"/>
        <v>#DIV/0!</v>
      </c>
      <c r="CM89" s="79">
        <f t="array" ref="CM89">SUMIFS('Cắt lồng'!$AC$327:$AC$515,'Cắt lồng'!$AA$327:$AA$515,'Cắt lồng'!$AA89,'Cắt lồng'!$AE$327:$AE$515,'Cắt lồng'!CM$4:CM$4)</f>
        <v>0</v>
      </c>
      <c r="CN89" s="79">
        <f t="array" ref="CN89">SUMIFS('Cắt lồng'!$AH$327:$AH$515,'Cắt lồng'!$AA$327:$AA$515,'Cắt lồng'!$AA89,'Cắt lồng'!$AE$327:$AE$515,'Cắt lồng'!CN$4:CN$4)</f>
        <v>0</v>
      </c>
      <c r="CO89" s="78" t="e">
        <f t="shared" si="195"/>
        <v>#DIV/0!</v>
      </c>
      <c r="CP89" s="79">
        <f t="array" ref="CP89">SUMIFS('Cắt lồng'!$AC$327:$AC$515,'Cắt lồng'!$AA$327:$AA$515,'Cắt lồng'!$AA89,'Cắt lồng'!$AE$327:$AE$515,'Cắt lồng'!CP$4:CP$4)</f>
        <v>0</v>
      </c>
      <c r="CQ89" s="79">
        <f t="array" ref="CQ89">SUMIFS('Cắt lồng'!$AH$327:$AH$515,'Cắt lồng'!$AA$327:$AA$515,'Cắt lồng'!$AA89,'Cắt lồng'!$AE$327:$AE$515,'Cắt lồng'!CQ$4:CQ$4)</f>
        <v>0</v>
      </c>
      <c r="CR89" s="78" t="e">
        <f t="shared" si="196"/>
        <v>#DIV/0!</v>
      </c>
      <c r="CS89" s="79">
        <f t="array" ref="CS89">SUMIFS('Cắt lồng'!$AC$327:$AC$515,'Cắt lồng'!$AA$327:$AA$515,'Cắt lồng'!$AA89,'Cắt lồng'!$AE$327:$AE$515,'Cắt lồng'!CS$4:CS$4)</f>
        <v>0</v>
      </c>
      <c r="CT89" s="79">
        <f t="array" ref="CT89">SUMIFS('Cắt lồng'!$AH$327:$AH$515,'Cắt lồng'!$AA$327:$AA$515,'Cắt lồng'!$AA89,'Cắt lồng'!$AE$327:$AE$515,'Cắt lồng'!CT$4:CT$4)</f>
        <v>0</v>
      </c>
      <c r="CU89" s="78" t="e">
        <f t="shared" si="197"/>
        <v>#DIV/0!</v>
      </c>
      <c r="CV89" s="79">
        <f t="array" ref="CV89">SUMIFS('Cắt lồng'!$AC$327:$AC$515,'Cắt lồng'!$AA$327:$AA$515,'Cắt lồng'!$AA89,'Cắt lồng'!$AE$327:$AE$515,'Cắt lồng'!CV$4:CV$4)</f>
        <v>0</v>
      </c>
      <c r="CW89" s="79">
        <f t="array" ref="CW89">SUMIFS('Cắt lồng'!$AH$327:$AH$515,'Cắt lồng'!$AA$327:$AA$515,'Cắt lồng'!$AA89,'Cắt lồng'!$AE$327:$AE$515,'Cắt lồng'!CW$4:CW$4)</f>
        <v>0</v>
      </c>
      <c r="CX89" s="78" t="e">
        <f t="shared" si="198"/>
        <v>#DIV/0!</v>
      </c>
      <c r="CY89" s="79">
        <f t="array" ref="CY89">SUMIFS('Cắt lồng'!$AC$327:$AC$515,'Cắt lồng'!$AA$327:$AA$515,'Cắt lồng'!$AA89,'Cắt lồng'!$AE$327:$AE$515,'Cắt lồng'!CY$4:CY$4)</f>
        <v>0</v>
      </c>
      <c r="CZ89" s="79">
        <f t="array" ref="CZ89">SUMIFS('Cắt lồng'!$AH$327:$AH$515,'Cắt lồng'!$AA$327:$AA$515,'Cắt lồng'!$AA89,'Cắt lồng'!$AE$327:$AE$515,'Cắt lồng'!CZ$4:CZ$4)</f>
        <v>0</v>
      </c>
      <c r="DA89" s="78" t="e">
        <f t="shared" si="199"/>
        <v>#DIV/0!</v>
      </c>
      <c r="DB89" s="79">
        <f t="array" ref="DB89">SUMIFS('Cắt lồng'!$AC$327:$AC$515,'Cắt lồng'!$AA$327:$AA$515,'Cắt lồng'!$AA89,'Cắt lồng'!$AE$327:$AE$515,'Cắt lồng'!DB$4:DB$4)</f>
        <v>0</v>
      </c>
      <c r="DC89" s="79">
        <f t="array" ref="DC89">SUMIFS('Cắt lồng'!$AH$327:$AH$515,'Cắt lồng'!$AA$327:$AA$515,'Cắt lồng'!$AA89,'Cắt lồng'!$AE$327:$AE$515,'Cắt lồng'!DC$4:DC$4)</f>
        <v>0</v>
      </c>
      <c r="DD89" s="78" t="e">
        <f t="shared" si="200"/>
        <v>#DIV/0!</v>
      </c>
      <c r="DE89" s="79">
        <f t="array" ref="DE89">SUMIFS('Cắt lồng'!$AC$327:$AC$515,'Cắt lồng'!$AA$327:$AA$515,'Cắt lồng'!$AA89,'Cắt lồng'!$AE$327:$AE$515,'Cắt lồng'!DE$4:DE$4)</f>
        <v>0</v>
      </c>
      <c r="DF89" s="79">
        <f t="array" ref="DF89">SUMIFS('Cắt lồng'!$AH$327:$AH$515,'Cắt lồng'!$AA$327:$AA$515,'Cắt lồng'!$AA89,'Cắt lồng'!$AE$327:$AE$515,'Cắt lồng'!DF$4:DF$4)</f>
        <v>0</v>
      </c>
      <c r="DG89" s="78" t="e">
        <f t="shared" si="201"/>
        <v>#DIV/0!</v>
      </c>
      <c r="DH89" s="79">
        <f t="array" ref="DH89">SUMIFS('Cắt lồng'!$AC$327:$AC$515,'Cắt lồng'!$AA$327:$AA$515,'Cắt lồng'!$AA89,'Cắt lồng'!$AE$327:$AE$515,'Cắt lồng'!DH$4:DH$4)</f>
        <v>0</v>
      </c>
      <c r="DI89" s="79">
        <f t="array" ref="DI89">SUMIFS('Cắt lồng'!$AH$327:$AH$515,'Cắt lồng'!$AA$327:$AA$515,'Cắt lồng'!$AA89,'Cắt lồng'!$AE$327:$AE$515,'Cắt lồng'!DI$4:DI$4)</f>
        <v>0</v>
      </c>
      <c r="DJ89" s="78" t="e">
        <f t="shared" si="202"/>
        <v>#DIV/0!</v>
      </c>
      <c r="DK89" s="79">
        <f t="array" ref="DK89">SUMIFS('Cắt lồng'!$AC$327:$AC$515,'Cắt lồng'!$AA$327:$AA$515,'Cắt lồng'!$AA89,'Cắt lồng'!$AE$327:$AE$515,'Cắt lồng'!DK$4:DK$4)</f>
        <v>0</v>
      </c>
      <c r="DL89" s="79">
        <f t="array" ref="DL89">SUMIFS('Cắt lồng'!$AH$327:$AH$515,'Cắt lồng'!$AA$327:$AA$515,'Cắt lồng'!$AA89,'Cắt lồng'!$AE$327:$AE$515,'Cắt lồng'!DL$4:DL$4)</f>
        <v>0</v>
      </c>
      <c r="DM89" s="78" t="e">
        <f t="shared" si="203"/>
        <v>#DIV/0!</v>
      </c>
      <c r="DN89" s="79">
        <f t="array" ref="DN89">SUMIFS('Cắt lồng'!$AC$327:$AC$515,'Cắt lồng'!$AA$327:$AA$515,'Cắt lồng'!$AA89,'Cắt lồng'!$AE$327:$AE$515,'Cắt lồng'!DN$4:DN$4)</f>
        <v>0</v>
      </c>
      <c r="DO89" s="79">
        <f t="array" ref="DO89">SUMIFS('Cắt lồng'!$AH$327:$AH$515,'Cắt lồng'!$AA$327:$AA$515,'Cắt lồng'!$AA89,'Cắt lồng'!$AE$327:$AE$515,'Cắt lồng'!DO$4:DO$4)</f>
        <v>0</v>
      </c>
      <c r="DP89" s="78" t="e">
        <f t="shared" si="204"/>
        <v>#DIV/0!</v>
      </c>
      <c r="DQ89" s="79">
        <f t="array" ref="DQ89">SUMIFS('Cắt lồng'!$AC$327:$AC$515,'Cắt lồng'!$AA$327:$AA$515,'Cắt lồng'!$AA89,'Cắt lồng'!$AE$327:$AE$515,'Cắt lồng'!DQ$4:DQ$4)</f>
        <v>0</v>
      </c>
      <c r="DR89" s="79">
        <f t="array" ref="DR89">SUMIFS('Cắt lồng'!$AH$327:$AH$515,'Cắt lồng'!$AA$327:$AA$515,'Cắt lồng'!$AA89,'Cắt lồng'!$AE$327:$AE$515,'Cắt lồng'!DR$4:DR$4)</f>
        <v>0</v>
      </c>
      <c r="DS89" s="78" t="e">
        <f t="shared" si="205"/>
        <v>#DIV/0!</v>
      </c>
      <c r="DT89" s="79">
        <f t="array" ref="DT89">SUMIFS('Cắt lồng'!$AC$327:$AC$515,'Cắt lồng'!$AA$327:$AA$515,'Cắt lồng'!$AA89,'Cắt lồng'!$AE$327:$AE$515,'Cắt lồng'!DT$4:DT$4)</f>
        <v>0</v>
      </c>
      <c r="DU89" s="79">
        <f t="array" ref="DU89">SUMIFS('Cắt lồng'!$AH$327:$AH$515,'Cắt lồng'!$AA$327:$AA$515,'Cắt lồng'!$AA89,'Cắt lồng'!$AE$327:$AE$515,'Cắt lồng'!DU$4:DU$4)</f>
        <v>0</v>
      </c>
      <c r="DV89" s="78" t="e">
        <f t="shared" si="206"/>
        <v>#DIV/0!</v>
      </c>
      <c r="DW89" s="79">
        <f t="array" ref="DW89">SUMIFS('Cắt lồng'!$AC$327:$AC$515,'Cắt lồng'!$AA$327:$AA$515,'Cắt lồng'!$AA89,'Cắt lồng'!$AE$327:$AE$515,'Cắt lồng'!DW$4:DW$4)</f>
        <v>0</v>
      </c>
      <c r="DX89" s="79">
        <f t="array" ref="DX89">SUMIFS('Cắt lồng'!$AH$327:$AH$515,'Cắt lồng'!$AA$327:$AA$515,'Cắt lồng'!$AA89,'Cắt lồng'!$AE$327:$AE$515,'Cắt lồng'!DX$4:DX$4)</f>
        <v>0</v>
      </c>
      <c r="DY89" s="78" t="e">
        <f t="shared" si="207"/>
        <v>#DIV/0!</v>
      </c>
      <c r="DZ89" s="79">
        <f t="array" ref="DZ89">SUMIFS('Cắt lồng'!$AC$327:$AC$515,'Cắt lồng'!$AA$327:$AA$515,'Cắt lồng'!$AA89,'Cắt lồng'!$AE$327:$AE$515,'Cắt lồng'!DZ$4:DZ$4)</f>
        <v>0</v>
      </c>
      <c r="EA89" s="79">
        <f t="array" ref="EA89">SUMIFS('Cắt lồng'!$AH$327:$AH$515,'Cắt lồng'!$AA$327:$AA$515,'Cắt lồng'!$AA89,'Cắt lồng'!$AE$327:$AE$515,'Cắt lồng'!EA$4:EA$4)</f>
        <v>0</v>
      </c>
      <c r="EB89" s="78" t="e">
        <f t="shared" si="208"/>
        <v>#DIV/0!</v>
      </c>
      <c r="EC89" s="79">
        <f t="array" ref="EC89">SUMIFS('Cắt lồng'!$AC$327:$AC$515,'Cắt lồng'!$AA$327:$AA$515,'Cắt lồng'!$AA89,'Cắt lồng'!$AE$327:$AE$515,'Cắt lồng'!EC$4:EC$4)</f>
        <v>0</v>
      </c>
      <c r="ED89" s="79">
        <f t="array" ref="ED89">SUMIFS('Cắt lồng'!$AH$327:$AH$515,'Cắt lồng'!$AA$327:$AA$515,'Cắt lồng'!$AA89,'Cắt lồng'!$AE$327:$AE$515,'Cắt lồng'!ED$4:ED$4)</f>
        <v>0</v>
      </c>
      <c r="EE89" s="78" t="e">
        <f t="shared" si="209"/>
        <v>#DIV/0!</v>
      </c>
      <c r="EF89" s="79">
        <f t="array" ref="EF89">SUMIFS('Cắt lồng'!$AC$327:$AC$515,'Cắt lồng'!$AA$327:$AA$515,'Cắt lồng'!$AA89,'Cắt lồng'!$AE$327:$AE$515,'Cắt lồng'!EF$4:EF$4)</f>
        <v>0</v>
      </c>
      <c r="EG89" s="79">
        <f t="array" ref="EG89">SUMIFS('Cắt lồng'!$AH$327:$AH$515,'Cắt lồng'!$AA$327:$AA$515,'Cắt lồng'!$AA89,'Cắt lồng'!$AE$327:$AE$515,'Cắt lồng'!EG$4:EG$4)</f>
        <v>0</v>
      </c>
      <c r="EH89" s="78" t="e">
        <f t="shared" si="210"/>
        <v>#DIV/0!</v>
      </c>
      <c r="EI89" s="79">
        <f t="array" ref="EI89">SUMIFS('Cắt lồng'!$AC$327:$AC$515,'Cắt lồng'!$AA$327:$AA$515,'Cắt lồng'!$AA89,'Cắt lồng'!$AE$327:$AE$515,'Cắt lồng'!EI$4:EI$4)</f>
        <v>0</v>
      </c>
      <c r="EJ89" s="79">
        <f t="array" ref="EJ89">SUMIFS('Cắt lồng'!$AH$327:$AH$515,'Cắt lồng'!$AA$327:$AA$515,'Cắt lồng'!$AA89,'Cắt lồng'!$AE$327:$AE$515,'Cắt lồng'!EJ$4:EJ$4)</f>
        <v>0</v>
      </c>
      <c r="EK89" s="78" t="e">
        <f t="shared" si="211"/>
        <v>#DIV/0!</v>
      </c>
    </row>
    <row r="90" spans="1:141" s="12" customFormat="1" ht="14.25" hidden="1" customHeight="1">
      <c r="A90" s="25">
        <v>61</v>
      </c>
      <c r="B90" s="26"/>
      <c r="C90" s="25"/>
      <c r="D90" s="24"/>
      <c r="E90" s="60"/>
      <c r="F90" s="59"/>
      <c r="G90" s="82">
        <f t="shared" si="144"/>
        <v>0</v>
      </c>
      <c r="H90" s="81">
        <f t="shared" si="145"/>
        <v>0</v>
      </c>
      <c r="I90" s="19">
        <f t="shared" si="146"/>
        <v>0</v>
      </c>
      <c r="J90" s="11">
        <f t="shared" si="147"/>
        <v>0</v>
      </c>
      <c r="K90" s="19">
        <f t="shared" si="148"/>
        <v>0</v>
      </c>
      <c r="L90" s="19">
        <f t="shared" si="149"/>
        <v>0</v>
      </c>
      <c r="M90" s="19">
        <f t="shared" si="150"/>
        <v>0</v>
      </c>
      <c r="N90" s="19">
        <f t="shared" si="151"/>
        <v>0</v>
      </c>
      <c r="O90" s="19">
        <f t="shared" si="152"/>
        <v>0</v>
      </c>
      <c r="P90" s="19">
        <f t="shared" si="153"/>
        <v>0</v>
      </c>
      <c r="Q90" s="19">
        <f t="shared" si="154"/>
        <v>0</v>
      </c>
      <c r="R90" s="19">
        <f t="shared" si="155"/>
        <v>0</v>
      </c>
      <c r="S90" s="19">
        <f t="shared" si="156"/>
        <v>0</v>
      </c>
      <c r="T90" s="19">
        <f t="shared" si="157"/>
        <v>0</v>
      </c>
      <c r="U90" s="19">
        <f t="shared" si="158"/>
        <v>0</v>
      </c>
      <c r="V90" s="19">
        <f t="shared" si="159"/>
        <v>0</v>
      </c>
      <c r="W90" s="19">
        <f t="shared" si="160"/>
        <v>0</v>
      </c>
      <c r="X90" s="19">
        <f t="shared" si="161"/>
        <v>0</v>
      </c>
      <c r="Y90" s="19">
        <f t="shared" si="162"/>
        <v>0</v>
      </c>
      <c r="Z90" s="19">
        <f t="shared" si="163"/>
        <v>0</v>
      </c>
      <c r="AA90" s="164">
        <v>125</v>
      </c>
      <c r="AB90" s="17" t="e">
        <f>+H90*SUMIF('[1]KẾ HOẠCH'!$B$5:$CK$5,'Cắt lồng'!AA90,'[1]KẾ HOẠCH'!$B$6:$CK$6)+H90*SUMIF('[1]KẾ HOẠCH'!$B$7:$CK$7,'Cắt lồng'!AA90,'[1]KẾ HOẠCH'!$B$8:$CK$8)+H90*SUMIF('[1]KẾ HOẠCH'!$B$15:$CK$15,'Cắt lồng'!AA90,'[1]KẾ HOẠCH'!$B$16:$CK$16)</f>
        <v>#VALUE!</v>
      </c>
      <c r="AC90" s="16">
        <f t="shared" si="164"/>
        <v>0</v>
      </c>
      <c r="AD90" s="15" t="e">
        <f t="shared" si="165"/>
        <v>#VALUE!</v>
      </c>
      <c r="AE90" s="42"/>
      <c r="AF90" s="10" t="e">
        <f t="shared" si="166"/>
        <v>#DIV/0!</v>
      </c>
      <c r="AG90" s="10"/>
      <c r="AH90" s="152">
        <f t="shared" si="167"/>
        <v>0</v>
      </c>
      <c r="AI90" s="54" t="e">
        <f t="shared" si="168"/>
        <v>#DIV/0!</v>
      </c>
      <c r="AJ90" s="25">
        <f t="shared" si="169"/>
        <v>0</v>
      </c>
      <c r="AK90" s="25">
        <f t="shared" si="170"/>
        <v>0</v>
      </c>
      <c r="AL90" s="25">
        <f t="shared" si="171"/>
        <v>0</v>
      </c>
      <c r="AM90" s="30">
        <f t="shared" si="172"/>
        <v>0</v>
      </c>
      <c r="AN90" s="25">
        <f t="shared" si="173"/>
        <v>0</v>
      </c>
      <c r="AO90" s="25">
        <f t="shared" si="174"/>
        <v>0</v>
      </c>
      <c r="AP90" s="25">
        <f t="shared" si="175"/>
        <v>0</v>
      </c>
      <c r="AQ90" s="25">
        <f t="shared" si="176"/>
        <v>0</v>
      </c>
      <c r="AR90" s="25">
        <f t="shared" si="177"/>
        <v>0</v>
      </c>
      <c r="AS90" s="25">
        <f t="shared" si="178"/>
        <v>0</v>
      </c>
      <c r="AT90" s="25">
        <f t="shared" si="179"/>
        <v>0</v>
      </c>
      <c r="AV90" s="79">
        <f t="shared" si="180"/>
        <v>0</v>
      </c>
      <c r="AW90" s="79">
        <f t="array" ref="AW90">SUMIFS('Cắt lồng'!$AC$327:$AC$515,'Cắt lồng'!$AA$327:$AA$515,'Cắt lồng'!$AA90,'Cắt lồng'!$AE$327:$AE$515,'Cắt lồng'!AW$4:AW$4)</f>
        <v>0</v>
      </c>
      <c r="AX90" s="79">
        <f t="array" ref="AX90">SUMIFS('Cắt lồng'!$AH$327:$AH$515,'Cắt lồng'!$AA$327:$AA$515,'Cắt lồng'!$AA90,'Cắt lồng'!$AE$327:$AE$515,'Cắt lồng'!AX$4:AX$4)</f>
        <v>0</v>
      </c>
      <c r="AY90" s="78" t="e">
        <f t="shared" si="181"/>
        <v>#DIV/0!</v>
      </c>
      <c r="AZ90" s="79">
        <f t="array" ref="AZ90">SUMIFS('Cắt lồng'!$AC$327:$AC$515,'Cắt lồng'!$AA$327:$AA$515,'Cắt lồng'!$AA90,'Cắt lồng'!$AE$327:$AE$515,'Cắt lồng'!AZ$4:AZ$4)</f>
        <v>0</v>
      </c>
      <c r="BA90" s="79">
        <f t="array" ref="BA90">SUMIFS('Cắt lồng'!$AH$327:$AH$515,'Cắt lồng'!$AA$327:$AA$515,'Cắt lồng'!$AA90,'Cắt lồng'!$AE$327:$AE$515,'Cắt lồng'!BA$4:BA$4)</f>
        <v>0</v>
      </c>
      <c r="BB90" s="78" t="e">
        <f t="shared" si="182"/>
        <v>#DIV/0!</v>
      </c>
      <c r="BC90" s="79">
        <f t="array" ref="BC90">SUMIFS('Cắt lồng'!$AC$327:$AC$515,'Cắt lồng'!$AA$327:$AA$515,'Cắt lồng'!$AA90,'Cắt lồng'!$AE$327:$AE$515,'Cắt lồng'!BC$4:BC$4)</f>
        <v>0</v>
      </c>
      <c r="BD90" s="79">
        <f t="array" ref="BD90">SUMIFS('Cắt lồng'!$AH$327:$AH$515,'Cắt lồng'!$AA$327:$AA$515,'Cắt lồng'!$AA90,'Cắt lồng'!$AE$327:$AE$515,'Cắt lồng'!BD$4:BD$4)</f>
        <v>0</v>
      </c>
      <c r="BE90" s="78" t="e">
        <f t="shared" si="183"/>
        <v>#DIV/0!</v>
      </c>
      <c r="BF90" s="79">
        <f t="array" ref="BF90">SUMIFS('Cắt lồng'!$AC$327:$AC$515,'Cắt lồng'!$AA$327:$AA$515,'Cắt lồng'!$AA90,'Cắt lồng'!$AE$327:$AE$515,'Cắt lồng'!BF$4:BF$4)</f>
        <v>0</v>
      </c>
      <c r="BG90" s="79">
        <f t="array" ref="BG90">SUMIFS('Cắt lồng'!$AH$327:$AH$515,'Cắt lồng'!$AA$327:$AA$515,'Cắt lồng'!$AA90,'Cắt lồng'!$AE$327:$AE$515,'Cắt lồng'!BG$4:BG$4)</f>
        <v>0</v>
      </c>
      <c r="BH90" s="78" t="e">
        <f t="shared" si="184"/>
        <v>#DIV/0!</v>
      </c>
      <c r="BI90" s="79">
        <f t="array" ref="BI90">SUMIFS('Cắt lồng'!$AC$327:$AC$515,'Cắt lồng'!$AA$327:$AA$515,'Cắt lồng'!$AA90,'Cắt lồng'!$AE$327:$AE$515,'Cắt lồng'!BI$4:BI$4)</f>
        <v>0</v>
      </c>
      <c r="BJ90" s="79">
        <f t="array" ref="BJ90">SUMIFS('Cắt lồng'!$AH$327:$AH$515,'Cắt lồng'!$AA$327:$AA$515,'Cắt lồng'!$AA90,'Cắt lồng'!$AE$327:$AE$515,'Cắt lồng'!BJ$4:BJ$4)</f>
        <v>0</v>
      </c>
      <c r="BK90" s="78" t="e">
        <f t="shared" si="185"/>
        <v>#DIV/0!</v>
      </c>
      <c r="BL90" s="79">
        <f t="array" ref="BL90">SUMIFS('Cắt lồng'!$AC$327:$AC$515,'Cắt lồng'!$AA$327:$AA$515,'Cắt lồng'!$AA90,'Cắt lồng'!$AE$327:$AE$515,'Cắt lồng'!BL$4:BL$4)</f>
        <v>0</v>
      </c>
      <c r="BM90" s="79">
        <f t="array" ref="BM90">SUMIFS('Cắt lồng'!$AH$327:$AH$515,'Cắt lồng'!$AA$327:$AA$515,'Cắt lồng'!$AA90,'Cắt lồng'!$AE$327:$AE$515,'Cắt lồng'!BM$4:BM$4)</f>
        <v>0</v>
      </c>
      <c r="BN90" s="78" t="e">
        <f t="shared" si="186"/>
        <v>#DIV/0!</v>
      </c>
      <c r="BO90" s="79">
        <f t="array" ref="BO90">SUMIFS('Cắt lồng'!$AC$327:$AC$515,'Cắt lồng'!$AA$327:$AA$515,'Cắt lồng'!$AA90,'Cắt lồng'!$AE$327:$AE$515,'Cắt lồng'!BO$4:BO$4)</f>
        <v>0</v>
      </c>
      <c r="BP90" s="79">
        <f t="array" ref="BP90">SUMIFS('Cắt lồng'!$AH$327:$AH$515,'Cắt lồng'!$AA$327:$AA$515,'Cắt lồng'!$AA90,'Cắt lồng'!$AE$327:$AE$515,'Cắt lồng'!BP$4:BP$4)</f>
        <v>0</v>
      </c>
      <c r="BQ90" s="78" t="e">
        <f t="shared" si="187"/>
        <v>#DIV/0!</v>
      </c>
      <c r="BR90" s="79">
        <f t="array" ref="BR90">SUMIFS('Cắt lồng'!$AC$327:$AC$515,'Cắt lồng'!$AA$327:$AA$515,'Cắt lồng'!$AA90,'Cắt lồng'!$AE$327:$AE$515,'Cắt lồng'!BR$4:BR$4)</f>
        <v>0</v>
      </c>
      <c r="BS90" s="79">
        <f t="array" ref="BS90">SUMIFS('Cắt lồng'!$AH$327:$AH$515,'Cắt lồng'!$AA$327:$AA$515,'Cắt lồng'!$AA90,'Cắt lồng'!$AE$327:$AE$515,'Cắt lồng'!BS$4:BS$4)</f>
        <v>0</v>
      </c>
      <c r="BT90" s="78" t="e">
        <f t="shared" si="188"/>
        <v>#DIV/0!</v>
      </c>
      <c r="BU90" s="79">
        <f t="array" ref="BU90">SUMIFS('Cắt lồng'!$AC$327:$AC$515,'Cắt lồng'!$AA$327:$AA$515,'Cắt lồng'!$AA90,'Cắt lồng'!$AE$327:$AE$515,'Cắt lồng'!BU$4:BU$4)</f>
        <v>0</v>
      </c>
      <c r="BV90" s="79">
        <f t="array" ref="BV90">SUMIFS('Cắt lồng'!$AH$327:$AH$515,'Cắt lồng'!$AA$327:$AA$515,'Cắt lồng'!$AA90,'Cắt lồng'!$AE$327:$AE$515,'Cắt lồng'!BV$4:BV$4)</f>
        <v>0</v>
      </c>
      <c r="BW90" s="78" t="e">
        <f t="shared" si="189"/>
        <v>#DIV/0!</v>
      </c>
      <c r="BX90" s="79">
        <f t="array" ref="BX90">SUMIFS('Cắt lồng'!$AC$327:$AC$515,'Cắt lồng'!$AA$327:$AA$515,'Cắt lồng'!$AA90,'Cắt lồng'!$AE$327:$AE$515,'Cắt lồng'!BX$4:BX$4)</f>
        <v>0</v>
      </c>
      <c r="BY90" s="79">
        <f t="array" ref="BY90">SUMIFS('Cắt lồng'!$AH$327:$AH$515,'Cắt lồng'!$AA$327:$AA$515,'Cắt lồng'!$AA90,'Cắt lồng'!$AE$327:$AE$515,'Cắt lồng'!BY$4:BY$4)</f>
        <v>0</v>
      </c>
      <c r="BZ90" s="78" t="e">
        <f t="shared" si="190"/>
        <v>#DIV/0!</v>
      </c>
      <c r="CA90" s="79">
        <f t="array" ref="CA90">SUMIFS('Cắt lồng'!$AC$327:$AC$515,'Cắt lồng'!$AA$327:$AA$515,'Cắt lồng'!$AA90,'Cắt lồng'!$AE$327:$AE$515,'Cắt lồng'!CA$4:CA$4)</f>
        <v>0</v>
      </c>
      <c r="CB90" s="79">
        <f t="array" ref="CB90">SUMIFS('Cắt lồng'!$AH$327:$AH$515,'Cắt lồng'!$AA$327:$AA$515,'Cắt lồng'!$AA90,'Cắt lồng'!$AE$327:$AE$515,'Cắt lồng'!CB$4:CB$4)</f>
        <v>0</v>
      </c>
      <c r="CC90" s="78" t="e">
        <f t="shared" si="191"/>
        <v>#DIV/0!</v>
      </c>
      <c r="CD90" s="79">
        <f t="array" ref="CD90">SUMIFS('Cắt lồng'!$AC$327:$AC$515,'Cắt lồng'!$AA$327:$AA$515,'Cắt lồng'!$AA90,'Cắt lồng'!$AE$327:$AE$515,'Cắt lồng'!CD$4:CD$4)</f>
        <v>0</v>
      </c>
      <c r="CE90" s="79">
        <f t="array" ref="CE90">SUMIFS('Cắt lồng'!$AH$327:$AH$515,'Cắt lồng'!$AA$327:$AA$515,'Cắt lồng'!$AA90,'Cắt lồng'!$AE$327:$AE$515,'Cắt lồng'!CE$4:CE$4)</f>
        <v>0</v>
      </c>
      <c r="CF90" s="78" t="e">
        <f t="shared" si="192"/>
        <v>#DIV/0!</v>
      </c>
      <c r="CG90" s="79">
        <f t="array" ref="CG90">SUMIFS('Cắt lồng'!$AC$327:$AC$515,'Cắt lồng'!$AA$327:$AA$515,'Cắt lồng'!$AA90,'Cắt lồng'!$AE$327:$AE$515,'Cắt lồng'!CG$4:CG$4)</f>
        <v>0</v>
      </c>
      <c r="CH90" s="79">
        <f t="array" ref="CH90">SUMIFS('Cắt lồng'!$AH$327:$AH$515,'Cắt lồng'!$AA$327:$AA$515,'Cắt lồng'!$AA90,'Cắt lồng'!$AE$327:$AE$515,'Cắt lồng'!CH$4:CH$4)</f>
        <v>0</v>
      </c>
      <c r="CI90" s="78" t="e">
        <f t="shared" si="193"/>
        <v>#DIV/0!</v>
      </c>
      <c r="CJ90" s="79">
        <f t="array" ref="CJ90">SUMIFS('Cắt lồng'!$AC$327:$AC$515,'Cắt lồng'!$AA$327:$AA$515,'Cắt lồng'!$AA90,'Cắt lồng'!$AE$327:$AE$515,'Cắt lồng'!CJ$4:CJ$4)</f>
        <v>0</v>
      </c>
      <c r="CK90" s="79">
        <f t="array" ref="CK90">SUMIFS('Cắt lồng'!$AH$327:$AH$515,'Cắt lồng'!$AA$327:$AA$515,'Cắt lồng'!$AA90,'Cắt lồng'!$AE$327:$AE$515,'Cắt lồng'!CK$4:CK$4)</f>
        <v>0</v>
      </c>
      <c r="CL90" s="78" t="e">
        <f t="shared" si="194"/>
        <v>#DIV/0!</v>
      </c>
      <c r="CM90" s="79">
        <f t="array" ref="CM90">SUMIFS('Cắt lồng'!$AC$327:$AC$515,'Cắt lồng'!$AA$327:$AA$515,'Cắt lồng'!$AA90,'Cắt lồng'!$AE$327:$AE$515,'Cắt lồng'!CM$4:CM$4)</f>
        <v>0</v>
      </c>
      <c r="CN90" s="79">
        <f t="array" ref="CN90">SUMIFS('Cắt lồng'!$AH$327:$AH$515,'Cắt lồng'!$AA$327:$AA$515,'Cắt lồng'!$AA90,'Cắt lồng'!$AE$327:$AE$515,'Cắt lồng'!CN$4:CN$4)</f>
        <v>0</v>
      </c>
      <c r="CO90" s="78" t="e">
        <f t="shared" si="195"/>
        <v>#DIV/0!</v>
      </c>
      <c r="CP90" s="79">
        <f t="array" ref="CP90">SUMIFS('Cắt lồng'!$AC$327:$AC$515,'Cắt lồng'!$AA$327:$AA$515,'Cắt lồng'!$AA90,'Cắt lồng'!$AE$327:$AE$515,'Cắt lồng'!CP$4:CP$4)</f>
        <v>0</v>
      </c>
      <c r="CQ90" s="79">
        <f t="array" ref="CQ90">SUMIFS('Cắt lồng'!$AH$327:$AH$515,'Cắt lồng'!$AA$327:$AA$515,'Cắt lồng'!$AA90,'Cắt lồng'!$AE$327:$AE$515,'Cắt lồng'!CQ$4:CQ$4)</f>
        <v>0</v>
      </c>
      <c r="CR90" s="78" t="e">
        <f t="shared" si="196"/>
        <v>#DIV/0!</v>
      </c>
      <c r="CS90" s="79">
        <f t="array" ref="CS90">SUMIFS('Cắt lồng'!$AC$327:$AC$515,'Cắt lồng'!$AA$327:$AA$515,'Cắt lồng'!$AA90,'Cắt lồng'!$AE$327:$AE$515,'Cắt lồng'!CS$4:CS$4)</f>
        <v>0</v>
      </c>
      <c r="CT90" s="79">
        <f t="array" ref="CT90">SUMIFS('Cắt lồng'!$AH$327:$AH$515,'Cắt lồng'!$AA$327:$AA$515,'Cắt lồng'!$AA90,'Cắt lồng'!$AE$327:$AE$515,'Cắt lồng'!CT$4:CT$4)</f>
        <v>0</v>
      </c>
      <c r="CU90" s="78" t="e">
        <f t="shared" si="197"/>
        <v>#DIV/0!</v>
      </c>
      <c r="CV90" s="79">
        <f t="array" ref="CV90">SUMIFS('Cắt lồng'!$AC$327:$AC$515,'Cắt lồng'!$AA$327:$AA$515,'Cắt lồng'!$AA90,'Cắt lồng'!$AE$327:$AE$515,'Cắt lồng'!CV$4:CV$4)</f>
        <v>0</v>
      </c>
      <c r="CW90" s="79">
        <f t="array" ref="CW90">SUMIFS('Cắt lồng'!$AH$327:$AH$515,'Cắt lồng'!$AA$327:$AA$515,'Cắt lồng'!$AA90,'Cắt lồng'!$AE$327:$AE$515,'Cắt lồng'!CW$4:CW$4)</f>
        <v>0</v>
      </c>
      <c r="CX90" s="78" t="e">
        <f t="shared" si="198"/>
        <v>#DIV/0!</v>
      </c>
      <c r="CY90" s="79">
        <f t="array" ref="CY90">SUMIFS('Cắt lồng'!$AC$327:$AC$515,'Cắt lồng'!$AA$327:$AA$515,'Cắt lồng'!$AA90,'Cắt lồng'!$AE$327:$AE$515,'Cắt lồng'!CY$4:CY$4)</f>
        <v>0</v>
      </c>
      <c r="CZ90" s="79">
        <f t="array" ref="CZ90">SUMIFS('Cắt lồng'!$AH$327:$AH$515,'Cắt lồng'!$AA$327:$AA$515,'Cắt lồng'!$AA90,'Cắt lồng'!$AE$327:$AE$515,'Cắt lồng'!CZ$4:CZ$4)</f>
        <v>0</v>
      </c>
      <c r="DA90" s="78" t="e">
        <f t="shared" si="199"/>
        <v>#DIV/0!</v>
      </c>
      <c r="DB90" s="79">
        <f t="array" ref="DB90">SUMIFS('Cắt lồng'!$AC$327:$AC$515,'Cắt lồng'!$AA$327:$AA$515,'Cắt lồng'!$AA90,'Cắt lồng'!$AE$327:$AE$515,'Cắt lồng'!DB$4:DB$4)</f>
        <v>0</v>
      </c>
      <c r="DC90" s="79">
        <f t="array" ref="DC90">SUMIFS('Cắt lồng'!$AH$327:$AH$515,'Cắt lồng'!$AA$327:$AA$515,'Cắt lồng'!$AA90,'Cắt lồng'!$AE$327:$AE$515,'Cắt lồng'!DC$4:DC$4)</f>
        <v>0</v>
      </c>
      <c r="DD90" s="78" t="e">
        <f t="shared" si="200"/>
        <v>#DIV/0!</v>
      </c>
      <c r="DE90" s="79">
        <f t="array" ref="DE90">SUMIFS('Cắt lồng'!$AC$327:$AC$515,'Cắt lồng'!$AA$327:$AA$515,'Cắt lồng'!$AA90,'Cắt lồng'!$AE$327:$AE$515,'Cắt lồng'!DE$4:DE$4)</f>
        <v>0</v>
      </c>
      <c r="DF90" s="79">
        <f t="array" ref="DF90">SUMIFS('Cắt lồng'!$AH$327:$AH$515,'Cắt lồng'!$AA$327:$AA$515,'Cắt lồng'!$AA90,'Cắt lồng'!$AE$327:$AE$515,'Cắt lồng'!DF$4:DF$4)</f>
        <v>0</v>
      </c>
      <c r="DG90" s="78" t="e">
        <f t="shared" si="201"/>
        <v>#DIV/0!</v>
      </c>
      <c r="DH90" s="79">
        <f t="array" ref="DH90">SUMIFS('Cắt lồng'!$AC$327:$AC$515,'Cắt lồng'!$AA$327:$AA$515,'Cắt lồng'!$AA90,'Cắt lồng'!$AE$327:$AE$515,'Cắt lồng'!DH$4:DH$4)</f>
        <v>0</v>
      </c>
      <c r="DI90" s="79">
        <f t="array" ref="DI90">SUMIFS('Cắt lồng'!$AH$327:$AH$515,'Cắt lồng'!$AA$327:$AA$515,'Cắt lồng'!$AA90,'Cắt lồng'!$AE$327:$AE$515,'Cắt lồng'!DI$4:DI$4)</f>
        <v>0</v>
      </c>
      <c r="DJ90" s="78" t="e">
        <f t="shared" si="202"/>
        <v>#DIV/0!</v>
      </c>
      <c r="DK90" s="79">
        <f t="array" ref="DK90">SUMIFS('Cắt lồng'!$AC$327:$AC$515,'Cắt lồng'!$AA$327:$AA$515,'Cắt lồng'!$AA90,'Cắt lồng'!$AE$327:$AE$515,'Cắt lồng'!DK$4:DK$4)</f>
        <v>0</v>
      </c>
      <c r="DL90" s="79">
        <f t="array" ref="DL90">SUMIFS('Cắt lồng'!$AH$327:$AH$515,'Cắt lồng'!$AA$327:$AA$515,'Cắt lồng'!$AA90,'Cắt lồng'!$AE$327:$AE$515,'Cắt lồng'!DL$4:DL$4)</f>
        <v>0</v>
      </c>
      <c r="DM90" s="78" t="e">
        <f t="shared" si="203"/>
        <v>#DIV/0!</v>
      </c>
      <c r="DN90" s="79">
        <f t="array" ref="DN90">SUMIFS('Cắt lồng'!$AC$327:$AC$515,'Cắt lồng'!$AA$327:$AA$515,'Cắt lồng'!$AA90,'Cắt lồng'!$AE$327:$AE$515,'Cắt lồng'!DN$4:DN$4)</f>
        <v>0</v>
      </c>
      <c r="DO90" s="79">
        <f t="array" ref="DO90">SUMIFS('Cắt lồng'!$AH$327:$AH$515,'Cắt lồng'!$AA$327:$AA$515,'Cắt lồng'!$AA90,'Cắt lồng'!$AE$327:$AE$515,'Cắt lồng'!DO$4:DO$4)</f>
        <v>0</v>
      </c>
      <c r="DP90" s="78" t="e">
        <f t="shared" si="204"/>
        <v>#DIV/0!</v>
      </c>
      <c r="DQ90" s="79">
        <f t="array" ref="DQ90">SUMIFS('Cắt lồng'!$AC$327:$AC$515,'Cắt lồng'!$AA$327:$AA$515,'Cắt lồng'!$AA90,'Cắt lồng'!$AE$327:$AE$515,'Cắt lồng'!DQ$4:DQ$4)</f>
        <v>0</v>
      </c>
      <c r="DR90" s="79">
        <f t="array" ref="DR90">SUMIFS('Cắt lồng'!$AH$327:$AH$515,'Cắt lồng'!$AA$327:$AA$515,'Cắt lồng'!$AA90,'Cắt lồng'!$AE$327:$AE$515,'Cắt lồng'!DR$4:DR$4)</f>
        <v>0</v>
      </c>
      <c r="DS90" s="78" t="e">
        <f t="shared" si="205"/>
        <v>#DIV/0!</v>
      </c>
      <c r="DT90" s="79">
        <f t="array" ref="DT90">SUMIFS('Cắt lồng'!$AC$327:$AC$515,'Cắt lồng'!$AA$327:$AA$515,'Cắt lồng'!$AA90,'Cắt lồng'!$AE$327:$AE$515,'Cắt lồng'!DT$4:DT$4)</f>
        <v>0</v>
      </c>
      <c r="DU90" s="79">
        <f t="array" ref="DU90">SUMIFS('Cắt lồng'!$AH$327:$AH$515,'Cắt lồng'!$AA$327:$AA$515,'Cắt lồng'!$AA90,'Cắt lồng'!$AE$327:$AE$515,'Cắt lồng'!DU$4:DU$4)</f>
        <v>0</v>
      </c>
      <c r="DV90" s="78" t="e">
        <f t="shared" si="206"/>
        <v>#DIV/0!</v>
      </c>
      <c r="DW90" s="79">
        <f t="array" ref="DW90">SUMIFS('Cắt lồng'!$AC$327:$AC$515,'Cắt lồng'!$AA$327:$AA$515,'Cắt lồng'!$AA90,'Cắt lồng'!$AE$327:$AE$515,'Cắt lồng'!DW$4:DW$4)</f>
        <v>0</v>
      </c>
      <c r="DX90" s="79">
        <f t="array" ref="DX90">SUMIFS('Cắt lồng'!$AH$327:$AH$515,'Cắt lồng'!$AA$327:$AA$515,'Cắt lồng'!$AA90,'Cắt lồng'!$AE$327:$AE$515,'Cắt lồng'!DX$4:DX$4)</f>
        <v>0</v>
      </c>
      <c r="DY90" s="78" t="e">
        <f t="shared" si="207"/>
        <v>#DIV/0!</v>
      </c>
      <c r="DZ90" s="79">
        <f t="array" ref="DZ90">SUMIFS('Cắt lồng'!$AC$327:$AC$515,'Cắt lồng'!$AA$327:$AA$515,'Cắt lồng'!$AA90,'Cắt lồng'!$AE$327:$AE$515,'Cắt lồng'!DZ$4:DZ$4)</f>
        <v>0</v>
      </c>
      <c r="EA90" s="79">
        <f t="array" ref="EA90">SUMIFS('Cắt lồng'!$AH$327:$AH$515,'Cắt lồng'!$AA$327:$AA$515,'Cắt lồng'!$AA90,'Cắt lồng'!$AE$327:$AE$515,'Cắt lồng'!EA$4:EA$4)</f>
        <v>0</v>
      </c>
      <c r="EB90" s="78" t="e">
        <f t="shared" si="208"/>
        <v>#DIV/0!</v>
      </c>
      <c r="EC90" s="79">
        <f t="array" ref="EC90">SUMIFS('Cắt lồng'!$AC$327:$AC$515,'Cắt lồng'!$AA$327:$AA$515,'Cắt lồng'!$AA90,'Cắt lồng'!$AE$327:$AE$515,'Cắt lồng'!EC$4:EC$4)</f>
        <v>0</v>
      </c>
      <c r="ED90" s="79">
        <f t="array" ref="ED90">SUMIFS('Cắt lồng'!$AH$327:$AH$515,'Cắt lồng'!$AA$327:$AA$515,'Cắt lồng'!$AA90,'Cắt lồng'!$AE$327:$AE$515,'Cắt lồng'!ED$4:ED$4)</f>
        <v>0</v>
      </c>
      <c r="EE90" s="78" t="e">
        <f t="shared" si="209"/>
        <v>#DIV/0!</v>
      </c>
      <c r="EF90" s="79">
        <f t="array" ref="EF90">SUMIFS('Cắt lồng'!$AC$327:$AC$515,'Cắt lồng'!$AA$327:$AA$515,'Cắt lồng'!$AA90,'Cắt lồng'!$AE$327:$AE$515,'Cắt lồng'!EF$4:EF$4)</f>
        <v>0</v>
      </c>
      <c r="EG90" s="79">
        <f t="array" ref="EG90">SUMIFS('Cắt lồng'!$AH$327:$AH$515,'Cắt lồng'!$AA$327:$AA$515,'Cắt lồng'!$AA90,'Cắt lồng'!$AE$327:$AE$515,'Cắt lồng'!EG$4:EG$4)</f>
        <v>0</v>
      </c>
      <c r="EH90" s="78" t="e">
        <f t="shared" si="210"/>
        <v>#DIV/0!</v>
      </c>
      <c r="EI90" s="79">
        <f t="array" ref="EI90">SUMIFS('Cắt lồng'!$AC$327:$AC$515,'Cắt lồng'!$AA$327:$AA$515,'Cắt lồng'!$AA90,'Cắt lồng'!$AE$327:$AE$515,'Cắt lồng'!EI$4:EI$4)</f>
        <v>0</v>
      </c>
      <c r="EJ90" s="79">
        <f t="array" ref="EJ90">SUMIFS('Cắt lồng'!$AH$327:$AH$515,'Cắt lồng'!$AA$327:$AA$515,'Cắt lồng'!$AA90,'Cắt lồng'!$AE$327:$AE$515,'Cắt lồng'!EJ$4:EJ$4)</f>
        <v>0</v>
      </c>
      <c r="EK90" s="78" t="e">
        <f t="shared" si="211"/>
        <v>#DIV/0!</v>
      </c>
    </row>
    <row r="91" spans="1:141" s="12" customFormat="1" ht="14.25" hidden="1" customHeight="1">
      <c r="A91" s="25">
        <v>62</v>
      </c>
      <c r="B91" s="26"/>
      <c r="C91" s="25"/>
      <c r="D91" s="24"/>
      <c r="E91" s="60"/>
      <c r="F91" s="59"/>
      <c r="G91" s="82">
        <f t="shared" si="144"/>
        <v>0</v>
      </c>
      <c r="H91" s="81">
        <f t="shared" si="145"/>
        <v>0</v>
      </c>
      <c r="I91" s="19">
        <f t="shared" si="146"/>
        <v>0</v>
      </c>
      <c r="J91" s="11">
        <f t="shared" si="147"/>
        <v>0</v>
      </c>
      <c r="K91" s="19">
        <f t="shared" si="148"/>
        <v>0</v>
      </c>
      <c r="L91" s="19">
        <f t="shared" si="149"/>
        <v>0</v>
      </c>
      <c r="M91" s="19">
        <f t="shared" si="150"/>
        <v>0</v>
      </c>
      <c r="N91" s="19">
        <f t="shared" si="151"/>
        <v>0</v>
      </c>
      <c r="O91" s="19">
        <f t="shared" si="152"/>
        <v>0</v>
      </c>
      <c r="P91" s="19">
        <f t="shared" si="153"/>
        <v>0</v>
      </c>
      <c r="Q91" s="19">
        <f t="shared" si="154"/>
        <v>0</v>
      </c>
      <c r="R91" s="19">
        <f t="shared" si="155"/>
        <v>0</v>
      </c>
      <c r="S91" s="19">
        <f t="shared" si="156"/>
        <v>0</v>
      </c>
      <c r="T91" s="19">
        <f t="shared" si="157"/>
        <v>0</v>
      </c>
      <c r="U91" s="19">
        <f t="shared" si="158"/>
        <v>0</v>
      </c>
      <c r="V91" s="19">
        <f t="shared" si="159"/>
        <v>0</v>
      </c>
      <c r="W91" s="19">
        <f t="shared" si="160"/>
        <v>0</v>
      </c>
      <c r="X91" s="19">
        <f t="shared" si="161"/>
        <v>0</v>
      </c>
      <c r="Y91" s="19">
        <f t="shared" si="162"/>
        <v>0</v>
      </c>
      <c r="Z91" s="19">
        <f t="shared" si="163"/>
        <v>0</v>
      </c>
      <c r="AA91" s="164" t="s">
        <v>230</v>
      </c>
      <c r="AB91" s="17" t="e">
        <f>+H91*SUMIF('[1]KẾ HOẠCH'!$B$5:$CK$5,'Cắt lồng'!AA91,'[1]KẾ HOẠCH'!$B$6:$CK$6)+H91*SUMIF('[1]KẾ HOẠCH'!$B$7:$CK$7,'Cắt lồng'!AA91,'[1]KẾ HOẠCH'!$B$8:$CK$8)+H91*SUMIF('[1]KẾ HOẠCH'!$B$15:$CK$15,'Cắt lồng'!AA91,'[1]KẾ HOẠCH'!$B$16:$CK$16)</f>
        <v>#VALUE!</v>
      </c>
      <c r="AC91" s="16">
        <f t="shared" si="164"/>
        <v>0</v>
      </c>
      <c r="AD91" s="15" t="e">
        <f t="shared" si="165"/>
        <v>#VALUE!</v>
      </c>
      <c r="AE91" s="42"/>
      <c r="AF91" s="10" t="e">
        <f t="shared" si="166"/>
        <v>#DIV/0!</v>
      </c>
      <c r="AG91" s="10"/>
      <c r="AH91" s="152">
        <f t="shared" si="167"/>
        <v>0</v>
      </c>
      <c r="AI91" s="54" t="e">
        <f t="shared" si="168"/>
        <v>#DIV/0!</v>
      </c>
      <c r="AJ91" s="25">
        <f t="shared" si="169"/>
        <v>0</v>
      </c>
      <c r="AK91" s="25">
        <f t="shared" si="170"/>
        <v>0</v>
      </c>
      <c r="AL91" s="25">
        <f t="shared" si="171"/>
        <v>0</v>
      </c>
      <c r="AM91" s="30">
        <f t="shared" si="172"/>
        <v>0</v>
      </c>
      <c r="AN91" s="25">
        <f t="shared" si="173"/>
        <v>0</v>
      </c>
      <c r="AO91" s="25">
        <f t="shared" si="174"/>
        <v>0</v>
      </c>
      <c r="AP91" s="25">
        <f t="shared" si="175"/>
        <v>0</v>
      </c>
      <c r="AQ91" s="25">
        <f t="shared" si="176"/>
        <v>0</v>
      </c>
      <c r="AR91" s="25">
        <f t="shared" si="177"/>
        <v>0</v>
      </c>
      <c r="AS91" s="25">
        <f t="shared" si="178"/>
        <v>0</v>
      </c>
      <c r="AT91" s="25">
        <f t="shared" si="179"/>
        <v>0</v>
      </c>
      <c r="AV91" s="79">
        <f t="shared" si="180"/>
        <v>0</v>
      </c>
      <c r="AW91" s="79">
        <f t="array" ref="AW91">SUMIFS('Cắt lồng'!$AC$327:$AC$515,'Cắt lồng'!$AA$327:$AA$515,'Cắt lồng'!$AA91,'Cắt lồng'!$AE$327:$AE$515,'Cắt lồng'!AW$4:AW$4)</f>
        <v>0</v>
      </c>
      <c r="AX91" s="79">
        <f t="array" ref="AX91">SUMIFS('Cắt lồng'!$AH$327:$AH$515,'Cắt lồng'!$AA$327:$AA$515,'Cắt lồng'!$AA91,'Cắt lồng'!$AE$327:$AE$515,'Cắt lồng'!AX$4:AX$4)</f>
        <v>0</v>
      </c>
      <c r="AY91" s="78" t="e">
        <f t="shared" si="181"/>
        <v>#DIV/0!</v>
      </c>
      <c r="AZ91" s="79">
        <f t="array" ref="AZ91">SUMIFS('Cắt lồng'!$AC$327:$AC$515,'Cắt lồng'!$AA$327:$AA$515,'Cắt lồng'!$AA91,'Cắt lồng'!$AE$327:$AE$515,'Cắt lồng'!AZ$4:AZ$4)</f>
        <v>0</v>
      </c>
      <c r="BA91" s="79">
        <f t="array" ref="BA91">SUMIFS('Cắt lồng'!$AH$327:$AH$515,'Cắt lồng'!$AA$327:$AA$515,'Cắt lồng'!$AA91,'Cắt lồng'!$AE$327:$AE$515,'Cắt lồng'!BA$4:BA$4)</f>
        <v>0</v>
      </c>
      <c r="BB91" s="78" t="e">
        <f t="shared" si="182"/>
        <v>#DIV/0!</v>
      </c>
      <c r="BC91" s="79">
        <f t="array" ref="BC91">SUMIFS('Cắt lồng'!$AC$327:$AC$515,'Cắt lồng'!$AA$327:$AA$515,'Cắt lồng'!$AA91,'Cắt lồng'!$AE$327:$AE$515,'Cắt lồng'!BC$4:BC$4)</f>
        <v>0</v>
      </c>
      <c r="BD91" s="79">
        <f t="array" ref="BD91">SUMIFS('Cắt lồng'!$AH$327:$AH$515,'Cắt lồng'!$AA$327:$AA$515,'Cắt lồng'!$AA91,'Cắt lồng'!$AE$327:$AE$515,'Cắt lồng'!BD$4:BD$4)</f>
        <v>0</v>
      </c>
      <c r="BE91" s="78" t="e">
        <f t="shared" si="183"/>
        <v>#DIV/0!</v>
      </c>
      <c r="BF91" s="79">
        <f t="array" ref="BF91">SUMIFS('Cắt lồng'!$AC$327:$AC$515,'Cắt lồng'!$AA$327:$AA$515,'Cắt lồng'!$AA91,'Cắt lồng'!$AE$327:$AE$515,'Cắt lồng'!BF$4:BF$4)</f>
        <v>0</v>
      </c>
      <c r="BG91" s="79">
        <f t="array" ref="BG91">SUMIFS('Cắt lồng'!$AH$327:$AH$515,'Cắt lồng'!$AA$327:$AA$515,'Cắt lồng'!$AA91,'Cắt lồng'!$AE$327:$AE$515,'Cắt lồng'!BG$4:BG$4)</f>
        <v>0</v>
      </c>
      <c r="BH91" s="78" t="e">
        <f t="shared" si="184"/>
        <v>#DIV/0!</v>
      </c>
      <c r="BI91" s="79">
        <f t="array" ref="BI91">SUMIFS('Cắt lồng'!$AC$327:$AC$515,'Cắt lồng'!$AA$327:$AA$515,'Cắt lồng'!$AA91,'Cắt lồng'!$AE$327:$AE$515,'Cắt lồng'!BI$4:BI$4)</f>
        <v>0</v>
      </c>
      <c r="BJ91" s="79">
        <f t="array" ref="BJ91">SUMIFS('Cắt lồng'!$AH$327:$AH$515,'Cắt lồng'!$AA$327:$AA$515,'Cắt lồng'!$AA91,'Cắt lồng'!$AE$327:$AE$515,'Cắt lồng'!BJ$4:BJ$4)</f>
        <v>0</v>
      </c>
      <c r="BK91" s="78" t="e">
        <f t="shared" si="185"/>
        <v>#DIV/0!</v>
      </c>
      <c r="BL91" s="79">
        <f t="array" ref="BL91">SUMIFS('Cắt lồng'!$AC$327:$AC$515,'Cắt lồng'!$AA$327:$AA$515,'Cắt lồng'!$AA91,'Cắt lồng'!$AE$327:$AE$515,'Cắt lồng'!BL$4:BL$4)</f>
        <v>0</v>
      </c>
      <c r="BM91" s="79">
        <f t="array" ref="BM91">SUMIFS('Cắt lồng'!$AH$327:$AH$515,'Cắt lồng'!$AA$327:$AA$515,'Cắt lồng'!$AA91,'Cắt lồng'!$AE$327:$AE$515,'Cắt lồng'!BM$4:BM$4)</f>
        <v>0</v>
      </c>
      <c r="BN91" s="78" t="e">
        <f t="shared" si="186"/>
        <v>#DIV/0!</v>
      </c>
      <c r="BO91" s="79">
        <f t="array" ref="BO91">SUMIFS('Cắt lồng'!$AC$327:$AC$515,'Cắt lồng'!$AA$327:$AA$515,'Cắt lồng'!$AA91,'Cắt lồng'!$AE$327:$AE$515,'Cắt lồng'!BO$4:BO$4)</f>
        <v>0</v>
      </c>
      <c r="BP91" s="79">
        <f t="array" ref="BP91">SUMIFS('Cắt lồng'!$AH$327:$AH$515,'Cắt lồng'!$AA$327:$AA$515,'Cắt lồng'!$AA91,'Cắt lồng'!$AE$327:$AE$515,'Cắt lồng'!BP$4:BP$4)</f>
        <v>0</v>
      </c>
      <c r="BQ91" s="78" t="e">
        <f t="shared" si="187"/>
        <v>#DIV/0!</v>
      </c>
      <c r="BR91" s="79">
        <f t="array" ref="BR91">SUMIFS('Cắt lồng'!$AC$327:$AC$515,'Cắt lồng'!$AA$327:$AA$515,'Cắt lồng'!$AA91,'Cắt lồng'!$AE$327:$AE$515,'Cắt lồng'!BR$4:BR$4)</f>
        <v>0</v>
      </c>
      <c r="BS91" s="79">
        <f t="array" ref="BS91">SUMIFS('Cắt lồng'!$AH$327:$AH$515,'Cắt lồng'!$AA$327:$AA$515,'Cắt lồng'!$AA91,'Cắt lồng'!$AE$327:$AE$515,'Cắt lồng'!BS$4:BS$4)</f>
        <v>0</v>
      </c>
      <c r="BT91" s="78" t="e">
        <f t="shared" si="188"/>
        <v>#DIV/0!</v>
      </c>
      <c r="BU91" s="79">
        <f t="array" ref="BU91">SUMIFS('Cắt lồng'!$AC$327:$AC$515,'Cắt lồng'!$AA$327:$AA$515,'Cắt lồng'!$AA91,'Cắt lồng'!$AE$327:$AE$515,'Cắt lồng'!BU$4:BU$4)</f>
        <v>0</v>
      </c>
      <c r="BV91" s="79">
        <f t="array" ref="BV91">SUMIFS('Cắt lồng'!$AH$327:$AH$515,'Cắt lồng'!$AA$327:$AA$515,'Cắt lồng'!$AA91,'Cắt lồng'!$AE$327:$AE$515,'Cắt lồng'!BV$4:BV$4)</f>
        <v>0</v>
      </c>
      <c r="BW91" s="78" t="e">
        <f t="shared" si="189"/>
        <v>#DIV/0!</v>
      </c>
      <c r="BX91" s="79">
        <f t="array" ref="BX91">SUMIFS('Cắt lồng'!$AC$327:$AC$515,'Cắt lồng'!$AA$327:$AA$515,'Cắt lồng'!$AA91,'Cắt lồng'!$AE$327:$AE$515,'Cắt lồng'!BX$4:BX$4)</f>
        <v>0</v>
      </c>
      <c r="BY91" s="79">
        <f t="array" ref="BY91">SUMIFS('Cắt lồng'!$AH$327:$AH$515,'Cắt lồng'!$AA$327:$AA$515,'Cắt lồng'!$AA91,'Cắt lồng'!$AE$327:$AE$515,'Cắt lồng'!BY$4:BY$4)</f>
        <v>0</v>
      </c>
      <c r="BZ91" s="78" t="e">
        <f t="shared" si="190"/>
        <v>#DIV/0!</v>
      </c>
      <c r="CA91" s="79">
        <f t="array" ref="CA91">SUMIFS('Cắt lồng'!$AC$327:$AC$515,'Cắt lồng'!$AA$327:$AA$515,'Cắt lồng'!$AA91,'Cắt lồng'!$AE$327:$AE$515,'Cắt lồng'!CA$4:CA$4)</f>
        <v>0</v>
      </c>
      <c r="CB91" s="79">
        <f t="array" ref="CB91">SUMIFS('Cắt lồng'!$AH$327:$AH$515,'Cắt lồng'!$AA$327:$AA$515,'Cắt lồng'!$AA91,'Cắt lồng'!$AE$327:$AE$515,'Cắt lồng'!CB$4:CB$4)</f>
        <v>0</v>
      </c>
      <c r="CC91" s="78" t="e">
        <f t="shared" si="191"/>
        <v>#DIV/0!</v>
      </c>
      <c r="CD91" s="79">
        <f t="array" ref="CD91">SUMIFS('Cắt lồng'!$AC$327:$AC$515,'Cắt lồng'!$AA$327:$AA$515,'Cắt lồng'!$AA91,'Cắt lồng'!$AE$327:$AE$515,'Cắt lồng'!CD$4:CD$4)</f>
        <v>0</v>
      </c>
      <c r="CE91" s="79">
        <f t="array" ref="CE91">SUMIFS('Cắt lồng'!$AH$327:$AH$515,'Cắt lồng'!$AA$327:$AA$515,'Cắt lồng'!$AA91,'Cắt lồng'!$AE$327:$AE$515,'Cắt lồng'!CE$4:CE$4)</f>
        <v>0</v>
      </c>
      <c r="CF91" s="78" t="e">
        <f t="shared" si="192"/>
        <v>#DIV/0!</v>
      </c>
      <c r="CG91" s="79">
        <f t="array" ref="CG91">SUMIFS('Cắt lồng'!$AC$327:$AC$515,'Cắt lồng'!$AA$327:$AA$515,'Cắt lồng'!$AA91,'Cắt lồng'!$AE$327:$AE$515,'Cắt lồng'!CG$4:CG$4)</f>
        <v>0</v>
      </c>
      <c r="CH91" s="79">
        <f t="array" ref="CH91">SUMIFS('Cắt lồng'!$AH$327:$AH$515,'Cắt lồng'!$AA$327:$AA$515,'Cắt lồng'!$AA91,'Cắt lồng'!$AE$327:$AE$515,'Cắt lồng'!CH$4:CH$4)</f>
        <v>0</v>
      </c>
      <c r="CI91" s="78" t="e">
        <f t="shared" si="193"/>
        <v>#DIV/0!</v>
      </c>
      <c r="CJ91" s="79">
        <f t="array" ref="CJ91">SUMIFS('Cắt lồng'!$AC$327:$AC$515,'Cắt lồng'!$AA$327:$AA$515,'Cắt lồng'!$AA91,'Cắt lồng'!$AE$327:$AE$515,'Cắt lồng'!CJ$4:CJ$4)</f>
        <v>0</v>
      </c>
      <c r="CK91" s="79">
        <f t="array" ref="CK91">SUMIFS('Cắt lồng'!$AH$327:$AH$515,'Cắt lồng'!$AA$327:$AA$515,'Cắt lồng'!$AA91,'Cắt lồng'!$AE$327:$AE$515,'Cắt lồng'!CK$4:CK$4)</f>
        <v>0</v>
      </c>
      <c r="CL91" s="78" t="e">
        <f t="shared" si="194"/>
        <v>#DIV/0!</v>
      </c>
      <c r="CM91" s="79">
        <f t="array" ref="CM91">SUMIFS('Cắt lồng'!$AC$327:$AC$515,'Cắt lồng'!$AA$327:$AA$515,'Cắt lồng'!$AA91,'Cắt lồng'!$AE$327:$AE$515,'Cắt lồng'!CM$4:CM$4)</f>
        <v>0</v>
      </c>
      <c r="CN91" s="79">
        <f t="array" ref="CN91">SUMIFS('Cắt lồng'!$AH$327:$AH$515,'Cắt lồng'!$AA$327:$AA$515,'Cắt lồng'!$AA91,'Cắt lồng'!$AE$327:$AE$515,'Cắt lồng'!CN$4:CN$4)</f>
        <v>0</v>
      </c>
      <c r="CO91" s="78" t="e">
        <f t="shared" si="195"/>
        <v>#DIV/0!</v>
      </c>
      <c r="CP91" s="79">
        <f t="array" ref="CP91">SUMIFS('Cắt lồng'!$AC$327:$AC$515,'Cắt lồng'!$AA$327:$AA$515,'Cắt lồng'!$AA91,'Cắt lồng'!$AE$327:$AE$515,'Cắt lồng'!CP$4:CP$4)</f>
        <v>0</v>
      </c>
      <c r="CQ91" s="79">
        <f t="array" ref="CQ91">SUMIFS('Cắt lồng'!$AH$327:$AH$515,'Cắt lồng'!$AA$327:$AA$515,'Cắt lồng'!$AA91,'Cắt lồng'!$AE$327:$AE$515,'Cắt lồng'!CQ$4:CQ$4)</f>
        <v>0</v>
      </c>
      <c r="CR91" s="78" t="e">
        <f t="shared" si="196"/>
        <v>#DIV/0!</v>
      </c>
      <c r="CS91" s="79">
        <f t="array" ref="CS91">SUMIFS('Cắt lồng'!$AC$327:$AC$515,'Cắt lồng'!$AA$327:$AA$515,'Cắt lồng'!$AA91,'Cắt lồng'!$AE$327:$AE$515,'Cắt lồng'!CS$4:CS$4)</f>
        <v>0</v>
      </c>
      <c r="CT91" s="79">
        <f t="array" ref="CT91">SUMIFS('Cắt lồng'!$AH$327:$AH$515,'Cắt lồng'!$AA$327:$AA$515,'Cắt lồng'!$AA91,'Cắt lồng'!$AE$327:$AE$515,'Cắt lồng'!CT$4:CT$4)</f>
        <v>0</v>
      </c>
      <c r="CU91" s="78" t="e">
        <f t="shared" si="197"/>
        <v>#DIV/0!</v>
      </c>
      <c r="CV91" s="79">
        <f t="array" ref="CV91">SUMIFS('Cắt lồng'!$AC$327:$AC$515,'Cắt lồng'!$AA$327:$AA$515,'Cắt lồng'!$AA91,'Cắt lồng'!$AE$327:$AE$515,'Cắt lồng'!CV$4:CV$4)</f>
        <v>0</v>
      </c>
      <c r="CW91" s="79">
        <f t="array" ref="CW91">SUMIFS('Cắt lồng'!$AH$327:$AH$515,'Cắt lồng'!$AA$327:$AA$515,'Cắt lồng'!$AA91,'Cắt lồng'!$AE$327:$AE$515,'Cắt lồng'!CW$4:CW$4)</f>
        <v>0</v>
      </c>
      <c r="CX91" s="78" t="e">
        <f t="shared" si="198"/>
        <v>#DIV/0!</v>
      </c>
      <c r="CY91" s="79">
        <f t="array" ref="CY91">SUMIFS('Cắt lồng'!$AC$327:$AC$515,'Cắt lồng'!$AA$327:$AA$515,'Cắt lồng'!$AA91,'Cắt lồng'!$AE$327:$AE$515,'Cắt lồng'!CY$4:CY$4)</f>
        <v>0</v>
      </c>
      <c r="CZ91" s="79">
        <f t="array" ref="CZ91">SUMIFS('Cắt lồng'!$AH$327:$AH$515,'Cắt lồng'!$AA$327:$AA$515,'Cắt lồng'!$AA91,'Cắt lồng'!$AE$327:$AE$515,'Cắt lồng'!CZ$4:CZ$4)</f>
        <v>0</v>
      </c>
      <c r="DA91" s="78" t="e">
        <f t="shared" si="199"/>
        <v>#DIV/0!</v>
      </c>
      <c r="DB91" s="79">
        <f t="array" ref="DB91">SUMIFS('Cắt lồng'!$AC$327:$AC$515,'Cắt lồng'!$AA$327:$AA$515,'Cắt lồng'!$AA91,'Cắt lồng'!$AE$327:$AE$515,'Cắt lồng'!DB$4:DB$4)</f>
        <v>0</v>
      </c>
      <c r="DC91" s="79">
        <f t="array" ref="DC91">SUMIFS('Cắt lồng'!$AH$327:$AH$515,'Cắt lồng'!$AA$327:$AA$515,'Cắt lồng'!$AA91,'Cắt lồng'!$AE$327:$AE$515,'Cắt lồng'!DC$4:DC$4)</f>
        <v>0</v>
      </c>
      <c r="DD91" s="78" t="e">
        <f t="shared" si="200"/>
        <v>#DIV/0!</v>
      </c>
      <c r="DE91" s="79">
        <f t="array" ref="DE91">SUMIFS('Cắt lồng'!$AC$327:$AC$515,'Cắt lồng'!$AA$327:$AA$515,'Cắt lồng'!$AA91,'Cắt lồng'!$AE$327:$AE$515,'Cắt lồng'!DE$4:DE$4)</f>
        <v>0</v>
      </c>
      <c r="DF91" s="79">
        <f t="array" ref="DF91">SUMIFS('Cắt lồng'!$AH$327:$AH$515,'Cắt lồng'!$AA$327:$AA$515,'Cắt lồng'!$AA91,'Cắt lồng'!$AE$327:$AE$515,'Cắt lồng'!DF$4:DF$4)</f>
        <v>0</v>
      </c>
      <c r="DG91" s="78" t="e">
        <f t="shared" si="201"/>
        <v>#DIV/0!</v>
      </c>
      <c r="DH91" s="79">
        <f t="array" ref="DH91">SUMIFS('Cắt lồng'!$AC$327:$AC$515,'Cắt lồng'!$AA$327:$AA$515,'Cắt lồng'!$AA91,'Cắt lồng'!$AE$327:$AE$515,'Cắt lồng'!DH$4:DH$4)</f>
        <v>0</v>
      </c>
      <c r="DI91" s="79">
        <f t="array" ref="DI91">SUMIFS('Cắt lồng'!$AH$327:$AH$515,'Cắt lồng'!$AA$327:$AA$515,'Cắt lồng'!$AA91,'Cắt lồng'!$AE$327:$AE$515,'Cắt lồng'!DI$4:DI$4)</f>
        <v>0</v>
      </c>
      <c r="DJ91" s="78" t="e">
        <f t="shared" si="202"/>
        <v>#DIV/0!</v>
      </c>
      <c r="DK91" s="79">
        <f t="array" ref="DK91">SUMIFS('Cắt lồng'!$AC$327:$AC$515,'Cắt lồng'!$AA$327:$AA$515,'Cắt lồng'!$AA91,'Cắt lồng'!$AE$327:$AE$515,'Cắt lồng'!DK$4:DK$4)</f>
        <v>0</v>
      </c>
      <c r="DL91" s="79">
        <f t="array" ref="DL91">SUMIFS('Cắt lồng'!$AH$327:$AH$515,'Cắt lồng'!$AA$327:$AA$515,'Cắt lồng'!$AA91,'Cắt lồng'!$AE$327:$AE$515,'Cắt lồng'!DL$4:DL$4)</f>
        <v>0</v>
      </c>
      <c r="DM91" s="78" t="e">
        <f t="shared" si="203"/>
        <v>#DIV/0!</v>
      </c>
      <c r="DN91" s="79">
        <f t="array" ref="DN91">SUMIFS('Cắt lồng'!$AC$327:$AC$515,'Cắt lồng'!$AA$327:$AA$515,'Cắt lồng'!$AA91,'Cắt lồng'!$AE$327:$AE$515,'Cắt lồng'!DN$4:DN$4)</f>
        <v>0</v>
      </c>
      <c r="DO91" s="79">
        <f t="array" ref="DO91">SUMIFS('Cắt lồng'!$AH$327:$AH$515,'Cắt lồng'!$AA$327:$AA$515,'Cắt lồng'!$AA91,'Cắt lồng'!$AE$327:$AE$515,'Cắt lồng'!DO$4:DO$4)</f>
        <v>0</v>
      </c>
      <c r="DP91" s="78" t="e">
        <f t="shared" si="204"/>
        <v>#DIV/0!</v>
      </c>
      <c r="DQ91" s="79">
        <f t="array" ref="DQ91">SUMIFS('Cắt lồng'!$AC$327:$AC$515,'Cắt lồng'!$AA$327:$AA$515,'Cắt lồng'!$AA91,'Cắt lồng'!$AE$327:$AE$515,'Cắt lồng'!DQ$4:DQ$4)</f>
        <v>0</v>
      </c>
      <c r="DR91" s="79">
        <f t="array" ref="DR91">SUMIFS('Cắt lồng'!$AH$327:$AH$515,'Cắt lồng'!$AA$327:$AA$515,'Cắt lồng'!$AA91,'Cắt lồng'!$AE$327:$AE$515,'Cắt lồng'!DR$4:DR$4)</f>
        <v>0</v>
      </c>
      <c r="DS91" s="78" t="e">
        <f t="shared" si="205"/>
        <v>#DIV/0!</v>
      </c>
      <c r="DT91" s="79">
        <f t="array" ref="DT91">SUMIFS('Cắt lồng'!$AC$327:$AC$515,'Cắt lồng'!$AA$327:$AA$515,'Cắt lồng'!$AA91,'Cắt lồng'!$AE$327:$AE$515,'Cắt lồng'!DT$4:DT$4)</f>
        <v>0</v>
      </c>
      <c r="DU91" s="79">
        <f t="array" ref="DU91">SUMIFS('Cắt lồng'!$AH$327:$AH$515,'Cắt lồng'!$AA$327:$AA$515,'Cắt lồng'!$AA91,'Cắt lồng'!$AE$327:$AE$515,'Cắt lồng'!DU$4:DU$4)</f>
        <v>0</v>
      </c>
      <c r="DV91" s="78" t="e">
        <f t="shared" si="206"/>
        <v>#DIV/0!</v>
      </c>
      <c r="DW91" s="79">
        <f t="array" ref="DW91">SUMIFS('Cắt lồng'!$AC$327:$AC$515,'Cắt lồng'!$AA$327:$AA$515,'Cắt lồng'!$AA91,'Cắt lồng'!$AE$327:$AE$515,'Cắt lồng'!DW$4:DW$4)</f>
        <v>0</v>
      </c>
      <c r="DX91" s="79">
        <f t="array" ref="DX91">SUMIFS('Cắt lồng'!$AH$327:$AH$515,'Cắt lồng'!$AA$327:$AA$515,'Cắt lồng'!$AA91,'Cắt lồng'!$AE$327:$AE$515,'Cắt lồng'!DX$4:DX$4)</f>
        <v>0</v>
      </c>
      <c r="DY91" s="78" t="e">
        <f t="shared" si="207"/>
        <v>#DIV/0!</v>
      </c>
      <c r="DZ91" s="79">
        <f t="array" ref="DZ91">SUMIFS('Cắt lồng'!$AC$327:$AC$515,'Cắt lồng'!$AA$327:$AA$515,'Cắt lồng'!$AA91,'Cắt lồng'!$AE$327:$AE$515,'Cắt lồng'!DZ$4:DZ$4)</f>
        <v>0</v>
      </c>
      <c r="EA91" s="79">
        <f t="array" ref="EA91">SUMIFS('Cắt lồng'!$AH$327:$AH$515,'Cắt lồng'!$AA$327:$AA$515,'Cắt lồng'!$AA91,'Cắt lồng'!$AE$327:$AE$515,'Cắt lồng'!EA$4:EA$4)</f>
        <v>0</v>
      </c>
      <c r="EB91" s="78" t="e">
        <f t="shared" si="208"/>
        <v>#DIV/0!</v>
      </c>
      <c r="EC91" s="79">
        <f t="array" ref="EC91">SUMIFS('Cắt lồng'!$AC$327:$AC$515,'Cắt lồng'!$AA$327:$AA$515,'Cắt lồng'!$AA91,'Cắt lồng'!$AE$327:$AE$515,'Cắt lồng'!EC$4:EC$4)</f>
        <v>0</v>
      </c>
      <c r="ED91" s="79">
        <f t="array" ref="ED91">SUMIFS('Cắt lồng'!$AH$327:$AH$515,'Cắt lồng'!$AA$327:$AA$515,'Cắt lồng'!$AA91,'Cắt lồng'!$AE$327:$AE$515,'Cắt lồng'!ED$4:ED$4)</f>
        <v>0</v>
      </c>
      <c r="EE91" s="78" t="e">
        <f t="shared" si="209"/>
        <v>#DIV/0!</v>
      </c>
      <c r="EF91" s="79">
        <f t="array" ref="EF91">SUMIFS('Cắt lồng'!$AC$327:$AC$515,'Cắt lồng'!$AA$327:$AA$515,'Cắt lồng'!$AA91,'Cắt lồng'!$AE$327:$AE$515,'Cắt lồng'!EF$4:EF$4)</f>
        <v>0</v>
      </c>
      <c r="EG91" s="79">
        <f t="array" ref="EG91">SUMIFS('Cắt lồng'!$AH$327:$AH$515,'Cắt lồng'!$AA$327:$AA$515,'Cắt lồng'!$AA91,'Cắt lồng'!$AE$327:$AE$515,'Cắt lồng'!EG$4:EG$4)</f>
        <v>0</v>
      </c>
      <c r="EH91" s="78" t="e">
        <f t="shared" si="210"/>
        <v>#DIV/0!</v>
      </c>
      <c r="EI91" s="79">
        <f t="array" ref="EI91">SUMIFS('Cắt lồng'!$AC$327:$AC$515,'Cắt lồng'!$AA$327:$AA$515,'Cắt lồng'!$AA91,'Cắt lồng'!$AE$327:$AE$515,'Cắt lồng'!EI$4:EI$4)</f>
        <v>0</v>
      </c>
      <c r="EJ91" s="79">
        <f t="array" ref="EJ91">SUMIFS('Cắt lồng'!$AH$327:$AH$515,'Cắt lồng'!$AA$327:$AA$515,'Cắt lồng'!$AA91,'Cắt lồng'!$AE$327:$AE$515,'Cắt lồng'!EJ$4:EJ$4)</f>
        <v>0</v>
      </c>
      <c r="EK91" s="78" t="e">
        <f t="shared" si="211"/>
        <v>#DIV/0!</v>
      </c>
    </row>
    <row r="92" spans="1:141" s="12" customFormat="1" ht="14.25" hidden="1" customHeight="1">
      <c r="A92" s="25">
        <v>63</v>
      </c>
      <c r="B92" s="26"/>
      <c r="C92" s="25"/>
      <c r="D92" s="24"/>
      <c r="E92" s="60"/>
      <c r="F92" s="59"/>
      <c r="G92" s="82">
        <f t="shared" si="144"/>
        <v>0</v>
      </c>
      <c r="H92" s="81">
        <f t="shared" si="145"/>
        <v>0</v>
      </c>
      <c r="I92" s="19">
        <f t="shared" si="146"/>
        <v>0</v>
      </c>
      <c r="J92" s="11">
        <f t="shared" si="147"/>
        <v>0</v>
      </c>
      <c r="K92" s="19">
        <f t="shared" si="148"/>
        <v>0</v>
      </c>
      <c r="L92" s="19">
        <f t="shared" si="149"/>
        <v>0</v>
      </c>
      <c r="M92" s="19">
        <f t="shared" si="150"/>
        <v>0</v>
      </c>
      <c r="N92" s="19">
        <f t="shared" si="151"/>
        <v>0</v>
      </c>
      <c r="O92" s="19">
        <f t="shared" si="152"/>
        <v>0</v>
      </c>
      <c r="P92" s="19">
        <f t="shared" si="153"/>
        <v>0</v>
      </c>
      <c r="Q92" s="19">
        <f t="shared" si="154"/>
        <v>0</v>
      </c>
      <c r="R92" s="19">
        <f t="shared" si="155"/>
        <v>0</v>
      </c>
      <c r="S92" s="19">
        <f t="shared" si="156"/>
        <v>0</v>
      </c>
      <c r="T92" s="19">
        <f t="shared" si="157"/>
        <v>0</v>
      </c>
      <c r="U92" s="19">
        <f t="shared" si="158"/>
        <v>0</v>
      </c>
      <c r="V92" s="19">
        <f t="shared" si="159"/>
        <v>0</v>
      </c>
      <c r="W92" s="19">
        <f t="shared" si="160"/>
        <v>0</v>
      </c>
      <c r="X92" s="19">
        <f t="shared" si="161"/>
        <v>0</v>
      </c>
      <c r="Y92" s="19">
        <f t="shared" si="162"/>
        <v>0</v>
      </c>
      <c r="Z92" s="19">
        <f t="shared" si="163"/>
        <v>0</v>
      </c>
      <c r="AA92" s="164" t="s">
        <v>229</v>
      </c>
      <c r="AB92" s="17" t="e">
        <f>+H92*SUMIF('[1]KẾ HOẠCH'!$B$5:$CK$5,'Cắt lồng'!AA92,'[1]KẾ HOẠCH'!$B$6:$CK$6)+H92*SUMIF('[1]KẾ HOẠCH'!$B$7:$CK$7,'Cắt lồng'!AA92,'[1]KẾ HOẠCH'!$B$8:$CK$8)+H92*SUMIF('[1]KẾ HOẠCH'!$B$15:$CK$15,'Cắt lồng'!AA92,'[1]KẾ HOẠCH'!$B$16:$CK$16)</f>
        <v>#VALUE!</v>
      </c>
      <c r="AC92" s="16">
        <f t="shared" si="164"/>
        <v>0</v>
      </c>
      <c r="AD92" s="15" t="e">
        <f t="shared" si="165"/>
        <v>#VALUE!</v>
      </c>
      <c r="AE92" s="42"/>
      <c r="AF92" s="10" t="e">
        <f t="shared" si="166"/>
        <v>#DIV/0!</v>
      </c>
      <c r="AG92" s="10"/>
      <c r="AH92" s="152">
        <f t="shared" si="167"/>
        <v>0</v>
      </c>
      <c r="AI92" s="54" t="e">
        <f t="shared" si="168"/>
        <v>#DIV/0!</v>
      </c>
      <c r="AJ92" s="25">
        <f t="shared" si="169"/>
        <v>0</v>
      </c>
      <c r="AK92" s="25">
        <f t="shared" si="170"/>
        <v>0</v>
      </c>
      <c r="AL92" s="25">
        <f t="shared" si="171"/>
        <v>0</v>
      </c>
      <c r="AM92" s="30">
        <f t="shared" si="172"/>
        <v>0</v>
      </c>
      <c r="AN92" s="25">
        <f t="shared" si="173"/>
        <v>0</v>
      </c>
      <c r="AO92" s="25">
        <f t="shared" si="174"/>
        <v>0</v>
      </c>
      <c r="AP92" s="25">
        <f t="shared" si="175"/>
        <v>0</v>
      </c>
      <c r="AQ92" s="25">
        <f t="shared" si="176"/>
        <v>0</v>
      </c>
      <c r="AR92" s="25">
        <f t="shared" si="177"/>
        <v>0</v>
      </c>
      <c r="AS92" s="25">
        <f t="shared" si="178"/>
        <v>0</v>
      </c>
      <c r="AT92" s="25">
        <f t="shared" si="179"/>
        <v>0</v>
      </c>
      <c r="AV92" s="79">
        <f t="shared" si="180"/>
        <v>0</v>
      </c>
      <c r="AW92" s="79">
        <f t="array" ref="AW92">SUMIFS('Cắt lồng'!$AC$327:$AC$515,'Cắt lồng'!$AA$327:$AA$515,'Cắt lồng'!$AA92,'Cắt lồng'!$AE$327:$AE$515,'Cắt lồng'!AW$4:AW$4)</f>
        <v>0</v>
      </c>
      <c r="AX92" s="79">
        <f t="array" ref="AX92">SUMIFS('Cắt lồng'!$AH$327:$AH$515,'Cắt lồng'!$AA$327:$AA$515,'Cắt lồng'!$AA92,'Cắt lồng'!$AE$327:$AE$515,'Cắt lồng'!AX$4:AX$4)</f>
        <v>0</v>
      </c>
      <c r="AY92" s="78" t="e">
        <f t="shared" si="181"/>
        <v>#DIV/0!</v>
      </c>
      <c r="AZ92" s="79">
        <f t="array" ref="AZ92">SUMIFS('Cắt lồng'!$AC$327:$AC$515,'Cắt lồng'!$AA$327:$AA$515,'Cắt lồng'!$AA92,'Cắt lồng'!$AE$327:$AE$515,'Cắt lồng'!AZ$4:AZ$4)</f>
        <v>0</v>
      </c>
      <c r="BA92" s="79">
        <f t="array" ref="BA92">SUMIFS('Cắt lồng'!$AH$327:$AH$515,'Cắt lồng'!$AA$327:$AA$515,'Cắt lồng'!$AA92,'Cắt lồng'!$AE$327:$AE$515,'Cắt lồng'!BA$4:BA$4)</f>
        <v>0</v>
      </c>
      <c r="BB92" s="78" t="e">
        <f t="shared" si="182"/>
        <v>#DIV/0!</v>
      </c>
      <c r="BC92" s="79">
        <f t="array" ref="BC92">SUMIFS('Cắt lồng'!$AC$327:$AC$515,'Cắt lồng'!$AA$327:$AA$515,'Cắt lồng'!$AA92,'Cắt lồng'!$AE$327:$AE$515,'Cắt lồng'!BC$4:BC$4)</f>
        <v>0</v>
      </c>
      <c r="BD92" s="79">
        <f t="array" ref="BD92">SUMIFS('Cắt lồng'!$AH$327:$AH$515,'Cắt lồng'!$AA$327:$AA$515,'Cắt lồng'!$AA92,'Cắt lồng'!$AE$327:$AE$515,'Cắt lồng'!BD$4:BD$4)</f>
        <v>0</v>
      </c>
      <c r="BE92" s="78" t="e">
        <f t="shared" si="183"/>
        <v>#DIV/0!</v>
      </c>
      <c r="BF92" s="79">
        <f t="array" ref="BF92">SUMIFS('Cắt lồng'!$AC$327:$AC$515,'Cắt lồng'!$AA$327:$AA$515,'Cắt lồng'!$AA92,'Cắt lồng'!$AE$327:$AE$515,'Cắt lồng'!BF$4:BF$4)</f>
        <v>0</v>
      </c>
      <c r="BG92" s="79">
        <f t="array" ref="BG92">SUMIFS('Cắt lồng'!$AH$327:$AH$515,'Cắt lồng'!$AA$327:$AA$515,'Cắt lồng'!$AA92,'Cắt lồng'!$AE$327:$AE$515,'Cắt lồng'!BG$4:BG$4)</f>
        <v>0</v>
      </c>
      <c r="BH92" s="78" t="e">
        <f t="shared" si="184"/>
        <v>#DIV/0!</v>
      </c>
      <c r="BI92" s="79">
        <f t="array" ref="BI92">SUMIFS('Cắt lồng'!$AC$327:$AC$515,'Cắt lồng'!$AA$327:$AA$515,'Cắt lồng'!$AA92,'Cắt lồng'!$AE$327:$AE$515,'Cắt lồng'!BI$4:BI$4)</f>
        <v>0</v>
      </c>
      <c r="BJ92" s="79">
        <f t="array" ref="BJ92">SUMIFS('Cắt lồng'!$AH$327:$AH$515,'Cắt lồng'!$AA$327:$AA$515,'Cắt lồng'!$AA92,'Cắt lồng'!$AE$327:$AE$515,'Cắt lồng'!BJ$4:BJ$4)</f>
        <v>0</v>
      </c>
      <c r="BK92" s="78" t="e">
        <f t="shared" si="185"/>
        <v>#DIV/0!</v>
      </c>
      <c r="BL92" s="79">
        <f t="array" ref="BL92">SUMIFS('Cắt lồng'!$AC$327:$AC$515,'Cắt lồng'!$AA$327:$AA$515,'Cắt lồng'!$AA92,'Cắt lồng'!$AE$327:$AE$515,'Cắt lồng'!BL$4:BL$4)</f>
        <v>0</v>
      </c>
      <c r="BM92" s="79">
        <f t="array" ref="BM92">SUMIFS('Cắt lồng'!$AH$327:$AH$515,'Cắt lồng'!$AA$327:$AA$515,'Cắt lồng'!$AA92,'Cắt lồng'!$AE$327:$AE$515,'Cắt lồng'!BM$4:BM$4)</f>
        <v>0</v>
      </c>
      <c r="BN92" s="78" t="e">
        <f t="shared" si="186"/>
        <v>#DIV/0!</v>
      </c>
      <c r="BO92" s="79">
        <f t="array" ref="BO92">SUMIFS('Cắt lồng'!$AC$327:$AC$515,'Cắt lồng'!$AA$327:$AA$515,'Cắt lồng'!$AA92,'Cắt lồng'!$AE$327:$AE$515,'Cắt lồng'!BO$4:BO$4)</f>
        <v>0</v>
      </c>
      <c r="BP92" s="79">
        <f t="array" ref="BP92">SUMIFS('Cắt lồng'!$AH$327:$AH$515,'Cắt lồng'!$AA$327:$AA$515,'Cắt lồng'!$AA92,'Cắt lồng'!$AE$327:$AE$515,'Cắt lồng'!BP$4:BP$4)</f>
        <v>0</v>
      </c>
      <c r="BQ92" s="78" t="e">
        <f t="shared" si="187"/>
        <v>#DIV/0!</v>
      </c>
      <c r="BR92" s="79">
        <f t="array" ref="BR92">SUMIFS('Cắt lồng'!$AC$327:$AC$515,'Cắt lồng'!$AA$327:$AA$515,'Cắt lồng'!$AA92,'Cắt lồng'!$AE$327:$AE$515,'Cắt lồng'!BR$4:BR$4)</f>
        <v>0</v>
      </c>
      <c r="BS92" s="79">
        <f t="array" ref="BS92">SUMIFS('Cắt lồng'!$AH$327:$AH$515,'Cắt lồng'!$AA$327:$AA$515,'Cắt lồng'!$AA92,'Cắt lồng'!$AE$327:$AE$515,'Cắt lồng'!BS$4:BS$4)</f>
        <v>0</v>
      </c>
      <c r="BT92" s="78" t="e">
        <f t="shared" si="188"/>
        <v>#DIV/0!</v>
      </c>
      <c r="BU92" s="79">
        <f t="array" ref="BU92">SUMIFS('Cắt lồng'!$AC$327:$AC$515,'Cắt lồng'!$AA$327:$AA$515,'Cắt lồng'!$AA92,'Cắt lồng'!$AE$327:$AE$515,'Cắt lồng'!BU$4:BU$4)</f>
        <v>0</v>
      </c>
      <c r="BV92" s="79">
        <f t="array" ref="BV92">SUMIFS('Cắt lồng'!$AH$327:$AH$515,'Cắt lồng'!$AA$327:$AA$515,'Cắt lồng'!$AA92,'Cắt lồng'!$AE$327:$AE$515,'Cắt lồng'!BV$4:BV$4)</f>
        <v>0</v>
      </c>
      <c r="BW92" s="78" t="e">
        <f t="shared" si="189"/>
        <v>#DIV/0!</v>
      </c>
      <c r="BX92" s="79">
        <f t="array" ref="BX92">SUMIFS('Cắt lồng'!$AC$327:$AC$515,'Cắt lồng'!$AA$327:$AA$515,'Cắt lồng'!$AA92,'Cắt lồng'!$AE$327:$AE$515,'Cắt lồng'!BX$4:BX$4)</f>
        <v>0</v>
      </c>
      <c r="BY92" s="79">
        <f t="array" ref="BY92">SUMIFS('Cắt lồng'!$AH$327:$AH$515,'Cắt lồng'!$AA$327:$AA$515,'Cắt lồng'!$AA92,'Cắt lồng'!$AE$327:$AE$515,'Cắt lồng'!BY$4:BY$4)</f>
        <v>0</v>
      </c>
      <c r="BZ92" s="78" t="e">
        <f t="shared" si="190"/>
        <v>#DIV/0!</v>
      </c>
      <c r="CA92" s="79">
        <f t="array" ref="CA92">SUMIFS('Cắt lồng'!$AC$327:$AC$515,'Cắt lồng'!$AA$327:$AA$515,'Cắt lồng'!$AA92,'Cắt lồng'!$AE$327:$AE$515,'Cắt lồng'!CA$4:CA$4)</f>
        <v>0</v>
      </c>
      <c r="CB92" s="79">
        <f t="array" ref="CB92">SUMIFS('Cắt lồng'!$AH$327:$AH$515,'Cắt lồng'!$AA$327:$AA$515,'Cắt lồng'!$AA92,'Cắt lồng'!$AE$327:$AE$515,'Cắt lồng'!CB$4:CB$4)</f>
        <v>0</v>
      </c>
      <c r="CC92" s="78" t="e">
        <f t="shared" si="191"/>
        <v>#DIV/0!</v>
      </c>
      <c r="CD92" s="79">
        <f t="array" ref="CD92">SUMIFS('Cắt lồng'!$AC$327:$AC$515,'Cắt lồng'!$AA$327:$AA$515,'Cắt lồng'!$AA92,'Cắt lồng'!$AE$327:$AE$515,'Cắt lồng'!CD$4:CD$4)</f>
        <v>0</v>
      </c>
      <c r="CE92" s="79">
        <f t="array" ref="CE92">SUMIFS('Cắt lồng'!$AH$327:$AH$515,'Cắt lồng'!$AA$327:$AA$515,'Cắt lồng'!$AA92,'Cắt lồng'!$AE$327:$AE$515,'Cắt lồng'!CE$4:CE$4)</f>
        <v>0</v>
      </c>
      <c r="CF92" s="78" t="e">
        <f t="shared" si="192"/>
        <v>#DIV/0!</v>
      </c>
      <c r="CG92" s="79">
        <f t="array" ref="CG92">SUMIFS('Cắt lồng'!$AC$327:$AC$515,'Cắt lồng'!$AA$327:$AA$515,'Cắt lồng'!$AA92,'Cắt lồng'!$AE$327:$AE$515,'Cắt lồng'!CG$4:CG$4)</f>
        <v>0</v>
      </c>
      <c r="CH92" s="79">
        <f t="array" ref="CH92">SUMIFS('Cắt lồng'!$AH$327:$AH$515,'Cắt lồng'!$AA$327:$AA$515,'Cắt lồng'!$AA92,'Cắt lồng'!$AE$327:$AE$515,'Cắt lồng'!CH$4:CH$4)</f>
        <v>0</v>
      </c>
      <c r="CI92" s="78" t="e">
        <f t="shared" si="193"/>
        <v>#DIV/0!</v>
      </c>
      <c r="CJ92" s="79">
        <f t="array" ref="CJ92">SUMIFS('Cắt lồng'!$AC$327:$AC$515,'Cắt lồng'!$AA$327:$AA$515,'Cắt lồng'!$AA92,'Cắt lồng'!$AE$327:$AE$515,'Cắt lồng'!CJ$4:CJ$4)</f>
        <v>0</v>
      </c>
      <c r="CK92" s="79">
        <f t="array" ref="CK92">SUMIFS('Cắt lồng'!$AH$327:$AH$515,'Cắt lồng'!$AA$327:$AA$515,'Cắt lồng'!$AA92,'Cắt lồng'!$AE$327:$AE$515,'Cắt lồng'!CK$4:CK$4)</f>
        <v>0</v>
      </c>
      <c r="CL92" s="78" t="e">
        <f t="shared" si="194"/>
        <v>#DIV/0!</v>
      </c>
      <c r="CM92" s="79">
        <f t="array" ref="CM92">SUMIFS('Cắt lồng'!$AC$327:$AC$515,'Cắt lồng'!$AA$327:$AA$515,'Cắt lồng'!$AA92,'Cắt lồng'!$AE$327:$AE$515,'Cắt lồng'!CM$4:CM$4)</f>
        <v>0</v>
      </c>
      <c r="CN92" s="79">
        <f t="array" ref="CN92">SUMIFS('Cắt lồng'!$AH$327:$AH$515,'Cắt lồng'!$AA$327:$AA$515,'Cắt lồng'!$AA92,'Cắt lồng'!$AE$327:$AE$515,'Cắt lồng'!CN$4:CN$4)</f>
        <v>0</v>
      </c>
      <c r="CO92" s="78" t="e">
        <f t="shared" si="195"/>
        <v>#DIV/0!</v>
      </c>
      <c r="CP92" s="79">
        <f t="array" ref="CP92">SUMIFS('Cắt lồng'!$AC$327:$AC$515,'Cắt lồng'!$AA$327:$AA$515,'Cắt lồng'!$AA92,'Cắt lồng'!$AE$327:$AE$515,'Cắt lồng'!CP$4:CP$4)</f>
        <v>0</v>
      </c>
      <c r="CQ92" s="79">
        <f t="array" ref="CQ92">SUMIFS('Cắt lồng'!$AH$327:$AH$515,'Cắt lồng'!$AA$327:$AA$515,'Cắt lồng'!$AA92,'Cắt lồng'!$AE$327:$AE$515,'Cắt lồng'!CQ$4:CQ$4)</f>
        <v>0</v>
      </c>
      <c r="CR92" s="78" t="e">
        <f t="shared" si="196"/>
        <v>#DIV/0!</v>
      </c>
      <c r="CS92" s="79">
        <f t="array" ref="CS92">SUMIFS('Cắt lồng'!$AC$327:$AC$515,'Cắt lồng'!$AA$327:$AA$515,'Cắt lồng'!$AA92,'Cắt lồng'!$AE$327:$AE$515,'Cắt lồng'!CS$4:CS$4)</f>
        <v>0</v>
      </c>
      <c r="CT92" s="79">
        <f t="array" ref="CT92">SUMIFS('Cắt lồng'!$AH$327:$AH$515,'Cắt lồng'!$AA$327:$AA$515,'Cắt lồng'!$AA92,'Cắt lồng'!$AE$327:$AE$515,'Cắt lồng'!CT$4:CT$4)</f>
        <v>0</v>
      </c>
      <c r="CU92" s="78" t="e">
        <f t="shared" si="197"/>
        <v>#DIV/0!</v>
      </c>
      <c r="CV92" s="79">
        <f t="array" ref="CV92">SUMIFS('Cắt lồng'!$AC$327:$AC$515,'Cắt lồng'!$AA$327:$AA$515,'Cắt lồng'!$AA92,'Cắt lồng'!$AE$327:$AE$515,'Cắt lồng'!CV$4:CV$4)</f>
        <v>0</v>
      </c>
      <c r="CW92" s="79">
        <f t="array" ref="CW92">SUMIFS('Cắt lồng'!$AH$327:$AH$515,'Cắt lồng'!$AA$327:$AA$515,'Cắt lồng'!$AA92,'Cắt lồng'!$AE$327:$AE$515,'Cắt lồng'!CW$4:CW$4)</f>
        <v>0</v>
      </c>
      <c r="CX92" s="78" t="e">
        <f t="shared" si="198"/>
        <v>#DIV/0!</v>
      </c>
      <c r="CY92" s="79">
        <f t="array" ref="CY92">SUMIFS('Cắt lồng'!$AC$327:$AC$515,'Cắt lồng'!$AA$327:$AA$515,'Cắt lồng'!$AA92,'Cắt lồng'!$AE$327:$AE$515,'Cắt lồng'!CY$4:CY$4)</f>
        <v>0</v>
      </c>
      <c r="CZ92" s="79">
        <f t="array" ref="CZ92">SUMIFS('Cắt lồng'!$AH$327:$AH$515,'Cắt lồng'!$AA$327:$AA$515,'Cắt lồng'!$AA92,'Cắt lồng'!$AE$327:$AE$515,'Cắt lồng'!CZ$4:CZ$4)</f>
        <v>0</v>
      </c>
      <c r="DA92" s="78" t="e">
        <f t="shared" si="199"/>
        <v>#DIV/0!</v>
      </c>
      <c r="DB92" s="79">
        <f t="array" ref="DB92">SUMIFS('Cắt lồng'!$AC$327:$AC$515,'Cắt lồng'!$AA$327:$AA$515,'Cắt lồng'!$AA92,'Cắt lồng'!$AE$327:$AE$515,'Cắt lồng'!DB$4:DB$4)</f>
        <v>0</v>
      </c>
      <c r="DC92" s="79">
        <f t="array" ref="DC92">SUMIFS('Cắt lồng'!$AH$327:$AH$515,'Cắt lồng'!$AA$327:$AA$515,'Cắt lồng'!$AA92,'Cắt lồng'!$AE$327:$AE$515,'Cắt lồng'!DC$4:DC$4)</f>
        <v>0</v>
      </c>
      <c r="DD92" s="78" t="e">
        <f t="shared" si="200"/>
        <v>#DIV/0!</v>
      </c>
      <c r="DE92" s="79">
        <f t="array" ref="DE92">SUMIFS('Cắt lồng'!$AC$327:$AC$515,'Cắt lồng'!$AA$327:$AA$515,'Cắt lồng'!$AA92,'Cắt lồng'!$AE$327:$AE$515,'Cắt lồng'!DE$4:DE$4)</f>
        <v>0</v>
      </c>
      <c r="DF92" s="79">
        <f t="array" ref="DF92">SUMIFS('Cắt lồng'!$AH$327:$AH$515,'Cắt lồng'!$AA$327:$AA$515,'Cắt lồng'!$AA92,'Cắt lồng'!$AE$327:$AE$515,'Cắt lồng'!DF$4:DF$4)</f>
        <v>0</v>
      </c>
      <c r="DG92" s="78" t="e">
        <f t="shared" si="201"/>
        <v>#DIV/0!</v>
      </c>
      <c r="DH92" s="79">
        <f t="array" ref="DH92">SUMIFS('Cắt lồng'!$AC$327:$AC$515,'Cắt lồng'!$AA$327:$AA$515,'Cắt lồng'!$AA92,'Cắt lồng'!$AE$327:$AE$515,'Cắt lồng'!DH$4:DH$4)</f>
        <v>0</v>
      </c>
      <c r="DI92" s="79">
        <f t="array" ref="DI92">SUMIFS('Cắt lồng'!$AH$327:$AH$515,'Cắt lồng'!$AA$327:$AA$515,'Cắt lồng'!$AA92,'Cắt lồng'!$AE$327:$AE$515,'Cắt lồng'!DI$4:DI$4)</f>
        <v>0</v>
      </c>
      <c r="DJ92" s="78" t="e">
        <f t="shared" si="202"/>
        <v>#DIV/0!</v>
      </c>
      <c r="DK92" s="79">
        <f t="array" ref="DK92">SUMIFS('Cắt lồng'!$AC$327:$AC$515,'Cắt lồng'!$AA$327:$AA$515,'Cắt lồng'!$AA92,'Cắt lồng'!$AE$327:$AE$515,'Cắt lồng'!DK$4:DK$4)</f>
        <v>0</v>
      </c>
      <c r="DL92" s="79">
        <f t="array" ref="DL92">SUMIFS('Cắt lồng'!$AH$327:$AH$515,'Cắt lồng'!$AA$327:$AA$515,'Cắt lồng'!$AA92,'Cắt lồng'!$AE$327:$AE$515,'Cắt lồng'!DL$4:DL$4)</f>
        <v>0</v>
      </c>
      <c r="DM92" s="78" t="e">
        <f t="shared" si="203"/>
        <v>#DIV/0!</v>
      </c>
      <c r="DN92" s="79">
        <f t="array" ref="DN92">SUMIFS('Cắt lồng'!$AC$327:$AC$515,'Cắt lồng'!$AA$327:$AA$515,'Cắt lồng'!$AA92,'Cắt lồng'!$AE$327:$AE$515,'Cắt lồng'!DN$4:DN$4)</f>
        <v>0</v>
      </c>
      <c r="DO92" s="79">
        <f t="array" ref="DO92">SUMIFS('Cắt lồng'!$AH$327:$AH$515,'Cắt lồng'!$AA$327:$AA$515,'Cắt lồng'!$AA92,'Cắt lồng'!$AE$327:$AE$515,'Cắt lồng'!DO$4:DO$4)</f>
        <v>0</v>
      </c>
      <c r="DP92" s="78" t="e">
        <f t="shared" si="204"/>
        <v>#DIV/0!</v>
      </c>
      <c r="DQ92" s="79">
        <f t="array" ref="DQ92">SUMIFS('Cắt lồng'!$AC$327:$AC$515,'Cắt lồng'!$AA$327:$AA$515,'Cắt lồng'!$AA92,'Cắt lồng'!$AE$327:$AE$515,'Cắt lồng'!DQ$4:DQ$4)</f>
        <v>0</v>
      </c>
      <c r="DR92" s="79">
        <f t="array" ref="DR92">SUMIFS('Cắt lồng'!$AH$327:$AH$515,'Cắt lồng'!$AA$327:$AA$515,'Cắt lồng'!$AA92,'Cắt lồng'!$AE$327:$AE$515,'Cắt lồng'!DR$4:DR$4)</f>
        <v>0</v>
      </c>
      <c r="DS92" s="78" t="e">
        <f t="shared" si="205"/>
        <v>#DIV/0!</v>
      </c>
      <c r="DT92" s="79">
        <f t="array" ref="DT92">SUMIFS('Cắt lồng'!$AC$327:$AC$515,'Cắt lồng'!$AA$327:$AA$515,'Cắt lồng'!$AA92,'Cắt lồng'!$AE$327:$AE$515,'Cắt lồng'!DT$4:DT$4)</f>
        <v>0</v>
      </c>
      <c r="DU92" s="79">
        <f t="array" ref="DU92">SUMIFS('Cắt lồng'!$AH$327:$AH$515,'Cắt lồng'!$AA$327:$AA$515,'Cắt lồng'!$AA92,'Cắt lồng'!$AE$327:$AE$515,'Cắt lồng'!DU$4:DU$4)</f>
        <v>0</v>
      </c>
      <c r="DV92" s="78" t="e">
        <f t="shared" si="206"/>
        <v>#DIV/0!</v>
      </c>
      <c r="DW92" s="79">
        <f t="array" ref="DW92">SUMIFS('Cắt lồng'!$AC$327:$AC$515,'Cắt lồng'!$AA$327:$AA$515,'Cắt lồng'!$AA92,'Cắt lồng'!$AE$327:$AE$515,'Cắt lồng'!DW$4:DW$4)</f>
        <v>0</v>
      </c>
      <c r="DX92" s="79">
        <f t="array" ref="DX92">SUMIFS('Cắt lồng'!$AH$327:$AH$515,'Cắt lồng'!$AA$327:$AA$515,'Cắt lồng'!$AA92,'Cắt lồng'!$AE$327:$AE$515,'Cắt lồng'!DX$4:DX$4)</f>
        <v>0</v>
      </c>
      <c r="DY92" s="78" t="e">
        <f t="shared" si="207"/>
        <v>#DIV/0!</v>
      </c>
      <c r="DZ92" s="79">
        <f t="array" ref="DZ92">SUMIFS('Cắt lồng'!$AC$327:$AC$515,'Cắt lồng'!$AA$327:$AA$515,'Cắt lồng'!$AA92,'Cắt lồng'!$AE$327:$AE$515,'Cắt lồng'!DZ$4:DZ$4)</f>
        <v>0</v>
      </c>
      <c r="EA92" s="79">
        <f t="array" ref="EA92">SUMIFS('Cắt lồng'!$AH$327:$AH$515,'Cắt lồng'!$AA$327:$AA$515,'Cắt lồng'!$AA92,'Cắt lồng'!$AE$327:$AE$515,'Cắt lồng'!EA$4:EA$4)</f>
        <v>0</v>
      </c>
      <c r="EB92" s="78" t="e">
        <f t="shared" si="208"/>
        <v>#DIV/0!</v>
      </c>
      <c r="EC92" s="79">
        <f t="array" ref="EC92">SUMIFS('Cắt lồng'!$AC$327:$AC$515,'Cắt lồng'!$AA$327:$AA$515,'Cắt lồng'!$AA92,'Cắt lồng'!$AE$327:$AE$515,'Cắt lồng'!EC$4:EC$4)</f>
        <v>0</v>
      </c>
      <c r="ED92" s="79">
        <f t="array" ref="ED92">SUMIFS('Cắt lồng'!$AH$327:$AH$515,'Cắt lồng'!$AA$327:$AA$515,'Cắt lồng'!$AA92,'Cắt lồng'!$AE$327:$AE$515,'Cắt lồng'!ED$4:ED$4)</f>
        <v>0</v>
      </c>
      <c r="EE92" s="78" t="e">
        <f t="shared" si="209"/>
        <v>#DIV/0!</v>
      </c>
      <c r="EF92" s="79">
        <f t="array" ref="EF92">SUMIFS('Cắt lồng'!$AC$327:$AC$515,'Cắt lồng'!$AA$327:$AA$515,'Cắt lồng'!$AA92,'Cắt lồng'!$AE$327:$AE$515,'Cắt lồng'!EF$4:EF$4)</f>
        <v>0</v>
      </c>
      <c r="EG92" s="79">
        <f t="array" ref="EG92">SUMIFS('Cắt lồng'!$AH$327:$AH$515,'Cắt lồng'!$AA$327:$AA$515,'Cắt lồng'!$AA92,'Cắt lồng'!$AE$327:$AE$515,'Cắt lồng'!EG$4:EG$4)</f>
        <v>0</v>
      </c>
      <c r="EH92" s="78" t="e">
        <f t="shared" si="210"/>
        <v>#DIV/0!</v>
      </c>
      <c r="EI92" s="79">
        <f t="array" ref="EI92">SUMIFS('Cắt lồng'!$AC$327:$AC$515,'Cắt lồng'!$AA$327:$AA$515,'Cắt lồng'!$AA92,'Cắt lồng'!$AE$327:$AE$515,'Cắt lồng'!EI$4:EI$4)</f>
        <v>0</v>
      </c>
      <c r="EJ92" s="79">
        <f t="array" ref="EJ92">SUMIFS('Cắt lồng'!$AH$327:$AH$515,'Cắt lồng'!$AA$327:$AA$515,'Cắt lồng'!$AA92,'Cắt lồng'!$AE$327:$AE$515,'Cắt lồng'!EJ$4:EJ$4)</f>
        <v>0</v>
      </c>
      <c r="EK92" s="78" t="e">
        <f t="shared" si="211"/>
        <v>#DIV/0!</v>
      </c>
    </row>
    <row r="93" spans="1:141" s="12" customFormat="1" ht="14.25" hidden="1" customHeight="1">
      <c r="A93" s="25">
        <v>64</v>
      </c>
      <c r="B93" s="26"/>
      <c r="C93" s="25"/>
      <c r="D93" s="24"/>
      <c r="E93" s="60"/>
      <c r="F93" s="59"/>
      <c r="G93" s="82">
        <f t="shared" si="144"/>
        <v>0</v>
      </c>
      <c r="H93" s="81">
        <f t="shared" si="145"/>
        <v>0</v>
      </c>
      <c r="I93" s="19">
        <f t="shared" si="146"/>
        <v>0</v>
      </c>
      <c r="J93" s="11">
        <f t="shared" si="147"/>
        <v>0</v>
      </c>
      <c r="K93" s="19">
        <f t="shared" si="148"/>
        <v>0</v>
      </c>
      <c r="L93" s="19">
        <f t="shared" si="149"/>
        <v>0</v>
      </c>
      <c r="M93" s="19">
        <f t="shared" si="150"/>
        <v>0</v>
      </c>
      <c r="N93" s="19">
        <f t="shared" si="151"/>
        <v>0</v>
      </c>
      <c r="O93" s="19">
        <f t="shared" si="152"/>
        <v>0</v>
      </c>
      <c r="P93" s="19">
        <f t="shared" si="153"/>
        <v>0</v>
      </c>
      <c r="Q93" s="19">
        <f t="shared" si="154"/>
        <v>0</v>
      </c>
      <c r="R93" s="19">
        <f t="shared" si="155"/>
        <v>0</v>
      </c>
      <c r="S93" s="19">
        <f t="shared" si="156"/>
        <v>0</v>
      </c>
      <c r="T93" s="19">
        <f t="shared" si="157"/>
        <v>0</v>
      </c>
      <c r="U93" s="19">
        <f t="shared" si="158"/>
        <v>0</v>
      </c>
      <c r="V93" s="19">
        <f t="shared" si="159"/>
        <v>0</v>
      </c>
      <c r="W93" s="19">
        <f t="shared" si="160"/>
        <v>0</v>
      </c>
      <c r="X93" s="19">
        <f t="shared" si="161"/>
        <v>0</v>
      </c>
      <c r="Y93" s="19">
        <f t="shared" si="162"/>
        <v>0</v>
      </c>
      <c r="Z93" s="19">
        <f t="shared" si="163"/>
        <v>0</v>
      </c>
      <c r="AA93" s="164" t="s">
        <v>228</v>
      </c>
      <c r="AB93" s="17" t="e">
        <f>+H93*SUMIF('[1]KẾ HOẠCH'!$B$5:$CK$5,'Cắt lồng'!AA93,'[1]KẾ HOẠCH'!$B$6:$CK$6)+H93*SUMIF('[1]KẾ HOẠCH'!$B$7:$CK$7,'Cắt lồng'!AA93,'[1]KẾ HOẠCH'!$B$8:$CK$8)+H93*SUMIF('[1]KẾ HOẠCH'!$B$15:$CK$15,'Cắt lồng'!AA93,'[1]KẾ HOẠCH'!$B$16:$CK$16)</f>
        <v>#VALUE!</v>
      </c>
      <c r="AC93" s="16">
        <f t="shared" si="164"/>
        <v>0</v>
      </c>
      <c r="AD93" s="15" t="e">
        <f t="shared" si="165"/>
        <v>#VALUE!</v>
      </c>
      <c r="AE93" s="42"/>
      <c r="AF93" s="10" t="e">
        <f t="shared" si="166"/>
        <v>#DIV/0!</v>
      </c>
      <c r="AG93" s="10"/>
      <c r="AH93" s="152">
        <f t="shared" si="167"/>
        <v>0</v>
      </c>
      <c r="AI93" s="54" t="e">
        <f t="shared" si="168"/>
        <v>#DIV/0!</v>
      </c>
      <c r="AJ93" s="25">
        <f t="shared" si="169"/>
        <v>0</v>
      </c>
      <c r="AK93" s="25">
        <f t="shared" si="170"/>
        <v>0</v>
      </c>
      <c r="AL93" s="25">
        <f t="shared" si="171"/>
        <v>0</v>
      </c>
      <c r="AM93" s="30">
        <f t="shared" si="172"/>
        <v>0</v>
      </c>
      <c r="AN93" s="25">
        <f t="shared" si="173"/>
        <v>0</v>
      </c>
      <c r="AO93" s="25">
        <f t="shared" si="174"/>
        <v>0</v>
      </c>
      <c r="AP93" s="25">
        <f t="shared" si="175"/>
        <v>0</v>
      </c>
      <c r="AQ93" s="25">
        <f t="shared" si="176"/>
        <v>0</v>
      </c>
      <c r="AR93" s="25">
        <f t="shared" si="177"/>
        <v>0</v>
      </c>
      <c r="AS93" s="25">
        <f t="shared" si="178"/>
        <v>0</v>
      </c>
      <c r="AT93" s="25">
        <f t="shared" si="179"/>
        <v>0</v>
      </c>
      <c r="AV93" s="79">
        <f t="shared" si="180"/>
        <v>0</v>
      </c>
      <c r="AW93" s="79">
        <f t="array" ref="AW93">SUMIFS('Cắt lồng'!$AC$327:$AC$515,'Cắt lồng'!$AA$327:$AA$515,'Cắt lồng'!$AA93,'Cắt lồng'!$AE$327:$AE$515,'Cắt lồng'!AW$4:AW$4)</f>
        <v>0</v>
      </c>
      <c r="AX93" s="79">
        <f t="array" ref="AX93">SUMIFS('Cắt lồng'!$AH$327:$AH$515,'Cắt lồng'!$AA$327:$AA$515,'Cắt lồng'!$AA93,'Cắt lồng'!$AE$327:$AE$515,'Cắt lồng'!AX$4:AX$4)</f>
        <v>0</v>
      </c>
      <c r="AY93" s="78" t="e">
        <f t="shared" si="181"/>
        <v>#DIV/0!</v>
      </c>
      <c r="AZ93" s="79">
        <f t="array" ref="AZ93">SUMIFS('Cắt lồng'!$AC$327:$AC$515,'Cắt lồng'!$AA$327:$AA$515,'Cắt lồng'!$AA93,'Cắt lồng'!$AE$327:$AE$515,'Cắt lồng'!AZ$4:AZ$4)</f>
        <v>0</v>
      </c>
      <c r="BA93" s="79">
        <f t="array" ref="BA93">SUMIFS('Cắt lồng'!$AH$327:$AH$515,'Cắt lồng'!$AA$327:$AA$515,'Cắt lồng'!$AA93,'Cắt lồng'!$AE$327:$AE$515,'Cắt lồng'!BA$4:BA$4)</f>
        <v>0</v>
      </c>
      <c r="BB93" s="78" t="e">
        <f t="shared" si="182"/>
        <v>#DIV/0!</v>
      </c>
      <c r="BC93" s="79">
        <f t="array" ref="BC93">SUMIFS('Cắt lồng'!$AC$327:$AC$515,'Cắt lồng'!$AA$327:$AA$515,'Cắt lồng'!$AA93,'Cắt lồng'!$AE$327:$AE$515,'Cắt lồng'!BC$4:BC$4)</f>
        <v>0</v>
      </c>
      <c r="BD93" s="79">
        <f t="array" ref="BD93">SUMIFS('Cắt lồng'!$AH$327:$AH$515,'Cắt lồng'!$AA$327:$AA$515,'Cắt lồng'!$AA93,'Cắt lồng'!$AE$327:$AE$515,'Cắt lồng'!BD$4:BD$4)</f>
        <v>0</v>
      </c>
      <c r="BE93" s="78" t="e">
        <f t="shared" si="183"/>
        <v>#DIV/0!</v>
      </c>
      <c r="BF93" s="79">
        <f t="array" ref="BF93">SUMIFS('Cắt lồng'!$AC$327:$AC$515,'Cắt lồng'!$AA$327:$AA$515,'Cắt lồng'!$AA93,'Cắt lồng'!$AE$327:$AE$515,'Cắt lồng'!BF$4:BF$4)</f>
        <v>0</v>
      </c>
      <c r="BG93" s="79">
        <f t="array" ref="BG93">SUMIFS('Cắt lồng'!$AH$327:$AH$515,'Cắt lồng'!$AA$327:$AA$515,'Cắt lồng'!$AA93,'Cắt lồng'!$AE$327:$AE$515,'Cắt lồng'!BG$4:BG$4)</f>
        <v>0</v>
      </c>
      <c r="BH93" s="78" t="e">
        <f t="shared" si="184"/>
        <v>#DIV/0!</v>
      </c>
      <c r="BI93" s="79">
        <f t="array" ref="BI93">SUMIFS('Cắt lồng'!$AC$327:$AC$515,'Cắt lồng'!$AA$327:$AA$515,'Cắt lồng'!$AA93,'Cắt lồng'!$AE$327:$AE$515,'Cắt lồng'!BI$4:BI$4)</f>
        <v>0</v>
      </c>
      <c r="BJ93" s="79">
        <f t="array" ref="BJ93">SUMIFS('Cắt lồng'!$AH$327:$AH$515,'Cắt lồng'!$AA$327:$AA$515,'Cắt lồng'!$AA93,'Cắt lồng'!$AE$327:$AE$515,'Cắt lồng'!BJ$4:BJ$4)</f>
        <v>0</v>
      </c>
      <c r="BK93" s="78" t="e">
        <f t="shared" si="185"/>
        <v>#DIV/0!</v>
      </c>
      <c r="BL93" s="79">
        <f t="array" ref="BL93">SUMIFS('Cắt lồng'!$AC$327:$AC$515,'Cắt lồng'!$AA$327:$AA$515,'Cắt lồng'!$AA93,'Cắt lồng'!$AE$327:$AE$515,'Cắt lồng'!BL$4:BL$4)</f>
        <v>0</v>
      </c>
      <c r="BM93" s="79">
        <f t="array" ref="BM93">SUMIFS('Cắt lồng'!$AH$327:$AH$515,'Cắt lồng'!$AA$327:$AA$515,'Cắt lồng'!$AA93,'Cắt lồng'!$AE$327:$AE$515,'Cắt lồng'!BM$4:BM$4)</f>
        <v>0</v>
      </c>
      <c r="BN93" s="78" t="e">
        <f t="shared" si="186"/>
        <v>#DIV/0!</v>
      </c>
      <c r="BO93" s="79">
        <f t="array" ref="BO93">SUMIFS('Cắt lồng'!$AC$327:$AC$515,'Cắt lồng'!$AA$327:$AA$515,'Cắt lồng'!$AA93,'Cắt lồng'!$AE$327:$AE$515,'Cắt lồng'!BO$4:BO$4)</f>
        <v>0</v>
      </c>
      <c r="BP93" s="79">
        <f t="array" ref="BP93">SUMIFS('Cắt lồng'!$AH$327:$AH$515,'Cắt lồng'!$AA$327:$AA$515,'Cắt lồng'!$AA93,'Cắt lồng'!$AE$327:$AE$515,'Cắt lồng'!BP$4:BP$4)</f>
        <v>0</v>
      </c>
      <c r="BQ93" s="78" t="e">
        <f t="shared" si="187"/>
        <v>#DIV/0!</v>
      </c>
      <c r="BR93" s="79">
        <f t="array" ref="BR93">SUMIFS('Cắt lồng'!$AC$327:$AC$515,'Cắt lồng'!$AA$327:$AA$515,'Cắt lồng'!$AA93,'Cắt lồng'!$AE$327:$AE$515,'Cắt lồng'!BR$4:BR$4)</f>
        <v>0</v>
      </c>
      <c r="BS93" s="79">
        <f t="array" ref="BS93">SUMIFS('Cắt lồng'!$AH$327:$AH$515,'Cắt lồng'!$AA$327:$AA$515,'Cắt lồng'!$AA93,'Cắt lồng'!$AE$327:$AE$515,'Cắt lồng'!BS$4:BS$4)</f>
        <v>0</v>
      </c>
      <c r="BT93" s="78" t="e">
        <f t="shared" si="188"/>
        <v>#DIV/0!</v>
      </c>
      <c r="BU93" s="79">
        <f t="array" ref="BU93">SUMIFS('Cắt lồng'!$AC$327:$AC$515,'Cắt lồng'!$AA$327:$AA$515,'Cắt lồng'!$AA93,'Cắt lồng'!$AE$327:$AE$515,'Cắt lồng'!BU$4:BU$4)</f>
        <v>0</v>
      </c>
      <c r="BV93" s="79">
        <f t="array" ref="BV93">SUMIFS('Cắt lồng'!$AH$327:$AH$515,'Cắt lồng'!$AA$327:$AA$515,'Cắt lồng'!$AA93,'Cắt lồng'!$AE$327:$AE$515,'Cắt lồng'!BV$4:BV$4)</f>
        <v>0</v>
      </c>
      <c r="BW93" s="78" t="e">
        <f t="shared" si="189"/>
        <v>#DIV/0!</v>
      </c>
      <c r="BX93" s="79">
        <f t="array" ref="BX93">SUMIFS('Cắt lồng'!$AC$327:$AC$515,'Cắt lồng'!$AA$327:$AA$515,'Cắt lồng'!$AA93,'Cắt lồng'!$AE$327:$AE$515,'Cắt lồng'!BX$4:BX$4)</f>
        <v>0</v>
      </c>
      <c r="BY93" s="79">
        <f t="array" ref="BY93">SUMIFS('Cắt lồng'!$AH$327:$AH$515,'Cắt lồng'!$AA$327:$AA$515,'Cắt lồng'!$AA93,'Cắt lồng'!$AE$327:$AE$515,'Cắt lồng'!BY$4:BY$4)</f>
        <v>0</v>
      </c>
      <c r="BZ93" s="78" t="e">
        <f t="shared" si="190"/>
        <v>#DIV/0!</v>
      </c>
      <c r="CA93" s="79">
        <f t="array" ref="CA93">SUMIFS('Cắt lồng'!$AC$327:$AC$515,'Cắt lồng'!$AA$327:$AA$515,'Cắt lồng'!$AA93,'Cắt lồng'!$AE$327:$AE$515,'Cắt lồng'!CA$4:CA$4)</f>
        <v>0</v>
      </c>
      <c r="CB93" s="79">
        <f t="array" ref="CB93">SUMIFS('Cắt lồng'!$AH$327:$AH$515,'Cắt lồng'!$AA$327:$AA$515,'Cắt lồng'!$AA93,'Cắt lồng'!$AE$327:$AE$515,'Cắt lồng'!CB$4:CB$4)</f>
        <v>0</v>
      </c>
      <c r="CC93" s="78" t="e">
        <f t="shared" si="191"/>
        <v>#DIV/0!</v>
      </c>
      <c r="CD93" s="79">
        <f t="array" ref="CD93">SUMIFS('Cắt lồng'!$AC$327:$AC$515,'Cắt lồng'!$AA$327:$AA$515,'Cắt lồng'!$AA93,'Cắt lồng'!$AE$327:$AE$515,'Cắt lồng'!CD$4:CD$4)</f>
        <v>0</v>
      </c>
      <c r="CE93" s="79">
        <f t="array" ref="CE93">SUMIFS('Cắt lồng'!$AH$327:$AH$515,'Cắt lồng'!$AA$327:$AA$515,'Cắt lồng'!$AA93,'Cắt lồng'!$AE$327:$AE$515,'Cắt lồng'!CE$4:CE$4)</f>
        <v>0</v>
      </c>
      <c r="CF93" s="78" t="e">
        <f t="shared" si="192"/>
        <v>#DIV/0!</v>
      </c>
      <c r="CG93" s="79">
        <f t="array" ref="CG93">SUMIFS('Cắt lồng'!$AC$327:$AC$515,'Cắt lồng'!$AA$327:$AA$515,'Cắt lồng'!$AA93,'Cắt lồng'!$AE$327:$AE$515,'Cắt lồng'!CG$4:CG$4)</f>
        <v>0</v>
      </c>
      <c r="CH93" s="79">
        <f t="array" ref="CH93">SUMIFS('Cắt lồng'!$AH$327:$AH$515,'Cắt lồng'!$AA$327:$AA$515,'Cắt lồng'!$AA93,'Cắt lồng'!$AE$327:$AE$515,'Cắt lồng'!CH$4:CH$4)</f>
        <v>0</v>
      </c>
      <c r="CI93" s="78" t="e">
        <f t="shared" si="193"/>
        <v>#DIV/0!</v>
      </c>
      <c r="CJ93" s="79">
        <f t="array" ref="CJ93">SUMIFS('Cắt lồng'!$AC$327:$AC$515,'Cắt lồng'!$AA$327:$AA$515,'Cắt lồng'!$AA93,'Cắt lồng'!$AE$327:$AE$515,'Cắt lồng'!CJ$4:CJ$4)</f>
        <v>0</v>
      </c>
      <c r="CK93" s="79">
        <f t="array" ref="CK93">SUMIFS('Cắt lồng'!$AH$327:$AH$515,'Cắt lồng'!$AA$327:$AA$515,'Cắt lồng'!$AA93,'Cắt lồng'!$AE$327:$AE$515,'Cắt lồng'!CK$4:CK$4)</f>
        <v>0</v>
      </c>
      <c r="CL93" s="78" t="e">
        <f t="shared" si="194"/>
        <v>#DIV/0!</v>
      </c>
      <c r="CM93" s="79">
        <f t="array" ref="CM93">SUMIFS('Cắt lồng'!$AC$327:$AC$515,'Cắt lồng'!$AA$327:$AA$515,'Cắt lồng'!$AA93,'Cắt lồng'!$AE$327:$AE$515,'Cắt lồng'!CM$4:CM$4)</f>
        <v>0</v>
      </c>
      <c r="CN93" s="79">
        <f t="array" ref="CN93">SUMIFS('Cắt lồng'!$AH$327:$AH$515,'Cắt lồng'!$AA$327:$AA$515,'Cắt lồng'!$AA93,'Cắt lồng'!$AE$327:$AE$515,'Cắt lồng'!CN$4:CN$4)</f>
        <v>0</v>
      </c>
      <c r="CO93" s="78" t="e">
        <f t="shared" si="195"/>
        <v>#DIV/0!</v>
      </c>
      <c r="CP93" s="79">
        <f t="array" ref="CP93">SUMIFS('Cắt lồng'!$AC$327:$AC$515,'Cắt lồng'!$AA$327:$AA$515,'Cắt lồng'!$AA93,'Cắt lồng'!$AE$327:$AE$515,'Cắt lồng'!CP$4:CP$4)</f>
        <v>0</v>
      </c>
      <c r="CQ93" s="79">
        <f t="array" ref="CQ93">SUMIFS('Cắt lồng'!$AH$327:$AH$515,'Cắt lồng'!$AA$327:$AA$515,'Cắt lồng'!$AA93,'Cắt lồng'!$AE$327:$AE$515,'Cắt lồng'!CQ$4:CQ$4)</f>
        <v>0</v>
      </c>
      <c r="CR93" s="78" t="e">
        <f t="shared" si="196"/>
        <v>#DIV/0!</v>
      </c>
      <c r="CS93" s="79">
        <f t="array" ref="CS93">SUMIFS('Cắt lồng'!$AC$327:$AC$515,'Cắt lồng'!$AA$327:$AA$515,'Cắt lồng'!$AA93,'Cắt lồng'!$AE$327:$AE$515,'Cắt lồng'!CS$4:CS$4)</f>
        <v>0</v>
      </c>
      <c r="CT93" s="79">
        <f t="array" ref="CT93">SUMIFS('Cắt lồng'!$AH$327:$AH$515,'Cắt lồng'!$AA$327:$AA$515,'Cắt lồng'!$AA93,'Cắt lồng'!$AE$327:$AE$515,'Cắt lồng'!CT$4:CT$4)</f>
        <v>0</v>
      </c>
      <c r="CU93" s="78" t="e">
        <f t="shared" si="197"/>
        <v>#DIV/0!</v>
      </c>
      <c r="CV93" s="79">
        <f t="array" ref="CV93">SUMIFS('Cắt lồng'!$AC$327:$AC$515,'Cắt lồng'!$AA$327:$AA$515,'Cắt lồng'!$AA93,'Cắt lồng'!$AE$327:$AE$515,'Cắt lồng'!CV$4:CV$4)</f>
        <v>0</v>
      </c>
      <c r="CW93" s="79">
        <f t="array" ref="CW93">SUMIFS('Cắt lồng'!$AH$327:$AH$515,'Cắt lồng'!$AA$327:$AA$515,'Cắt lồng'!$AA93,'Cắt lồng'!$AE$327:$AE$515,'Cắt lồng'!CW$4:CW$4)</f>
        <v>0</v>
      </c>
      <c r="CX93" s="78" t="e">
        <f t="shared" si="198"/>
        <v>#DIV/0!</v>
      </c>
      <c r="CY93" s="79">
        <f t="array" ref="CY93">SUMIFS('Cắt lồng'!$AC$327:$AC$515,'Cắt lồng'!$AA$327:$AA$515,'Cắt lồng'!$AA93,'Cắt lồng'!$AE$327:$AE$515,'Cắt lồng'!CY$4:CY$4)</f>
        <v>0</v>
      </c>
      <c r="CZ93" s="79">
        <f t="array" ref="CZ93">SUMIFS('Cắt lồng'!$AH$327:$AH$515,'Cắt lồng'!$AA$327:$AA$515,'Cắt lồng'!$AA93,'Cắt lồng'!$AE$327:$AE$515,'Cắt lồng'!CZ$4:CZ$4)</f>
        <v>0</v>
      </c>
      <c r="DA93" s="78" t="e">
        <f t="shared" si="199"/>
        <v>#DIV/0!</v>
      </c>
      <c r="DB93" s="79">
        <f t="array" ref="DB93">SUMIFS('Cắt lồng'!$AC$327:$AC$515,'Cắt lồng'!$AA$327:$AA$515,'Cắt lồng'!$AA93,'Cắt lồng'!$AE$327:$AE$515,'Cắt lồng'!DB$4:DB$4)</f>
        <v>0</v>
      </c>
      <c r="DC93" s="79">
        <f t="array" ref="DC93">SUMIFS('Cắt lồng'!$AH$327:$AH$515,'Cắt lồng'!$AA$327:$AA$515,'Cắt lồng'!$AA93,'Cắt lồng'!$AE$327:$AE$515,'Cắt lồng'!DC$4:DC$4)</f>
        <v>0</v>
      </c>
      <c r="DD93" s="78" t="e">
        <f t="shared" si="200"/>
        <v>#DIV/0!</v>
      </c>
      <c r="DE93" s="79">
        <f t="array" ref="DE93">SUMIFS('Cắt lồng'!$AC$327:$AC$515,'Cắt lồng'!$AA$327:$AA$515,'Cắt lồng'!$AA93,'Cắt lồng'!$AE$327:$AE$515,'Cắt lồng'!DE$4:DE$4)</f>
        <v>0</v>
      </c>
      <c r="DF93" s="79">
        <f t="array" ref="DF93">SUMIFS('Cắt lồng'!$AH$327:$AH$515,'Cắt lồng'!$AA$327:$AA$515,'Cắt lồng'!$AA93,'Cắt lồng'!$AE$327:$AE$515,'Cắt lồng'!DF$4:DF$4)</f>
        <v>0</v>
      </c>
      <c r="DG93" s="78" t="e">
        <f t="shared" si="201"/>
        <v>#DIV/0!</v>
      </c>
      <c r="DH93" s="79">
        <f t="array" ref="DH93">SUMIFS('Cắt lồng'!$AC$327:$AC$515,'Cắt lồng'!$AA$327:$AA$515,'Cắt lồng'!$AA93,'Cắt lồng'!$AE$327:$AE$515,'Cắt lồng'!DH$4:DH$4)</f>
        <v>0</v>
      </c>
      <c r="DI93" s="79">
        <f t="array" ref="DI93">SUMIFS('Cắt lồng'!$AH$327:$AH$515,'Cắt lồng'!$AA$327:$AA$515,'Cắt lồng'!$AA93,'Cắt lồng'!$AE$327:$AE$515,'Cắt lồng'!DI$4:DI$4)</f>
        <v>0</v>
      </c>
      <c r="DJ93" s="78" t="e">
        <f t="shared" si="202"/>
        <v>#DIV/0!</v>
      </c>
      <c r="DK93" s="79">
        <f t="array" ref="DK93">SUMIFS('Cắt lồng'!$AC$327:$AC$515,'Cắt lồng'!$AA$327:$AA$515,'Cắt lồng'!$AA93,'Cắt lồng'!$AE$327:$AE$515,'Cắt lồng'!DK$4:DK$4)</f>
        <v>0</v>
      </c>
      <c r="DL93" s="79">
        <f t="array" ref="DL93">SUMIFS('Cắt lồng'!$AH$327:$AH$515,'Cắt lồng'!$AA$327:$AA$515,'Cắt lồng'!$AA93,'Cắt lồng'!$AE$327:$AE$515,'Cắt lồng'!DL$4:DL$4)</f>
        <v>0</v>
      </c>
      <c r="DM93" s="78" t="e">
        <f t="shared" si="203"/>
        <v>#DIV/0!</v>
      </c>
      <c r="DN93" s="79">
        <f t="array" ref="DN93">SUMIFS('Cắt lồng'!$AC$327:$AC$515,'Cắt lồng'!$AA$327:$AA$515,'Cắt lồng'!$AA93,'Cắt lồng'!$AE$327:$AE$515,'Cắt lồng'!DN$4:DN$4)</f>
        <v>0</v>
      </c>
      <c r="DO93" s="79">
        <f t="array" ref="DO93">SUMIFS('Cắt lồng'!$AH$327:$AH$515,'Cắt lồng'!$AA$327:$AA$515,'Cắt lồng'!$AA93,'Cắt lồng'!$AE$327:$AE$515,'Cắt lồng'!DO$4:DO$4)</f>
        <v>0</v>
      </c>
      <c r="DP93" s="78" t="e">
        <f t="shared" si="204"/>
        <v>#DIV/0!</v>
      </c>
      <c r="DQ93" s="79">
        <f t="array" ref="DQ93">SUMIFS('Cắt lồng'!$AC$327:$AC$515,'Cắt lồng'!$AA$327:$AA$515,'Cắt lồng'!$AA93,'Cắt lồng'!$AE$327:$AE$515,'Cắt lồng'!DQ$4:DQ$4)</f>
        <v>0</v>
      </c>
      <c r="DR93" s="79">
        <f t="array" ref="DR93">SUMIFS('Cắt lồng'!$AH$327:$AH$515,'Cắt lồng'!$AA$327:$AA$515,'Cắt lồng'!$AA93,'Cắt lồng'!$AE$327:$AE$515,'Cắt lồng'!DR$4:DR$4)</f>
        <v>0</v>
      </c>
      <c r="DS93" s="78" t="e">
        <f t="shared" si="205"/>
        <v>#DIV/0!</v>
      </c>
      <c r="DT93" s="79">
        <f t="array" ref="DT93">SUMIFS('Cắt lồng'!$AC$327:$AC$515,'Cắt lồng'!$AA$327:$AA$515,'Cắt lồng'!$AA93,'Cắt lồng'!$AE$327:$AE$515,'Cắt lồng'!DT$4:DT$4)</f>
        <v>0</v>
      </c>
      <c r="DU93" s="79">
        <f t="array" ref="DU93">SUMIFS('Cắt lồng'!$AH$327:$AH$515,'Cắt lồng'!$AA$327:$AA$515,'Cắt lồng'!$AA93,'Cắt lồng'!$AE$327:$AE$515,'Cắt lồng'!DU$4:DU$4)</f>
        <v>0</v>
      </c>
      <c r="DV93" s="78" t="e">
        <f t="shared" si="206"/>
        <v>#DIV/0!</v>
      </c>
      <c r="DW93" s="79">
        <f t="array" ref="DW93">SUMIFS('Cắt lồng'!$AC$327:$AC$515,'Cắt lồng'!$AA$327:$AA$515,'Cắt lồng'!$AA93,'Cắt lồng'!$AE$327:$AE$515,'Cắt lồng'!DW$4:DW$4)</f>
        <v>0</v>
      </c>
      <c r="DX93" s="79">
        <f t="array" ref="DX93">SUMIFS('Cắt lồng'!$AH$327:$AH$515,'Cắt lồng'!$AA$327:$AA$515,'Cắt lồng'!$AA93,'Cắt lồng'!$AE$327:$AE$515,'Cắt lồng'!DX$4:DX$4)</f>
        <v>0</v>
      </c>
      <c r="DY93" s="78" t="e">
        <f t="shared" si="207"/>
        <v>#DIV/0!</v>
      </c>
      <c r="DZ93" s="79">
        <f t="array" ref="DZ93">SUMIFS('Cắt lồng'!$AC$327:$AC$515,'Cắt lồng'!$AA$327:$AA$515,'Cắt lồng'!$AA93,'Cắt lồng'!$AE$327:$AE$515,'Cắt lồng'!DZ$4:DZ$4)</f>
        <v>0</v>
      </c>
      <c r="EA93" s="79">
        <f t="array" ref="EA93">SUMIFS('Cắt lồng'!$AH$327:$AH$515,'Cắt lồng'!$AA$327:$AA$515,'Cắt lồng'!$AA93,'Cắt lồng'!$AE$327:$AE$515,'Cắt lồng'!EA$4:EA$4)</f>
        <v>0</v>
      </c>
      <c r="EB93" s="78" t="e">
        <f t="shared" si="208"/>
        <v>#DIV/0!</v>
      </c>
      <c r="EC93" s="79">
        <f t="array" ref="EC93">SUMIFS('Cắt lồng'!$AC$327:$AC$515,'Cắt lồng'!$AA$327:$AA$515,'Cắt lồng'!$AA93,'Cắt lồng'!$AE$327:$AE$515,'Cắt lồng'!EC$4:EC$4)</f>
        <v>0</v>
      </c>
      <c r="ED93" s="79">
        <f t="array" ref="ED93">SUMIFS('Cắt lồng'!$AH$327:$AH$515,'Cắt lồng'!$AA$327:$AA$515,'Cắt lồng'!$AA93,'Cắt lồng'!$AE$327:$AE$515,'Cắt lồng'!ED$4:ED$4)</f>
        <v>0</v>
      </c>
      <c r="EE93" s="78" t="e">
        <f t="shared" si="209"/>
        <v>#DIV/0!</v>
      </c>
      <c r="EF93" s="79">
        <f t="array" ref="EF93">SUMIFS('Cắt lồng'!$AC$327:$AC$515,'Cắt lồng'!$AA$327:$AA$515,'Cắt lồng'!$AA93,'Cắt lồng'!$AE$327:$AE$515,'Cắt lồng'!EF$4:EF$4)</f>
        <v>0</v>
      </c>
      <c r="EG93" s="79">
        <f t="array" ref="EG93">SUMIFS('Cắt lồng'!$AH$327:$AH$515,'Cắt lồng'!$AA$327:$AA$515,'Cắt lồng'!$AA93,'Cắt lồng'!$AE$327:$AE$515,'Cắt lồng'!EG$4:EG$4)</f>
        <v>0</v>
      </c>
      <c r="EH93" s="78" t="e">
        <f t="shared" si="210"/>
        <v>#DIV/0!</v>
      </c>
      <c r="EI93" s="79">
        <f t="array" ref="EI93">SUMIFS('Cắt lồng'!$AC$327:$AC$515,'Cắt lồng'!$AA$327:$AA$515,'Cắt lồng'!$AA93,'Cắt lồng'!$AE$327:$AE$515,'Cắt lồng'!EI$4:EI$4)</f>
        <v>0</v>
      </c>
      <c r="EJ93" s="79">
        <f t="array" ref="EJ93">SUMIFS('Cắt lồng'!$AH$327:$AH$515,'Cắt lồng'!$AA$327:$AA$515,'Cắt lồng'!$AA93,'Cắt lồng'!$AE$327:$AE$515,'Cắt lồng'!EJ$4:EJ$4)</f>
        <v>0</v>
      </c>
      <c r="EK93" s="78" t="e">
        <f t="shared" si="211"/>
        <v>#DIV/0!</v>
      </c>
    </row>
    <row r="94" spans="1:141" s="80" customFormat="1" ht="14.25" hidden="1" customHeight="1">
      <c r="A94" s="30">
        <v>65</v>
      </c>
      <c r="B94" s="27"/>
      <c r="C94" s="30"/>
      <c r="D94" s="117"/>
      <c r="E94" s="119"/>
      <c r="F94" s="115"/>
      <c r="G94" s="82">
        <f t="shared" si="144"/>
        <v>0</v>
      </c>
      <c r="H94" s="81">
        <f t="shared" si="145"/>
        <v>0</v>
      </c>
      <c r="I94" s="19">
        <f t="shared" si="146"/>
        <v>0</v>
      </c>
      <c r="J94" s="11">
        <f t="shared" si="147"/>
        <v>0</v>
      </c>
      <c r="K94" s="19">
        <f t="shared" si="148"/>
        <v>0</v>
      </c>
      <c r="L94" s="19">
        <f t="shared" si="149"/>
        <v>0</v>
      </c>
      <c r="M94" s="19">
        <f t="shared" si="150"/>
        <v>0</v>
      </c>
      <c r="N94" s="19">
        <f t="shared" si="151"/>
        <v>0</v>
      </c>
      <c r="O94" s="19">
        <f t="shared" si="152"/>
        <v>0</v>
      </c>
      <c r="P94" s="19">
        <f t="shared" si="153"/>
        <v>0</v>
      </c>
      <c r="Q94" s="19">
        <f t="shared" si="154"/>
        <v>0</v>
      </c>
      <c r="R94" s="19">
        <f t="shared" si="155"/>
        <v>0</v>
      </c>
      <c r="S94" s="19">
        <f t="shared" si="156"/>
        <v>0</v>
      </c>
      <c r="T94" s="19">
        <f t="shared" si="157"/>
        <v>0</v>
      </c>
      <c r="U94" s="19">
        <f t="shared" si="158"/>
        <v>0</v>
      </c>
      <c r="V94" s="19">
        <f t="shared" si="159"/>
        <v>0</v>
      </c>
      <c r="W94" s="19">
        <f t="shared" si="160"/>
        <v>0</v>
      </c>
      <c r="X94" s="19">
        <f t="shared" si="161"/>
        <v>0</v>
      </c>
      <c r="Y94" s="19">
        <f t="shared" si="162"/>
        <v>0</v>
      </c>
      <c r="Z94" s="19">
        <f t="shared" si="163"/>
        <v>0</v>
      </c>
      <c r="AA94" s="164" t="s">
        <v>227</v>
      </c>
      <c r="AB94" s="17" t="e">
        <f>+H94*SUMIF('[1]KẾ HOẠCH'!$B$5:$CK$5,'Cắt lồng'!AA94,'[1]KẾ HOẠCH'!$B$6:$CK$6)+H94*SUMIF('[1]KẾ HOẠCH'!$B$7:$CK$7,'Cắt lồng'!AA94,'[1]KẾ HOẠCH'!$B$8:$CK$8)+H94*SUMIF('[1]KẾ HOẠCH'!$B$15:$CK$15,'Cắt lồng'!AA94,'[1]KẾ HOẠCH'!$B$16:$CK$16)</f>
        <v>#VALUE!</v>
      </c>
      <c r="AC94" s="16">
        <f t="shared" si="164"/>
        <v>0</v>
      </c>
      <c r="AD94" s="15" t="e">
        <f t="shared" si="165"/>
        <v>#VALUE!</v>
      </c>
      <c r="AE94" s="42"/>
      <c r="AF94" s="112" t="e">
        <f t="shared" si="166"/>
        <v>#DIV/0!</v>
      </c>
      <c r="AG94" s="112"/>
      <c r="AH94" s="112">
        <f t="shared" si="167"/>
        <v>0</v>
      </c>
      <c r="AI94" s="111" t="e">
        <f t="shared" si="168"/>
        <v>#DIV/0!</v>
      </c>
      <c r="AJ94" s="30">
        <f t="shared" si="169"/>
        <v>0</v>
      </c>
      <c r="AK94" s="30">
        <f t="shared" si="170"/>
        <v>0</v>
      </c>
      <c r="AL94" s="30">
        <f t="shared" si="171"/>
        <v>0</v>
      </c>
      <c r="AM94" s="30">
        <f t="shared" si="172"/>
        <v>0</v>
      </c>
      <c r="AN94" s="30">
        <f t="shared" si="173"/>
        <v>0</v>
      </c>
      <c r="AO94" s="30">
        <f t="shared" si="174"/>
        <v>0</v>
      </c>
      <c r="AP94" s="30">
        <f t="shared" si="175"/>
        <v>0</v>
      </c>
      <c r="AQ94" s="30">
        <f t="shared" si="176"/>
        <v>0</v>
      </c>
      <c r="AR94" s="25">
        <f t="shared" si="177"/>
        <v>0</v>
      </c>
      <c r="AS94" s="25">
        <f t="shared" si="178"/>
        <v>0</v>
      </c>
      <c r="AT94" s="30">
        <f t="shared" si="179"/>
        <v>0</v>
      </c>
      <c r="AV94" s="79">
        <f t="shared" si="180"/>
        <v>0</v>
      </c>
      <c r="AW94" s="79">
        <f t="array" ref="AW94">SUMIFS('Cắt lồng'!$AC$327:$AC$515,'Cắt lồng'!$AA$327:$AA$515,'Cắt lồng'!$AA94,'Cắt lồng'!$AE$327:$AE$515,'Cắt lồng'!AW$4:AW$4)</f>
        <v>0</v>
      </c>
      <c r="AX94" s="79">
        <f t="array" ref="AX94">SUMIFS('Cắt lồng'!$AH$327:$AH$515,'Cắt lồng'!$AA$327:$AA$515,'Cắt lồng'!$AA94,'Cắt lồng'!$AE$327:$AE$515,'Cắt lồng'!AX$4:AX$4)</f>
        <v>0</v>
      </c>
      <c r="AY94" s="109" t="e">
        <f t="shared" si="181"/>
        <v>#DIV/0!</v>
      </c>
      <c r="AZ94" s="79">
        <f t="array" ref="AZ94">SUMIFS('Cắt lồng'!$AC$327:$AC$515,'Cắt lồng'!$AA$327:$AA$515,'Cắt lồng'!$AA94,'Cắt lồng'!$AE$327:$AE$515,'Cắt lồng'!AZ$4:AZ$4)</f>
        <v>0</v>
      </c>
      <c r="BA94" s="79">
        <f t="array" ref="BA94">SUMIFS('Cắt lồng'!$AH$327:$AH$515,'Cắt lồng'!$AA$327:$AA$515,'Cắt lồng'!$AA94,'Cắt lồng'!$AE$327:$AE$515,'Cắt lồng'!BA$4:BA$4)</f>
        <v>0</v>
      </c>
      <c r="BB94" s="109" t="e">
        <f t="shared" si="182"/>
        <v>#DIV/0!</v>
      </c>
      <c r="BC94" s="79">
        <f t="array" ref="BC94">SUMIFS('Cắt lồng'!$AC$327:$AC$515,'Cắt lồng'!$AA$327:$AA$515,'Cắt lồng'!$AA94,'Cắt lồng'!$AE$327:$AE$515,'Cắt lồng'!BC$4:BC$4)</f>
        <v>0</v>
      </c>
      <c r="BD94" s="79">
        <f t="array" ref="BD94">SUMIFS('Cắt lồng'!$AH$327:$AH$515,'Cắt lồng'!$AA$327:$AA$515,'Cắt lồng'!$AA94,'Cắt lồng'!$AE$327:$AE$515,'Cắt lồng'!BD$4:BD$4)</f>
        <v>0</v>
      </c>
      <c r="BE94" s="109" t="e">
        <f t="shared" si="183"/>
        <v>#DIV/0!</v>
      </c>
      <c r="BF94" s="79">
        <f t="array" ref="BF94">SUMIFS('Cắt lồng'!$AC$327:$AC$515,'Cắt lồng'!$AA$327:$AA$515,'Cắt lồng'!$AA94,'Cắt lồng'!$AE$327:$AE$515,'Cắt lồng'!BF$4:BF$4)</f>
        <v>0</v>
      </c>
      <c r="BG94" s="79">
        <f t="array" ref="BG94">SUMIFS('Cắt lồng'!$AH$327:$AH$515,'Cắt lồng'!$AA$327:$AA$515,'Cắt lồng'!$AA94,'Cắt lồng'!$AE$327:$AE$515,'Cắt lồng'!BG$4:BG$4)</f>
        <v>0</v>
      </c>
      <c r="BH94" s="109" t="e">
        <f t="shared" si="184"/>
        <v>#DIV/0!</v>
      </c>
      <c r="BI94" s="79">
        <f t="array" ref="BI94">SUMIFS('Cắt lồng'!$AC$327:$AC$515,'Cắt lồng'!$AA$327:$AA$515,'Cắt lồng'!$AA94,'Cắt lồng'!$AE$327:$AE$515,'Cắt lồng'!BI$4:BI$4)</f>
        <v>0</v>
      </c>
      <c r="BJ94" s="79">
        <f t="array" ref="BJ94">SUMIFS('Cắt lồng'!$AH$327:$AH$515,'Cắt lồng'!$AA$327:$AA$515,'Cắt lồng'!$AA94,'Cắt lồng'!$AE$327:$AE$515,'Cắt lồng'!BJ$4:BJ$4)</f>
        <v>0</v>
      </c>
      <c r="BK94" s="109" t="e">
        <f t="shared" si="185"/>
        <v>#DIV/0!</v>
      </c>
      <c r="BL94" s="79">
        <f t="array" ref="BL94">SUMIFS('Cắt lồng'!$AC$327:$AC$515,'Cắt lồng'!$AA$327:$AA$515,'Cắt lồng'!$AA94,'Cắt lồng'!$AE$327:$AE$515,'Cắt lồng'!BL$4:BL$4)</f>
        <v>0</v>
      </c>
      <c r="BM94" s="79">
        <f t="array" ref="BM94">SUMIFS('Cắt lồng'!$AH$327:$AH$515,'Cắt lồng'!$AA$327:$AA$515,'Cắt lồng'!$AA94,'Cắt lồng'!$AE$327:$AE$515,'Cắt lồng'!BM$4:BM$4)</f>
        <v>0</v>
      </c>
      <c r="BN94" s="109" t="e">
        <f t="shared" si="186"/>
        <v>#DIV/0!</v>
      </c>
      <c r="BO94" s="79">
        <f t="array" ref="BO94">SUMIFS('Cắt lồng'!$AC$327:$AC$515,'Cắt lồng'!$AA$327:$AA$515,'Cắt lồng'!$AA94,'Cắt lồng'!$AE$327:$AE$515,'Cắt lồng'!BO$4:BO$4)</f>
        <v>0</v>
      </c>
      <c r="BP94" s="79">
        <f t="array" ref="BP94">SUMIFS('Cắt lồng'!$AH$327:$AH$515,'Cắt lồng'!$AA$327:$AA$515,'Cắt lồng'!$AA94,'Cắt lồng'!$AE$327:$AE$515,'Cắt lồng'!BP$4:BP$4)</f>
        <v>0</v>
      </c>
      <c r="BQ94" s="109" t="e">
        <f t="shared" si="187"/>
        <v>#DIV/0!</v>
      </c>
      <c r="BR94" s="79">
        <f t="array" ref="BR94">SUMIFS('Cắt lồng'!$AC$327:$AC$515,'Cắt lồng'!$AA$327:$AA$515,'Cắt lồng'!$AA94,'Cắt lồng'!$AE$327:$AE$515,'Cắt lồng'!BR$4:BR$4)</f>
        <v>0</v>
      </c>
      <c r="BS94" s="79">
        <f t="array" ref="BS94">SUMIFS('Cắt lồng'!$AH$327:$AH$515,'Cắt lồng'!$AA$327:$AA$515,'Cắt lồng'!$AA94,'Cắt lồng'!$AE$327:$AE$515,'Cắt lồng'!BS$4:BS$4)</f>
        <v>0</v>
      </c>
      <c r="BT94" s="109" t="e">
        <f t="shared" si="188"/>
        <v>#DIV/0!</v>
      </c>
      <c r="BU94" s="79">
        <f t="array" ref="BU94">SUMIFS('Cắt lồng'!$AC$327:$AC$515,'Cắt lồng'!$AA$327:$AA$515,'Cắt lồng'!$AA94,'Cắt lồng'!$AE$327:$AE$515,'Cắt lồng'!BU$4:BU$4)</f>
        <v>0</v>
      </c>
      <c r="BV94" s="79">
        <f t="array" ref="BV94">SUMIFS('Cắt lồng'!$AH$327:$AH$515,'Cắt lồng'!$AA$327:$AA$515,'Cắt lồng'!$AA94,'Cắt lồng'!$AE$327:$AE$515,'Cắt lồng'!BV$4:BV$4)</f>
        <v>0</v>
      </c>
      <c r="BW94" s="109" t="e">
        <f t="shared" si="189"/>
        <v>#DIV/0!</v>
      </c>
      <c r="BX94" s="79">
        <f t="array" ref="BX94">SUMIFS('Cắt lồng'!$AC$327:$AC$515,'Cắt lồng'!$AA$327:$AA$515,'Cắt lồng'!$AA94,'Cắt lồng'!$AE$327:$AE$515,'Cắt lồng'!BX$4:BX$4)</f>
        <v>0</v>
      </c>
      <c r="BY94" s="79">
        <f t="array" ref="BY94">SUMIFS('Cắt lồng'!$AH$327:$AH$515,'Cắt lồng'!$AA$327:$AA$515,'Cắt lồng'!$AA94,'Cắt lồng'!$AE$327:$AE$515,'Cắt lồng'!BY$4:BY$4)</f>
        <v>0</v>
      </c>
      <c r="BZ94" s="109" t="e">
        <f t="shared" si="190"/>
        <v>#DIV/0!</v>
      </c>
      <c r="CA94" s="79">
        <f t="array" ref="CA94">SUMIFS('Cắt lồng'!$AC$327:$AC$515,'Cắt lồng'!$AA$327:$AA$515,'Cắt lồng'!$AA94,'Cắt lồng'!$AE$327:$AE$515,'Cắt lồng'!CA$4:CA$4)</f>
        <v>0</v>
      </c>
      <c r="CB94" s="79">
        <f t="array" ref="CB94">SUMIFS('Cắt lồng'!$AH$327:$AH$515,'Cắt lồng'!$AA$327:$AA$515,'Cắt lồng'!$AA94,'Cắt lồng'!$AE$327:$AE$515,'Cắt lồng'!CB$4:CB$4)</f>
        <v>0</v>
      </c>
      <c r="CC94" s="109" t="e">
        <f t="shared" si="191"/>
        <v>#DIV/0!</v>
      </c>
      <c r="CD94" s="79">
        <f t="array" ref="CD94">SUMIFS('Cắt lồng'!$AC$327:$AC$515,'Cắt lồng'!$AA$327:$AA$515,'Cắt lồng'!$AA94,'Cắt lồng'!$AE$327:$AE$515,'Cắt lồng'!CD$4:CD$4)</f>
        <v>0</v>
      </c>
      <c r="CE94" s="79">
        <f t="array" ref="CE94">SUMIFS('Cắt lồng'!$AH$327:$AH$515,'Cắt lồng'!$AA$327:$AA$515,'Cắt lồng'!$AA94,'Cắt lồng'!$AE$327:$AE$515,'Cắt lồng'!CE$4:CE$4)</f>
        <v>0</v>
      </c>
      <c r="CF94" s="109" t="e">
        <f t="shared" si="192"/>
        <v>#DIV/0!</v>
      </c>
      <c r="CG94" s="79">
        <f t="array" ref="CG94">SUMIFS('Cắt lồng'!$AC$327:$AC$515,'Cắt lồng'!$AA$327:$AA$515,'Cắt lồng'!$AA94,'Cắt lồng'!$AE$327:$AE$515,'Cắt lồng'!CG$4:CG$4)</f>
        <v>0</v>
      </c>
      <c r="CH94" s="79">
        <f t="array" ref="CH94">SUMIFS('Cắt lồng'!$AH$327:$AH$515,'Cắt lồng'!$AA$327:$AA$515,'Cắt lồng'!$AA94,'Cắt lồng'!$AE$327:$AE$515,'Cắt lồng'!CH$4:CH$4)</f>
        <v>0</v>
      </c>
      <c r="CI94" s="109" t="e">
        <f t="shared" si="193"/>
        <v>#DIV/0!</v>
      </c>
      <c r="CJ94" s="79">
        <f t="array" ref="CJ94">SUMIFS('Cắt lồng'!$AC$327:$AC$515,'Cắt lồng'!$AA$327:$AA$515,'Cắt lồng'!$AA94,'Cắt lồng'!$AE$327:$AE$515,'Cắt lồng'!CJ$4:CJ$4)</f>
        <v>0</v>
      </c>
      <c r="CK94" s="79">
        <f t="array" ref="CK94">SUMIFS('Cắt lồng'!$AH$327:$AH$515,'Cắt lồng'!$AA$327:$AA$515,'Cắt lồng'!$AA94,'Cắt lồng'!$AE$327:$AE$515,'Cắt lồng'!CK$4:CK$4)</f>
        <v>0</v>
      </c>
      <c r="CL94" s="109" t="e">
        <f t="shared" si="194"/>
        <v>#DIV/0!</v>
      </c>
      <c r="CM94" s="79">
        <f t="array" ref="CM94">SUMIFS('Cắt lồng'!$AC$327:$AC$515,'Cắt lồng'!$AA$327:$AA$515,'Cắt lồng'!$AA94,'Cắt lồng'!$AE$327:$AE$515,'Cắt lồng'!CM$4:CM$4)</f>
        <v>0</v>
      </c>
      <c r="CN94" s="79">
        <f t="array" ref="CN94">SUMIFS('Cắt lồng'!$AH$327:$AH$515,'Cắt lồng'!$AA$327:$AA$515,'Cắt lồng'!$AA94,'Cắt lồng'!$AE$327:$AE$515,'Cắt lồng'!CN$4:CN$4)</f>
        <v>0</v>
      </c>
      <c r="CO94" s="109" t="e">
        <f t="shared" si="195"/>
        <v>#DIV/0!</v>
      </c>
      <c r="CP94" s="79">
        <f t="array" ref="CP94">SUMIFS('Cắt lồng'!$AC$327:$AC$515,'Cắt lồng'!$AA$327:$AA$515,'Cắt lồng'!$AA94,'Cắt lồng'!$AE$327:$AE$515,'Cắt lồng'!CP$4:CP$4)</f>
        <v>0</v>
      </c>
      <c r="CQ94" s="79">
        <f t="array" ref="CQ94">SUMIFS('Cắt lồng'!$AH$327:$AH$515,'Cắt lồng'!$AA$327:$AA$515,'Cắt lồng'!$AA94,'Cắt lồng'!$AE$327:$AE$515,'Cắt lồng'!CQ$4:CQ$4)</f>
        <v>0</v>
      </c>
      <c r="CR94" s="109" t="e">
        <f t="shared" si="196"/>
        <v>#DIV/0!</v>
      </c>
      <c r="CS94" s="79">
        <f t="array" ref="CS94">SUMIFS('Cắt lồng'!$AC$327:$AC$515,'Cắt lồng'!$AA$327:$AA$515,'Cắt lồng'!$AA94,'Cắt lồng'!$AE$327:$AE$515,'Cắt lồng'!CS$4:CS$4)</f>
        <v>0</v>
      </c>
      <c r="CT94" s="79">
        <f t="array" ref="CT94">SUMIFS('Cắt lồng'!$AH$327:$AH$515,'Cắt lồng'!$AA$327:$AA$515,'Cắt lồng'!$AA94,'Cắt lồng'!$AE$327:$AE$515,'Cắt lồng'!CT$4:CT$4)</f>
        <v>0</v>
      </c>
      <c r="CU94" s="109" t="e">
        <f t="shared" si="197"/>
        <v>#DIV/0!</v>
      </c>
      <c r="CV94" s="79">
        <f t="array" ref="CV94">SUMIFS('Cắt lồng'!$AC$327:$AC$515,'Cắt lồng'!$AA$327:$AA$515,'Cắt lồng'!$AA94,'Cắt lồng'!$AE$327:$AE$515,'Cắt lồng'!CV$4:CV$4)</f>
        <v>0</v>
      </c>
      <c r="CW94" s="79">
        <f t="array" ref="CW94">SUMIFS('Cắt lồng'!$AH$327:$AH$515,'Cắt lồng'!$AA$327:$AA$515,'Cắt lồng'!$AA94,'Cắt lồng'!$AE$327:$AE$515,'Cắt lồng'!CW$4:CW$4)</f>
        <v>0</v>
      </c>
      <c r="CX94" s="109" t="e">
        <f t="shared" si="198"/>
        <v>#DIV/0!</v>
      </c>
      <c r="CY94" s="79">
        <f t="array" ref="CY94">SUMIFS('Cắt lồng'!$AC$327:$AC$515,'Cắt lồng'!$AA$327:$AA$515,'Cắt lồng'!$AA94,'Cắt lồng'!$AE$327:$AE$515,'Cắt lồng'!CY$4:CY$4)</f>
        <v>0</v>
      </c>
      <c r="CZ94" s="79">
        <f t="array" ref="CZ94">SUMIFS('Cắt lồng'!$AH$327:$AH$515,'Cắt lồng'!$AA$327:$AA$515,'Cắt lồng'!$AA94,'Cắt lồng'!$AE$327:$AE$515,'Cắt lồng'!CZ$4:CZ$4)</f>
        <v>0</v>
      </c>
      <c r="DA94" s="109" t="e">
        <f t="shared" si="199"/>
        <v>#DIV/0!</v>
      </c>
      <c r="DB94" s="79">
        <f t="array" ref="DB94">SUMIFS('Cắt lồng'!$AC$327:$AC$515,'Cắt lồng'!$AA$327:$AA$515,'Cắt lồng'!$AA94,'Cắt lồng'!$AE$327:$AE$515,'Cắt lồng'!DB$4:DB$4)</f>
        <v>0</v>
      </c>
      <c r="DC94" s="79">
        <f t="array" ref="DC94">SUMIFS('Cắt lồng'!$AH$327:$AH$515,'Cắt lồng'!$AA$327:$AA$515,'Cắt lồng'!$AA94,'Cắt lồng'!$AE$327:$AE$515,'Cắt lồng'!DC$4:DC$4)</f>
        <v>0</v>
      </c>
      <c r="DD94" s="109" t="e">
        <f t="shared" si="200"/>
        <v>#DIV/0!</v>
      </c>
      <c r="DE94" s="79">
        <f t="array" ref="DE94">SUMIFS('Cắt lồng'!$AC$327:$AC$515,'Cắt lồng'!$AA$327:$AA$515,'Cắt lồng'!$AA94,'Cắt lồng'!$AE$327:$AE$515,'Cắt lồng'!DE$4:DE$4)</f>
        <v>0</v>
      </c>
      <c r="DF94" s="79">
        <f t="array" ref="DF94">SUMIFS('Cắt lồng'!$AH$327:$AH$515,'Cắt lồng'!$AA$327:$AA$515,'Cắt lồng'!$AA94,'Cắt lồng'!$AE$327:$AE$515,'Cắt lồng'!DF$4:DF$4)</f>
        <v>0</v>
      </c>
      <c r="DG94" s="109" t="e">
        <f t="shared" si="201"/>
        <v>#DIV/0!</v>
      </c>
      <c r="DH94" s="79">
        <f t="array" ref="DH94">SUMIFS('Cắt lồng'!$AC$327:$AC$515,'Cắt lồng'!$AA$327:$AA$515,'Cắt lồng'!$AA94,'Cắt lồng'!$AE$327:$AE$515,'Cắt lồng'!DH$4:DH$4)</f>
        <v>0</v>
      </c>
      <c r="DI94" s="79">
        <f t="array" ref="DI94">SUMIFS('Cắt lồng'!$AH$327:$AH$515,'Cắt lồng'!$AA$327:$AA$515,'Cắt lồng'!$AA94,'Cắt lồng'!$AE$327:$AE$515,'Cắt lồng'!DI$4:DI$4)</f>
        <v>0</v>
      </c>
      <c r="DJ94" s="109" t="e">
        <f t="shared" si="202"/>
        <v>#DIV/0!</v>
      </c>
      <c r="DK94" s="79">
        <f t="array" ref="DK94">SUMIFS('Cắt lồng'!$AC$327:$AC$515,'Cắt lồng'!$AA$327:$AA$515,'Cắt lồng'!$AA94,'Cắt lồng'!$AE$327:$AE$515,'Cắt lồng'!DK$4:DK$4)</f>
        <v>0</v>
      </c>
      <c r="DL94" s="79">
        <f t="array" ref="DL94">SUMIFS('Cắt lồng'!$AH$327:$AH$515,'Cắt lồng'!$AA$327:$AA$515,'Cắt lồng'!$AA94,'Cắt lồng'!$AE$327:$AE$515,'Cắt lồng'!DL$4:DL$4)</f>
        <v>0</v>
      </c>
      <c r="DM94" s="109" t="e">
        <f t="shared" si="203"/>
        <v>#DIV/0!</v>
      </c>
      <c r="DN94" s="79">
        <f t="array" ref="DN94">SUMIFS('Cắt lồng'!$AC$327:$AC$515,'Cắt lồng'!$AA$327:$AA$515,'Cắt lồng'!$AA94,'Cắt lồng'!$AE$327:$AE$515,'Cắt lồng'!DN$4:DN$4)</f>
        <v>0</v>
      </c>
      <c r="DO94" s="79">
        <f t="array" ref="DO94">SUMIFS('Cắt lồng'!$AH$327:$AH$515,'Cắt lồng'!$AA$327:$AA$515,'Cắt lồng'!$AA94,'Cắt lồng'!$AE$327:$AE$515,'Cắt lồng'!DO$4:DO$4)</f>
        <v>0</v>
      </c>
      <c r="DP94" s="109" t="e">
        <f t="shared" si="204"/>
        <v>#DIV/0!</v>
      </c>
      <c r="DQ94" s="79">
        <f t="array" ref="DQ94">SUMIFS('Cắt lồng'!$AC$327:$AC$515,'Cắt lồng'!$AA$327:$AA$515,'Cắt lồng'!$AA94,'Cắt lồng'!$AE$327:$AE$515,'Cắt lồng'!DQ$4:DQ$4)</f>
        <v>0</v>
      </c>
      <c r="DR94" s="79">
        <f t="array" ref="DR94">SUMIFS('Cắt lồng'!$AH$327:$AH$515,'Cắt lồng'!$AA$327:$AA$515,'Cắt lồng'!$AA94,'Cắt lồng'!$AE$327:$AE$515,'Cắt lồng'!DR$4:DR$4)</f>
        <v>0</v>
      </c>
      <c r="DS94" s="109" t="e">
        <f t="shared" si="205"/>
        <v>#DIV/0!</v>
      </c>
      <c r="DT94" s="79">
        <f t="array" ref="DT94">SUMIFS('Cắt lồng'!$AC$327:$AC$515,'Cắt lồng'!$AA$327:$AA$515,'Cắt lồng'!$AA94,'Cắt lồng'!$AE$327:$AE$515,'Cắt lồng'!DT$4:DT$4)</f>
        <v>0</v>
      </c>
      <c r="DU94" s="79">
        <f t="array" ref="DU94">SUMIFS('Cắt lồng'!$AH$327:$AH$515,'Cắt lồng'!$AA$327:$AA$515,'Cắt lồng'!$AA94,'Cắt lồng'!$AE$327:$AE$515,'Cắt lồng'!DU$4:DU$4)</f>
        <v>0</v>
      </c>
      <c r="DV94" s="109" t="e">
        <f t="shared" si="206"/>
        <v>#DIV/0!</v>
      </c>
      <c r="DW94" s="79">
        <f t="array" ref="DW94">SUMIFS('Cắt lồng'!$AC$327:$AC$515,'Cắt lồng'!$AA$327:$AA$515,'Cắt lồng'!$AA94,'Cắt lồng'!$AE$327:$AE$515,'Cắt lồng'!DW$4:DW$4)</f>
        <v>0</v>
      </c>
      <c r="DX94" s="79">
        <f t="array" ref="DX94">SUMIFS('Cắt lồng'!$AH$327:$AH$515,'Cắt lồng'!$AA$327:$AA$515,'Cắt lồng'!$AA94,'Cắt lồng'!$AE$327:$AE$515,'Cắt lồng'!DX$4:DX$4)</f>
        <v>0</v>
      </c>
      <c r="DY94" s="109" t="e">
        <f t="shared" si="207"/>
        <v>#DIV/0!</v>
      </c>
      <c r="DZ94" s="79">
        <f t="array" ref="DZ94">SUMIFS('Cắt lồng'!$AC$327:$AC$515,'Cắt lồng'!$AA$327:$AA$515,'Cắt lồng'!$AA94,'Cắt lồng'!$AE$327:$AE$515,'Cắt lồng'!DZ$4:DZ$4)</f>
        <v>0</v>
      </c>
      <c r="EA94" s="79">
        <f t="array" ref="EA94">SUMIFS('Cắt lồng'!$AH$327:$AH$515,'Cắt lồng'!$AA$327:$AA$515,'Cắt lồng'!$AA94,'Cắt lồng'!$AE$327:$AE$515,'Cắt lồng'!EA$4:EA$4)</f>
        <v>0</v>
      </c>
      <c r="EB94" s="109" t="e">
        <f t="shared" si="208"/>
        <v>#DIV/0!</v>
      </c>
      <c r="EC94" s="79">
        <f t="array" ref="EC94">SUMIFS('Cắt lồng'!$AC$327:$AC$515,'Cắt lồng'!$AA$327:$AA$515,'Cắt lồng'!$AA94,'Cắt lồng'!$AE$327:$AE$515,'Cắt lồng'!EC$4:EC$4)</f>
        <v>0</v>
      </c>
      <c r="ED94" s="79">
        <f t="array" ref="ED94">SUMIFS('Cắt lồng'!$AH$327:$AH$515,'Cắt lồng'!$AA$327:$AA$515,'Cắt lồng'!$AA94,'Cắt lồng'!$AE$327:$AE$515,'Cắt lồng'!ED$4:ED$4)</f>
        <v>0</v>
      </c>
      <c r="EE94" s="109" t="e">
        <f t="shared" si="209"/>
        <v>#DIV/0!</v>
      </c>
      <c r="EF94" s="79">
        <f t="array" ref="EF94">SUMIFS('Cắt lồng'!$AC$327:$AC$515,'Cắt lồng'!$AA$327:$AA$515,'Cắt lồng'!$AA94,'Cắt lồng'!$AE$327:$AE$515,'Cắt lồng'!EF$4:EF$4)</f>
        <v>0</v>
      </c>
      <c r="EG94" s="79">
        <f t="array" ref="EG94">SUMIFS('Cắt lồng'!$AH$327:$AH$515,'Cắt lồng'!$AA$327:$AA$515,'Cắt lồng'!$AA94,'Cắt lồng'!$AE$327:$AE$515,'Cắt lồng'!EG$4:EG$4)</f>
        <v>0</v>
      </c>
      <c r="EH94" s="109" t="e">
        <f t="shared" si="210"/>
        <v>#DIV/0!</v>
      </c>
      <c r="EI94" s="79">
        <f t="array" ref="EI94">SUMIFS('Cắt lồng'!$AC$327:$AC$515,'Cắt lồng'!$AA$327:$AA$515,'Cắt lồng'!$AA94,'Cắt lồng'!$AE$327:$AE$515,'Cắt lồng'!EI$4:EI$4)</f>
        <v>0</v>
      </c>
      <c r="EJ94" s="79">
        <f t="array" ref="EJ94">SUMIFS('Cắt lồng'!$AH$327:$AH$515,'Cắt lồng'!$AA$327:$AA$515,'Cắt lồng'!$AA94,'Cắt lồng'!$AE$327:$AE$515,'Cắt lồng'!EJ$4:EJ$4)</f>
        <v>0</v>
      </c>
      <c r="EK94" s="109" t="e">
        <f t="shared" si="211"/>
        <v>#DIV/0!</v>
      </c>
    </row>
    <row r="95" spans="1:141" s="80" customFormat="1" ht="14.25" hidden="1" customHeight="1">
      <c r="A95" s="30">
        <v>66</v>
      </c>
      <c r="B95" s="27"/>
      <c r="C95" s="30"/>
      <c r="D95" s="117"/>
      <c r="E95" s="119"/>
      <c r="F95" s="115"/>
      <c r="G95" s="82">
        <f t="shared" si="144"/>
        <v>0</v>
      </c>
      <c r="H95" s="81">
        <f t="shared" si="145"/>
        <v>13.32</v>
      </c>
      <c r="I95" s="19">
        <f t="shared" si="146"/>
        <v>0</v>
      </c>
      <c r="J95" s="11">
        <f t="shared" si="147"/>
        <v>4.66</v>
      </c>
      <c r="K95" s="19">
        <f t="shared" si="148"/>
        <v>0</v>
      </c>
      <c r="L95" s="19">
        <f t="shared" si="149"/>
        <v>0</v>
      </c>
      <c r="M95" s="19">
        <f t="shared" si="150"/>
        <v>0</v>
      </c>
      <c r="N95" s="19">
        <f t="shared" si="151"/>
        <v>0.66</v>
      </c>
      <c r="O95" s="19">
        <f t="shared" si="152"/>
        <v>0</v>
      </c>
      <c r="P95" s="19">
        <f t="shared" si="153"/>
        <v>0</v>
      </c>
      <c r="Q95" s="19">
        <f t="shared" si="154"/>
        <v>0</v>
      </c>
      <c r="R95" s="19">
        <f t="shared" si="155"/>
        <v>0</v>
      </c>
      <c r="S95" s="19">
        <f t="shared" si="156"/>
        <v>0</v>
      </c>
      <c r="T95" s="19">
        <f t="shared" si="157"/>
        <v>2</v>
      </c>
      <c r="U95" s="19">
        <f t="shared" si="158"/>
        <v>0</v>
      </c>
      <c r="V95" s="19">
        <f t="shared" si="159"/>
        <v>1.66</v>
      </c>
      <c r="W95" s="19">
        <f t="shared" si="160"/>
        <v>0</v>
      </c>
      <c r="X95" s="19">
        <f t="shared" si="161"/>
        <v>0.34</v>
      </c>
      <c r="Y95" s="19">
        <f t="shared" si="162"/>
        <v>0</v>
      </c>
      <c r="Z95" s="19">
        <f t="shared" si="163"/>
        <v>0</v>
      </c>
      <c r="AA95" s="164" t="s">
        <v>25</v>
      </c>
      <c r="AB95" s="17" t="e">
        <f>+H95*SUMIF('[1]KẾ HOẠCH'!$B$5:$CK$5,'Cắt lồng'!AA95,'[1]KẾ HOẠCH'!$B$6:$CK$6)+H95*SUMIF('[1]KẾ HOẠCH'!$B$7:$CK$7,'Cắt lồng'!AA95,'[1]KẾ HOẠCH'!$B$8:$CK$8)+H95*SUMIF('[1]KẾ HOẠCH'!$B$15:$CK$15,'Cắt lồng'!AA95,'[1]KẾ HOẠCH'!$B$16:$CK$16)</f>
        <v>#VALUE!</v>
      </c>
      <c r="AC95" s="16">
        <f t="shared" si="164"/>
        <v>3420</v>
      </c>
      <c r="AD95" s="15" t="e">
        <f t="shared" si="165"/>
        <v>#VALUE!</v>
      </c>
      <c r="AE95" s="42"/>
      <c r="AF95" s="112">
        <f t="shared" si="166"/>
        <v>256.75675675675677</v>
      </c>
      <c r="AG95" s="112"/>
      <c r="AH95" s="112">
        <f t="shared" si="167"/>
        <v>0</v>
      </c>
      <c r="AI95" s="111">
        <f t="shared" si="168"/>
        <v>0</v>
      </c>
      <c r="AJ95" s="30">
        <f t="shared" si="169"/>
        <v>0</v>
      </c>
      <c r="AK95" s="30">
        <f t="shared" si="170"/>
        <v>0</v>
      </c>
      <c r="AL95" s="30">
        <f t="shared" si="171"/>
        <v>0</v>
      </c>
      <c r="AM95" s="30">
        <f t="shared" si="172"/>
        <v>0</v>
      </c>
      <c r="AN95" s="30">
        <f t="shared" si="173"/>
        <v>0</v>
      </c>
      <c r="AO95" s="30">
        <f t="shared" si="174"/>
        <v>0</v>
      </c>
      <c r="AP95" s="30">
        <f t="shared" si="175"/>
        <v>0</v>
      </c>
      <c r="AQ95" s="30">
        <f t="shared" si="176"/>
        <v>0</v>
      </c>
      <c r="AR95" s="25">
        <f t="shared" si="177"/>
        <v>0</v>
      </c>
      <c r="AS95" s="25">
        <f t="shared" si="178"/>
        <v>0</v>
      </c>
      <c r="AT95" s="30">
        <f t="shared" si="179"/>
        <v>0</v>
      </c>
      <c r="AV95" s="79">
        <f t="shared" si="180"/>
        <v>13.32</v>
      </c>
      <c r="AW95" s="79">
        <f t="array" ref="AW95">SUMIFS('Cắt lồng'!$AC$327:$AC$515,'Cắt lồng'!$AA$327:$AA$515,'Cắt lồng'!$AA95,'Cắt lồng'!$AE$327:$AE$515,'Cắt lồng'!AW$4:AW$4)</f>
        <v>3420</v>
      </c>
      <c r="AX95" s="79">
        <f t="array" ref="AX95">SUMIFS('Cắt lồng'!$AH$327:$AH$515,'Cắt lồng'!$AA$327:$AA$515,'Cắt lồng'!$AA95,'Cắt lồng'!$AE$327:$AE$515,'Cắt lồng'!AX$4:AX$4)</f>
        <v>0</v>
      </c>
      <c r="AY95" s="109">
        <f t="shared" si="181"/>
        <v>0</v>
      </c>
      <c r="AZ95" s="79">
        <f t="array" ref="AZ95">SUMIFS('Cắt lồng'!$AC$327:$AC$515,'Cắt lồng'!$AA$327:$AA$515,'Cắt lồng'!$AA95,'Cắt lồng'!$AE$327:$AE$515,'Cắt lồng'!AZ$4:AZ$4)</f>
        <v>0</v>
      </c>
      <c r="BA95" s="79">
        <f t="array" ref="BA95">SUMIFS('Cắt lồng'!$AH$327:$AH$515,'Cắt lồng'!$AA$327:$AA$515,'Cắt lồng'!$AA95,'Cắt lồng'!$AE$327:$AE$515,'Cắt lồng'!BA$4:BA$4)</f>
        <v>0</v>
      </c>
      <c r="BB95" s="109" t="e">
        <f t="shared" si="182"/>
        <v>#DIV/0!</v>
      </c>
      <c r="BC95" s="79">
        <f t="array" ref="BC95">SUMIFS('Cắt lồng'!$AC$327:$AC$515,'Cắt lồng'!$AA$327:$AA$515,'Cắt lồng'!$AA95,'Cắt lồng'!$AE$327:$AE$515,'Cắt lồng'!BC$4:BC$4)</f>
        <v>0</v>
      </c>
      <c r="BD95" s="79">
        <f t="array" ref="BD95">SUMIFS('Cắt lồng'!$AH$327:$AH$515,'Cắt lồng'!$AA$327:$AA$515,'Cắt lồng'!$AA95,'Cắt lồng'!$AE$327:$AE$515,'Cắt lồng'!BD$4:BD$4)</f>
        <v>0</v>
      </c>
      <c r="BE95" s="109" t="e">
        <f t="shared" si="183"/>
        <v>#DIV/0!</v>
      </c>
      <c r="BF95" s="79">
        <f t="array" ref="BF95">SUMIFS('Cắt lồng'!$AC$327:$AC$515,'Cắt lồng'!$AA$327:$AA$515,'Cắt lồng'!$AA95,'Cắt lồng'!$AE$327:$AE$515,'Cắt lồng'!BF$4:BF$4)</f>
        <v>0</v>
      </c>
      <c r="BG95" s="79">
        <f t="array" ref="BG95">SUMIFS('Cắt lồng'!$AH$327:$AH$515,'Cắt lồng'!$AA$327:$AA$515,'Cắt lồng'!$AA95,'Cắt lồng'!$AE$327:$AE$515,'Cắt lồng'!BG$4:BG$4)</f>
        <v>0</v>
      </c>
      <c r="BH95" s="109" t="e">
        <f t="shared" si="184"/>
        <v>#DIV/0!</v>
      </c>
      <c r="BI95" s="79">
        <f t="array" ref="BI95">SUMIFS('Cắt lồng'!$AC$327:$AC$515,'Cắt lồng'!$AA$327:$AA$515,'Cắt lồng'!$AA95,'Cắt lồng'!$AE$327:$AE$515,'Cắt lồng'!BI$4:BI$4)</f>
        <v>0</v>
      </c>
      <c r="BJ95" s="79">
        <f t="array" ref="BJ95">SUMIFS('Cắt lồng'!$AH$327:$AH$515,'Cắt lồng'!$AA$327:$AA$515,'Cắt lồng'!$AA95,'Cắt lồng'!$AE$327:$AE$515,'Cắt lồng'!BJ$4:BJ$4)</f>
        <v>0</v>
      </c>
      <c r="BK95" s="109" t="e">
        <f t="shared" si="185"/>
        <v>#DIV/0!</v>
      </c>
      <c r="BL95" s="79">
        <f t="array" ref="BL95">SUMIFS('Cắt lồng'!$AC$327:$AC$515,'Cắt lồng'!$AA$327:$AA$515,'Cắt lồng'!$AA95,'Cắt lồng'!$AE$327:$AE$515,'Cắt lồng'!BL$4:BL$4)</f>
        <v>0</v>
      </c>
      <c r="BM95" s="79">
        <f t="array" ref="BM95">SUMIFS('Cắt lồng'!$AH$327:$AH$515,'Cắt lồng'!$AA$327:$AA$515,'Cắt lồng'!$AA95,'Cắt lồng'!$AE$327:$AE$515,'Cắt lồng'!BM$4:BM$4)</f>
        <v>0</v>
      </c>
      <c r="BN95" s="109" t="e">
        <f t="shared" si="186"/>
        <v>#DIV/0!</v>
      </c>
      <c r="BO95" s="79">
        <f t="array" ref="BO95">SUMIFS('Cắt lồng'!$AC$327:$AC$515,'Cắt lồng'!$AA$327:$AA$515,'Cắt lồng'!$AA95,'Cắt lồng'!$AE$327:$AE$515,'Cắt lồng'!BO$4:BO$4)</f>
        <v>0</v>
      </c>
      <c r="BP95" s="79">
        <f t="array" ref="BP95">SUMIFS('Cắt lồng'!$AH$327:$AH$515,'Cắt lồng'!$AA$327:$AA$515,'Cắt lồng'!$AA95,'Cắt lồng'!$AE$327:$AE$515,'Cắt lồng'!BP$4:BP$4)</f>
        <v>0</v>
      </c>
      <c r="BQ95" s="109" t="e">
        <f t="shared" si="187"/>
        <v>#DIV/0!</v>
      </c>
      <c r="BR95" s="79">
        <f t="array" ref="BR95">SUMIFS('Cắt lồng'!$AC$327:$AC$515,'Cắt lồng'!$AA$327:$AA$515,'Cắt lồng'!$AA95,'Cắt lồng'!$AE$327:$AE$515,'Cắt lồng'!BR$4:BR$4)</f>
        <v>0</v>
      </c>
      <c r="BS95" s="79">
        <f t="array" ref="BS95">SUMIFS('Cắt lồng'!$AH$327:$AH$515,'Cắt lồng'!$AA$327:$AA$515,'Cắt lồng'!$AA95,'Cắt lồng'!$AE$327:$AE$515,'Cắt lồng'!BS$4:BS$4)</f>
        <v>0</v>
      </c>
      <c r="BT95" s="109" t="e">
        <f t="shared" si="188"/>
        <v>#DIV/0!</v>
      </c>
      <c r="BU95" s="79">
        <f t="array" ref="BU95">SUMIFS('Cắt lồng'!$AC$327:$AC$515,'Cắt lồng'!$AA$327:$AA$515,'Cắt lồng'!$AA95,'Cắt lồng'!$AE$327:$AE$515,'Cắt lồng'!BU$4:BU$4)</f>
        <v>0</v>
      </c>
      <c r="BV95" s="79">
        <f t="array" ref="BV95">SUMIFS('Cắt lồng'!$AH$327:$AH$515,'Cắt lồng'!$AA$327:$AA$515,'Cắt lồng'!$AA95,'Cắt lồng'!$AE$327:$AE$515,'Cắt lồng'!BV$4:BV$4)</f>
        <v>0</v>
      </c>
      <c r="BW95" s="109" t="e">
        <f t="shared" si="189"/>
        <v>#DIV/0!</v>
      </c>
      <c r="BX95" s="79">
        <f t="array" ref="BX95">SUMIFS('Cắt lồng'!$AC$327:$AC$515,'Cắt lồng'!$AA$327:$AA$515,'Cắt lồng'!$AA95,'Cắt lồng'!$AE$327:$AE$515,'Cắt lồng'!BX$4:BX$4)</f>
        <v>0</v>
      </c>
      <c r="BY95" s="79">
        <f t="array" ref="BY95">SUMIFS('Cắt lồng'!$AH$327:$AH$515,'Cắt lồng'!$AA$327:$AA$515,'Cắt lồng'!$AA95,'Cắt lồng'!$AE$327:$AE$515,'Cắt lồng'!BY$4:BY$4)</f>
        <v>0</v>
      </c>
      <c r="BZ95" s="109" t="e">
        <f t="shared" si="190"/>
        <v>#DIV/0!</v>
      </c>
      <c r="CA95" s="79">
        <f t="array" ref="CA95">SUMIFS('Cắt lồng'!$AC$327:$AC$515,'Cắt lồng'!$AA$327:$AA$515,'Cắt lồng'!$AA95,'Cắt lồng'!$AE$327:$AE$515,'Cắt lồng'!CA$4:CA$4)</f>
        <v>0</v>
      </c>
      <c r="CB95" s="79">
        <f t="array" ref="CB95">SUMIFS('Cắt lồng'!$AH$327:$AH$515,'Cắt lồng'!$AA$327:$AA$515,'Cắt lồng'!$AA95,'Cắt lồng'!$AE$327:$AE$515,'Cắt lồng'!CB$4:CB$4)</f>
        <v>0</v>
      </c>
      <c r="CC95" s="109" t="e">
        <f t="shared" si="191"/>
        <v>#DIV/0!</v>
      </c>
      <c r="CD95" s="79">
        <f t="array" ref="CD95">SUMIFS('Cắt lồng'!$AC$327:$AC$515,'Cắt lồng'!$AA$327:$AA$515,'Cắt lồng'!$AA95,'Cắt lồng'!$AE$327:$AE$515,'Cắt lồng'!CD$4:CD$4)</f>
        <v>0</v>
      </c>
      <c r="CE95" s="79">
        <f t="array" ref="CE95">SUMIFS('Cắt lồng'!$AH$327:$AH$515,'Cắt lồng'!$AA$327:$AA$515,'Cắt lồng'!$AA95,'Cắt lồng'!$AE$327:$AE$515,'Cắt lồng'!CE$4:CE$4)</f>
        <v>0</v>
      </c>
      <c r="CF95" s="109" t="e">
        <f t="shared" si="192"/>
        <v>#DIV/0!</v>
      </c>
      <c r="CG95" s="79">
        <f t="array" ref="CG95">SUMIFS('Cắt lồng'!$AC$327:$AC$515,'Cắt lồng'!$AA$327:$AA$515,'Cắt lồng'!$AA95,'Cắt lồng'!$AE$327:$AE$515,'Cắt lồng'!CG$4:CG$4)</f>
        <v>0</v>
      </c>
      <c r="CH95" s="79">
        <f t="array" ref="CH95">SUMIFS('Cắt lồng'!$AH$327:$AH$515,'Cắt lồng'!$AA$327:$AA$515,'Cắt lồng'!$AA95,'Cắt lồng'!$AE$327:$AE$515,'Cắt lồng'!CH$4:CH$4)</f>
        <v>0</v>
      </c>
      <c r="CI95" s="109" t="e">
        <f t="shared" si="193"/>
        <v>#DIV/0!</v>
      </c>
      <c r="CJ95" s="79">
        <f t="array" ref="CJ95">SUMIFS('Cắt lồng'!$AC$327:$AC$515,'Cắt lồng'!$AA$327:$AA$515,'Cắt lồng'!$AA95,'Cắt lồng'!$AE$327:$AE$515,'Cắt lồng'!CJ$4:CJ$4)</f>
        <v>0</v>
      </c>
      <c r="CK95" s="79">
        <f t="array" ref="CK95">SUMIFS('Cắt lồng'!$AH$327:$AH$515,'Cắt lồng'!$AA$327:$AA$515,'Cắt lồng'!$AA95,'Cắt lồng'!$AE$327:$AE$515,'Cắt lồng'!CK$4:CK$4)</f>
        <v>0</v>
      </c>
      <c r="CL95" s="109" t="e">
        <f t="shared" si="194"/>
        <v>#DIV/0!</v>
      </c>
      <c r="CM95" s="79">
        <f t="array" ref="CM95">SUMIFS('Cắt lồng'!$AC$327:$AC$515,'Cắt lồng'!$AA$327:$AA$515,'Cắt lồng'!$AA95,'Cắt lồng'!$AE$327:$AE$515,'Cắt lồng'!CM$4:CM$4)</f>
        <v>0</v>
      </c>
      <c r="CN95" s="79">
        <f t="array" ref="CN95">SUMIFS('Cắt lồng'!$AH$327:$AH$515,'Cắt lồng'!$AA$327:$AA$515,'Cắt lồng'!$AA95,'Cắt lồng'!$AE$327:$AE$515,'Cắt lồng'!CN$4:CN$4)</f>
        <v>0</v>
      </c>
      <c r="CO95" s="109" t="e">
        <f t="shared" si="195"/>
        <v>#DIV/0!</v>
      </c>
      <c r="CP95" s="79">
        <f t="array" ref="CP95">SUMIFS('Cắt lồng'!$AC$327:$AC$515,'Cắt lồng'!$AA$327:$AA$515,'Cắt lồng'!$AA95,'Cắt lồng'!$AE$327:$AE$515,'Cắt lồng'!CP$4:CP$4)</f>
        <v>0</v>
      </c>
      <c r="CQ95" s="79">
        <f t="array" ref="CQ95">SUMIFS('Cắt lồng'!$AH$327:$AH$515,'Cắt lồng'!$AA$327:$AA$515,'Cắt lồng'!$AA95,'Cắt lồng'!$AE$327:$AE$515,'Cắt lồng'!CQ$4:CQ$4)</f>
        <v>0</v>
      </c>
      <c r="CR95" s="109" t="e">
        <f t="shared" si="196"/>
        <v>#DIV/0!</v>
      </c>
      <c r="CS95" s="79">
        <f t="array" ref="CS95">SUMIFS('Cắt lồng'!$AC$327:$AC$515,'Cắt lồng'!$AA$327:$AA$515,'Cắt lồng'!$AA95,'Cắt lồng'!$AE$327:$AE$515,'Cắt lồng'!CS$4:CS$4)</f>
        <v>0</v>
      </c>
      <c r="CT95" s="79">
        <f t="array" ref="CT95">SUMIFS('Cắt lồng'!$AH$327:$AH$515,'Cắt lồng'!$AA$327:$AA$515,'Cắt lồng'!$AA95,'Cắt lồng'!$AE$327:$AE$515,'Cắt lồng'!CT$4:CT$4)</f>
        <v>0</v>
      </c>
      <c r="CU95" s="109" t="e">
        <f t="shared" si="197"/>
        <v>#DIV/0!</v>
      </c>
      <c r="CV95" s="79">
        <f t="array" ref="CV95">SUMIFS('Cắt lồng'!$AC$327:$AC$515,'Cắt lồng'!$AA$327:$AA$515,'Cắt lồng'!$AA95,'Cắt lồng'!$AE$327:$AE$515,'Cắt lồng'!CV$4:CV$4)</f>
        <v>0</v>
      </c>
      <c r="CW95" s="79">
        <f t="array" ref="CW95">SUMIFS('Cắt lồng'!$AH$327:$AH$515,'Cắt lồng'!$AA$327:$AA$515,'Cắt lồng'!$AA95,'Cắt lồng'!$AE$327:$AE$515,'Cắt lồng'!CW$4:CW$4)</f>
        <v>0</v>
      </c>
      <c r="CX95" s="109" t="e">
        <f t="shared" si="198"/>
        <v>#DIV/0!</v>
      </c>
      <c r="CY95" s="79">
        <f t="array" ref="CY95">SUMIFS('Cắt lồng'!$AC$327:$AC$515,'Cắt lồng'!$AA$327:$AA$515,'Cắt lồng'!$AA95,'Cắt lồng'!$AE$327:$AE$515,'Cắt lồng'!CY$4:CY$4)</f>
        <v>0</v>
      </c>
      <c r="CZ95" s="79">
        <f t="array" ref="CZ95">SUMIFS('Cắt lồng'!$AH$327:$AH$515,'Cắt lồng'!$AA$327:$AA$515,'Cắt lồng'!$AA95,'Cắt lồng'!$AE$327:$AE$515,'Cắt lồng'!CZ$4:CZ$4)</f>
        <v>0</v>
      </c>
      <c r="DA95" s="109" t="e">
        <f t="shared" si="199"/>
        <v>#DIV/0!</v>
      </c>
      <c r="DB95" s="79">
        <f t="array" ref="DB95">SUMIFS('Cắt lồng'!$AC$327:$AC$515,'Cắt lồng'!$AA$327:$AA$515,'Cắt lồng'!$AA95,'Cắt lồng'!$AE$327:$AE$515,'Cắt lồng'!DB$4:DB$4)</f>
        <v>0</v>
      </c>
      <c r="DC95" s="79">
        <f t="array" ref="DC95">SUMIFS('Cắt lồng'!$AH$327:$AH$515,'Cắt lồng'!$AA$327:$AA$515,'Cắt lồng'!$AA95,'Cắt lồng'!$AE$327:$AE$515,'Cắt lồng'!DC$4:DC$4)</f>
        <v>0</v>
      </c>
      <c r="DD95" s="109" t="e">
        <f t="shared" si="200"/>
        <v>#DIV/0!</v>
      </c>
      <c r="DE95" s="79">
        <f t="array" ref="DE95">SUMIFS('Cắt lồng'!$AC$327:$AC$515,'Cắt lồng'!$AA$327:$AA$515,'Cắt lồng'!$AA95,'Cắt lồng'!$AE$327:$AE$515,'Cắt lồng'!DE$4:DE$4)</f>
        <v>0</v>
      </c>
      <c r="DF95" s="79">
        <f t="array" ref="DF95">SUMIFS('Cắt lồng'!$AH$327:$AH$515,'Cắt lồng'!$AA$327:$AA$515,'Cắt lồng'!$AA95,'Cắt lồng'!$AE$327:$AE$515,'Cắt lồng'!DF$4:DF$4)</f>
        <v>0</v>
      </c>
      <c r="DG95" s="109" t="e">
        <f t="shared" si="201"/>
        <v>#DIV/0!</v>
      </c>
      <c r="DH95" s="79">
        <f t="array" ref="DH95">SUMIFS('Cắt lồng'!$AC$327:$AC$515,'Cắt lồng'!$AA$327:$AA$515,'Cắt lồng'!$AA95,'Cắt lồng'!$AE$327:$AE$515,'Cắt lồng'!DH$4:DH$4)</f>
        <v>0</v>
      </c>
      <c r="DI95" s="79">
        <f t="array" ref="DI95">SUMIFS('Cắt lồng'!$AH$327:$AH$515,'Cắt lồng'!$AA$327:$AA$515,'Cắt lồng'!$AA95,'Cắt lồng'!$AE$327:$AE$515,'Cắt lồng'!DI$4:DI$4)</f>
        <v>0</v>
      </c>
      <c r="DJ95" s="109" t="e">
        <f t="shared" si="202"/>
        <v>#DIV/0!</v>
      </c>
      <c r="DK95" s="79">
        <f t="array" ref="DK95">SUMIFS('Cắt lồng'!$AC$327:$AC$515,'Cắt lồng'!$AA$327:$AA$515,'Cắt lồng'!$AA95,'Cắt lồng'!$AE$327:$AE$515,'Cắt lồng'!DK$4:DK$4)</f>
        <v>0</v>
      </c>
      <c r="DL95" s="79">
        <f t="array" ref="DL95">SUMIFS('Cắt lồng'!$AH$327:$AH$515,'Cắt lồng'!$AA$327:$AA$515,'Cắt lồng'!$AA95,'Cắt lồng'!$AE$327:$AE$515,'Cắt lồng'!DL$4:DL$4)</f>
        <v>0</v>
      </c>
      <c r="DM95" s="109" t="e">
        <f t="shared" si="203"/>
        <v>#DIV/0!</v>
      </c>
      <c r="DN95" s="79">
        <f t="array" ref="DN95">SUMIFS('Cắt lồng'!$AC$327:$AC$515,'Cắt lồng'!$AA$327:$AA$515,'Cắt lồng'!$AA95,'Cắt lồng'!$AE$327:$AE$515,'Cắt lồng'!DN$4:DN$4)</f>
        <v>0</v>
      </c>
      <c r="DO95" s="79">
        <f t="array" ref="DO95">SUMIFS('Cắt lồng'!$AH$327:$AH$515,'Cắt lồng'!$AA$327:$AA$515,'Cắt lồng'!$AA95,'Cắt lồng'!$AE$327:$AE$515,'Cắt lồng'!DO$4:DO$4)</f>
        <v>0</v>
      </c>
      <c r="DP95" s="109" t="e">
        <f t="shared" si="204"/>
        <v>#DIV/0!</v>
      </c>
      <c r="DQ95" s="79">
        <f t="array" ref="DQ95">SUMIFS('Cắt lồng'!$AC$327:$AC$515,'Cắt lồng'!$AA$327:$AA$515,'Cắt lồng'!$AA95,'Cắt lồng'!$AE$327:$AE$515,'Cắt lồng'!DQ$4:DQ$4)</f>
        <v>0</v>
      </c>
      <c r="DR95" s="79">
        <f t="array" ref="DR95">SUMIFS('Cắt lồng'!$AH$327:$AH$515,'Cắt lồng'!$AA$327:$AA$515,'Cắt lồng'!$AA95,'Cắt lồng'!$AE$327:$AE$515,'Cắt lồng'!DR$4:DR$4)</f>
        <v>0</v>
      </c>
      <c r="DS95" s="109" t="e">
        <f t="shared" si="205"/>
        <v>#DIV/0!</v>
      </c>
      <c r="DT95" s="79">
        <f t="array" ref="DT95">SUMIFS('Cắt lồng'!$AC$327:$AC$515,'Cắt lồng'!$AA$327:$AA$515,'Cắt lồng'!$AA95,'Cắt lồng'!$AE$327:$AE$515,'Cắt lồng'!DT$4:DT$4)</f>
        <v>0</v>
      </c>
      <c r="DU95" s="79">
        <f t="array" ref="DU95">SUMIFS('Cắt lồng'!$AH$327:$AH$515,'Cắt lồng'!$AA$327:$AA$515,'Cắt lồng'!$AA95,'Cắt lồng'!$AE$327:$AE$515,'Cắt lồng'!DU$4:DU$4)</f>
        <v>0</v>
      </c>
      <c r="DV95" s="109" t="e">
        <f t="shared" si="206"/>
        <v>#DIV/0!</v>
      </c>
      <c r="DW95" s="79">
        <f t="array" ref="DW95">SUMIFS('Cắt lồng'!$AC$327:$AC$515,'Cắt lồng'!$AA$327:$AA$515,'Cắt lồng'!$AA95,'Cắt lồng'!$AE$327:$AE$515,'Cắt lồng'!DW$4:DW$4)</f>
        <v>0</v>
      </c>
      <c r="DX95" s="79">
        <f t="array" ref="DX95">SUMIFS('Cắt lồng'!$AH$327:$AH$515,'Cắt lồng'!$AA$327:$AA$515,'Cắt lồng'!$AA95,'Cắt lồng'!$AE$327:$AE$515,'Cắt lồng'!DX$4:DX$4)</f>
        <v>0</v>
      </c>
      <c r="DY95" s="109" t="e">
        <f t="shared" si="207"/>
        <v>#DIV/0!</v>
      </c>
      <c r="DZ95" s="79">
        <f t="array" ref="DZ95">SUMIFS('Cắt lồng'!$AC$327:$AC$515,'Cắt lồng'!$AA$327:$AA$515,'Cắt lồng'!$AA95,'Cắt lồng'!$AE$327:$AE$515,'Cắt lồng'!DZ$4:DZ$4)</f>
        <v>0</v>
      </c>
      <c r="EA95" s="79">
        <f t="array" ref="EA95">SUMIFS('Cắt lồng'!$AH$327:$AH$515,'Cắt lồng'!$AA$327:$AA$515,'Cắt lồng'!$AA95,'Cắt lồng'!$AE$327:$AE$515,'Cắt lồng'!EA$4:EA$4)</f>
        <v>0</v>
      </c>
      <c r="EB95" s="109" t="e">
        <f t="shared" si="208"/>
        <v>#DIV/0!</v>
      </c>
      <c r="EC95" s="79">
        <f t="array" ref="EC95">SUMIFS('Cắt lồng'!$AC$327:$AC$515,'Cắt lồng'!$AA$327:$AA$515,'Cắt lồng'!$AA95,'Cắt lồng'!$AE$327:$AE$515,'Cắt lồng'!EC$4:EC$4)</f>
        <v>0</v>
      </c>
      <c r="ED95" s="79">
        <f t="array" ref="ED95">SUMIFS('Cắt lồng'!$AH$327:$AH$515,'Cắt lồng'!$AA$327:$AA$515,'Cắt lồng'!$AA95,'Cắt lồng'!$AE$327:$AE$515,'Cắt lồng'!ED$4:ED$4)</f>
        <v>0</v>
      </c>
      <c r="EE95" s="109" t="e">
        <f t="shared" si="209"/>
        <v>#DIV/0!</v>
      </c>
      <c r="EF95" s="79">
        <f t="array" ref="EF95">SUMIFS('Cắt lồng'!$AC$327:$AC$515,'Cắt lồng'!$AA$327:$AA$515,'Cắt lồng'!$AA95,'Cắt lồng'!$AE$327:$AE$515,'Cắt lồng'!EF$4:EF$4)</f>
        <v>0</v>
      </c>
      <c r="EG95" s="79">
        <f t="array" ref="EG95">SUMIFS('Cắt lồng'!$AH$327:$AH$515,'Cắt lồng'!$AA$327:$AA$515,'Cắt lồng'!$AA95,'Cắt lồng'!$AE$327:$AE$515,'Cắt lồng'!EG$4:EG$4)</f>
        <v>0</v>
      </c>
      <c r="EH95" s="109" t="e">
        <f t="shared" si="210"/>
        <v>#DIV/0!</v>
      </c>
      <c r="EI95" s="79">
        <f t="array" ref="EI95">SUMIFS('Cắt lồng'!$AC$327:$AC$515,'Cắt lồng'!$AA$327:$AA$515,'Cắt lồng'!$AA95,'Cắt lồng'!$AE$327:$AE$515,'Cắt lồng'!EI$4:EI$4)</f>
        <v>0</v>
      </c>
      <c r="EJ95" s="79">
        <f t="array" ref="EJ95">SUMIFS('Cắt lồng'!$AH$327:$AH$515,'Cắt lồng'!$AA$327:$AA$515,'Cắt lồng'!$AA95,'Cắt lồng'!$AE$327:$AE$515,'Cắt lồng'!EJ$4:EJ$4)</f>
        <v>0</v>
      </c>
      <c r="EK95" s="109" t="e">
        <f t="shared" si="211"/>
        <v>#DIV/0!</v>
      </c>
    </row>
    <row r="96" spans="1:141" s="83" customFormat="1" ht="14.25" hidden="1" customHeight="1">
      <c r="A96" s="30">
        <v>67</v>
      </c>
      <c r="B96" s="27"/>
      <c r="C96" s="30"/>
      <c r="D96" s="117"/>
      <c r="E96" s="119"/>
      <c r="F96" s="115"/>
      <c r="G96" s="82">
        <f t="shared" si="144"/>
        <v>0</v>
      </c>
      <c r="H96" s="81">
        <f t="shared" si="145"/>
        <v>10.16</v>
      </c>
      <c r="I96" s="19">
        <f t="shared" si="146"/>
        <v>0</v>
      </c>
      <c r="J96" s="11">
        <f t="shared" si="147"/>
        <v>2.17</v>
      </c>
      <c r="K96" s="19">
        <f t="shared" si="148"/>
        <v>0</v>
      </c>
      <c r="L96" s="19">
        <f t="shared" si="149"/>
        <v>0</v>
      </c>
      <c r="M96" s="19">
        <f t="shared" si="150"/>
        <v>0</v>
      </c>
      <c r="N96" s="19">
        <f t="shared" si="151"/>
        <v>0.17</v>
      </c>
      <c r="O96" s="19">
        <f t="shared" si="152"/>
        <v>0</v>
      </c>
      <c r="P96" s="19">
        <f t="shared" si="153"/>
        <v>0</v>
      </c>
      <c r="Q96" s="19">
        <f t="shared" si="154"/>
        <v>0</v>
      </c>
      <c r="R96" s="19">
        <f t="shared" si="155"/>
        <v>0</v>
      </c>
      <c r="S96" s="19">
        <f t="shared" si="156"/>
        <v>0</v>
      </c>
      <c r="T96" s="19">
        <f t="shared" si="157"/>
        <v>1</v>
      </c>
      <c r="U96" s="19">
        <f t="shared" si="158"/>
        <v>0</v>
      </c>
      <c r="V96" s="19">
        <f t="shared" si="159"/>
        <v>0.83</v>
      </c>
      <c r="W96" s="19">
        <f t="shared" si="160"/>
        <v>0</v>
      </c>
      <c r="X96" s="19">
        <f t="shared" si="161"/>
        <v>0.17</v>
      </c>
      <c r="Y96" s="19">
        <f t="shared" si="162"/>
        <v>0</v>
      </c>
      <c r="Z96" s="19">
        <f t="shared" si="163"/>
        <v>0</v>
      </c>
      <c r="AA96" s="164" t="s">
        <v>226</v>
      </c>
      <c r="AB96" s="17" t="e">
        <f>+H96*SUMIF('[1]KẾ HOẠCH'!$B$5:$CK$5,'Cắt lồng'!AA96,'[1]KẾ HOẠCH'!$B$6:$CK$6)+H96*SUMIF('[1]KẾ HOẠCH'!$B$7:$CK$7,'Cắt lồng'!AA96,'[1]KẾ HOẠCH'!$B$8:$CK$8)+H96*SUMIF('[1]KẾ HOẠCH'!$B$15:$CK$15,'Cắt lồng'!AA96,'[1]KẾ HOẠCH'!$B$16:$CK$16)</f>
        <v>#VALUE!</v>
      </c>
      <c r="AC96" s="16">
        <f t="shared" si="164"/>
        <v>2940</v>
      </c>
      <c r="AD96" s="15" t="e">
        <f t="shared" si="165"/>
        <v>#VALUE!</v>
      </c>
      <c r="AE96" s="42"/>
      <c r="AF96" s="112">
        <f t="shared" si="166"/>
        <v>289.37007874015745</v>
      </c>
      <c r="AG96" s="112"/>
      <c r="AH96" s="112">
        <f t="shared" si="167"/>
        <v>0</v>
      </c>
      <c r="AI96" s="111">
        <f t="shared" si="168"/>
        <v>0</v>
      </c>
      <c r="AJ96" s="30">
        <f t="shared" si="169"/>
        <v>0</v>
      </c>
      <c r="AK96" s="30">
        <f t="shared" si="170"/>
        <v>0</v>
      </c>
      <c r="AL96" s="30">
        <f t="shared" si="171"/>
        <v>0</v>
      </c>
      <c r="AM96" s="30">
        <f t="shared" si="172"/>
        <v>0</v>
      </c>
      <c r="AN96" s="30">
        <f t="shared" si="173"/>
        <v>0</v>
      </c>
      <c r="AO96" s="30">
        <f t="shared" si="174"/>
        <v>0</v>
      </c>
      <c r="AP96" s="30">
        <f t="shared" si="175"/>
        <v>0</v>
      </c>
      <c r="AQ96" s="30">
        <f t="shared" si="176"/>
        <v>0</v>
      </c>
      <c r="AR96" s="30">
        <f t="shared" si="177"/>
        <v>0</v>
      </c>
      <c r="AS96" s="30">
        <f t="shared" si="178"/>
        <v>0</v>
      </c>
      <c r="AT96" s="30">
        <f t="shared" si="179"/>
        <v>0</v>
      </c>
      <c r="AU96" s="80"/>
      <c r="AV96" s="110">
        <f t="shared" si="180"/>
        <v>10.16</v>
      </c>
      <c r="AW96" s="79">
        <f t="array" ref="AW96">SUMIFS('Cắt lồng'!$AC$327:$AC$515,'Cắt lồng'!$AA$327:$AA$515,'Cắt lồng'!$AA96,'Cắt lồng'!$AE$327:$AE$515,'Cắt lồng'!AW$4:AW$4)</f>
        <v>2940</v>
      </c>
      <c r="AX96" s="79">
        <f t="array" ref="AX96">SUMIFS('Cắt lồng'!$AH$327:$AH$515,'Cắt lồng'!$AA$327:$AA$515,'Cắt lồng'!$AA96,'Cắt lồng'!$AE$327:$AE$515,'Cắt lồng'!AX$4:AX$4)</f>
        <v>0</v>
      </c>
      <c r="AY96" s="109">
        <f t="shared" si="181"/>
        <v>0</v>
      </c>
      <c r="AZ96" s="79">
        <f t="array" ref="AZ96">SUMIFS('Cắt lồng'!$AC$327:$AC$515,'Cắt lồng'!$AA$327:$AA$515,'Cắt lồng'!$AA96,'Cắt lồng'!$AE$327:$AE$515,'Cắt lồng'!AZ$4:AZ$4)</f>
        <v>0</v>
      </c>
      <c r="BA96" s="79">
        <f t="array" ref="BA96">SUMIFS('Cắt lồng'!$AH$327:$AH$515,'Cắt lồng'!$AA$327:$AA$515,'Cắt lồng'!$AA96,'Cắt lồng'!$AE$327:$AE$515,'Cắt lồng'!BA$4:BA$4)</f>
        <v>0</v>
      </c>
      <c r="BB96" s="109" t="e">
        <f t="shared" si="182"/>
        <v>#DIV/0!</v>
      </c>
      <c r="BC96" s="79">
        <f t="array" ref="BC96">SUMIFS('Cắt lồng'!$AC$327:$AC$515,'Cắt lồng'!$AA$327:$AA$515,'Cắt lồng'!$AA96,'Cắt lồng'!$AE$327:$AE$515,'Cắt lồng'!BC$4:BC$4)</f>
        <v>0</v>
      </c>
      <c r="BD96" s="79">
        <f t="array" ref="BD96">SUMIFS('Cắt lồng'!$AH$327:$AH$515,'Cắt lồng'!$AA$327:$AA$515,'Cắt lồng'!$AA96,'Cắt lồng'!$AE$327:$AE$515,'Cắt lồng'!BD$4:BD$4)</f>
        <v>0</v>
      </c>
      <c r="BE96" s="109" t="e">
        <f t="shared" si="183"/>
        <v>#DIV/0!</v>
      </c>
      <c r="BF96" s="79">
        <f t="array" ref="BF96">SUMIFS('Cắt lồng'!$AC$327:$AC$515,'Cắt lồng'!$AA$327:$AA$515,'Cắt lồng'!$AA96,'Cắt lồng'!$AE$327:$AE$515,'Cắt lồng'!BF$4:BF$4)</f>
        <v>0</v>
      </c>
      <c r="BG96" s="79">
        <f t="array" ref="BG96">SUMIFS('Cắt lồng'!$AH$327:$AH$515,'Cắt lồng'!$AA$327:$AA$515,'Cắt lồng'!$AA96,'Cắt lồng'!$AE$327:$AE$515,'Cắt lồng'!BG$4:BG$4)</f>
        <v>0</v>
      </c>
      <c r="BH96" s="109" t="e">
        <f t="shared" si="184"/>
        <v>#DIV/0!</v>
      </c>
      <c r="BI96" s="79">
        <f t="array" ref="BI96">SUMIFS('Cắt lồng'!$AC$327:$AC$515,'Cắt lồng'!$AA$327:$AA$515,'Cắt lồng'!$AA96,'Cắt lồng'!$AE$327:$AE$515,'Cắt lồng'!BI$4:BI$4)</f>
        <v>0</v>
      </c>
      <c r="BJ96" s="79">
        <f t="array" ref="BJ96">SUMIFS('Cắt lồng'!$AH$327:$AH$515,'Cắt lồng'!$AA$327:$AA$515,'Cắt lồng'!$AA96,'Cắt lồng'!$AE$327:$AE$515,'Cắt lồng'!BJ$4:BJ$4)</f>
        <v>0</v>
      </c>
      <c r="BK96" s="109" t="e">
        <f t="shared" si="185"/>
        <v>#DIV/0!</v>
      </c>
      <c r="BL96" s="79">
        <f t="array" ref="BL96">SUMIFS('Cắt lồng'!$AC$327:$AC$515,'Cắt lồng'!$AA$327:$AA$515,'Cắt lồng'!$AA96,'Cắt lồng'!$AE$327:$AE$515,'Cắt lồng'!BL$4:BL$4)</f>
        <v>0</v>
      </c>
      <c r="BM96" s="79">
        <f t="array" ref="BM96">SUMIFS('Cắt lồng'!$AH$327:$AH$515,'Cắt lồng'!$AA$327:$AA$515,'Cắt lồng'!$AA96,'Cắt lồng'!$AE$327:$AE$515,'Cắt lồng'!BM$4:BM$4)</f>
        <v>0</v>
      </c>
      <c r="BN96" s="109" t="e">
        <f t="shared" si="186"/>
        <v>#DIV/0!</v>
      </c>
      <c r="BO96" s="79">
        <f t="array" ref="BO96">SUMIFS('Cắt lồng'!$AC$327:$AC$515,'Cắt lồng'!$AA$327:$AA$515,'Cắt lồng'!$AA96,'Cắt lồng'!$AE$327:$AE$515,'Cắt lồng'!BO$4:BO$4)</f>
        <v>0</v>
      </c>
      <c r="BP96" s="79">
        <f t="array" ref="BP96">SUMIFS('Cắt lồng'!$AH$327:$AH$515,'Cắt lồng'!$AA$327:$AA$515,'Cắt lồng'!$AA96,'Cắt lồng'!$AE$327:$AE$515,'Cắt lồng'!BP$4:BP$4)</f>
        <v>0</v>
      </c>
      <c r="BQ96" s="109" t="e">
        <f t="shared" si="187"/>
        <v>#DIV/0!</v>
      </c>
      <c r="BR96" s="79">
        <f t="array" ref="BR96">SUMIFS('Cắt lồng'!$AC$327:$AC$515,'Cắt lồng'!$AA$327:$AA$515,'Cắt lồng'!$AA96,'Cắt lồng'!$AE$327:$AE$515,'Cắt lồng'!BR$4:BR$4)</f>
        <v>0</v>
      </c>
      <c r="BS96" s="79">
        <f t="array" ref="BS96">SUMIFS('Cắt lồng'!$AH$327:$AH$515,'Cắt lồng'!$AA$327:$AA$515,'Cắt lồng'!$AA96,'Cắt lồng'!$AE$327:$AE$515,'Cắt lồng'!BS$4:BS$4)</f>
        <v>0</v>
      </c>
      <c r="BT96" s="109" t="e">
        <f t="shared" si="188"/>
        <v>#DIV/0!</v>
      </c>
      <c r="BU96" s="79">
        <f t="array" ref="BU96">SUMIFS('Cắt lồng'!$AC$327:$AC$515,'Cắt lồng'!$AA$327:$AA$515,'Cắt lồng'!$AA96,'Cắt lồng'!$AE$327:$AE$515,'Cắt lồng'!BU$4:BU$4)</f>
        <v>0</v>
      </c>
      <c r="BV96" s="79">
        <f t="array" ref="BV96">SUMIFS('Cắt lồng'!$AH$327:$AH$515,'Cắt lồng'!$AA$327:$AA$515,'Cắt lồng'!$AA96,'Cắt lồng'!$AE$327:$AE$515,'Cắt lồng'!BV$4:BV$4)</f>
        <v>0</v>
      </c>
      <c r="BW96" s="109" t="e">
        <f t="shared" si="189"/>
        <v>#DIV/0!</v>
      </c>
      <c r="BX96" s="79">
        <f t="array" ref="BX96">SUMIFS('Cắt lồng'!$AC$327:$AC$515,'Cắt lồng'!$AA$327:$AA$515,'Cắt lồng'!$AA96,'Cắt lồng'!$AE$327:$AE$515,'Cắt lồng'!BX$4:BX$4)</f>
        <v>0</v>
      </c>
      <c r="BY96" s="79">
        <f t="array" ref="BY96">SUMIFS('Cắt lồng'!$AH$327:$AH$515,'Cắt lồng'!$AA$327:$AA$515,'Cắt lồng'!$AA96,'Cắt lồng'!$AE$327:$AE$515,'Cắt lồng'!BY$4:BY$4)</f>
        <v>0</v>
      </c>
      <c r="BZ96" s="109" t="e">
        <f t="shared" si="190"/>
        <v>#DIV/0!</v>
      </c>
      <c r="CA96" s="79">
        <f t="array" ref="CA96">SUMIFS('Cắt lồng'!$AC$327:$AC$515,'Cắt lồng'!$AA$327:$AA$515,'Cắt lồng'!$AA96,'Cắt lồng'!$AE$327:$AE$515,'Cắt lồng'!CA$4:CA$4)</f>
        <v>0</v>
      </c>
      <c r="CB96" s="79">
        <f t="array" ref="CB96">SUMIFS('Cắt lồng'!$AH$327:$AH$515,'Cắt lồng'!$AA$327:$AA$515,'Cắt lồng'!$AA96,'Cắt lồng'!$AE$327:$AE$515,'Cắt lồng'!CB$4:CB$4)</f>
        <v>0</v>
      </c>
      <c r="CC96" s="109" t="e">
        <f t="shared" si="191"/>
        <v>#DIV/0!</v>
      </c>
      <c r="CD96" s="79">
        <f t="array" ref="CD96">SUMIFS('Cắt lồng'!$AC$327:$AC$515,'Cắt lồng'!$AA$327:$AA$515,'Cắt lồng'!$AA96,'Cắt lồng'!$AE$327:$AE$515,'Cắt lồng'!CD$4:CD$4)</f>
        <v>0</v>
      </c>
      <c r="CE96" s="79">
        <f t="array" ref="CE96">SUMIFS('Cắt lồng'!$AH$327:$AH$515,'Cắt lồng'!$AA$327:$AA$515,'Cắt lồng'!$AA96,'Cắt lồng'!$AE$327:$AE$515,'Cắt lồng'!CE$4:CE$4)</f>
        <v>0</v>
      </c>
      <c r="CF96" s="109" t="e">
        <f t="shared" si="192"/>
        <v>#DIV/0!</v>
      </c>
      <c r="CG96" s="79">
        <f t="array" ref="CG96">SUMIFS('Cắt lồng'!$AC$327:$AC$515,'Cắt lồng'!$AA$327:$AA$515,'Cắt lồng'!$AA96,'Cắt lồng'!$AE$327:$AE$515,'Cắt lồng'!CG$4:CG$4)</f>
        <v>0</v>
      </c>
      <c r="CH96" s="79">
        <f t="array" ref="CH96">SUMIFS('Cắt lồng'!$AH$327:$AH$515,'Cắt lồng'!$AA$327:$AA$515,'Cắt lồng'!$AA96,'Cắt lồng'!$AE$327:$AE$515,'Cắt lồng'!CH$4:CH$4)</f>
        <v>0</v>
      </c>
      <c r="CI96" s="109" t="e">
        <f t="shared" si="193"/>
        <v>#DIV/0!</v>
      </c>
      <c r="CJ96" s="79">
        <f t="array" ref="CJ96">SUMIFS('Cắt lồng'!$AC$327:$AC$515,'Cắt lồng'!$AA$327:$AA$515,'Cắt lồng'!$AA96,'Cắt lồng'!$AE$327:$AE$515,'Cắt lồng'!CJ$4:CJ$4)</f>
        <v>0</v>
      </c>
      <c r="CK96" s="79">
        <f t="array" ref="CK96">SUMIFS('Cắt lồng'!$AH$327:$AH$515,'Cắt lồng'!$AA$327:$AA$515,'Cắt lồng'!$AA96,'Cắt lồng'!$AE$327:$AE$515,'Cắt lồng'!CK$4:CK$4)</f>
        <v>0</v>
      </c>
      <c r="CL96" s="109" t="e">
        <f t="shared" si="194"/>
        <v>#DIV/0!</v>
      </c>
      <c r="CM96" s="79">
        <f t="array" ref="CM96">SUMIFS('Cắt lồng'!$AC$327:$AC$515,'Cắt lồng'!$AA$327:$AA$515,'Cắt lồng'!$AA96,'Cắt lồng'!$AE$327:$AE$515,'Cắt lồng'!CM$4:CM$4)</f>
        <v>0</v>
      </c>
      <c r="CN96" s="79">
        <f t="array" ref="CN96">SUMIFS('Cắt lồng'!$AH$327:$AH$515,'Cắt lồng'!$AA$327:$AA$515,'Cắt lồng'!$AA96,'Cắt lồng'!$AE$327:$AE$515,'Cắt lồng'!CN$4:CN$4)</f>
        <v>0</v>
      </c>
      <c r="CO96" s="109" t="e">
        <f t="shared" si="195"/>
        <v>#DIV/0!</v>
      </c>
      <c r="CP96" s="79">
        <f t="array" ref="CP96">SUMIFS('Cắt lồng'!$AC$327:$AC$515,'Cắt lồng'!$AA$327:$AA$515,'Cắt lồng'!$AA96,'Cắt lồng'!$AE$327:$AE$515,'Cắt lồng'!CP$4:CP$4)</f>
        <v>0</v>
      </c>
      <c r="CQ96" s="79">
        <f t="array" ref="CQ96">SUMIFS('Cắt lồng'!$AH$327:$AH$515,'Cắt lồng'!$AA$327:$AA$515,'Cắt lồng'!$AA96,'Cắt lồng'!$AE$327:$AE$515,'Cắt lồng'!CQ$4:CQ$4)</f>
        <v>0</v>
      </c>
      <c r="CR96" s="109" t="e">
        <f t="shared" si="196"/>
        <v>#DIV/0!</v>
      </c>
      <c r="CS96" s="79">
        <f t="array" ref="CS96">SUMIFS('Cắt lồng'!$AC$327:$AC$515,'Cắt lồng'!$AA$327:$AA$515,'Cắt lồng'!$AA96,'Cắt lồng'!$AE$327:$AE$515,'Cắt lồng'!CS$4:CS$4)</f>
        <v>0</v>
      </c>
      <c r="CT96" s="79">
        <f t="array" ref="CT96">SUMIFS('Cắt lồng'!$AH$327:$AH$515,'Cắt lồng'!$AA$327:$AA$515,'Cắt lồng'!$AA96,'Cắt lồng'!$AE$327:$AE$515,'Cắt lồng'!CT$4:CT$4)</f>
        <v>0</v>
      </c>
      <c r="CU96" s="109" t="e">
        <f t="shared" si="197"/>
        <v>#DIV/0!</v>
      </c>
      <c r="CV96" s="79">
        <f t="array" ref="CV96">SUMIFS('Cắt lồng'!$AC$327:$AC$515,'Cắt lồng'!$AA$327:$AA$515,'Cắt lồng'!$AA96,'Cắt lồng'!$AE$327:$AE$515,'Cắt lồng'!CV$4:CV$4)</f>
        <v>0</v>
      </c>
      <c r="CW96" s="79">
        <f t="array" ref="CW96">SUMIFS('Cắt lồng'!$AH$327:$AH$515,'Cắt lồng'!$AA$327:$AA$515,'Cắt lồng'!$AA96,'Cắt lồng'!$AE$327:$AE$515,'Cắt lồng'!CW$4:CW$4)</f>
        <v>0</v>
      </c>
      <c r="CX96" s="109" t="e">
        <f t="shared" si="198"/>
        <v>#DIV/0!</v>
      </c>
      <c r="CY96" s="79">
        <f t="array" ref="CY96">SUMIFS('Cắt lồng'!$AC$327:$AC$515,'Cắt lồng'!$AA$327:$AA$515,'Cắt lồng'!$AA96,'Cắt lồng'!$AE$327:$AE$515,'Cắt lồng'!CY$4:CY$4)</f>
        <v>0</v>
      </c>
      <c r="CZ96" s="79">
        <f t="array" ref="CZ96">SUMIFS('Cắt lồng'!$AH$327:$AH$515,'Cắt lồng'!$AA$327:$AA$515,'Cắt lồng'!$AA96,'Cắt lồng'!$AE$327:$AE$515,'Cắt lồng'!CZ$4:CZ$4)</f>
        <v>0</v>
      </c>
      <c r="DA96" s="109" t="e">
        <f t="shared" si="199"/>
        <v>#DIV/0!</v>
      </c>
      <c r="DB96" s="79">
        <f t="array" ref="DB96">SUMIFS('Cắt lồng'!$AC$327:$AC$515,'Cắt lồng'!$AA$327:$AA$515,'Cắt lồng'!$AA96,'Cắt lồng'!$AE$327:$AE$515,'Cắt lồng'!DB$4:DB$4)</f>
        <v>0</v>
      </c>
      <c r="DC96" s="79">
        <f t="array" ref="DC96">SUMIFS('Cắt lồng'!$AH$327:$AH$515,'Cắt lồng'!$AA$327:$AA$515,'Cắt lồng'!$AA96,'Cắt lồng'!$AE$327:$AE$515,'Cắt lồng'!DC$4:DC$4)</f>
        <v>0</v>
      </c>
      <c r="DD96" s="109" t="e">
        <f t="shared" si="200"/>
        <v>#DIV/0!</v>
      </c>
      <c r="DE96" s="79">
        <f t="array" ref="DE96">SUMIFS('Cắt lồng'!$AC$327:$AC$515,'Cắt lồng'!$AA$327:$AA$515,'Cắt lồng'!$AA96,'Cắt lồng'!$AE$327:$AE$515,'Cắt lồng'!DE$4:DE$4)</f>
        <v>0</v>
      </c>
      <c r="DF96" s="79">
        <f t="array" ref="DF96">SUMIFS('Cắt lồng'!$AH$327:$AH$515,'Cắt lồng'!$AA$327:$AA$515,'Cắt lồng'!$AA96,'Cắt lồng'!$AE$327:$AE$515,'Cắt lồng'!DF$4:DF$4)</f>
        <v>0</v>
      </c>
      <c r="DG96" s="109" t="e">
        <f t="shared" si="201"/>
        <v>#DIV/0!</v>
      </c>
      <c r="DH96" s="79">
        <f t="array" ref="DH96">SUMIFS('Cắt lồng'!$AC$327:$AC$515,'Cắt lồng'!$AA$327:$AA$515,'Cắt lồng'!$AA96,'Cắt lồng'!$AE$327:$AE$515,'Cắt lồng'!DH$4:DH$4)</f>
        <v>0</v>
      </c>
      <c r="DI96" s="79">
        <f t="array" ref="DI96">SUMIFS('Cắt lồng'!$AH$327:$AH$515,'Cắt lồng'!$AA$327:$AA$515,'Cắt lồng'!$AA96,'Cắt lồng'!$AE$327:$AE$515,'Cắt lồng'!DI$4:DI$4)</f>
        <v>0</v>
      </c>
      <c r="DJ96" s="109" t="e">
        <f t="shared" si="202"/>
        <v>#DIV/0!</v>
      </c>
      <c r="DK96" s="79">
        <f t="array" ref="DK96">SUMIFS('Cắt lồng'!$AC$327:$AC$515,'Cắt lồng'!$AA$327:$AA$515,'Cắt lồng'!$AA96,'Cắt lồng'!$AE$327:$AE$515,'Cắt lồng'!DK$4:DK$4)</f>
        <v>0</v>
      </c>
      <c r="DL96" s="79">
        <f t="array" ref="DL96">SUMIFS('Cắt lồng'!$AH$327:$AH$515,'Cắt lồng'!$AA$327:$AA$515,'Cắt lồng'!$AA96,'Cắt lồng'!$AE$327:$AE$515,'Cắt lồng'!DL$4:DL$4)</f>
        <v>0</v>
      </c>
      <c r="DM96" s="109" t="e">
        <f t="shared" si="203"/>
        <v>#DIV/0!</v>
      </c>
      <c r="DN96" s="79">
        <f t="array" ref="DN96">SUMIFS('Cắt lồng'!$AC$327:$AC$515,'Cắt lồng'!$AA$327:$AA$515,'Cắt lồng'!$AA96,'Cắt lồng'!$AE$327:$AE$515,'Cắt lồng'!DN$4:DN$4)</f>
        <v>0</v>
      </c>
      <c r="DO96" s="79">
        <f t="array" ref="DO96">SUMIFS('Cắt lồng'!$AH$327:$AH$515,'Cắt lồng'!$AA$327:$AA$515,'Cắt lồng'!$AA96,'Cắt lồng'!$AE$327:$AE$515,'Cắt lồng'!DO$4:DO$4)</f>
        <v>0</v>
      </c>
      <c r="DP96" s="109" t="e">
        <f t="shared" si="204"/>
        <v>#DIV/0!</v>
      </c>
      <c r="DQ96" s="79">
        <f t="array" ref="DQ96">SUMIFS('Cắt lồng'!$AC$327:$AC$515,'Cắt lồng'!$AA$327:$AA$515,'Cắt lồng'!$AA96,'Cắt lồng'!$AE$327:$AE$515,'Cắt lồng'!DQ$4:DQ$4)</f>
        <v>0</v>
      </c>
      <c r="DR96" s="79">
        <f t="array" ref="DR96">SUMIFS('Cắt lồng'!$AH$327:$AH$515,'Cắt lồng'!$AA$327:$AA$515,'Cắt lồng'!$AA96,'Cắt lồng'!$AE$327:$AE$515,'Cắt lồng'!DR$4:DR$4)</f>
        <v>0</v>
      </c>
      <c r="DS96" s="109" t="e">
        <f t="shared" si="205"/>
        <v>#DIV/0!</v>
      </c>
      <c r="DT96" s="79">
        <f t="array" ref="DT96">SUMIFS('Cắt lồng'!$AC$327:$AC$515,'Cắt lồng'!$AA$327:$AA$515,'Cắt lồng'!$AA96,'Cắt lồng'!$AE$327:$AE$515,'Cắt lồng'!DT$4:DT$4)</f>
        <v>0</v>
      </c>
      <c r="DU96" s="79">
        <f t="array" ref="DU96">SUMIFS('Cắt lồng'!$AH$327:$AH$515,'Cắt lồng'!$AA$327:$AA$515,'Cắt lồng'!$AA96,'Cắt lồng'!$AE$327:$AE$515,'Cắt lồng'!DU$4:DU$4)</f>
        <v>0</v>
      </c>
      <c r="DV96" s="109" t="e">
        <f t="shared" si="206"/>
        <v>#DIV/0!</v>
      </c>
      <c r="DW96" s="79">
        <f t="array" ref="DW96">SUMIFS('Cắt lồng'!$AC$327:$AC$515,'Cắt lồng'!$AA$327:$AA$515,'Cắt lồng'!$AA96,'Cắt lồng'!$AE$327:$AE$515,'Cắt lồng'!DW$4:DW$4)</f>
        <v>0</v>
      </c>
      <c r="DX96" s="79">
        <f t="array" ref="DX96">SUMIFS('Cắt lồng'!$AH$327:$AH$515,'Cắt lồng'!$AA$327:$AA$515,'Cắt lồng'!$AA96,'Cắt lồng'!$AE$327:$AE$515,'Cắt lồng'!DX$4:DX$4)</f>
        <v>0</v>
      </c>
      <c r="DY96" s="109" t="e">
        <f t="shared" si="207"/>
        <v>#DIV/0!</v>
      </c>
      <c r="DZ96" s="79">
        <f t="array" ref="DZ96">SUMIFS('Cắt lồng'!$AC$327:$AC$515,'Cắt lồng'!$AA$327:$AA$515,'Cắt lồng'!$AA96,'Cắt lồng'!$AE$327:$AE$515,'Cắt lồng'!DZ$4:DZ$4)</f>
        <v>0</v>
      </c>
      <c r="EA96" s="79">
        <f t="array" ref="EA96">SUMIFS('Cắt lồng'!$AH$327:$AH$515,'Cắt lồng'!$AA$327:$AA$515,'Cắt lồng'!$AA96,'Cắt lồng'!$AE$327:$AE$515,'Cắt lồng'!EA$4:EA$4)</f>
        <v>0</v>
      </c>
      <c r="EB96" s="109" t="e">
        <f t="shared" si="208"/>
        <v>#DIV/0!</v>
      </c>
      <c r="EC96" s="79">
        <f t="array" ref="EC96">SUMIFS('Cắt lồng'!$AC$327:$AC$515,'Cắt lồng'!$AA$327:$AA$515,'Cắt lồng'!$AA96,'Cắt lồng'!$AE$327:$AE$515,'Cắt lồng'!EC$4:EC$4)</f>
        <v>0</v>
      </c>
      <c r="ED96" s="79">
        <f t="array" ref="ED96">SUMIFS('Cắt lồng'!$AH$327:$AH$515,'Cắt lồng'!$AA$327:$AA$515,'Cắt lồng'!$AA96,'Cắt lồng'!$AE$327:$AE$515,'Cắt lồng'!ED$4:ED$4)</f>
        <v>0</v>
      </c>
      <c r="EE96" s="109" t="e">
        <f t="shared" si="209"/>
        <v>#DIV/0!</v>
      </c>
      <c r="EF96" s="79">
        <f t="array" ref="EF96">SUMIFS('Cắt lồng'!$AC$327:$AC$515,'Cắt lồng'!$AA$327:$AA$515,'Cắt lồng'!$AA96,'Cắt lồng'!$AE$327:$AE$515,'Cắt lồng'!EF$4:EF$4)</f>
        <v>0</v>
      </c>
      <c r="EG96" s="79">
        <f t="array" ref="EG96">SUMIFS('Cắt lồng'!$AH$327:$AH$515,'Cắt lồng'!$AA$327:$AA$515,'Cắt lồng'!$AA96,'Cắt lồng'!$AE$327:$AE$515,'Cắt lồng'!EG$4:EG$4)</f>
        <v>0</v>
      </c>
      <c r="EH96" s="109" t="e">
        <f t="shared" si="210"/>
        <v>#DIV/0!</v>
      </c>
      <c r="EI96" s="79">
        <f t="array" ref="EI96">SUMIFS('Cắt lồng'!$AC$327:$AC$515,'Cắt lồng'!$AA$327:$AA$515,'Cắt lồng'!$AA96,'Cắt lồng'!$AE$327:$AE$515,'Cắt lồng'!EI$4:EI$4)</f>
        <v>0</v>
      </c>
      <c r="EJ96" s="79">
        <f t="array" ref="EJ96">SUMIFS('Cắt lồng'!$AH$327:$AH$515,'Cắt lồng'!$AA$327:$AA$515,'Cắt lồng'!$AA96,'Cắt lồng'!$AE$327:$AE$515,'Cắt lồng'!EJ$4:EJ$4)</f>
        <v>0</v>
      </c>
      <c r="EK96" s="109" t="e">
        <f t="shared" si="211"/>
        <v>#DIV/0!</v>
      </c>
    </row>
    <row r="97" spans="1:150" s="83" customFormat="1" ht="14.25" hidden="1" customHeight="1">
      <c r="A97" s="30">
        <v>68</v>
      </c>
      <c r="B97" s="27"/>
      <c r="C97" s="30"/>
      <c r="D97" s="117"/>
      <c r="E97" s="119"/>
      <c r="F97" s="115"/>
      <c r="G97" s="82">
        <f t="shared" si="144"/>
        <v>0</v>
      </c>
      <c r="H97" s="81">
        <f t="shared" si="145"/>
        <v>0</v>
      </c>
      <c r="I97" s="19">
        <f t="shared" si="146"/>
        <v>0</v>
      </c>
      <c r="J97" s="11">
        <f t="shared" si="147"/>
        <v>0</v>
      </c>
      <c r="K97" s="19">
        <f t="shared" si="148"/>
        <v>0</v>
      </c>
      <c r="L97" s="19">
        <f t="shared" si="149"/>
        <v>0</v>
      </c>
      <c r="M97" s="19">
        <f t="shared" si="150"/>
        <v>0</v>
      </c>
      <c r="N97" s="19">
        <f t="shared" si="151"/>
        <v>0</v>
      </c>
      <c r="O97" s="19">
        <f t="shared" si="152"/>
        <v>0</v>
      </c>
      <c r="P97" s="19">
        <f t="shared" si="153"/>
        <v>0</v>
      </c>
      <c r="Q97" s="19">
        <f t="shared" si="154"/>
        <v>0</v>
      </c>
      <c r="R97" s="19">
        <f t="shared" si="155"/>
        <v>0</v>
      </c>
      <c r="S97" s="19">
        <f t="shared" si="156"/>
        <v>0</v>
      </c>
      <c r="T97" s="19">
        <f t="shared" si="157"/>
        <v>0</v>
      </c>
      <c r="U97" s="19">
        <f t="shared" si="158"/>
        <v>0</v>
      </c>
      <c r="V97" s="19">
        <f t="shared" si="159"/>
        <v>0</v>
      </c>
      <c r="W97" s="19">
        <f t="shared" si="160"/>
        <v>0</v>
      </c>
      <c r="X97" s="19">
        <f t="shared" si="161"/>
        <v>0</v>
      </c>
      <c r="Y97" s="19">
        <f t="shared" si="162"/>
        <v>0</v>
      </c>
      <c r="Z97" s="19">
        <f t="shared" si="163"/>
        <v>0</v>
      </c>
      <c r="AA97" s="164" t="s">
        <v>154</v>
      </c>
      <c r="AB97" s="17" t="e">
        <f>+H97*SUMIF('[1]KẾ HOẠCH'!$B$5:$CK$5,'Cắt lồng'!AA97,'[1]KẾ HOẠCH'!$B$6:$CK$6)+H97*SUMIF('[1]KẾ HOẠCH'!$B$7:$CK$7,'Cắt lồng'!AA97,'[1]KẾ HOẠCH'!$B$8:$CK$8)+H97*SUMIF('[1]KẾ HOẠCH'!$B$15:$CK$15,'Cắt lồng'!AA97,'[1]KẾ HOẠCH'!$B$16:$CK$16)</f>
        <v>#VALUE!</v>
      </c>
      <c r="AC97" s="16">
        <f t="shared" si="164"/>
        <v>0</v>
      </c>
      <c r="AD97" s="15" t="e">
        <f t="shared" si="165"/>
        <v>#VALUE!</v>
      </c>
      <c r="AE97" s="42"/>
      <c r="AF97" s="112" t="e">
        <f t="shared" si="166"/>
        <v>#DIV/0!</v>
      </c>
      <c r="AG97" s="112"/>
      <c r="AH97" s="112">
        <f t="shared" si="167"/>
        <v>0</v>
      </c>
      <c r="AI97" s="111" t="e">
        <f t="shared" si="168"/>
        <v>#DIV/0!</v>
      </c>
      <c r="AJ97" s="30">
        <f t="shared" si="169"/>
        <v>0</v>
      </c>
      <c r="AK97" s="30">
        <f t="shared" si="170"/>
        <v>0</v>
      </c>
      <c r="AL97" s="30">
        <f t="shared" si="171"/>
        <v>0</v>
      </c>
      <c r="AM97" s="30">
        <f t="shared" si="172"/>
        <v>0</v>
      </c>
      <c r="AN97" s="30">
        <f t="shared" si="173"/>
        <v>0</v>
      </c>
      <c r="AO97" s="30">
        <f t="shared" si="174"/>
        <v>0</v>
      </c>
      <c r="AP97" s="30">
        <f t="shared" si="175"/>
        <v>0</v>
      </c>
      <c r="AQ97" s="30">
        <f t="shared" si="176"/>
        <v>0</v>
      </c>
      <c r="AR97" s="30">
        <f t="shared" si="177"/>
        <v>0</v>
      </c>
      <c r="AS97" s="30">
        <f t="shared" si="178"/>
        <v>0</v>
      </c>
      <c r="AT97" s="30">
        <f t="shared" si="179"/>
        <v>0</v>
      </c>
      <c r="AU97" s="80"/>
      <c r="AV97" s="110">
        <f t="shared" si="180"/>
        <v>0</v>
      </c>
      <c r="AW97" s="79">
        <f t="array" ref="AW97">SUMIFS('Cắt lồng'!$AC$327:$AC$515,'Cắt lồng'!$AA$327:$AA$515,'Cắt lồng'!$AA97,'Cắt lồng'!$AE$327:$AE$515,'Cắt lồng'!AW$4:AW$4)</f>
        <v>0</v>
      </c>
      <c r="AX97" s="79">
        <f t="array" ref="AX97">SUMIFS('Cắt lồng'!$AH$327:$AH$515,'Cắt lồng'!$AA$327:$AA$515,'Cắt lồng'!$AA97,'Cắt lồng'!$AE$327:$AE$515,'Cắt lồng'!AX$4:AX$4)</f>
        <v>0</v>
      </c>
      <c r="AY97" s="109" t="e">
        <f t="shared" si="181"/>
        <v>#DIV/0!</v>
      </c>
      <c r="AZ97" s="79">
        <f t="array" ref="AZ97">SUMIFS('Cắt lồng'!$AC$327:$AC$515,'Cắt lồng'!$AA$327:$AA$515,'Cắt lồng'!$AA97,'Cắt lồng'!$AE$327:$AE$515,'Cắt lồng'!AZ$4:AZ$4)</f>
        <v>0</v>
      </c>
      <c r="BA97" s="79">
        <f t="array" ref="BA97">SUMIFS('Cắt lồng'!$AH$327:$AH$515,'Cắt lồng'!$AA$327:$AA$515,'Cắt lồng'!$AA97,'Cắt lồng'!$AE$327:$AE$515,'Cắt lồng'!BA$4:BA$4)</f>
        <v>0</v>
      </c>
      <c r="BB97" s="109" t="e">
        <f t="shared" si="182"/>
        <v>#DIV/0!</v>
      </c>
      <c r="BC97" s="79">
        <f t="array" ref="BC97">SUMIFS('Cắt lồng'!$AC$327:$AC$515,'Cắt lồng'!$AA$327:$AA$515,'Cắt lồng'!$AA97,'Cắt lồng'!$AE$327:$AE$515,'Cắt lồng'!BC$4:BC$4)</f>
        <v>0</v>
      </c>
      <c r="BD97" s="79">
        <f t="array" ref="BD97">SUMIFS('Cắt lồng'!$AH$327:$AH$515,'Cắt lồng'!$AA$327:$AA$515,'Cắt lồng'!$AA97,'Cắt lồng'!$AE$327:$AE$515,'Cắt lồng'!BD$4:BD$4)</f>
        <v>0</v>
      </c>
      <c r="BE97" s="109" t="e">
        <f t="shared" si="183"/>
        <v>#DIV/0!</v>
      </c>
      <c r="BF97" s="79">
        <f t="array" ref="BF97">SUMIFS('Cắt lồng'!$AC$327:$AC$515,'Cắt lồng'!$AA$327:$AA$515,'Cắt lồng'!$AA97,'Cắt lồng'!$AE$327:$AE$515,'Cắt lồng'!BF$4:BF$4)</f>
        <v>0</v>
      </c>
      <c r="BG97" s="79">
        <f t="array" ref="BG97">SUMIFS('Cắt lồng'!$AH$327:$AH$515,'Cắt lồng'!$AA$327:$AA$515,'Cắt lồng'!$AA97,'Cắt lồng'!$AE$327:$AE$515,'Cắt lồng'!BG$4:BG$4)</f>
        <v>0</v>
      </c>
      <c r="BH97" s="109" t="e">
        <f t="shared" si="184"/>
        <v>#DIV/0!</v>
      </c>
      <c r="BI97" s="79">
        <f t="array" ref="BI97">SUMIFS('Cắt lồng'!$AC$327:$AC$515,'Cắt lồng'!$AA$327:$AA$515,'Cắt lồng'!$AA97,'Cắt lồng'!$AE$327:$AE$515,'Cắt lồng'!BI$4:BI$4)</f>
        <v>0</v>
      </c>
      <c r="BJ97" s="79">
        <f t="array" ref="BJ97">SUMIFS('Cắt lồng'!$AH$327:$AH$515,'Cắt lồng'!$AA$327:$AA$515,'Cắt lồng'!$AA97,'Cắt lồng'!$AE$327:$AE$515,'Cắt lồng'!BJ$4:BJ$4)</f>
        <v>0</v>
      </c>
      <c r="BK97" s="109" t="e">
        <f t="shared" si="185"/>
        <v>#DIV/0!</v>
      </c>
      <c r="BL97" s="79">
        <f t="array" ref="BL97">SUMIFS('Cắt lồng'!$AC$327:$AC$515,'Cắt lồng'!$AA$327:$AA$515,'Cắt lồng'!$AA97,'Cắt lồng'!$AE$327:$AE$515,'Cắt lồng'!BL$4:BL$4)</f>
        <v>0</v>
      </c>
      <c r="BM97" s="79">
        <f t="array" ref="BM97">SUMIFS('Cắt lồng'!$AH$327:$AH$515,'Cắt lồng'!$AA$327:$AA$515,'Cắt lồng'!$AA97,'Cắt lồng'!$AE$327:$AE$515,'Cắt lồng'!BM$4:BM$4)</f>
        <v>0</v>
      </c>
      <c r="BN97" s="109" t="e">
        <f t="shared" si="186"/>
        <v>#DIV/0!</v>
      </c>
      <c r="BO97" s="79">
        <f t="array" ref="BO97">SUMIFS('Cắt lồng'!$AC$327:$AC$515,'Cắt lồng'!$AA$327:$AA$515,'Cắt lồng'!$AA97,'Cắt lồng'!$AE$327:$AE$515,'Cắt lồng'!BO$4:BO$4)</f>
        <v>0</v>
      </c>
      <c r="BP97" s="79">
        <f t="array" ref="BP97">SUMIFS('Cắt lồng'!$AH$327:$AH$515,'Cắt lồng'!$AA$327:$AA$515,'Cắt lồng'!$AA97,'Cắt lồng'!$AE$327:$AE$515,'Cắt lồng'!BP$4:BP$4)</f>
        <v>0</v>
      </c>
      <c r="BQ97" s="109" t="e">
        <f t="shared" si="187"/>
        <v>#DIV/0!</v>
      </c>
      <c r="BR97" s="79">
        <f t="array" ref="BR97">SUMIFS('Cắt lồng'!$AC$327:$AC$515,'Cắt lồng'!$AA$327:$AA$515,'Cắt lồng'!$AA97,'Cắt lồng'!$AE$327:$AE$515,'Cắt lồng'!BR$4:BR$4)</f>
        <v>0</v>
      </c>
      <c r="BS97" s="79">
        <f t="array" ref="BS97">SUMIFS('Cắt lồng'!$AH$327:$AH$515,'Cắt lồng'!$AA$327:$AA$515,'Cắt lồng'!$AA97,'Cắt lồng'!$AE$327:$AE$515,'Cắt lồng'!BS$4:BS$4)</f>
        <v>0</v>
      </c>
      <c r="BT97" s="109" t="e">
        <f t="shared" si="188"/>
        <v>#DIV/0!</v>
      </c>
      <c r="BU97" s="79">
        <f t="array" ref="BU97">SUMIFS('Cắt lồng'!$AC$327:$AC$515,'Cắt lồng'!$AA$327:$AA$515,'Cắt lồng'!$AA97,'Cắt lồng'!$AE$327:$AE$515,'Cắt lồng'!BU$4:BU$4)</f>
        <v>0</v>
      </c>
      <c r="BV97" s="79">
        <f t="array" ref="BV97">SUMIFS('Cắt lồng'!$AH$327:$AH$515,'Cắt lồng'!$AA$327:$AA$515,'Cắt lồng'!$AA97,'Cắt lồng'!$AE$327:$AE$515,'Cắt lồng'!BV$4:BV$4)</f>
        <v>0</v>
      </c>
      <c r="BW97" s="109" t="e">
        <f t="shared" si="189"/>
        <v>#DIV/0!</v>
      </c>
      <c r="BX97" s="79">
        <f t="array" ref="BX97">SUMIFS('Cắt lồng'!$AC$327:$AC$515,'Cắt lồng'!$AA$327:$AA$515,'Cắt lồng'!$AA97,'Cắt lồng'!$AE$327:$AE$515,'Cắt lồng'!BX$4:BX$4)</f>
        <v>0</v>
      </c>
      <c r="BY97" s="79">
        <f t="array" ref="BY97">SUMIFS('Cắt lồng'!$AH$327:$AH$515,'Cắt lồng'!$AA$327:$AA$515,'Cắt lồng'!$AA97,'Cắt lồng'!$AE$327:$AE$515,'Cắt lồng'!BY$4:BY$4)</f>
        <v>0</v>
      </c>
      <c r="BZ97" s="109" t="e">
        <f t="shared" si="190"/>
        <v>#DIV/0!</v>
      </c>
      <c r="CA97" s="79">
        <f t="array" ref="CA97">SUMIFS('Cắt lồng'!$AC$327:$AC$515,'Cắt lồng'!$AA$327:$AA$515,'Cắt lồng'!$AA97,'Cắt lồng'!$AE$327:$AE$515,'Cắt lồng'!CA$4:CA$4)</f>
        <v>0</v>
      </c>
      <c r="CB97" s="79">
        <f t="array" ref="CB97">SUMIFS('Cắt lồng'!$AH$327:$AH$515,'Cắt lồng'!$AA$327:$AA$515,'Cắt lồng'!$AA97,'Cắt lồng'!$AE$327:$AE$515,'Cắt lồng'!CB$4:CB$4)</f>
        <v>0</v>
      </c>
      <c r="CC97" s="109" t="e">
        <f t="shared" si="191"/>
        <v>#DIV/0!</v>
      </c>
      <c r="CD97" s="79">
        <f t="array" ref="CD97">SUMIFS('Cắt lồng'!$AC$327:$AC$515,'Cắt lồng'!$AA$327:$AA$515,'Cắt lồng'!$AA97,'Cắt lồng'!$AE$327:$AE$515,'Cắt lồng'!CD$4:CD$4)</f>
        <v>0</v>
      </c>
      <c r="CE97" s="79">
        <f t="array" ref="CE97">SUMIFS('Cắt lồng'!$AH$327:$AH$515,'Cắt lồng'!$AA$327:$AA$515,'Cắt lồng'!$AA97,'Cắt lồng'!$AE$327:$AE$515,'Cắt lồng'!CE$4:CE$4)</f>
        <v>0</v>
      </c>
      <c r="CF97" s="109" t="e">
        <f t="shared" si="192"/>
        <v>#DIV/0!</v>
      </c>
      <c r="CG97" s="79">
        <f t="array" ref="CG97">SUMIFS('Cắt lồng'!$AC$327:$AC$515,'Cắt lồng'!$AA$327:$AA$515,'Cắt lồng'!$AA97,'Cắt lồng'!$AE$327:$AE$515,'Cắt lồng'!CG$4:CG$4)</f>
        <v>0</v>
      </c>
      <c r="CH97" s="79">
        <f t="array" ref="CH97">SUMIFS('Cắt lồng'!$AH$327:$AH$515,'Cắt lồng'!$AA$327:$AA$515,'Cắt lồng'!$AA97,'Cắt lồng'!$AE$327:$AE$515,'Cắt lồng'!CH$4:CH$4)</f>
        <v>0</v>
      </c>
      <c r="CI97" s="109" t="e">
        <f t="shared" si="193"/>
        <v>#DIV/0!</v>
      </c>
      <c r="CJ97" s="79">
        <f t="array" ref="CJ97">SUMIFS('Cắt lồng'!$AC$327:$AC$515,'Cắt lồng'!$AA$327:$AA$515,'Cắt lồng'!$AA97,'Cắt lồng'!$AE$327:$AE$515,'Cắt lồng'!CJ$4:CJ$4)</f>
        <v>0</v>
      </c>
      <c r="CK97" s="79">
        <f t="array" ref="CK97">SUMIFS('Cắt lồng'!$AH$327:$AH$515,'Cắt lồng'!$AA$327:$AA$515,'Cắt lồng'!$AA97,'Cắt lồng'!$AE$327:$AE$515,'Cắt lồng'!CK$4:CK$4)</f>
        <v>0</v>
      </c>
      <c r="CL97" s="109" t="e">
        <f t="shared" si="194"/>
        <v>#DIV/0!</v>
      </c>
      <c r="CM97" s="79">
        <f t="array" ref="CM97">SUMIFS('Cắt lồng'!$AC$327:$AC$515,'Cắt lồng'!$AA$327:$AA$515,'Cắt lồng'!$AA97,'Cắt lồng'!$AE$327:$AE$515,'Cắt lồng'!CM$4:CM$4)</f>
        <v>0</v>
      </c>
      <c r="CN97" s="79">
        <f t="array" ref="CN97">SUMIFS('Cắt lồng'!$AH$327:$AH$515,'Cắt lồng'!$AA$327:$AA$515,'Cắt lồng'!$AA97,'Cắt lồng'!$AE$327:$AE$515,'Cắt lồng'!CN$4:CN$4)</f>
        <v>0</v>
      </c>
      <c r="CO97" s="109" t="e">
        <f t="shared" si="195"/>
        <v>#DIV/0!</v>
      </c>
      <c r="CP97" s="79">
        <f t="array" ref="CP97">SUMIFS('Cắt lồng'!$AC$327:$AC$515,'Cắt lồng'!$AA$327:$AA$515,'Cắt lồng'!$AA97,'Cắt lồng'!$AE$327:$AE$515,'Cắt lồng'!CP$4:CP$4)</f>
        <v>0</v>
      </c>
      <c r="CQ97" s="79">
        <f t="array" ref="CQ97">SUMIFS('Cắt lồng'!$AH$327:$AH$515,'Cắt lồng'!$AA$327:$AA$515,'Cắt lồng'!$AA97,'Cắt lồng'!$AE$327:$AE$515,'Cắt lồng'!CQ$4:CQ$4)</f>
        <v>0</v>
      </c>
      <c r="CR97" s="109" t="e">
        <f t="shared" si="196"/>
        <v>#DIV/0!</v>
      </c>
      <c r="CS97" s="79">
        <f t="array" ref="CS97">SUMIFS('Cắt lồng'!$AC$327:$AC$515,'Cắt lồng'!$AA$327:$AA$515,'Cắt lồng'!$AA97,'Cắt lồng'!$AE$327:$AE$515,'Cắt lồng'!CS$4:CS$4)</f>
        <v>0</v>
      </c>
      <c r="CT97" s="79">
        <f t="array" ref="CT97">SUMIFS('Cắt lồng'!$AH$327:$AH$515,'Cắt lồng'!$AA$327:$AA$515,'Cắt lồng'!$AA97,'Cắt lồng'!$AE$327:$AE$515,'Cắt lồng'!CT$4:CT$4)</f>
        <v>0</v>
      </c>
      <c r="CU97" s="109" t="e">
        <f t="shared" si="197"/>
        <v>#DIV/0!</v>
      </c>
      <c r="CV97" s="79">
        <f t="array" ref="CV97">SUMIFS('Cắt lồng'!$AC$327:$AC$515,'Cắt lồng'!$AA$327:$AA$515,'Cắt lồng'!$AA97,'Cắt lồng'!$AE$327:$AE$515,'Cắt lồng'!CV$4:CV$4)</f>
        <v>0</v>
      </c>
      <c r="CW97" s="79">
        <f t="array" ref="CW97">SUMIFS('Cắt lồng'!$AH$327:$AH$515,'Cắt lồng'!$AA$327:$AA$515,'Cắt lồng'!$AA97,'Cắt lồng'!$AE$327:$AE$515,'Cắt lồng'!CW$4:CW$4)</f>
        <v>0</v>
      </c>
      <c r="CX97" s="109" t="e">
        <f t="shared" si="198"/>
        <v>#DIV/0!</v>
      </c>
      <c r="CY97" s="79">
        <f t="array" ref="CY97">SUMIFS('Cắt lồng'!$AC$327:$AC$515,'Cắt lồng'!$AA$327:$AA$515,'Cắt lồng'!$AA97,'Cắt lồng'!$AE$327:$AE$515,'Cắt lồng'!CY$4:CY$4)</f>
        <v>0</v>
      </c>
      <c r="CZ97" s="79">
        <f t="array" ref="CZ97">SUMIFS('Cắt lồng'!$AH$327:$AH$515,'Cắt lồng'!$AA$327:$AA$515,'Cắt lồng'!$AA97,'Cắt lồng'!$AE$327:$AE$515,'Cắt lồng'!CZ$4:CZ$4)</f>
        <v>0</v>
      </c>
      <c r="DA97" s="109" t="e">
        <f t="shared" si="199"/>
        <v>#DIV/0!</v>
      </c>
      <c r="DB97" s="79">
        <f t="array" ref="DB97">SUMIFS('Cắt lồng'!$AC$327:$AC$515,'Cắt lồng'!$AA$327:$AA$515,'Cắt lồng'!$AA97,'Cắt lồng'!$AE$327:$AE$515,'Cắt lồng'!DB$4:DB$4)</f>
        <v>0</v>
      </c>
      <c r="DC97" s="79">
        <f t="array" ref="DC97">SUMIFS('Cắt lồng'!$AH$327:$AH$515,'Cắt lồng'!$AA$327:$AA$515,'Cắt lồng'!$AA97,'Cắt lồng'!$AE$327:$AE$515,'Cắt lồng'!DC$4:DC$4)</f>
        <v>0</v>
      </c>
      <c r="DD97" s="109" t="e">
        <f t="shared" si="200"/>
        <v>#DIV/0!</v>
      </c>
      <c r="DE97" s="79">
        <f t="array" ref="DE97">SUMIFS('Cắt lồng'!$AC$327:$AC$515,'Cắt lồng'!$AA$327:$AA$515,'Cắt lồng'!$AA97,'Cắt lồng'!$AE$327:$AE$515,'Cắt lồng'!DE$4:DE$4)</f>
        <v>0</v>
      </c>
      <c r="DF97" s="79">
        <f t="array" ref="DF97">SUMIFS('Cắt lồng'!$AH$327:$AH$515,'Cắt lồng'!$AA$327:$AA$515,'Cắt lồng'!$AA97,'Cắt lồng'!$AE$327:$AE$515,'Cắt lồng'!DF$4:DF$4)</f>
        <v>0</v>
      </c>
      <c r="DG97" s="109" t="e">
        <f t="shared" si="201"/>
        <v>#DIV/0!</v>
      </c>
      <c r="DH97" s="79">
        <f t="array" ref="DH97">SUMIFS('Cắt lồng'!$AC$327:$AC$515,'Cắt lồng'!$AA$327:$AA$515,'Cắt lồng'!$AA97,'Cắt lồng'!$AE$327:$AE$515,'Cắt lồng'!DH$4:DH$4)</f>
        <v>0</v>
      </c>
      <c r="DI97" s="79">
        <f t="array" ref="DI97">SUMIFS('Cắt lồng'!$AH$327:$AH$515,'Cắt lồng'!$AA$327:$AA$515,'Cắt lồng'!$AA97,'Cắt lồng'!$AE$327:$AE$515,'Cắt lồng'!DI$4:DI$4)</f>
        <v>0</v>
      </c>
      <c r="DJ97" s="109" t="e">
        <f t="shared" si="202"/>
        <v>#DIV/0!</v>
      </c>
      <c r="DK97" s="79">
        <f t="array" ref="DK97">SUMIFS('Cắt lồng'!$AC$327:$AC$515,'Cắt lồng'!$AA$327:$AA$515,'Cắt lồng'!$AA97,'Cắt lồng'!$AE$327:$AE$515,'Cắt lồng'!DK$4:DK$4)</f>
        <v>0</v>
      </c>
      <c r="DL97" s="79">
        <f t="array" ref="DL97">SUMIFS('Cắt lồng'!$AH$327:$AH$515,'Cắt lồng'!$AA$327:$AA$515,'Cắt lồng'!$AA97,'Cắt lồng'!$AE$327:$AE$515,'Cắt lồng'!DL$4:DL$4)</f>
        <v>0</v>
      </c>
      <c r="DM97" s="109" t="e">
        <f t="shared" si="203"/>
        <v>#DIV/0!</v>
      </c>
      <c r="DN97" s="79">
        <f t="array" ref="DN97">SUMIFS('Cắt lồng'!$AC$327:$AC$515,'Cắt lồng'!$AA$327:$AA$515,'Cắt lồng'!$AA97,'Cắt lồng'!$AE$327:$AE$515,'Cắt lồng'!DN$4:DN$4)</f>
        <v>0</v>
      </c>
      <c r="DO97" s="79">
        <f t="array" ref="DO97">SUMIFS('Cắt lồng'!$AH$327:$AH$515,'Cắt lồng'!$AA$327:$AA$515,'Cắt lồng'!$AA97,'Cắt lồng'!$AE$327:$AE$515,'Cắt lồng'!DO$4:DO$4)</f>
        <v>0</v>
      </c>
      <c r="DP97" s="109" t="e">
        <f t="shared" si="204"/>
        <v>#DIV/0!</v>
      </c>
      <c r="DQ97" s="79">
        <f t="array" ref="DQ97">SUMIFS('Cắt lồng'!$AC$327:$AC$515,'Cắt lồng'!$AA$327:$AA$515,'Cắt lồng'!$AA97,'Cắt lồng'!$AE$327:$AE$515,'Cắt lồng'!DQ$4:DQ$4)</f>
        <v>0</v>
      </c>
      <c r="DR97" s="79">
        <f t="array" ref="DR97">SUMIFS('Cắt lồng'!$AH$327:$AH$515,'Cắt lồng'!$AA$327:$AA$515,'Cắt lồng'!$AA97,'Cắt lồng'!$AE$327:$AE$515,'Cắt lồng'!DR$4:DR$4)</f>
        <v>0</v>
      </c>
      <c r="DS97" s="109" t="e">
        <f t="shared" si="205"/>
        <v>#DIV/0!</v>
      </c>
      <c r="DT97" s="79">
        <f t="array" ref="DT97">SUMIFS('Cắt lồng'!$AC$327:$AC$515,'Cắt lồng'!$AA$327:$AA$515,'Cắt lồng'!$AA97,'Cắt lồng'!$AE$327:$AE$515,'Cắt lồng'!DT$4:DT$4)</f>
        <v>0</v>
      </c>
      <c r="DU97" s="79">
        <f t="array" ref="DU97">SUMIFS('Cắt lồng'!$AH$327:$AH$515,'Cắt lồng'!$AA$327:$AA$515,'Cắt lồng'!$AA97,'Cắt lồng'!$AE$327:$AE$515,'Cắt lồng'!DU$4:DU$4)</f>
        <v>0</v>
      </c>
      <c r="DV97" s="109" t="e">
        <f t="shared" si="206"/>
        <v>#DIV/0!</v>
      </c>
      <c r="DW97" s="79">
        <f t="array" ref="DW97">SUMIFS('Cắt lồng'!$AC$327:$AC$515,'Cắt lồng'!$AA$327:$AA$515,'Cắt lồng'!$AA97,'Cắt lồng'!$AE$327:$AE$515,'Cắt lồng'!DW$4:DW$4)</f>
        <v>0</v>
      </c>
      <c r="DX97" s="79">
        <f t="array" ref="DX97">SUMIFS('Cắt lồng'!$AH$327:$AH$515,'Cắt lồng'!$AA$327:$AA$515,'Cắt lồng'!$AA97,'Cắt lồng'!$AE$327:$AE$515,'Cắt lồng'!DX$4:DX$4)</f>
        <v>0</v>
      </c>
      <c r="DY97" s="109" t="e">
        <f t="shared" si="207"/>
        <v>#DIV/0!</v>
      </c>
      <c r="DZ97" s="79">
        <f t="array" ref="DZ97">SUMIFS('Cắt lồng'!$AC$327:$AC$515,'Cắt lồng'!$AA$327:$AA$515,'Cắt lồng'!$AA97,'Cắt lồng'!$AE$327:$AE$515,'Cắt lồng'!DZ$4:DZ$4)</f>
        <v>0</v>
      </c>
      <c r="EA97" s="79">
        <f t="array" ref="EA97">SUMIFS('Cắt lồng'!$AH$327:$AH$515,'Cắt lồng'!$AA$327:$AA$515,'Cắt lồng'!$AA97,'Cắt lồng'!$AE$327:$AE$515,'Cắt lồng'!EA$4:EA$4)</f>
        <v>0</v>
      </c>
      <c r="EB97" s="109" t="e">
        <f t="shared" si="208"/>
        <v>#DIV/0!</v>
      </c>
      <c r="EC97" s="79">
        <f t="array" ref="EC97">SUMIFS('Cắt lồng'!$AC$327:$AC$515,'Cắt lồng'!$AA$327:$AA$515,'Cắt lồng'!$AA97,'Cắt lồng'!$AE$327:$AE$515,'Cắt lồng'!EC$4:EC$4)</f>
        <v>0</v>
      </c>
      <c r="ED97" s="79">
        <f t="array" ref="ED97">SUMIFS('Cắt lồng'!$AH$327:$AH$515,'Cắt lồng'!$AA$327:$AA$515,'Cắt lồng'!$AA97,'Cắt lồng'!$AE$327:$AE$515,'Cắt lồng'!ED$4:ED$4)</f>
        <v>0</v>
      </c>
      <c r="EE97" s="109" t="e">
        <f t="shared" si="209"/>
        <v>#DIV/0!</v>
      </c>
      <c r="EF97" s="79">
        <f t="array" ref="EF97">SUMIFS('Cắt lồng'!$AC$327:$AC$515,'Cắt lồng'!$AA$327:$AA$515,'Cắt lồng'!$AA97,'Cắt lồng'!$AE$327:$AE$515,'Cắt lồng'!EF$4:EF$4)</f>
        <v>0</v>
      </c>
      <c r="EG97" s="79">
        <f t="array" ref="EG97">SUMIFS('Cắt lồng'!$AH$327:$AH$515,'Cắt lồng'!$AA$327:$AA$515,'Cắt lồng'!$AA97,'Cắt lồng'!$AE$327:$AE$515,'Cắt lồng'!EG$4:EG$4)</f>
        <v>0</v>
      </c>
      <c r="EH97" s="109" t="e">
        <f t="shared" si="210"/>
        <v>#DIV/0!</v>
      </c>
      <c r="EI97" s="79">
        <f t="array" ref="EI97">SUMIFS('Cắt lồng'!$AC$327:$AC$515,'Cắt lồng'!$AA$327:$AA$515,'Cắt lồng'!$AA97,'Cắt lồng'!$AE$327:$AE$515,'Cắt lồng'!EI$4:EI$4)</f>
        <v>0</v>
      </c>
      <c r="EJ97" s="79">
        <f t="array" ref="EJ97">SUMIFS('Cắt lồng'!$AH$327:$AH$515,'Cắt lồng'!$AA$327:$AA$515,'Cắt lồng'!$AA97,'Cắt lồng'!$AE$327:$AE$515,'Cắt lồng'!EJ$4:EJ$4)</f>
        <v>0</v>
      </c>
      <c r="EK97" s="109" t="e">
        <f t="shared" si="211"/>
        <v>#DIV/0!</v>
      </c>
    </row>
    <row r="98" spans="1:150" s="83" customFormat="1" ht="14.25" hidden="1" customHeight="1">
      <c r="A98" s="30">
        <v>69</v>
      </c>
      <c r="B98" s="27"/>
      <c r="C98" s="30"/>
      <c r="D98" s="117"/>
      <c r="E98" s="119"/>
      <c r="F98" s="115"/>
      <c r="G98" s="82">
        <f t="shared" si="144"/>
        <v>0</v>
      </c>
      <c r="H98" s="81">
        <f t="shared" si="145"/>
        <v>10.83</v>
      </c>
      <c r="I98" s="19">
        <f t="shared" si="146"/>
        <v>0</v>
      </c>
      <c r="J98" s="11">
        <f t="shared" si="147"/>
        <v>1.17</v>
      </c>
      <c r="K98" s="19">
        <f t="shared" si="148"/>
        <v>0</v>
      </c>
      <c r="L98" s="19">
        <f t="shared" si="149"/>
        <v>0</v>
      </c>
      <c r="M98" s="19">
        <f t="shared" si="150"/>
        <v>0</v>
      </c>
      <c r="N98" s="19">
        <f t="shared" si="151"/>
        <v>0</v>
      </c>
      <c r="O98" s="19">
        <f t="shared" si="152"/>
        <v>0</v>
      </c>
      <c r="P98" s="19">
        <f t="shared" si="153"/>
        <v>0</v>
      </c>
      <c r="Q98" s="19">
        <f t="shared" si="154"/>
        <v>0</v>
      </c>
      <c r="R98" s="19">
        <f t="shared" si="155"/>
        <v>0</v>
      </c>
      <c r="S98" s="19">
        <f t="shared" si="156"/>
        <v>0</v>
      </c>
      <c r="T98" s="19">
        <f t="shared" si="157"/>
        <v>1.17</v>
      </c>
      <c r="U98" s="19">
        <f t="shared" si="158"/>
        <v>0</v>
      </c>
      <c r="V98" s="19">
        <f t="shared" si="159"/>
        <v>0</v>
      </c>
      <c r="W98" s="19">
        <f t="shared" si="160"/>
        <v>0</v>
      </c>
      <c r="X98" s="19">
        <f t="shared" si="161"/>
        <v>0</v>
      </c>
      <c r="Y98" s="19">
        <f t="shared" si="162"/>
        <v>0</v>
      </c>
      <c r="Z98" s="19">
        <f t="shared" si="163"/>
        <v>0</v>
      </c>
      <c r="AA98" s="164" t="s">
        <v>152</v>
      </c>
      <c r="AB98" s="17" t="e">
        <f>+H98*SUMIF('[1]KẾ HOẠCH'!$B$5:$CK$5,'Cắt lồng'!AA98,'[1]KẾ HOẠCH'!$B$6:$CK$6)+H98*SUMIF('[1]KẾ HOẠCH'!$B$7:$CK$7,'Cắt lồng'!AA98,'[1]KẾ HOẠCH'!$B$8:$CK$8)+H98*SUMIF('[1]KẾ HOẠCH'!$B$15:$CK$15,'Cắt lồng'!AA98,'[1]KẾ HOẠCH'!$B$16:$CK$16)</f>
        <v>#VALUE!</v>
      </c>
      <c r="AC98" s="16">
        <f t="shared" si="164"/>
        <v>3350</v>
      </c>
      <c r="AD98" s="114" t="e">
        <f t="shared" si="165"/>
        <v>#VALUE!</v>
      </c>
      <c r="AE98" s="113"/>
      <c r="AF98" s="112">
        <f t="shared" si="166"/>
        <v>309.32594644506003</v>
      </c>
      <c r="AG98" s="112"/>
      <c r="AH98" s="112">
        <f t="shared" si="167"/>
        <v>0</v>
      </c>
      <c r="AI98" s="111">
        <f t="shared" si="168"/>
        <v>0</v>
      </c>
      <c r="AJ98" s="30">
        <f t="shared" si="169"/>
        <v>0</v>
      </c>
      <c r="AK98" s="30">
        <f t="shared" si="170"/>
        <v>0</v>
      </c>
      <c r="AL98" s="30">
        <f t="shared" si="171"/>
        <v>0</v>
      </c>
      <c r="AM98" s="30">
        <f t="shared" si="172"/>
        <v>0</v>
      </c>
      <c r="AN98" s="30">
        <f t="shared" si="173"/>
        <v>0</v>
      </c>
      <c r="AO98" s="30">
        <f t="shared" si="174"/>
        <v>0</v>
      </c>
      <c r="AP98" s="30">
        <f t="shared" si="175"/>
        <v>0</v>
      </c>
      <c r="AQ98" s="30">
        <f t="shared" si="176"/>
        <v>0</v>
      </c>
      <c r="AR98" s="30">
        <f t="shared" si="177"/>
        <v>0</v>
      </c>
      <c r="AS98" s="30">
        <f t="shared" si="178"/>
        <v>0</v>
      </c>
      <c r="AT98" s="30">
        <f t="shared" si="179"/>
        <v>0</v>
      </c>
      <c r="AU98" s="80"/>
      <c r="AV98" s="110">
        <f t="shared" si="180"/>
        <v>10.83</v>
      </c>
      <c r="AW98" s="79">
        <f t="array" ref="AW98">SUMIFS('Cắt lồng'!$AC$327:$AC$515,'Cắt lồng'!$AA$327:$AA$515,'Cắt lồng'!$AA98,'Cắt lồng'!$AE$327:$AE$515,'Cắt lồng'!AW$4:AW$4)</f>
        <v>3350</v>
      </c>
      <c r="AX98" s="79">
        <f t="array" ref="AX98">SUMIFS('Cắt lồng'!$AH$327:$AH$515,'Cắt lồng'!$AA$327:$AA$515,'Cắt lồng'!$AA98,'Cắt lồng'!$AE$327:$AE$515,'Cắt lồng'!AX$4:AX$4)</f>
        <v>0</v>
      </c>
      <c r="AY98" s="109">
        <f t="shared" si="181"/>
        <v>0</v>
      </c>
      <c r="AZ98" s="79">
        <f t="array" ref="AZ98">SUMIFS('Cắt lồng'!$AC$327:$AC$515,'Cắt lồng'!$AA$327:$AA$515,'Cắt lồng'!$AA98,'Cắt lồng'!$AE$327:$AE$515,'Cắt lồng'!AZ$4:AZ$4)</f>
        <v>0</v>
      </c>
      <c r="BA98" s="79">
        <f t="array" ref="BA98">SUMIFS('Cắt lồng'!$AH$327:$AH$515,'Cắt lồng'!$AA$327:$AA$515,'Cắt lồng'!$AA98,'Cắt lồng'!$AE$327:$AE$515,'Cắt lồng'!BA$4:BA$4)</f>
        <v>0</v>
      </c>
      <c r="BB98" s="109" t="e">
        <f t="shared" si="182"/>
        <v>#DIV/0!</v>
      </c>
      <c r="BC98" s="79">
        <f t="array" ref="BC98">SUMIFS('Cắt lồng'!$AC$327:$AC$515,'Cắt lồng'!$AA$327:$AA$515,'Cắt lồng'!$AA98,'Cắt lồng'!$AE$327:$AE$515,'Cắt lồng'!BC$4:BC$4)</f>
        <v>0</v>
      </c>
      <c r="BD98" s="79">
        <f t="array" ref="BD98">SUMIFS('Cắt lồng'!$AH$327:$AH$515,'Cắt lồng'!$AA$327:$AA$515,'Cắt lồng'!$AA98,'Cắt lồng'!$AE$327:$AE$515,'Cắt lồng'!BD$4:BD$4)</f>
        <v>0</v>
      </c>
      <c r="BE98" s="109" t="e">
        <f t="shared" si="183"/>
        <v>#DIV/0!</v>
      </c>
      <c r="BF98" s="79">
        <f t="array" ref="BF98">SUMIFS('Cắt lồng'!$AC$327:$AC$515,'Cắt lồng'!$AA$327:$AA$515,'Cắt lồng'!$AA98,'Cắt lồng'!$AE$327:$AE$515,'Cắt lồng'!BF$4:BF$4)</f>
        <v>0</v>
      </c>
      <c r="BG98" s="79">
        <f t="array" ref="BG98">SUMIFS('Cắt lồng'!$AH$327:$AH$515,'Cắt lồng'!$AA$327:$AA$515,'Cắt lồng'!$AA98,'Cắt lồng'!$AE$327:$AE$515,'Cắt lồng'!BG$4:BG$4)</f>
        <v>0</v>
      </c>
      <c r="BH98" s="109" t="e">
        <f t="shared" si="184"/>
        <v>#DIV/0!</v>
      </c>
      <c r="BI98" s="79">
        <f t="array" ref="BI98">SUMIFS('Cắt lồng'!$AC$327:$AC$515,'Cắt lồng'!$AA$327:$AA$515,'Cắt lồng'!$AA98,'Cắt lồng'!$AE$327:$AE$515,'Cắt lồng'!BI$4:BI$4)</f>
        <v>0</v>
      </c>
      <c r="BJ98" s="79">
        <f t="array" ref="BJ98">SUMIFS('Cắt lồng'!$AH$327:$AH$515,'Cắt lồng'!$AA$327:$AA$515,'Cắt lồng'!$AA98,'Cắt lồng'!$AE$327:$AE$515,'Cắt lồng'!BJ$4:BJ$4)</f>
        <v>0</v>
      </c>
      <c r="BK98" s="109" t="e">
        <f t="shared" si="185"/>
        <v>#DIV/0!</v>
      </c>
      <c r="BL98" s="79">
        <f t="array" ref="BL98">SUMIFS('Cắt lồng'!$AC$327:$AC$515,'Cắt lồng'!$AA$327:$AA$515,'Cắt lồng'!$AA98,'Cắt lồng'!$AE$327:$AE$515,'Cắt lồng'!BL$4:BL$4)</f>
        <v>0</v>
      </c>
      <c r="BM98" s="79">
        <f t="array" ref="BM98">SUMIFS('Cắt lồng'!$AH$327:$AH$515,'Cắt lồng'!$AA$327:$AA$515,'Cắt lồng'!$AA98,'Cắt lồng'!$AE$327:$AE$515,'Cắt lồng'!BM$4:BM$4)</f>
        <v>0</v>
      </c>
      <c r="BN98" s="109" t="e">
        <f t="shared" si="186"/>
        <v>#DIV/0!</v>
      </c>
      <c r="BO98" s="79">
        <f t="array" ref="BO98">SUMIFS('Cắt lồng'!$AC$327:$AC$515,'Cắt lồng'!$AA$327:$AA$515,'Cắt lồng'!$AA98,'Cắt lồng'!$AE$327:$AE$515,'Cắt lồng'!BO$4:BO$4)</f>
        <v>0</v>
      </c>
      <c r="BP98" s="79">
        <f t="array" ref="BP98">SUMIFS('Cắt lồng'!$AH$327:$AH$515,'Cắt lồng'!$AA$327:$AA$515,'Cắt lồng'!$AA98,'Cắt lồng'!$AE$327:$AE$515,'Cắt lồng'!BP$4:BP$4)</f>
        <v>0</v>
      </c>
      <c r="BQ98" s="109" t="e">
        <f t="shared" si="187"/>
        <v>#DIV/0!</v>
      </c>
      <c r="BR98" s="79">
        <f t="array" ref="BR98">SUMIFS('Cắt lồng'!$AC$327:$AC$515,'Cắt lồng'!$AA$327:$AA$515,'Cắt lồng'!$AA98,'Cắt lồng'!$AE$327:$AE$515,'Cắt lồng'!BR$4:BR$4)</f>
        <v>0</v>
      </c>
      <c r="BS98" s="79">
        <f t="array" ref="BS98">SUMIFS('Cắt lồng'!$AH$327:$AH$515,'Cắt lồng'!$AA$327:$AA$515,'Cắt lồng'!$AA98,'Cắt lồng'!$AE$327:$AE$515,'Cắt lồng'!BS$4:BS$4)</f>
        <v>0</v>
      </c>
      <c r="BT98" s="109" t="e">
        <f t="shared" si="188"/>
        <v>#DIV/0!</v>
      </c>
      <c r="BU98" s="79">
        <f t="array" ref="BU98">SUMIFS('Cắt lồng'!$AC$327:$AC$515,'Cắt lồng'!$AA$327:$AA$515,'Cắt lồng'!$AA98,'Cắt lồng'!$AE$327:$AE$515,'Cắt lồng'!BU$4:BU$4)</f>
        <v>0</v>
      </c>
      <c r="BV98" s="79">
        <f t="array" ref="BV98">SUMIFS('Cắt lồng'!$AH$327:$AH$515,'Cắt lồng'!$AA$327:$AA$515,'Cắt lồng'!$AA98,'Cắt lồng'!$AE$327:$AE$515,'Cắt lồng'!BV$4:BV$4)</f>
        <v>0</v>
      </c>
      <c r="BW98" s="109" t="e">
        <f t="shared" si="189"/>
        <v>#DIV/0!</v>
      </c>
      <c r="BX98" s="79">
        <f t="array" ref="BX98">SUMIFS('Cắt lồng'!$AC$327:$AC$515,'Cắt lồng'!$AA$327:$AA$515,'Cắt lồng'!$AA98,'Cắt lồng'!$AE$327:$AE$515,'Cắt lồng'!BX$4:BX$4)</f>
        <v>0</v>
      </c>
      <c r="BY98" s="79">
        <f t="array" ref="BY98">SUMIFS('Cắt lồng'!$AH$327:$AH$515,'Cắt lồng'!$AA$327:$AA$515,'Cắt lồng'!$AA98,'Cắt lồng'!$AE$327:$AE$515,'Cắt lồng'!BY$4:BY$4)</f>
        <v>0</v>
      </c>
      <c r="BZ98" s="109" t="e">
        <f t="shared" si="190"/>
        <v>#DIV/0!</v>
      </c>
      <c r="CA98" s="79">
        <f t="array" ref="CA98">SUMIFS('Cắt lồng'!$AC$327:$AC$515,'Cắt lồng'!$AA$327:$AA$515,'Cắt lồng'!$AA98,'Cắt lồng'!$AE$327:$AE$515,'Cắt lồng'!CA$4:CA$4)</f>
        <v>0</v>
      </c>
      <c r="CB98" s="79">
        <f t="array" ref="CB98">SUMIFS('Cắt lồng'!$AH$327:$AH$515,'Cắt lồng'!$AA$327:$AA$515,'Cắt lồng'!$AA98,'Cắt lồng'!$AE$327:$AE$515,'Cắt lồng'!CB$4:CB$4)</f>
        <v>0</v>
      </c>
      <c r="CC98" s="109" t="e">
        <f t="shared" si="191"/>
        <v>#DIV/0!</v>
      </c>
      <c r="CD98" s="79">
        <f t="array" ref="CD98">SUMIFS('Cắt lồng'!$AC$327:$AC$515,'Cắt lồng'!$AA$327:$AA$515,'Cắt lồng'!$AA98,'Cắt lồng'!$AE$327:$AE$515,'Cắt lồng'!CD$4:CD$4)</f>
        <v>0</v>
      </c>
      <c r="CE98" s="79">
        <f t="array" ref="CE98">SUMIFS('Cắt lồng'!$AH$327:$AH$515,'Cắt lồng'!$AA$327:$AA$515,'Cắt lồng'!$AA98,'Cắt lồng'!$AE$327:$AE$515,'Cắt lồng'!CE$4:CE$4)</f>
        <v>0</v>
      </c>
      <c r="CF98" s="109" t="e">
        <f t="shared" si="192"/>
        <v>#DIV/0!</v>
      </c>
      <c r="CG98" s="79">
        <f t="array" ref="CG98">SUMIFS('Cắt lồng'!$AC$327:$AC$515,'Cắt lồng'!$AA$327:$AA$515,'Cắt lồng'!$AA98,'Cắt lồng'!$AE$327:$AE$515,'Cắt lồng'!CG$4:CG$4)</f>
        <v>0</v>
      </c>
      <c r="CH98" s="79">
        <f t="array" ref="CH98">SUMIFS('Cắt lồng'!$AH$327:$AH$515,'Cắt lồng'!$AA$327:$AA$515,'Cắt lồng'!$AA98,'Cắt lồng'!$AE$327:$AE$515,'Cắt lồng'!CH$4:CH$4)</f>
        <v>0</v>
      </c>
      <c r="CI98" s="109" t="e">
        <f t="shared" si="193"/>
        <v>#DIV/0!</v>
      </c>
      <c r="CJ98" s="79">
        <f t="array" ref="CJ98">SUMIFS('Cắt lồng'!$AC$327:$AC$515,'Cắt lồng'!$AA$327:$AA$515,'Cắt lồng'!$AA98,'Cắt lồng'!$AE$327:$AE$515,'Cắt lồng'!CJ$4:CJ$4)</f>
        <v>0</v>
      </c>
      <c r="CK98" s="79">
        <f t="array" ref="CK98">SUMIFS('Cắt lồng'!$AH$327:$AH$515,'Cắt lồng'!$AA$327:$AA$515,'Cắt lồng'!$AA98,'Cắt lồng'!$AE$327:$AE$515,'Cắt lồng'!CK$4:CK$4)</f>
        <v>0</v>
      </c>
      <c r="CL98" s="109" t="e">
        <f t="shared" si="194"/>
        <v>#DIV/0!</v>
      </c>
      <c r="CM98" s="79">
        <f t="array" ref="CM98">SUMIFS('Cắt lồng'!$AC$327:$AC$515,'Cắt lồng'!$AA$327:$AA$515,'Cắt lồng'!$AA98,'Cắt lồng'!$AE$327:$AE$515,'Cắt lồng'!CM$4:CM$4)</f>
        <v>0</v>
      </c>
      <c r="CN98" s="79">
        <f t="array" ref="CN98">SUMIFS('Cắt lồng'!$AH$327:$AH$515,'Cắt lồng'!$AA$327:$AA$515,'Cắt lồng'!$AA98,'Cắt lồng'!$AE$327:$AE$515,'Cắt lồng'!CN$4:CN$4)</f>
        <v>0</v>
      </c>
      <c r="CO98" s="109" t="e">
        <f t="shared" si="195"/>
        <v>#DIV/0!</v>
      </c>
      <c r="CP98" s="79">
        <f t="array" ref="CP98">SUMIFS('Cắt lồng'!$AC$327:$AC$515,'Cắt lồng'!$AA$327:$AA$515,'Cắt lồng'!$AA98,'Cắt lồng'!$AE$327:$AE$515,'Cắt lồng'!CP$4:CP$4)</f>
        <v>0</v>
      </c>
      <c r="CQ98" s="79">
        <f t="array" ref="CQ98">SUMIFS('Cắt lồng'!$AH$327:$AH$515,'Cắt lồng'!$AA$327:$AA$515,'Cắt lồng'!$AA98,'Cắt lồng'!$AE$327:$AE$515,'Cắt lồng'!CQ$4:CQ$4)</f>
        <v>0</v>
      </c>
      <c r="CR98" s="109" t="e">
        <f t="shared" si="196"/>
        <v>#DIV/0!</v>
      </c>
      <c r="CS98" s="79">
        <f t="array" ref="CS98">SUMIFS('Cắt lồng'!$AC$327:$AC$515,'Cắt lồng'!$AA$327:$AA$515,'Cắt lồng'!$AA98,'Cắt lồng'!$AE$327:$AE$515,'Cắt lồng'!CS$4:CS$4)</f>
        <v>0</v>
      </c>
      <c r="CT98" s="79">
        <f t="array" ref="CT98">SUMIFS('Cắt lồng'!$AH$327:$AH$515,'Cắt lồng'!$AA$327:$AA$515,'Cắt lồng'!$AA98,'Cắt lồng'!$AE$327:$AE$515,'Cắt lồng'!CT$4:CT$4)</f>
        <v>0</v>
      </c>
      <c r="CU98" s="109" t="e">
        <f t="shared" si="197"/>
        <v>#DIV/0!</v>
      </c>
      <c r="CV98" s="79">
        <f t="array" ref="CV98">SUMIFS('Cắt lồng'!$AC$327:$AC$515,'Cắt lồng'!$AA$327:$AA$515,'Cắt lồng'!$AA98,'Cắt lồng'!$AE$327:$AE$515,'Cắt lồng'!CV$4:CV$4)</f>
        <v>0</v>
      </c>
      <c r="CW98" s="79">
        <f t="array" ref="CW98">SUMIFS('Cắt lồng'!$AH$327:$AH$515,'Cắt lồng'!$AA$327:$AA$515,'Cắt lồng'!$AA98,'Cắt lồng'!$AE$327:$AE$515,'Cắt lồng'!CW$4:CW$4)</f>
        <v>0</v>
      </c>
      <c r="CX98" s="109" t="e">
        <f t="shared" si="198"/>
        <v>#DIV/0!</v>
      </c>
      <c r="CY98" s="79">
        <f t="array" ref="CY98">SUMIFS('Cắt lồng'!$AC$327:$AC$515,'Cắt lồng'!$AA$327:$AA$515,'Cắt lồng'!$AA98,'Cắt lồng'!$AE$327:$AE$515,'Cắt lồng'!CY$4:CY$4)</f>
        <v>0</v>
      </c>
      <c r="CZ98" s="79">
        <f t="array" ref="CZ98">SUMIFS('Cắt lồng'!$AH$327:$AH$515,'Cắt lồng'!$AA$327:$AA$515,'Cắt lồng'!$AA98,'Cắt lồng'!$AE$327:$AE$515,'Cắt lồng'!CZ$4:CZ$4)</f>
        <v>0</v>
      </c>
      <c r="DA98" s="109" t="e">
        <f t="shared" si="199"/>
        <v>#DIV/0!</v>
      </c>
      <c r="DB98" s="79">
        <f t="array" ref="DB98">SUMIFS('Cắt lồng'!$AC$327:$AC$515,'Cắt lồng'!$AA$327:$AA$515,'Cắt lồng'!$AA98,'Cắt lồng'!$AE$327:$AE$515,'Cắt lồng'!DB$4:DB$4)</f>
        <v>0</v>
      </c>
      <c r="DC98" s="79">
        <f t="array" ref="DC98">SUMIFS('Cắt lồng'!$AH$327:$AH$515,'Cắt lồng'!$AA$327:$AA$515,'Cắt lồng'!$AA98,'Cắt lồng'!$AE$327:$AE$515,'Cắt lồng'!DC$4:DC$4)</f>
        <v>0</v>
      </c>
      <c r="DD98" s="109" t="e">
        <f t="shared" si="200"/>
        <v>#DIV/0!</v>
      </c>
      <c r="DE98" s="79">
        <f t="array" ref="DE98">SUMIFS('Cắt lồng'!$AC$327:$AC$515,'Cắt lồng'!$AA$327:$AA$515,'Cắt lồng'!$AA98,'Cắt lồng'!$AE$327:$AE$515,'Cắt lồng'!DE$4:DE$4)</f>
        <v>0</v>
      </c>
      <c r="DF98" s="79">
        <f t="array" ref="DF98">SUMIFS('Cắt lồng'!$AH$327:$AH$515,'Cắt lồng'!$AA$327:$AA$515,'Cắt lồng'!$AA98,'Cắt lồng'!$AE$327:$AE$515,'Cắt lồng'!DF$4:DF$4)</f>
        <v>0</v>
      </c>
      <c r="DG98" s="109" t="e">
        <f t="shared" si="201"/>
        <v>#DIV/0!</v>
      </c>
      <c r="DH98" s="79">
        <f t="array" ref="DH98">SUMIFS('Cắt lồng'!$AC$327:$AC$515,'Cắt lồng'!$AA$327:$AA$515,'Cắt lồng'!$AA98,'Cắt lồng'!$AE$327:$AE$515,'Cắt lồng'!DH$4:DH$4)</f>
        <v>0</v>
      </c>
      <c r="DI98" s="79">
        <f t="array" ref="DI98">SUMIFS('Cắt lồng'!$AH$327:$AH$515,'Cắt lồng'!$AA$327:$AA$515,'Cắt lồng'!$AA98,'Cắt lồng'!$AE$327:$AE$515,'Cắt lồng'!DI$4:DI$4)</f>
        <v>0</v>
      </c>
      <c r="DJ98" s="109" t="e">
        <f t="shared" si="202"/>
        <v>#DIV/0!</v>
      </c>
      <c r="DK98" s="79">
        <f t="array" ref="DK98">SUMIFS('Cắt lồng'!$AC$327:$AC$515,'Cắt lồng'!$AA$327:$AA$515,'Cắt lồng'!$AA98,'Cắt lồng'!$AE$327:$AE$515,'Cắt lồng'!DK$4:DK$4)</f>
        <v>0</v>
      </c>
      <c r="DL98" s="79">
        <f t="array" ref="DL98">SUMIFS('Cắt lồng'!$AH$327:$AH$515,'Cắt lồng'!$AA$327:$AA$515,'Cắt lồng'!$AA98,'Cắt lồng'!$AE$327:$AE$515,'Cắt lồng'!DL$4:DL$4)</f>
        <v>0</v>
      </c>
      <c r="DM98" s="109" t="e">
        <f t="shared" si="203"/>
        <v>#DIV/0!</v>
      </c>
      <c r="DN98" s="79">
        <f t="array" ref="DN98">SUMIFS('Cắt lồng'!$AC$327:$AC$515,'Cắt lồng'!$AA$327:$AA$515,'Cắt lồng'!$AA98,'Cắt lồng'!$AE$327:$AE$515,'Cắt lồng'!DN$4:DN$4)</f>
        <v>0</v>
      </c>
      <c r="DO98" s="79">
        <f t="array" ref="DO98">SUMIFS('Cắt lồng'!$AH$327:$AH$515,'Cắt lồng'!$AA$327:$AA$515,'Cắt lồng'!$AA98,'Cắt lồng'!$AE$327:$AE$515,'Cắt lồng'!DO$4:DO$4)</f>
        <v>0</v>
      </c>
      <c r="DP98" s="109" t="e">
        <f t="shared" si="204"/>
        <v>#DIV/0!</v>
      </c>
      <c r="DQ98" s="79">
        <f t="array" ref="DQ98">SUMIFS('Cắt lồng'!$AC$327:$AC$515,'Cắt lồng'!$AA$327:$AA$515,'Cắt lồng'!$AA98,'Cắt lồng'!$AE$327:$AE$515,'Cắt lồng'!DQ$4:DQ$4)</f>
        <v>0</v>
      </c>
      <c r="DR98" s="79">
        <f t="array" ref="DR98">SUMIFS('Cắt lồng'!$AH$327:$AH$515,'Cắt lồng'!$AA$327:$AA$515,'Cắt lồng'!$AA98,'Cắt lồng'!$AE$327:$AE$515,'Cắt lồng'!DR$4:DR$4)</f>
        <v>0</v>
      </c>
      <c r="DS98" s="109" t="e">
        <f t="shared" si="205"/>
        <v>#DIV/0!</v>
      </c>
      <c r="DT98" s="79">
        <f t="array" ref="DT98">SUMIFS('Cắt lồng'!$AC$327:$AC$515,'Cắt lồng'!$AA$327:$AA$515,'Cắt lồng'!$AA98,'Cắt lồng'!$AE$327:$AE$515,'Cắt lồng'!DT$4:DT$4)</f>
        <v>0</v>
      </c>
      <c r="DU98" s="79">
        <f t="array" ref="DU98">SUMIFS('Cắt lồng'!$AH$327:$AH$515,'Cắt lồng'!$AA$327:$AA$515,'Cắt lồng'!$AA98,'Cắt lồng'!$AE$327:$AE$515,'Cắt lồng'!DU$4:DU$4)</f>
        <v>0</v>
      </c>
      <c r="DV98" s="109" t="e">
        <f t="shared" si="206"/>
        <v>#DIV/0!</v>
      </c>
      <c r="DW98" s="79">
        <f t="array" ref="DW98">SUMIFS('Cắt lồng'!$AC$327:$AC$515,'Cắt lồng'!$AA$327:$AA$515,'Cắt lồng'!$AA98,'Cắt lồng'!$AE$327:$AE$515,'Cắt lồng'!DW$4:DW$4)</f>
        <v>0</v>
      </c>
      <c r="DX98" s="79">
        <f t="array" ref="DX98">SUMIFS('Cắt lồng'!$AH$327:$AH$515,'Cắt lồng'!$AA$327:$AA$515,'Cắt lồng'!$AA98,'Cắt lồng'!$AE$327:$AE$515,'Cắt lồng'!DX$4:DX$4)</f>
        <v>0</v>
      </c>
      <c r="DY98" s="109" t="e">
        <f t="shared" si="207"/>
        <v>#DIV/0!</v>
      </c>
      <c r="DZ98" s="79">
        <f t="array" ref="DZ98">SUMIFS('Cắt lồng'!$AC$327:$AC$515,'Cắt lồng'!$AA$327:$AA$515,'Cắt lồng'!$AA98,'Cắt lồng'!$AE$327:$AE$515,'Cắt lồng'!DZ$4:DZ$4)</f>
        <v>0</v>
      </c>
      <c r="EA98" s="79">
        <f t="array" ref="EA98">SUMIFS('Cắt lồng'!$AH$327:$AH$515,'Cắt lồng'!$AA$327:$AA$515,'Cắt lồng'!$AA98,'Cắt lồng'!$AE$327:$AE$515,'Cắt lồng'!EA$4:EA$4)</f>
        <v>0</v>
      </c>
      <c r="EB98" s="109" t="e">
        <f t="shared" si="208"/>
        <v>#DIV/0!</v>
      </c>
      <c r="EC98" s="79">
        <f t="array" ref="EC98">SUMIFS('Cắt lồng'!$AC$327:$AC$515,'Cắt lồng'!$AA$327:$AA$515,'Cắt lồng'!$AA98,'Cắt lồng'!$AE$327:$AE$515,'Cắt lồng'!EC$4:EC$4)</f>
        <v>0</v>
      </c>
      <c r="ED98" s="79">
        <f t="array" ref="ED98">SUMIFS('Cắt lồng'!$AH$327:$AH$515,'Cắt lồng'!$AA$327:$AA$515,'Cắt lồng'!$AA98,'Cắt lồng'!$AE$327:$AE$515,'Cắt lồng'!ED$4:ED$4)</f>
        <v>0</v>
      </c>
      <c r="EE98" s="109" t="e">
        <f t="shared" si="209"/>
        <v>#DIV/0!</v>
      </c>
      <c r="EF98" s="79">
        <f t="array" ref="EF98">SUMIFS('Cắt lồng'!$AC$327:$AC$515,'Cắt lồng'!$AA$327:$AA$515,'Cắt lồng'!$AA98,'Cắt lồng'!$AE$327:$AE$515,'Cắt lồng'!EF$4:EF$4)</f>
        <v>0</v>
      </c>
      <c r="EG98" s="79">
        <f t="array" ref="EG98">SUMIFS('Cắt lồng'!$AH$327:$AH$515,'Cắt lồng'!$AA$327:$AA$515,'Cắt lồng'!$AA98,'Cắt lồng'!$AE$327:$AE$515,'Cắt lồng'!EG$4:EG$4)</f>
        <v>0</v>
      </c>
      <c r="EH98" s="109" t="e">
        <f t="shared" si="210"/>
        <v>#DIV/0!</v>
      </c>
      <c r="EI98" s="79">
        <f t="array" ref="EI98">SUMIFS('Cắt lồng'!$AC$327:$AC$515,'Cắt lồng'!$AA$327:$AA$515,'Cắt lồng'!$AA98,'Cắt lồng'!$AE$327:$AE$515,'Cắt lồng'!EI$4:EI$4)</f>
        <v>0</v>
      </c>
      <c r="EJ98" s="79">
        <f t="array" ref="EJ98">SUMIFS('Cắt lồng'!$AH$327:$AH$515,'Cắt lồng'!$AA$327:$AA$515,'Cắt lồng'!$AA98,'Cắt lồng'!$AE$327:$AE$515,'Cắt lồng'!EJ$4:EJ$4)</f>
        <v>0</v>
      </c>
      <c r="EK98" s="109" t="e">
        <f t="shared" si="211"/>
        <v>#DIV/0!</v>
      </c>
    </row>
    <row r="99" spans="1:150" s="83" customFormat="1" ht="14.25" hidden="1" customHeight="1">
      <c r="A99" s="30">
        <v>70</v>
      </c>
      <c r="B99" s="27"/>
      <c r="C99" s="30"/>
      <c r="D99" s="117"/>
      <c r="E99" s="119"/>
      <c r="F99" s="115"/>
      <c r="G99" s="82">
        <f t="shared" si="144"/>
        <v>0</v>
      </c>
      <c r="H99" s="81">
        <f t="shared" si="145"/>
        <v>0</v>
      </c>
      <c r="I99" s="19">
        <f t="shared" si="146"/>
        <v>0</v>
      </c>
      <c r="J99" s="11">
        <f t="shared" si="147"/>
        <v>0</v>
      </c>
      <c r="K99" s="19">
        <f t="shared" si="148"/>
        <v>0</v>
      </c>
      <c r="L99" s="19">
        <f t="shared" si="149"/>
        <v>0</v>
      </c>
      <c r="M99" s="19">
        <f t="shared" si="150"/>
        <v>0</v>
      </c>
      <c r="N99" s="19">
        <f t="shared" si="151"/>
        <v>0</v>
      </c>
      <c r="O99" s="19">
        <f t="shared" si="152"/>
        <v>0</v>
      </c>
      <c r="P99" s="19">
        <f t="shared" si="153"/>
        <v>0</v>
      </c>
      <c r="Q99" s="19">
        <f t="shared" si="154"/>
        <v>0</v>
      </c>
      <c r="R99" s="19">
        <f t="shared" si="155"/>
        <v>0</v>
      </c>
      <c r="S99" s="19">
        <f t="shared" si="156"/>
        <v>0</v>
      </c>
      <c r="T99" s="19">
        <f t="shared" si="157"/>
        <v>0</v>
      </c>
      <c r="U99" s="19">
        <f t="shared" si="158"/>
        <v>0</v>
      </c>
      <c r="V99" s="19">
        <f t="shared" si="159"/>
        <v>0</v>
      </c>
      <c r="W99" s="19">
        <f t="shared" si="160"/>
        <v>0</v>
      </c>
      <c r="X99" s="19">
        <f t="shared" si="161"/>
        <v>0</v>
      </c>
      <c r="Y99" s="19">
        <f t="shared" si="162"/>
        <v>0</v>
      </c>
      <c r="Z99" s="19">
        <f t="shared" si="163"/>
        <v>0</v>
      </c>
      <c r="AA99" s="164">
        <v>8011</v>
      </c>
      <c r="AB99" s="17" t="e">
        <f>+H99*SUMIF('[1]KẾ HOẠCH'!$B$5:$CK$5,'Cắt lồng'!AA99,'[1]KẾ HOẠCH'!$B$6:$CK$6)+H99*SUMIF('[1]KẾ HOẠCH'!$B$7:$CK$7,'Cắt lồng'!AA99,'[1]KẾ HOẠCH'!$B$8:$CK$8)+H99*SUMIF('[1]KẾ HOẠCH'!$B$15:$CK$15,'Cắt lồng'!AA99,'[1]KẾ HOẠCH'!$B$16:$CK$16)</f>
        <v>#VALUE!</v>
      </c>
      <c r="AC99" s="16">
        <f t="shared" si="164"/>
        <v>0</v>
      </c>
      <c r="AD99" s="15" t="e">
        <f t="shared" si="165"/>
        <v>#VALUE!</v>
      </c>
      <c r="AE99" s="42"/>
      <c r="AF99" s="112" t="e">
        <f t="shared" si="166"/>
        <v>#DIV/0!</v>
      </c>
      <c r="AG99" s="112"/>
      <c r="AH99" s="112">
        <f t="shared" si="167"/>
        <v>0</v>
      </c>
      <c r="AI99" s="111" t="e">
        <f t="shared" si="168"/>
        <v>#DIV/0!</v>
      </c>
      <c r="AJ99" s="30">
        <f t="shared" si="169"/>
        <v>0</v>
      </c>
      <c r="AK99" s="30">
        <f t="shared" si="170"/>
        <v>0</v>
      </c>
      <c r="AL99" s="30">
        <f t="shared" si="171"/>
        <v>0</v>
      </c>
      <c r="AM99" s="30">
        <f t="shared" si="172"/>
        <v>0</v>
      </c>
      <c r="AN99" s="30">
        <f t="shared" si="173"/>
        <v>0</v>
      </c>
      <c r="AO99" s="30">
        <f t="shared" si="174"/>
        <v>0</v>
      </c>
      <c r="AP99" s="30">
        <f t="shared" si="175"/>
        <v>0</v>
      </c>
      <c r="AQ99" s="30">
        <f t="shared" si="176"/>
        <v>0</v>
      </c>
      <c r="AR99" s="30">
        <f t="shared" si="177"/>
        <v>0</v>
      </c>
      <c r="AS99" s="30">
        <f t="shared" si="178"/>
        <v>0</v>
      </c>
      <c r="AT99" s="30">
        <f t="shared" si="179"/>
        <v>0</v>
      </c>
      <c r="AU99" s="80"/>
      <c r="AV99" s="110">
        <f t="shared" si="180"/>
        <v>0</v>
      </c>
      <c r="AW99" s="79">
        <f t="array" ref="AW99">SUMIFS('Cắt lồng'!$AC$327:$AC$515,'Cắt lồng'!$AA$327:$AA$515,'Cắt lồng'!$AA99,'Cắt lồng'!$AE$327:$AE$515,'Cắt lồng'!AW$4:AW$4)</f>
        <v>0</v>
      </c>
      <c r="AX99" s="79">
        <f t="array" ref="AX99">SUMIFS('Cắt lồng'!$AH$327:$AH$515,'Cắt lồng'!$AA$327:$AA$515,'Cắt lồng'!$AA99,'Cắt lồng'!$AE$327:$AE$515,'Cắt lồng'!AX$4:AX$4)</f>
        <v>0</v>
      </c>
      <c r="AY99" s="109" t="e">
        <f t="shared" si="181"/>
        <v>#DIV/0!</v>
      </c>
      <c r="AZ99" s="79">
        <f t="array" ref="AZ99">SUMIFS('Cắt lồng'!$AC$327:$AC$515,'Cắt lồng'!$AA$327:$AA$515,'Cắt lồng'!$AA99,'Cắt lồng'!$AE$327:$AE$515,'Cắt lồng'!AZ$4:AZ$4)</f>
        <v>0</v>
      </c>
      <c r="BA99" s="79">
        <f t="array" ref="BA99">SUMIFS('Cắt lồng'!$AH$327:$AH$515,'Cắt lồng'!$AA$327:$AA$515,'Cắt lồng'!$AA99,'Cắt lồng'!$AE$327:$AE$515,'Cắt lồng'!BA$4:BA$4)</f>
        <v>0</v>
      </c>
      <c r="BB99" s="109" t="e">
        <f t="shared" si="182"/>
        <v>#DIV/0!</v>
      </c>
      <c r="BC99" s="79">
        <f t="array" ref="BC99">SUMIFS('Cắt lồng'!$AC$327:$AC$515,'Cắt lồng'!$AA$327:$AA$515,'Cắt lồng'!$AA99,'Cắt lồng'!$AE$327:$AE$515,'Cắt lồng'!BC$4:BC$4)</f>
        <v>0</v>
      </c>
      <c r="BD99" s="79">
        <f t="array" ref="BD99">SUMIFS('Cắt lồng'!$AH$327:$AH$515,'Cắt lồng'!$AA$327:$AA$515,'Cắt lồng'!$AA99,'Cắt lồng'!$AE$327:$AE$515,'Cắt lồng'!BD$4:BD$4)</f>
        <v>0</v>
      </c>
      <c r="BE99" s="109" t="e">
        <f t="shared" si="183"/>
        <v>#DIV/0!</v>
      </c>
      <c r="BF99" s="79">
        <f t="array" ref="BF99">SUMIFS('Cắt lồng'!$AC$327:$AC$515,'Cắt lồng'!$AA$327:$AA$515,'Cắt lồng'!$AA99,'Cắt lồng'!$AE$327:$AE$515,'Cắt lồng'!BF$4:BF$4)</f>
        <v>0</v>
      </c>
      <c r="BG99" s="79">
        <f t="array" ref="BG99">SUMIFS('Cắt lồng'!$AH$327:$AH$515,'Cắt lồng'!$AA$327:$AA$515,'Cắt lồng'!$AA99,'Cắt lồng'!$AE$327:$AE$515,'Cắt lồng'!BG$4:BG$4)</f>
        <v>0</v>
      </c>
      <c r="BH99" s="109" t="e">
        <f t="shared" si="184"/>
        <v>#DIV/0!</v>
      </c>
      <c r="BI99" s="79">
        <f t="array" ref="BI99">SUMIFS('Cắt lồng'!$AC$327:$AC$515,'Cắt lồng'!$AA$327:$AA$515,'Cắt lồng'!$AA99,'Cắt lồng'!$AE$327:$AE$515,'Cắt lồng'!BI$4:BI$4)</f>
        <v>0</v>
      </c>
      <c r="BJ99" s="79">
        <f t="array" ref="BJ99">SUMIFS('Cắt lồng'!$AH$327:$AH$515,'Cắt lồng'!$AA$327:$AA$515,'Cắt lồng'!$AA99,'Cắt lồng'!$AE$327:$AE$515,'Cắt lồng'!BJ$4:BJ$4)</f>
        <v>0</v>
      </c>
      <c r="BK99" s="109" t="e">
        <f t="shared" si="185"/>
        <v>#DIV/0!</v>
      </c>
      <c r="BL99" s="79">
        <f t="array" ref="BL99">SUMIFS('Cắt lồng'!$AC$327:$AC$515,'Cắt lồng'!$AA$327:$AA$515,'Cắt lồng'!$AA99,'Cắt lồng'!$AE$327:$AE$515,'Cắt lồng'!BL$4:BL$4)</f>
        <v>0</v>
      </c>
      <c r="BM99" s="79">
        <f t="array" ref="BM99">SUMIFS('Cắt lồng'!$AH$327:$AH$515,'Cắt lồng'!$AA$327:$AA$515,'Cắt lồng'!$AA99,'Cắt lồng'!$AE$327:$AE$515,'Cắt lồng'!BM$4:BM$4)</f>
        <v>0</v>
      </c>
      <c r="BN99" s="109" t="e">
        <f t="shared" si="186"/>
        <v>#DIV/0!</v>
      </c>
      <c r="BO99" s="79">
        <f t="array" ref="BO99">SUMIFS('Cắt lồng'!$AC$327:$AC$515,'Cắt lồng'!$AA$327:$AA$515,'Cắt lồng'!$AA99,'Cắt lồng'!$AE$327:$AE$515,'Cắt lồng'!BO$4:BO$4)</f>
        <v>0</v>
      </c>
      <c r="BP99" s="79">
        <f t="array" ref="BP99">SUMIFS('Cắt lồng'!$AH$327:$AH$515,'Cắt lồng'!$AA$327:$AA$515,'Cắt lồng'!$AA99,'Cắt lồng'!$AE$327:$AE$515,'Cắt lồng'!BP$4:BP$4)</f>
        <v>0</v>
      </c>
      <c r="BQ99" s="109" t="e">
        <f t="shared" si="187"/>
        <v>#DIV/0!</v>
      </c>
      <c r="BR99" s="79">
        <f t="array" ref="BR99">SUMIFS('Cắt lồng'!$AC$327:$AC$515,'Cắt lồng'!$AA$327:$AA$515,'Cắt lồng'!$AA99,'Cắt lồng'!$AE$327:$AE$515,'Cắt lồng'!BR$4:BR$4)</f>
        <v>0</v>
      </c>
      <c r="BS99" s="79">
        <f t="array" ref="BS99">SUMIFS('Cắt lồng'!$AH$327:$AH$515,'Cắt lồng'!$AA$327:$AA$515,'Cắt lồng'!$AA99,'Cắt lồng'!$AE$327:$AE$515,'Cắt lồng'!BS$4:BS$4)</f>
        <v>0</v>
      </c>
      <c r="BT99" s="109" t="e">
        <f t="shared" si="188"/>
        <v>#DIV/0!</v>
      </c>
      <c r="BU99" s="79">
        <f t="array" ref="BU99">SUMIFS('Cắt lồng'!$AC$327:$AC$515,'Cắt lồng'!$AA$327:$AA$515,'Cắt lồng'!$AA99,'Cắt lồng'!$AE$327:$AE$515,'Cắt lồng'!BU$4:BU$4)</f>
        <v>0</v>
      </c>
      <c r="BV99" s="79">
        <f t="array" ref="BV99">SUMIFS('Cắt lồng'!$AH$327:$AH$515,'Cắt lồng'!$AA$327:$AA$515,'Cắt lồng'!$AA99,'Cắt lồng'!$AE$327:$AE$515,'Cắt lồng'!BV$4:BV$4)</f>
        <v>0</v>
      </c>
      <c r="BW99" s="109" t="e">
        <f t="shared" si="189"/>
        <v>#DIV/0!</v>
      </c>
      <c r="BX99" s="79">
        <f t="array" ref="BX99">SUMIFS('Cắt lồng'!$AC$327:$AC$515,'Cắt lồng'!$AA$327:$AA$515,'Cắt lồng'!$AA99,'Cắt lồng'!$AE$327:$AE$515,'Cắt lồng'!BX$4:BX$4)</f>
        <v>0</v>
      </c>
      <c r="BY99" s="79">
        <f t="array" ref="BY99">SUMIFS('Cắt lồng'!$AH$327:$AH$515,'Cắt lồng'!$AA$327:$AA$515,'Cắt lồng'!$AA99,'Cắt lồng'!$AE$327:$AE$515,'Cắt lồng'!BY$4:BY$4)</f>
        <v>0</v>
      </c>
      <c r="BZ99" s="109" t="e">
        <f t="shared" si="190"/>
        <v>#DIV/0!</v>
      </c>
      <c r="CA99" s="79">
        <f t="array" ref="CA99">SUMIFS('Cắt lồng'!$AC$327:$AC$515,'Cắt lồng'!$AA$327:$AA$515,'Cắt lồng'!$AA99,'Cắt lồng'!$AE$327:$AE$515,'Cắt lồng'!CA$4:CA$4)</f>
        <v>0</v>
      </c>
      <c r="CB99" s="79">
        <f t="array" ref="CB99">SUMIFS('Cắt lồng'!$AH$327:$AH$515,'Cắt lồng'!$AA$327:$AA$515,'Cắt lồng'!$AA99,'Cắt lồng'!$AE$327:$AE$515,'Cắt lồng'!CB$4:CB$4)</f>
        <v>0</v>
      </c>
      <c r="CC99" s="109" t="e">
        <f t="shared" si="191"/>
        <v>#DIV/0!</v>
      </c>
      <c r="CD99" s="79">
        <f t="array" ref="CD99">SUMIFS('Cắt lồng'!$AC$327:$AC$515,'Cắt lồng'!$AA$327:$AA$515,'Cắt lồng'!$AA99,'Cắt lồng'!$AE$327:$AE$515,'Cắt lồng'!CD$4:CD$4)</f>
        <v>0</v>
      </c>
      <c r="CE99" s="79">
        <f t="array" ref="CE99">SUMIFS('Cắt lồng'!$AH$327:$AH$515,'Cắt lồng'!$AA$327:$AA$515,'Cắt lồng'!$AA99,'Cắt lồng'!$AE$327:$AE$515,'Cắt lồng'!CE$4:CE$4)</f>
        <v>0</v>
      </c>
      <c r="CF99" s="109" t="e">
        <f t="shared" si="192"/>
        <v>#DIV/0!</v>
      </c>
      <c r="CG99" s="79">
        <f t="array" ref="CG99">SUMIFS('Cắt lồng'!$AC$327:$AC$515,'Cắt lồng'!$AA$327:$AA$515,'Cắt lồng'!$AA99,'Cắt lồng'!$AE$327:$AE$515,'Cắt lồng'!CG$4:CG$4)</f>
        <v>0</v>
      </c>
      <c r="CH99" s="79">
        <f t="array" ref="CH99">SUMIFS('Cắt lồng'!$AH$327:$AH$515,'Cắt lồng'!$AA$327:$AA$515,'Cắt lồng'!$AA99,'Cắt lồng'!$AE$327:$AE$515,'Cắt lồng'!CH$4:CH$4)</f>
        <v>0</v>
      </c>
      <c r="CI99" s="109" t="e">
        <f t="shared" si="193"/>
        <v>#DIV/0!</v>
      </c>
      <c r="CJ99" s="79">
        <f t="array" ref="CJ99">SUMIFS('Cắt lồng'!$AC$327:$AC$515,'Cắt lồng'!$AA$327:$AA$515,'Cắt lồng'!$AA99,'Cắt lồng'!$AE$327:$AE$515,'Cắt lồng'!CJ$4:CJ$4)</f>
        <v>0</v>
      </c>
      <c r="CK99" s="79">
        <f t="array" ref="CK99">SUMIFS('Cắt lồng'!$AH$327:$AH$515,'Cắt lồng'!$AA$327:$AA$515,'Cắt lồng'!$AA99,'Cắt lồng'!$AE$327:$AE$515,'Cắt lồng'!CK$4:CK$4)</f>
        <v>0</v>
      </c>
      <c r="CL99" s="109" t="e">
        <f t="shared" si="194"/>
        <v>#DIV/0!</v>
      </c>
      <c r="CM99" s="79">
        <f t="array" ref="CM99">SUMIFS('Cắt lồng'!$AC$327:$AC$515,'Cắt lồng'!$AA$327:$AA$515,'Cắt lồng'!$AA99,'Cắt lồng'!$AE$327:$AE$515,'Cắt lồng'!CM$4:CM$4)</f>
        <v>0</v>
      </c>
      <c r="CN99" s="79">
        <f t="array" ref="CN99">SUMIFS('Cắt lồng'!$AH$327:$AH$515,'Cắt lồng'!$AA$327:$AA$515,'Cắt lồng'!$AA99,'Cắt lồng'!$AE$327:$AE$515,'Cắt lồng'!CN$4:CN$4)</f>
        <v>0</v>
      </c>
      <c r="CO99" s="109" t="e">
        <f t="shared" si="195"/>
        <v>#DIV/0!</v>
      </c>
      <c r="CP99" s="79">
        <f t="array" ref="CP99">SUMIFS('Cắt lồng'!$AC$327:$AC$515,'Cắt lồng'!$AA$327:$AA$515,'Cắt lồng'!$AA99,'Cắt lồng'!$AE$327:$AE$515,'Cắt lồng'!CP$4:CP$4)</f>
        <v>0</v>
      </c>
      <c r="CQ99" s="79">
        <f t="array" ref="CQ99">SUMIFS('Cắt lồng'!$AH$327:$AH$515,'Cắt lồng'!$AA$327:$AA$515,'Cắt lồng'!$AA99,'Cắt lồng'!$AE$327:$AE$515,'Cắt lồng'!CQ$4:CQ$4)</f>
        <v>0</v>
      </c>
      <c r="CR99" s="109" t="e">
        <f t="shared" si="196"/>
        <v>#DIV/0!</v>
      </c>
      <c r="CS99" s="79">
        <f t="array" ref="CS99">SUMIFS('Cắt lồng'!$AC$327:$AC$515,'Cắt lồng'!$AA$327:$AA$515,'Cắt lồng'!$AA99,'Cắt lồng'!$AE$327:$AE$515,'Cắt lồng'!CS$4:CS$4)</f>
        <v>0</v>
      </c>
      <c r="CT99" s="79">
        <f t="array" ref="CT99">SUMIFS('Cắt lồng'!$AH$327:$AH$515,'Cắt lồng'!$AA$327:$AA$515,'Cắt lồng'!$AA99,'Cắt lồng'!$AE$327:$AE$515,'Cắt lồng'!CT$4:CT$4)</f>
        <v>0</v>
      </c>
      <c r="CU99" s="109" t="e">
        <f t="shared" si="197"/>
        <v>#DIV/0!</v>
      </c>
      <c r="CV99" s="79">
        <f t="array" ref="CV99">SUMIFS('Cắt lồng'!$AC$327:$AC$515,'Cắt lồng'!$AA$327:$AA$515,'Cắt lồng'!$AA99,'Cắt lồng'!$AE$327:$AE$515,'Cắt lồng'!CV$4:CV$4)</f>
        <v>0</v>
      </c>
      <c r="CW99" s="79">
        <f t="array" ref="CW99">SUMIFS('Cắt lồng'!$AH$327:$AH$515,'Cắt lồng'!$AA$327:$AA$515,'Cắt lồng'!$AA99,'Cắt lồng'!$AE$327:$AE$515,'Cắt lồng'!CW$4:CW$4)</f>
        <v>0</v>
      </c>
      <c r="CX99" s="109" t="e">
        <f t="shared" si="198"/>
        <v>#DIV/0!</v>
      </c>
      <c r="CY99" s="79">
        <f t="array" ref="CY99">SUMIFS('Cắt lồng'!$AC$327:$AC$515,'Cắt lồng'!$AA$327:$AA$515,'Cắt lồng'!$AA99,'Cắt lồng'!$AE$327:$AE$515,'Cắt lồng'!CY$4:CY$4)</f>
        <v>0</v>
      </c>
      <c r="CZ99" s="79">
        <f t="array" ref="CZ99">SUMIFS('Cắt lồng'!$AH$327:$AH$515,'Cắt lồng'!$AA$327:$AA$515,'Cắt lồng'!$AA99,'Cắt lồng'!$AE$327:$AE$515,'Cắt lồng'!CZ$4:CZ$4)</f>
        <v>0</v>
      </c>
      <c r="DA99" s="109" t="e">
        <f t="shared" si="199"/>
        <v>#DIV/0!</v>
      </c>
      <c r="DB99" s="79">
        <f t="array" ref="DB99">SUMIFS('Cắt lồng'!$AC$327:$AC$515,'Cắt lồng'!$AA$327:$AA$515,'Cắt lồng'!$AA99,'Cắt lồng'!$AE$327:$AE$515,'Cắt lồng'!DB$4:DB$4)</f>
        <v>0</v>
      </c>
      <c r="DC99" s="79">
        <f t="array" ref="DC99">SUMIFS('Cắt lồng'!$AH$327:$AH$515,'Cắt lồng'!$AA$327:$AA$515,'Cắt lồng'!$AA99,'Cắt lồng'!$AE$327:$AE$515,'Cắt lồng'!DC$4:DC$4)</f>
        <v>0</v>
      </c>
      <c r="DD99" s="109" t="e">
        <f t="shared" si="200"/>
        <v>#DIV/0!</v>
      </c>
      <c r="DE99" s="79">
        <f t="array" ref="DE99">SUMIFS('Cắt lồng'!$AC$327:$AC$515,'Cắt lồng'!$AA$327:$AA$515,'Cắt lồng'!$AA99,'Cắt lồng'!$AE$327:$AE$515,'Cắt lồng'!DE$4:DE$4)</f>
        <v>0</v>
      </c>
      <c r="DF99" s="79">
        <f t="array" ref="DF99">SUMIFS('Cắt lồng'!$AH$327:$AH$515,'Cắt lồng'!$AA$327:$AA$515,'Cắt lồng'!$AA99,'Cắt lồng'!$AE$327:$AE$515,'Cắt lồng'!DF$4:DF$4)</f>
        <v>0</v>
      </c>
      <c r="DG99" s="109" t="e">
        <f t="shared" si="201"/>
        <v>#DIV/0!</v>
      </c>
      <c r="DH99" s="79">
        <f t="array" ref="DH99">SUMIFS('Cắt lồng'!$AC$327:$AC$515,'Cắt lồng'!$AA$327:$AA$515,'Cắt lồng'!$AA99,'Cắt lồng'!$AE$327:$AE$515,'Cắt lồng'!DH$4:DH$4)</f>
        <v>0</v>
      </c>
      <c r="DI99" s="79">
        <f t="array" ref="DI99">SUMIFS('Cắt lồng'!$AH$327:$AH$515,'Cắt lồng'!$AA$327:$AA$515,'Cắt lồng'!$AA99,'Cắt lồng'!$AE$327:$AE$515,'Cắt lồng'!DI$4:DI$4)</f>
        <v>0</v>
      </c>
      <c r="DJ99" s="109" t="e">
        <f t="shared" si="202"/>
        <v>#DIV/0!</v>
      </c>
      <c r="DK99" s="79">
        <f t="array" ref="DK99">SUMIFS('Cắt lồng'!$AC$327:$AC$515,'Cắt lồng'!$AA$327:$AA$515,'Cắt lồng'!$AA99,'Cắt lồng'!$AE$327:$AE$515,'Cắt lồng'!DK$4:DK$4)</f>
        <v>0</v>
      </c>
      <c r="DL99" s="79">
        <f t="array" ref="DL99">SUMIFS('Cắt lồng'!$AH$327:$AH$515,'Cắt lồng'!$AA$327:$AA$515,'Cắt lồng'!$AA99,'Cắt lồng'!$AE$327:$AE$515,'Cắt lồng'!DL$4:DL$4)</f>
        <v>0</v>
      </c>
      <c r="DM99" s="109" t="e">
        <f t="shared" si="203"/>
        <v>#DIV/0!</v>
      </c>
      <c r="DN99" s="79">
        <f t="array" ref="DN99">SUMIFS('Cắt lồng'!$AC$327:$AC$515,'Cắt lồng'!$AA$327:$AA$515,'Cắt lồng'!$AA99,'Cắt lồng'!$AE$327:$AE$515,'Cắt lồng'!DN$4:DN$4)</f>
        <v>0</v>
      </c>
      <c r="DO99" s="79">
        <f t="array" ref="DO99">SUMIFS('Cắt lồng'!$AH$327:$AH$515,'Cắt lồng'!$AA$327:$AA$515,'Cắt lồng'!$AA99,'Cắt lồng'!$AE$327:$AE$515,'Cắt lồng'!DO$4:DO$4)</f>
        <v>0</v>
      </c>
      <c r="DP99" s="109" t="e">
        <f t="shared" si="204"/>
        <v>#DIV/0!</v>
      </c>
      <c r="DQ99" s="79">
        <f t="array" ref="DQ99">SUMIFS('Cắt lồng'!$AC$327:$AC$515,'Cắt lồng'!$AA$327:$AA$515,'Cắt lồng'!$AA99,'Cắt lồng'!$AE$327:$AE$515,'Cắt lồng'!DQ$4:DQ$4)</f>
        <v>0</v>
      </c>
      <c r="DR99" s="79">
        <f t="array" ref="DR99">SUMIFS('Cắt lồng'!$AH$327:$AH$515,'Cắt lồng'!$AA$327:$AA$515,'Cắt lồng'!$AA99,'Cắt lồng'!$AE$327:$AE$515,'Cắt lồng'!DR$4:DR$4)</f>
        <v>0</v>
      </c>
      <c r="DS99" s="109" t="e">
        <f t="shared" si="205"/>
        <v>#DIV/0!</v>
      </c>
      <c r="DT99" s="79">
        <f t="array" ref="DT99">SUMIFS('Cắt lồng'!$AC$327:$AC$515,'Cắt lồng'!$AA$327:$AA$515,'Cắt lồng'!$AA99,'Cắt lồng'!$AE$327:$AE$515,'Cắt lồng'!DT$4:DT$4)</f>
        <v>0</v>
      </c>
      <c r="DU99" s="79">
        <f t="array" ref="DU99">SUMIFS('Cắt lồng'!$AH$327:$AH$515,'Cắt lồng'!$AA$327:$AA$515,'Cắt lồng'!$AA99,'Cắt lồng'!$AE$327:$AE$515,'Cắt lồng'!DU$4:DU$4)</f>
        <v>0</v>
      </c>
      <c r="DV99" s="109" t="e">
        <f t="shared" si="206"/>
        <v>#DIV/0!</v>
      </c>
      <c r="DW99" s="79">
        <f t="array" ref="DW99">SUMIFS('Cắt lồng'!$AC$327:$AC$515,'Cắt lồng'!$AA$327:$AA$515,'Cắt lồng'!$AA99,'Cắt lồng'!$AE$327:$AE$515,'Cắt lồng'!DW$4:DW$4)</f>
        <v>0</v>
      </c>
      <c r="DX99" s="79">
        <f t="array" ref="DX99">SUMIFS('Cắt lồng'!$AH$327:$AH$515,'Cắt lồng'!$AA$327:$AA$515,'Cắt lồng'!$AA99,'Cắt lồng'!$AE$327:$AE$515,'Cắt lồng'!DX$4:DX$4)</f>
        <v>0</v>
      </c>
      <c r="DY99" s="109" t="e">
        <f t="shared" si="207"/>
        <v>#DIV/0!</v>
      </c>
      <c r="DZ99" s="79">
        <f t="array" ref="DZ99">SUMIFS('Cắt lồng'!$AC$327:$AC$515,'Cắt lồng'!$AA$327:$AA$515,'Cắt lồng'!$AA99,'Cắt lồng'!$AE$327:$AE$515,'Cắt lồng'!DZ$4:DZ$4)</f>
        <v>0</v>
      </c>
      <c r="EA99" s="79">
        <f t="array" ref="EA99">SUMIFS('Cắt lồng'!$AH$327:$AH$515,'Cắt lồng'!$AA$327:$AA$515,'Cắt lồng'!$AA99,'Cắt lồng'!$AE$327:$AE$515,'Cắt lồng'!EA$4:EA$4)</f>
        <v>0</v>
      </c>
      <c r="EB99" s="109" t="e">
        <f t="shared" si="208"/>
        <v>#DIV/0!</v>
      </c>
      <c r="EC99" s="79">
        <f t="array" ref="EC99">SUMIFS('Cắt lồng'!$AC$327:$AC$515,'Cắt lồng'!$AA$327:$AA$515,'Cắt lồng'!$AA99,'Cắt lồng'!$AE$327:$AE$515,'Cắt lồng'!EC$4:EC$4)</f>
        <v>0</v>
      </c>
      <c r="ED99" s="79">
        <f t="array" ref="ED99">SUMIFS('Cắt lồng'!$AH$327:$AH$515,'Cắt lồng'!$AA$327:$AA$515,'Cắt lồng'!$AA99,'Cắt lồng'!$AE$327:$AE$515,'Cắt lồng'!ED$4:ED$4)</f>
        <v>0</v>
      </c>
      <c r="EE99" s="109" t="e">
        <f t="shared" si="209"/>
        <v>#DIV/0!</v>
      </c>
      <c r="EF99" s="79">
        <f t="array" ref="EF99">SUMIFS('Cắt lồng'!$AC$327:$AC$515,'Cắt lồng'!$AA$327:$AA$515,'Cắt lồng'!$AA99,'Cắt lồng'!$AE$327:$AE$515,'Cắt lồng'!EF$4:EF$4)</f>
        <v>0</v>
      </c>
      <c r="EG99" s="79">
        <f t="array" ref="EG99">SUMIFS('Cắt lồng'!$AH$327:$AH$515,'Cắt lồng'!$AA$327:$AA$515,'Cắt lồng'!$AA99,'Cắt lồng'!$AE$327:$AE$515,'Cắt lồng'!EG$4:EG$4)</f>
        <v>0</v>
      </c>
      <c r="EH99" s="109" t="e">
        <f t="shared" si="210"/>
        <v>#DIV/0!</v>
      </c>
      <c r="EI99" s="79">
        <f t="array" ref="EI99">SUMIFS('Cắt lồng'!$AC$327:$AC$515,'Cắt lồng'!$AA$327:$AA$515,'Cắt lồng'!$AA99,'Cắt lồng'!$AE$327:$AE$515,'Cắt lồng'!EI$4:EI$4)</f>
        <v>0</v>
      </c>
      <c r="EJ99" s="79">
        <f t="array" ref="EJ99">SUMIFS('Cắt lồng'!$AH$327:$AH$515,'Cắt lồng'!$AA$327:$AA$515,'Cắt lồng'!$AA99,'Cắt lồng'!$AE$327:$AE$515,'Cắt lồng'!EJ$4:EJ$4)</f>
        <v>0</v>
      </c>
      <c r="EK99" s="109" t="e">
        <f t="shared" si="211"/>
        <v>#DIV/0!</v>
      </c>
    </row>
    <row r="100" spans="1:150" s="83" customFormat="1" ht="14.25" hidden="1" customHeight="1">
      <c r="A100" s="30">
        <v>71</v>
      </c>
      <c r="B100" s="27"/>
      <c r="C100" s="30"/>
      <c r="D100" s="117"/>
      <c r="E100" s="119"/>
      <c r="F100" s="115"/>
      <c r="G100" s="82">
        <f t="shared" ref="G100:G131" si="212">+SUMIF($AA$327:$AA$515,Z100,$H$327:$H$515)</f>
        <v>0</v>
      </c>
      <c r="H100" s="81">
        <f t="shared" ref="H100:H131" si="213">+SUMIF($AA$327:$AA$515,AA100,$H$327:$H$515)</f>
        <v>0</v>
      </c>
      <c r="I100" s="19">
        <f t="shared" ref="I100:I131" si="214">+SUMIF($AA$327:$AA$515,AA100,$I$327:$I$515)</f>
        <v>0</v>
      </c>
      <c r="J100" s="11">
        <f t="shared" ref="J100:J131" si="215">SUM(K100:Z100)</f>
        <v>0</v>
      </c>
      <c r="K100" s="19">
        <f t="shared" ref="K100:K131" si="216">+SUMIF($AA$327:$AA$515,AA100,$K$327:$K$515)</f>
        <v>0</v>
      </c>
      <c r="L100" s="19">
        <f t="shared" ref="L100:L131" si="217">+SUMIF($AA$327:$AA$515,AA100,$L$327:$L$515)</f>
        <v>0</v>
      </c>
      <c r="M100" s="19">
        <f t="shared" ref="M100:M131" si="218">+SUMIF($AA$327:$AA$515,AA100,$M$327:$M$515)</f>
        <v>0</v>
      </c>
      <c r="N100" s="19">
        <f t="shared" ref="N100:N131" si="219">+SUMIF($AA$327:$AA$515,AA100,$N$327:$N$515)</f>
        <v>0</v>
      </c>
      <c r="O100" s="19">
        <f t="shared" ref="O100:O131" si="220">+SUMIF($AA$327:$AA$515,AA100,$O$327:$O$515)</f>
        <v>0</v>
      </c>
      <c r="P100" s="19">
        <f t="shared" ref="P100:P131" si="221">+SUMIF($AA$327:$AA$515,AA100,$P$327:$P$515)</f>
        <v>0</v>
      </c>
      <c r="Q100" s="19">
        <f t="shared" ref="Q100:Q131" si="222">+SUMIF($AA$327:$AA$515,AA100,$Q$327:$Q$515)</f>
        <v>0</v>
      </c>
      <c r="R100" s="19">
        <f t="shared" ref="R100:R131" si="223">+SUMIF($AA$327:$AA$515,AA100,$R$327:$R$515)</f>
        <v>0</v>
      </c>
      <c r="S100" s="19">
        <f t="shared" ref="S100:S131" si="224">+SUMIF($AA$327:$AA$515,AA100,$S$327:$S$515)</f>
        <v>0</v>
      </c>
      <c r="T100" s="19">
        <f t="shared" ref="T100:T131" si="225">+SUMIF($AA$327:$AA$515,AA100,$T$327:$T$515)</f>
        <v>0</v>
      </c>
      <c r="U100" s="19">
        <f t="shared" ref="U100:U131" si="226">+SUMIF($AA$327:$AA$515,AA100,$U$327:$U$515)</f>
        <v>0</v>
      </c>
      <c r="V100" s="19">
        <f t="shared" ref="V100:V131" si="227">+SUMIF($AA$327:$AA$515,AA100,$V$327:$V$515)</f>
        <v>0</v>
      </c>
      <c r="W100" s="19">
        <f t="shared" ref="W100:W131" si="228">+SUMIF($AA$327:$AA$515,AA100,$W$327:$W$515)</f>
        <v>0</v>
      </c>
      <c r="X100" s="19">
        <f t="shared" ref="X100:X131" si="229">+SUMIF($AA$327:$AA$515,AA100,$X$327:$X$515)</f>
        <v>0</v>
      </c>
      <c r="Y100" s="19">
        <f t="shared" ref="Y100:Y131" si="230">+SUMIF($AA$327:$AA$515,AA100,$Y$327:$Y$515)</f>
        <v>0</v>
      </c>
      <c r="Z100" s="19">
        <f t="shared" ref="Z100:Z131" si="231">+SUMIF($AA$327:$AA$515,AB100,$Y$327:$Y$515)</f>
        <v>0</v>
      </c>
      <c r="AA100" s="164">
        <v>1404</v>
      </c>
      <c r="AB100" s="17" t="e">
        <f>+H100*SUMIF('[1]KẾ HOẠCH'!$B$5:$CK$5,'Cắt lồng'!AA100,'[1]KẾ HOẠCH'!$B$6:$CK$6)+H100*SUMIF('[1]KẾ HOẠCH'!$B$7:$CK$7,'Cắt lồng'!AA100,'[1]KẾ HOẠCH'!$B$8:$CK$8)+H100*SUMIF('[1]KẾ HOẠCH'!$B$15:$CK$15,'Cắt lồng'!AA100,'[1]KẾ HOẠCH'!$B$16:$CK$16)</f>
        <v>#VALUE!</v>
      </c>
      <c r="AC100" s="16">
        <f t="shared" ref="AC100:AC131" si="232">+SUMIF($AA$327:$AA$515,AA100,$AC$327:$AC$515)</f>
        <v>0</v>
      </c>
      <c r="AD100" s="15" t="e">
        <f t="shared" ref="AD100:AD131" si="233">+AC100/AB100</f>
        <v>#VALUE!</v>
      </c>
      <c r="AE100" s="42"/>
      <c r="AF100" s="112" t="e">
        <f t="shared" ref="AF100:AF131" si="234">+AC100/H100</f>
        <v>#DIV/0!</v>
      </c>
      <c r="AG100" s="112"/>
      <c r="AH100" s="112">
        <f t="shared" ref="AH100:AH131" si="235">+SUM(AJ100:AT100)</f>
        <v>0</v>
      </c>
      <c r="AI100" s="111" t="e">
        <f t="shared" ref="AI100:AI131" si="236">+AH100/AC100</f>
        <v>#DIV/0!</v>
      </c>
      <c r="AJ100" s="20">
        <f t="shared" ref="AJ100:AJ131" si="237">+SUMIF($AA$327:$AA$515,AA100,$AJ$327:$AJ$515)</f>
        <v>0</v>
      </c>
      <c r="AK100" s="30">
        <f t="shared" ref="AK100:AK131" si="238">+SUMIF($AA$327:$AA$515,AA100,$AK$327:$AK$515)</f>
        <v>0</v>
      </c>
      <c r="AL100" s="30">
        <f t="shared" ref="AL100:AL131" si="239">+SUMIF($AA$327:$AA$515,AA100,$AL$327:$AL$515)</f>
        <v>0</v>
      </c>
      <c r="AM100" s="30">
        <f t="shared" ref="AM100:AM131" si="240">+SUMIF($AA$327:$AA$515,AA100,$AM$327:$AM$515)</f>
        <v>0</v>
      </c>
      <c r="AN100" s="30">
        <f t="shared" ref="AN100:AN131" si="241">+SUMIF($AA$327:$AA$515,AA100,$AN$327:$AN$515)</f>
        <v>0</v>
      </c>
      <c r="AO100" s="30">
        <f t="shared" ref="AO100:AO131" si="242">+SUMIF($AA$327:$AA$515,AA100,$AO$327:$AO$515)</f>
        <v>0</v>
      </c>
      <c r="AP100" s="30">
        <f t="shared" ref="AP100:AP131" si="243">+SUMIF($AA$327:$AA$515,AA100,$AP$327:$AP$515)</f>
        <v>0</v>
      </c>
      <c r="AQ100" s="30">
        <f t="shared" ref="AQ100:AQ131" si="244">+SUMIF($AA$327:$AA$515,AA100,$AQ$327:$AQ$515)</f>
        <v>0</v>
      </c>
      <c r="AR100" s="30">
        <f t="shared" ref="AR100:AR131" si="245">+SUMIF($AB$327:$AB$515,AA100,$AR$327:$AR$515)</f>
        <v>0</v>
      </c>
      <c r="AS100" s="30">
        <f t="shared" ref="AS100:AS131" si="246">+SUMIF($AC$327:$AC$515,AA100,$AS$327:$AS$515)</f>
        <v>0</v>
      </c>
      <c r="AT100" s="30">
        <f t="shared" ref="AT100:AT131" si="247">+SUMIF($AA$327:$AA$515,AA100,$AT$327:$AT$515)</f>
        <v>0</v>
      </c>
      <c r="AU100" s="80"/>
      <c r="AV100" s="110">
        <f t="shared" ref="AV100:AV131" si="248">+SUMIF($AA$327:$AA$514,AA100,$H$327:$H$514)</f>
        <v>0</v>
      </c>
      <c r="AW100" s="79">
        <f t="array" ref="AW100">SUMIFS('Cắt lồng'!$AC$327:$AC$515,'Cắt lồng'!$AA$327:$AA$515,'Cắt lồng'!$AA100,'Cắt lồng'!$AE$327:$AE$515,'Cắt lồng'!AW$4:AW$4)</f>
        <v>0</v>
      </c>
      <c r="AX100" s="79">
        <f t="array" ref="AX100">SUMIFS('Cắt lồng'!$AH$327:$AH$515,'Cắt lồng'!$AA$327:$AA$515,'Cắt lồng'!$AA100,'Cắt lồng'!$AE$327:$AE$515,'Cắt lồng'!AX$4:AX$4)</f>
        <v>0</v>
      </c>
      <c r="AY100" s="109" t="e">
        <f t="shared" ref="AY100:AY131" si="249">+AX100/AW100</f>
        <v>#DIV/0!</v>
      </c>
      <c r="AZ100" s="79">
        <f t="array" ref="AZ100">SUMIFS('Cắt lồng'!$AC$327:$AC$515,'Cắt lồng'!$AA$327:$AA$515,'Cắt lồng'!$AA100,'Cắt lồng'!$AE$327:$AE$515,'Cắt lồng'!AZ$4:AZ$4)</f>
        <v>0</v>
      </c>
      <c r="BA100" s="79">
        <f t="array" ref="BA100">SUMIFS('Cắt lồng'!$AH$327:$AH$515,'Cắt lồng'!$AA$327:$AA$515,'Cắt lồng'!$AA100,'Cắt lồng'!$AE$327:$AE$515,'Cắt lồng'!BA$4:BA$4)</f>
        <v>0</v>
      </c>
      <c r="BB100" s="109" t="e">
        <f t="shared" ref="BB100:BB131" si="250">+BA100/AZ100</f>
        <v>#DIV/0!</v>
      </c>
      <c r="BC100" s="79">
        <f t="array" ref="BC100">SUMIFS('Cắt lồng'!$AC$327:$AC$515,'Cắt lồng'!$AA$327:$AA$515,'Cắt lồng'!$AA100,'Cắt lồng'!$AE$327:$AE$515,'Cắt lồng'!BC$4:BC$4)</f>
        <v>0</v>
      </c>
      <c r="BD100" s="79">
        <f t="array" ref="BD100">SUMIFS('Cắt lồng'!$AH$327:$AH$515,'Cắt lồng'!$AA$327:$AA$515,'Cắt lồng'!$AA100,'Cắt lồng'!$AE$327:$AE$515,'Cắt lồng'!BD$4:BD$4)</f>
        <v>0</v>
      </c>
      <c r="BE100" s="109" t="e">
        <f t="shared" ref="BE100:BE131" si="251">+BD100/BC100</f>
        <v>#DIV/0!</v>
      </c>
      <c r="BF100" s="79">
        <f t="array" ref="BF100">SUMIFS('Cắt lồng'!$AC$327:$AC$515,'Cắt lồng'!$AA$327:$AA$515,'Cắt lồng'!$AA100,'Cắt lồng'!$AE$327:$AE$515,'Cắt lồng'!BF$4:BF$4)</f>
        <v>0</v>
      </c>
      <c r="BG100" s="79">
        <f t="array" ref="BG100">SUMIFS('Cắt lồng'!$AH$327:$AH$515,'Cắt lồng'!$AA$327:$AA$515,'Cắt lồng'!$AA100,'Cắt lồng'!$AE$327:$AE$515,'Cắt lồng'!BG$4:BG$4)</f>
        <v>0</v>
      </c>
      <c r="BH100" s="109" t="e">
        <f t="shared" ref="BH100:BH131" si="252">+BG100/BF100</f>
        <v>#DIV/0!</v>
      </c>
      <c r="BI100" s="79">
        <f t="array" ref="BI100">SUMIFS('Cắt lồng'!$AC$327:$AC$515,'Cắt lồng'!$AA$327:$AA$515,'Cắt lồng'!$AA100,'Cắt lồng'!$AE$327:$AE$515,'Cắt lồng'!BI$4:BI$4)</f>
        <v>0</v>
      </c>
      <c r="BJ100" s="79">
        <f t="array" ref="BJ100">SUMIFS('Cắt lồng'!$AH$327:$AH$515,'Cắt lồng'!$AA$327:$AA$515,'Cắt lồng'!$AA100,'Cắt lồng'!$AE$327:$AE$515,'Cắt lồng'!BJ$4:BJ$4)</f>
        <v>0</v>
      </c>
      <c r="BK100" s="109" t="e">
        <f t="shared" ref="BK100:BK131" si="253">+BJ100/BI100</f>
        <v>#DIV/0!</v>
      </c>
      <c r="BL100" s="79">
        <f t="array" ref="BL100">SUMIFS('Cắt lồng'!$AC$327:$AC$515,'Cắt lồng'!$AA$327:$AA$515,'Cắt lồng'!$AA100,'Cắt lồng'!$AE$327:$AE$515,'Cắt lồng'!BL$4:BL$4)</f>
        <v>0</v>
      </c>
      <c r="BM100" s="79">
        <f t="array" ref="BM100">SUMIFS('Cắt lồng'!$AH$327:$AH$515,'Cắt lồng'!$AA$327:$AA$515,'Cắt lồng'!$AA100,'Cắt lồng'!$AE$327:$AE$515,'Cắt lồng'!BM$4:BM$4)</f>
        <v>0</v>
      </c>
      <c r="BN100" s="109" t="e">
        <f t="shared" ref="BN100:BN131" si="254">+BM100/BL100</f>
        <v>#DIV/0!</v>
      </c>
      <c r="BO100" s="79">
        <f t="array" ref="BO100">SUMIFS('Cắt lồng'!$AC$327:$AC$515,'Cắt lồng'!$AA$327:$AA$515,'Cắt lồng'!$AA100,'Cắt lồng'!$AE$327:$AE$515,'Cắt lồng'!BO$4:BO$4)</f>
        <v>0</v>
      </c>
      <c r="BP100" s="79">
        <f t="array" ref="BP100">SUMIFS('Cắt lồng'!$AH$327:$AH$515,'Cắt lồng'!$AA$327:$AA$515,'Cắt lồng'!$AA100,'Cắt lồng'!$AE$327:$AE$515,'Cắt lồng'!BP$4:BP$4)</f>
        <v>0</v>
      </c>
      <c r="BQ100" s="109" t="e">
        <f t="shared" ref="BQ100:BQ131" si="255">+BP100/BO100</f>
        <v>#DIV/0!</v>
      </c>
      <c r="BR100" s="79">
        <f t="array" ref="BR100">SUMIFS('Cắt lồng'!$AC$327:$AC$515,'Cắt lồng'!$AA$327:$AA$515,'Cắt lồng'!$AA100,'Cắt lồng'!$AE$327:$AE$515,'Cắt lồng'!BR$4:BR$4)</f>
        <v>0</v>
      </c>
      <c r="BS100" s="79">
        <f t="array" ref="BS100">SUMIFS('Cắt lồng'!$AH$327:$AH$515,'Cắt lồng'!$AA$327:$AA$515,'Cắt lồng'!$AA100,'Cắt lồng'!$AE$327:$AE$515,'Cắt lồng'!BS$4:BS$4)</f>
        <v>0</v>
      </c>
      <c r="BT100" s="109" t="e">
        <f t="shared" ref="BT100:BT131" si="256">+BS100/BR100</f>
        <v>#DIV/0!</v>
      </c>
      <c r="BU100" s="79">
        <f t="array" ref="BU100">SUMIFS('Cắt lồng'!$AC$327:$AC$515,'Cắt lồng'!$AA$327:$AA$515,'Cắt lồng'!$AA100,'Cắt lồng'!$AE$327:$AE$515,'Cắt lồng'!BU$4:BU$4)</f>
        <v>0</v>
      </c>
      <c r="BV100" s="79">
        <f t="array" ref="BV100">SUMIFS('Cắt lồng'!$AH$327:$AH$515,'Cắt lồng'!$AA$327:$AA$515,'Cắt lồng'!$AA100,'Cắt lồng'!$AE$327:$AE$515,'Cắt lồng'!BV$4:BV$4)</f>
        <v>0</v>
      </c>
      <c r="BW100" s="109" t="e">
        <f t="shared" ref="BW100:BW131" si="257">+BV100/BU100</f>
        <v>#DIV/0!</v>
      </c>
      <c r="BX100" s="79">
        <f t="array" ref="BX100">SUMIFS('Cắt lồng'!$AC$327:$AC$515,'Cắt lồng'!$AA$327:$AA$515,'Cắt lồng'!$AA100,'Cắt lồng'!$AE$327:$AE$515,'Cắt lồng'!BX$4:BX$4)</f>
        <v>0</v>
      </c>
      <c r="BY100" s="79">
        <f t="array" ref="BY100">SUMIFS('Cắt lồng'!$AH$327:$AH$515,'Cắt lồng'!$AA$327:$AA$515,'Cắt lồng'!$AA100,'Cắt lồng'!$AE$327:$AE$515,'Cắt lồng'!BY$4:BY$4)</f>
        <v>0</v>
      </c>
      <c r="BZ100" s="109" t="e">
        <f t="shared" ref="BZ100:BZ131" si="258">+BY100/BX100</f>
        <v>#DIV/0!</v>
      </c>
      <c r="CA100" s="79">
        <f t="array" ref="CA100">SUMIFS('Cắt lồng'!$AC$327:$AC$515,'Cắt lồng'!$AA$327:$AA$515,'Cắt lồng'!$AA100,'Cắt lồng'!$AE$327:$AE$515,'Cắt lồng'!CA$4:CA$4)</f>
        <v>0</v>
      </c>
      <c r="CB100" s="79">
        <f t="array" ref="CB100">SUMIFS('Cắt lồng'!$AH$327:$AH$515,'Cắt lồng'!$AA$327:$AA$515,'Cắt lồng'!$AA100,'Cắt lồng'!$AE$327:$AE$515,'Cắt lồng'!CB$4:CB$4)</f>
        <v>0</v>
      </c>
      <c r="CC100" s="109" t="e">
        <f t="shared" ref="CC100:CC131" si="259">+CB100/CA100</f>
        <v>#DIV/0!</v>
      </c>
      <c r="CD100" s="79">
        <f t="array" ref="CD100">SUMIFS('Cắt lồng'!$AC$327:$AC$515,'Cắt lồng'!$AA$327:$AA$515,'Cắt lồng'!$AA100,'Cắt lồng'!$AE$327:$AE$515,'Cắt lồng'!CD$4:CD$4)</f>
        <v>0</v>
      </c>
      <c r="CE100" s="79">
        <f t="array" ref="CE100">SUMIFS('Cắt lồng'!$AH$327:$AH$515,'Cắt lồng'!$AA$327:$AA$515,'Cắt lồng'!$AA100,'Cắt lồng'!$AE$327:$AE$515,'Cắt lồng'!CE$4:CE$4)</f>
        <v>0</v>
      </c>
      <c r="CF100" s="109" t="e">
        <f t="shared" ref="CF100:CF131" si="260">+CE100/CD100</f>
        <v>#DIV/0!</v>
      </c>
      <c r="CG100" s="79">
        <f t="array" ref="CG100">SUMIFS('Cắt lồng'!$AC$327:$AC$515,'Cắt lồng'!$AA$327:$AA$515,'Cắt lồng'!$AA100,'Cắt lồng'!$AE$327:$AE$515,'Cắt lồng'!CG$4:CG$4)</f>
        <v>0</v>
      </c>
      <c r="CH100" s="79">
        <f t="array" ref="CH100">SUMIFS('Cắt lồng'!$AH$327:$AH$515,'Cắt lồng'!$AA$327:$AA$515,'Cắt lồng'!$AA100,'Cắt lồng'!$AE$327:$AE$515,'Cắt lồng'!CH$4:CH$4)</f>
        <v>0</v>
      </c>
      <c r="CI100" s="109" t="e">
        <f t="shared" ref="CI100:CI131" si="261">+CH100/CG100</f>
        <v>#DIV/0!</v>
      </c>
      <c r="CJ100" s="79">
        <f t="array" ref="CJ100">SUMIFS('Cắt lồng'!$AC$327:$AC$515,'Cắt lồng'!$AA$327:$AA$515,'Cắt lồng'!$AA100,'Cắt lồng'!$AE$327:$AE$515,'Cắt lồng'!CJ$4:CJ$4)</f>
        <v>0</v>
      </c>
      <c r="CK100" s="79">
        <f t="array" ref="CK100">SUMIFS('Cắt lồng'!$AH$327:$AH$515,'Cắt lồng'!$AA$327:$AA$515,'Cắt lồng'!$AA100,'Cắt lồng'!$AE$327:$AE$515,'Cắt lồng'!CK$4:CK$4)</f>
        <v>0</v>
      </c>
      <c r="CL100" s="109" t="e">
        <f t="shared" ref="CL100:CL131" si="262">+CK100/CJ100</f>
        <v>#DIV/0!</v>
      </c>
      <c r="CM100" s="79">
        <f t="array" ref="CM100">SUMIFS('Cắt lồng'!$AC$327:$AC$515,'Cắt lồng'!$AA$327:$AA$515,'Cắt lồng'!$AA100,'Cắt lồng'!$AE$327:$AE$515,'Cắt lồng'!CM$4:CM$4)</f>
        <v>0</v>
      </c>
      <c r="CN100" s="79">
        <f t="array" ref="CN100">SUMIFS('Cắt lồng'!$AH$327:$AH$515,'Cắt lồng'!$AA$327:$AA$515,'Cắt lồng'!$AA100,'Cắt lồng'!$AE$327:$AE$515,'Cắt lồng'!CN$4:CN$4)</f>
        <v>0</v>
      </c>
      <c r="CO100" s="109" t="e">
        <f t="shared" ref="CO100:CO131" si="263">+CN100/CM100</f>
        <v>#DIV/0!</v>
      </c>
      <c r="CP100" s="79">
        <f t="array" ref="CP100">SUMIFS('Cắt lồng'!$AC$327:$AC$515,'Cắt lồng'!$AA$327:$AA$515,'Cắt lồng'!$AA100,'Cắt lồng'!$AE$327:$AE$515,'Cắt lồng'!CP$4:CP$4)</f>
        <v>0</v>
      </c>
      <c r="CQ100" s="79">
        <f t="array" ref="CQ100">SUMIFS('Cắt lồng'!$AH$327:$AH$515,'Cắt lồng'!$AA$327:$AA$515,'Cắt lồng'!$AA100,'Cắt lồng'!$AE$327:$AE$515,'Cắt lồng'!CQ$4:CQ$4)</f>
        <v>0</v>
      </c>
      <c r="CR100" s="109" t="e">
        <f t="shared" ref="CR100:CR131" si="264">+CQ100/CP100</f>
        <v>#DIV/0!</v>
      </c>
      <c r="CS100" s="79">
        <f t="array" ref="CS100">SUMIFS('Cắt lồng'!$AC$327:$AC$515,'Cắt lồng'!$AA$327:$AA$515,'Cắt lồng'!$AA100,'Cắt lồng'!$AE$327:$AE$515,'Cắt lồng'!CS$4:CS$4)</f>
        <v>0</v>
      </c>
      <c r="CT100" s="79">
        <f t="array" ref="CT100">SUMIFS('Cắt lồng'!$AH$327:$AH$515,'Cắt lồng'!$AA$327:$AA$515,'Cắt lồng'!$AA100,'Cắt lồng'!$AE$327:$AE$515,'Cắt lồng'!CT$4:CT$4)</f>
        <v>0</v>
      </c>
      <c r="CU100" s="109" t="e">
        <f t="shared" ref="CU100:CU131" si="265">+CT100/CS100</f>
        <v>#DIV/0!</v>
      </c>
      <c r="CV100" s="79">
        <f t="array" ref="CV100">SUMIFS('Cắt lồng'!$AC$327:$AC$515,'Cắt lồng'!$AA$327:$AA$515,'Cắt lồng'!$AA100,'Cắt lồng'!$AE$327:$AE$515,'Cắt lồng'!CV$4:CV$4)</f>
        <v>0</v>
      </c>
      <c r="CW100" s="79">
        <f t="array" ref="CW100">SUMIFS('Cắt lồng'!$AH$327:$AH$515,'Cắt lồng'!$AA$327:$AA$515,'Cắt lồng'!$AA100,'Cắt lồng'!$AE$327:$AE$515,'Cắt lồng'!CW$4:CW$4)</f>
        <v>0</v>
      </c>
      <c r="CX100" s="109" t="e">
        <f t="shared" ref="CX100:CX131" si="266">+CW100/CV100</f>
        <v>#DIV/0!</v>
      </c>
      <c r="CY100" s="79">
        <f t="array" ref="CY100">SUMIFS('Cắt lồng'!$AC$327:$AC$515,'Cắt lồng'!$AA$327:$AA$515,'Cắt lồng'!$AA100,'Cắt lồng'!$AE$327:$AE$515,'Cắt lồng'!CY$4:CY$4)</f>
        <v>0</v>
      </c>
      <c r="CZ100" s="79">
        <f t="array" ref="CZ100">SUMIFS('Cắt lồng'!$AH$327:$AH$515,'Cắt lồng'!$AA$327:$AA$515,'Cắt lồng'!$AA100,'Cắt lồng'!$AE$327:$AE$515,'Cắt lồng'!CZ$4:CZ$4)</f>
        <v>0</v>
      </c>
      <c r="DA100" s="109" t="e">
        <f t="shared" ref="DA100:DA131" si="267">+CZ100/CY100</f>
        <v>#DIV/0!</v>
      </c>
      <c r="DB100" s="79">
        <f t="array" ref="DB100">SUMIFS('Cắt lồng'!$AC$327:$AC$515,'Cắt lồng'!$AA$327:$AA$515,'Cắt lồng'!$AA100,'Cắt lồng'!$AE$327:$AE$515,'Cắt lồng'!DB$4:DB$4)</f>
        <v>0</v>
      </c>
      <c r="DC100" s="79">
        <f t="array" ref="DC100">SUMIFS('Cắt lồng'!$AH$327:$AH$515,'Cắt lồng'!$AA$327:$AA$515,'Cắt lồng'!$AA100,'Cắt lồng'!$AE$327:$AE$515,'Cắt lồng'!DC$4:DC$4)</f>
        <v>0</v>
      </c>
      <c r="DD100" s="109" t="e">
        <f t="shared" ref="DD100:DD131" si="268">+DC100/DB100</f>
        <v>#DIV/0!</v>
      </c>
      <c r="DE100" s="79">
        <f t="array" ref="DE100">SUMIFS('Cắt lồng'!$AC$327:$AC$515,'Cắt lồng'!$AA$327:$AA$515,'Cắt lồng'!$AA100,'Cắt lồng'!$AE$327:$AE$515,'Cắt lồng'!DE$4:DE$4)</f>
        <v>0</v>
      </c>
      <c r="DF100" s="79">
        <f t="array" ref="DF100">SUMIFS('Cắt lồng'!$AH$327:$AH$515,'Cắt lồng'!$AA$327:$AA$515,'Cắt lồng'!$AA100,'Cắt lồng'!$AE$327:$AE$515,'Cắt lồng'!DF$4:DF$4)</f>
        <v>0</v>
      </c>
      <c r="DG100" s="109" t="e">
        <f t="shared" ref="DG100:DG131" si="269">+DF100/DE100</f>
        <v>#DIV/0!</v>
      </c>
      <c r="DH100" s="79">
        <f t="array" ref="DH100">SUMIFS('Cắt lồng'!$AC$327:$AC$515,'Cắt lồng'!$AA$327:$AA$515,'Cắt lồng'!$AA100,'Cắt lồng'!$AE$327:$AE$515,'Cắt lồng'!DH$4:DH$4)</f>
        <v>0</v>
      </c>
      <c r="DI100" s="79">
        <f t="array" ref="DI100">SUMIFS('Cắt lồng'!$AH$327:$AH$515,'Cắt lồng'!$AA$327:$AA$515,'Cắt lồng'!$AA100,'Cắt lồng'!$AE$327:$AE$515,'Cắt lồng'!DI$4:DI$4)</f>
        <v>0</v>
      </c>
      <c r="DJ100" s="109" t="e">
        <f t="shared" ref="DJ100:DJ131" si="270">+DI100/DH100</f>
        <v>#DIV/0!</v>
      </c>
      <c r="DK100" s="79">
        <f t="array" ref="DK100">SUMIFS('Cắt lồng'!$AC$327:$AC$515,'Cắt lồng'!$AA$327:$AA$515,'Cắt lồng'!$AA100,'Cắt lồng'!$AE$327:$AE$515,'Cắt lồng'!DK$4:DK$4)</f>
        <v>0</v>
      </c>
      <c r="DL100" s="79">
        <f t="array" ref="DL100">SUMIFS('Cắt lồng'!$AH$327:$AH$515,'Cắt lồng'!$AA$327:$AA$515,'Cắt lồng'!$AA100,'Cắt lồng'!$AE$327:$AE$515,'Cắt lồng'!DL$4:DL$4)</f>
        <v>0</v>
      </c>
      <c r="DM100" s="109" t="e">
        <f t="shared" ref="DM100:DM131" si="271">+DL100/DK100</f>
        <v>#DIV/0!</v>
      </c>
      <c r="DN100" s="79">
        <f t="array" ref="DN100">SUMIFS('Cắt lồng'!$AC$327:$AC$515,'Cắt lồng'!$AA$327:$AA$515,'Cắt lồng'!$AA100,'Cắt lồng'!$AE$327:$AE$515,'Cắt lồng'!DN$4:DN$4)</f>
        <v>0</v>
      </c>
      <c r="DO100" s="79">
        <f t="array" ref="DO100">SUMIFS('Cắt lồng'!$AH$327:$AH$515,'Cắt lồng'!$AA$327:$AA$515,'Cắt lồng'!$AA100,'Cắt lồng'!$AE$327:$AE$515,'Cắt lồng'!DO$4:DO$4)</f>
        <v>0</v>
      </c>
      <c r="DP100" s="109" t="e">
        <f t="shared" ref="DP100:DP131" si="272">+DO100/DN100</f>
        <v>#DIV/0!</v>
      </c>
      <c r="DQ100" s="79">
        <f t="array" ref="DQ100">SUMIFS('Cắt lồng'!$AC$327:$AC$515,'Cắt lồng'!$AA$327:$AA$515,'Cắt lồng'!$AA100,'Cắt lồng'!$AE$327:$AE$515,'Cắt lồng'!DQ$4:DQ$4)</f>
        <v>0</v>
      </c>
      <c r="DR100" s="79">
        <f t="array" ref="DR100">SUMIFS('Cắt lồng'!$AH$327:$AH$515,'Cắt lồng'!$AA$327:$AA$515,'Cắt lồng'!$AA100,'Cắt lồng'!$AE$327:$AE$515,'Cắt lồng'!DR$4:DR$4)</f>
        <v>0</v>
      </c>
      <c r="DS100" s="109" t="e">
        <f t="shared" ref="DS100:DS131" si="273">+DR100/DQ100</f>
        <v>#DIV/0!</v>
      </c>
      <c r="DT100" s="79">
        <f t="array" ref="DT100">SUMIFS('Cắt lồng'!$AC$327:$AC$515,'Cắt lồng'!$AA$327:$AA$515,'Cắt lồng'!$AA100,'Cắt lồng'!$AE$327:$AE$515,'Cắt lồng'!DT$4:DT$4)</f>
        <v>0</v>
      </c>
      <c r="DU100" s="79">
        <f t="array" ref="DU100">SUMIFS('Cắt lồng'!$AH$327:$AH$515,'Cắt lồng'!$AA$327:$AA$515,'Cắt lồng'!$AA100,'Cắt lồng'!$AE$327:$AE$515,'Cắt lồng'!DU$4:DU$4)</f>
        <v>0</v>
      </c>
      <c r="DV100" s="109" t="e">
        <f t="shared" ref="DV100:DV131" si="274">+DU100/DT100</f>
        <v>#DIV/0!</v>
      </c>
      <c r="DW100" s="79">
        <f t="array" ref="DW100">SUMIFS('Cắt lồng'!$AC$327:$AC$515,'Cắt lồng'!$AA$327:$AA$515,'Cắt lồng'!$AA100,'Cắt lồng'!$AE$327:$AE$515,'Cắt lồng'!DW$4:DW$4)</f>
        <v>0</v>
      </c>
      <c r="DX100" s="79">
        <f t="array" ref="DX100">SUMIFS('Cắt lồng'!$AH$327:$AH$515,'Cắt lồng'!$AA$327:$AA$515,'Cắt lồng'!$AA100,'Cắt lồng'!$AE$327:$AE$515,'Cắt lồng'!DX$4:DX$4)</f>
        <v>0</v>
      </c>
      <c r="DY100" s="109" t="e">
        <f t="shared" ref="DY100:DY131" si="275">+DX100/DW100</f>
        <v>#DIV/0!</v>
      </c>
      <c r="DZ100" s="79">
        <f t="array" ref="DZ100">SUMIFS('Cắt lồng'!$AC$327:$AC$515,'Cắt lồng'!$AA$327:$AA$515,'Cắt lồng'!$AA100,'Cắt lồng'!$AE$327:$AE$515,'Cắt lồng'!DZ$4:DZ$4)</f>
        <v>0</v>
      </c>
      <c r="EA100" s="79">
        <f t="array" ref="EA100">SUMIFS('Cắt lồng'!$AH$327:$AH$515,'Cắt lồng'!$AA$327:$AA$515,'Cắt lồng'!$AA100,'Cắt lồng'!$AE$327:$AE$515,'Cắt lồng'!EA$4:EA$4)</f>
        <v>0</v>
      </c>
      <c r="EB100" s="109" t="e">
        <f t="shared" ref="EB100:EB131" si="276">+EA100/DZ100</f>
        <v>#DIV/0!</v>
      </c>
      <c r="EC100" s="79">
        <f t="array" ref="EC100">SUMIFS('Cắt lồng'!$AC$327:$AC$515,'Cắt lồng'!$AA$327:$AA$515,'Cắt lồng'!$AA100,'Cắt lồng'!$AE$327:$AE$515,'Cắt lồng'!EC$4:EC$4)</f>
        <v>0</v>
      </c>
      <c r="ED100" s="79">
        <f t="array" ref="ED100">SUMIFS('Cắt lồng'!$AH$327:$AH$515,'Cắt lồng'!$AA$327:$AA$515,'Cắt lồng'!$AA100,'Cắt lồng'!$AE$327:$AE$515,'Cắt lồng'!ED$4:ED$4)</f>
        <v>0</v>
      </c>
      <c r="EE100" s="109" t="e">
        <f t="shared" ref="EE100:EE131" si="277">+ED100/EC100</f>
        <v>#DIV/0!</v>
      </c>
      <c r="EF100" s="79">
        <f t="array" ref="EF100">SUMIFS('Cắt lồng'!$AC$327:$AC$515,'Cắt lồng'!$AA$327:$AA$515,'Cắt lồng'!$AA100,'Cắt lồng'!$AE$327:$AE$515,'Cắt lồng'!EF$4:EF$4)</f>
        <v>0</v>
      </c>
      <c r="EG100" s="79">
        <f t="array" ref="EG100">SUMIFS('Cắt lồng'!$AH$327:$AH$515,'Cắt lồng'!$AA$327:$AA$515,'Cắt lồng'!$AA100,'Cắt lồng'!$AE$327:$AE$515,'Cắt lồng'!EG$4:EG$4)</f>
        <v>0</v>
      </c>
      <c r="EH100" s="109" t="e">
        <f t="shared" ref="EH100:EH131" si="278">+EG100/EF100</f>
        <v>#DIV/0!</v>
      </c>
      <c r="EI100" s="79">
        <f t="array" ref="EI100">SUMIFS('Cắt lồng'!$AC$327:$AC$515,'Cắt lồng'!$AA$327:$AA$515,'Cắt lồng'!$AA100,'Cắt lồng'!$AE$327:$AE$515,'Cắt lồng'!EI$4:EI$4)</f>
        <v>0</v>
      </c>
      <c r="EJ100" s="79">
        <f t="array" ref="EJ100">SUMIFS('Cắt lồng'!$AH$327:$AH$515,'Cắt lồng'!$AA$327:$AA$515,'Cắt lồng'!$AA100,'Cắt lồng'!$AE$327:$AE$515,'Cắt lồng'!EJ$4:EJ$4)</f>
        <v>0</v>
      </c>
      <c r="EK100" s="109" t="e">
        <f t="shared" ref="EK100:EK131" si="279">+EJ100/EI100</f>
        <v>#DIV/0!</v>
      </c>
    </row>
    <row r="101" spans="1:150" s="83" customFormat="1" ht="14.25" hidden="1" customHeight="1">
      <c r="A101" s="30">
        <v>72</v>
      </c>
      <c r="B101" s="27"/>
      <c r="C101" s="30"/>
      <c r="D101" s="117"/>
      <c r="E101" s="119"/>
      <c r="F101" s="115"/>
      <c r="G101" s="82">
        <f t="shared" si="212"/>
        <v>0</v>
      </c>
      <c r="H101" s="81">
        <f t="shared" si="213"/>
        <v>0</v>
      </c>
      <c r="I101" s="19">
        <f t="shared" si="214"/>
        <v>0</v>
      </c>
      <c r="J101" s="11">
        <f t="shared" si="215"/>
        <v>0</v>
      </c>
      <c r="K101" s="19">
        <f t="shared" si="216"/>
        <v>0</v>
      </c>
      <c r="L101" s="19">
        <f t="shared" si="217"/>
        <v>0</v>
      </c>
      <c r="M101" s="19">
        <f t="shared" si="218"/>
        <v>0</v>
      </c>
      <c r="N101" s="19">
        <f t="shared" si="219"/>
        <v>0</v>
      </c>
      <c r="O101" s="19">
        <f t="shared" si="220"/>
        <v>0</v>
      </c>
      <c r="P101" s="19">
        <f t="shared" si="221"/>
        <v>0</v>
      </c>
      <c r="Q101" s="19">
        <f t="shared" si="222"/>
        <v>0</v>
      </c>
      <c r="R101" s="19">
        <f t="shared" si="223"/>
        <v>0</v>
      </c>
      <c r="S101" s="19">
        <f t="shared" si="224"/>
        <v>0</v>
      </c>
      <c r="T101" s="19">
        <f t="shared" si="225"/>
        <v>0</v>
      </c>
      <c r="U101" s="19">
        <f t="shared" si="226"/>
        <v>0</v>
      </c>
      <c r="V101" s="19">
        <f t="shared" si="227"/>
        <v>0</v>
      </c>
      <c r="W101" s="19">
        <f t="shared" si="228"/>
        <v>0</v>
      </c>
      <c r="X101" s="19">
        <f t="shared" si="229"/>
        <v>0</v>
      </c>
      <c r="Y101" s="19">
        <f t="shared" si="230"/>
        <v>0</v>
      </c>
      <c r="Z101" s="19">
        <f t="shared" si="231"/>
        <v>0</v>
      </c>
      <c r="AA101" s="164">
        <v>4408</v>
      </c>
      <c r="AB101" s="17" t="e">
        <f>+H101*SUMIF('[1]KẾ HOẠCH'!$B$5:$CK$5,'Cắt lồng'!AA101,'[1]KẾ HOẠCH'!$B$6:$CK$6)+H101*SUMIF('[1]KẾ HOẠCH'!$B$7:$CK$7,'Cắt lồng'!AA101,'[1]KẾ HOẠCH'!$B$8:$CK$8)+H101*SUMIF('[1]KẾ HOẠCH'!$B$15:$CK$15,'Cắt lồng'!AA101,'[1]KẾ HOẠCH'!$B$16:$CK$16)</f>
        <v>#VALUE!</v>
      </c>
      <c r="AC101" s="16">
        <f t="shared" si="232"/>
        <v>0</v>
      </c>
      <c r="AD101" s="15" t="e">
        <f t="shared" si="233"/>
        <v>#VALUE!</v>
      </c>
      <c r="AE101" s="42"/>
      <c r="AF101" s="112" t="e">
        <f t="shared" si="234"/>
        <v>#DIV/0!</v>
      </c>
      <c r="AG101" s="112"/>
      <c r="AH101" s="112">
        <f t="shared" si="235"/>
        <v>0</v>
      </c>
      <c r="AI101" s="111" t="e">
        <f t="shared" si="236"/>
        <v>#DIV/0!</v>
      </c>
      <c r="AJ101" s="20">
        <f t="shared" si="237"/>
        <v>0</v>
      </c>
      <c r="AK101" s="30">
        <f t="shared" si="238"/>
        <v>0</v>
      </c>
      <c r="AL101" s="30">
        <f t="shared" si="239"/>
        <v>0</v>
      </c>
      <c r="AM101" s="30">
        <f t="shared" si="240"/>
        <v>0</v>
      </c>
      <c r="AN101" s="30">
        <f t="shared" si="241"/>
        <v>0</v>
      </c>
      <c r="AO101" s="30">
        <f t="shared" si="242"/>
        <v>0</v>
      </c>
      <c r="AP101" s="30">
        <f t="shared" si="243"/>
        <v>0</v>
      </c>
      <c r="AQ101" s="30">
        <f t="shared" si="244"/>
        <v>0</v>
      </c>
      <c r="AR101" s="30">
        <f t="shared" si="245"/>
        <v>0</v>
      </c>
      <c r="AS101" s="30">
        <f t="shared" si="246"/>
        <v>0</v>
      </c>
      <c r="AT101" s="30">
        <f t="shared" si="247"/>
        <v>0</v>
      </c>
      <c r="AU101" s="80"/>
      <c r="AV101" s="110">
        <f t="shared" si="248"/>
        <v>0</v>
      </c>
      <c r="AW101" s="79">
        <f t="array" ref="AW101">SUMIFS('Cắt lồng'!$AC$327:$AC$515,'Cắt lồng'!$AA$327:$AA$515,'Cắt lồng'!$AA101,'Cắt lồng'!$AE$327:$AE$515,'Cắt lồng'!AW$4:AW$4)</f>
        <v>0</v>
      </c>
      <c r="AX101" s="79">
        <f t="array" ref="AX101">SUMIFS('Cắt lồng'!$AH$327:$AH$515,'Cắt lồng'!$AA$327:$AA$515,'Cắt lồng'!$AA101,'Cắt lồng'!$AE$327:$AE$515,'Cắt lồng'!AX$4:AX$4)</f>
        <v>0</v>
      </c>
      <c r="AY101" s="109" t="e">
        <f t="shared" si="249"/>
        <v>#DIV/0!</v>
      </c>
      <c r="AZ101" s="79">
        <f t="array" ref="AZ101">SUMIFS('Cắt lồng'!$AC$327:$AC$515,'Cắt lồng'!$AA$327:$AA$515,'Cắt lồng'!$AA101,'Cắt lồng'!$AE$327:$AE$515,'Cắt lồng'!AZ$4:AZ$4)</f>
        <v>0</v>
      </c>
      <c r="BA101" s="79">
        <f t="array" ref="BA101">SUMIFS('Cắt lồng'!$AH$327:$AH$515,'Cắt lồng'!$AA$327:$AA$515,'Cắt lồng'!$AA101,'Cắt lồng'!$AE$327:$AE$515,'Cắt lồng'!BA$4:BA$4)</f>
        <v>0</v>
      </c>
      <c r="BB101" s="109" t="e">
        <f t="shared" si="250"/>
        <v>#DIV/0!</v>
      </c>
      <c r="BC101" s="79">
        <f t="array" ref="BC101">SUMIFS('Cắt lồng'!$AC$327:$AC$515,'Cắt lồng'!$AA$327:$AA$515,'Cắt lồng'!$AA101,'Cắt lồng'!$AE$327:$AE$515,'Cắt lồng'!BC$4:BC$4)</f>
        <v>0</v>
      </c>
      <c r="BD101" s="79">
        <f t="array" ref="BD101">SUMIFS('Cắt lồng'!$AH$327:$AH$515,'Cắt lồng'!$AA$327:$AA$515,'Cắt lồng'!$AA101,'Cắt lồng'!$AE$327:$AE$515,'Cắt lồng'!BD$4:BD$4)</f>
        <v>0</v>
      </c>
      <c r="BE101" s="109" t="e">
        <f t="shared" si="251"/>
        <v>#DIV/0!</v>
      </c>
      <c r="BF101" s="79">
        <f t="array" ref="BF101">SUMIFS('Cắt lồng'!$AC$327:$AC$515,'Cắt lồng'!$AA$327:$AA$515,'Cắt lồng'!$AA101,'Cắt lồng'!$AE$327:$AE$515,'Cắt lồng'!BF$4:BF$4)</f>
        <v>0</v>
      </c>
      <c r="BG101" s="79">
        <f t="array" ref="BG101">SUMIFS('Cắt lồng'!$AH$327:$AH$515,'Cắt lồng'!$AA$327:$AA$515,'Cắt lồng'!$AA101,'Cắt lồng'!$AE$327:$AE$515,'Cắt lồng'!BG$4:BG$4)</f>
        <v>0</v>
      </c>
      <c r="BH101" s="109" t="e">
        <f t="shared" si="252"/>
        <v>#DIV/0!</v>
      </c>
      <c r="BI101" s="79">
        <f t="array" ref="BI101">SUMIFS('Cắt lồng'!$AC$327:$AC$515,'Cắt lồng'!$AA$327:$AA$515,'Cắt lồng'!$AA101,'Cắt lồng'!$AE$327:$AE$515,'Cắt lồng'!BI$4:BI$4)</f>
        <v>0</v>
      </c>
      <c r="BJ101" s="79">
        <f t="array" ref="BJ101">SUMIFS('Cắt lồng'!$AH$327:$AH$515,'Cắt lồng'!$AA$327:$AA$515,'Cắt lồng'!$AA101,'Cắt lồng'!$AE$327:$AE$515,'Cắt lồng'!BJ$4:BJ$4)</f>
        <v>0</v>
      </c>
      <c r="BK101" s="109" t="e">
        <f t="shared" si="253"/>
        <v>#DIV/0!</v>
      </c>
      <c r="BL101" s="79">
        <f t="array" ref="BL101">SUMIFS('Cắt lồng'!$AC$327:$AC$515,'Cắt lồng'!$AA$327:$AA$515,'Cắt lồng'!$AA101,'Cắt lồng'!$AE$327:$AE$515,'Cắt lồng'!BL$4:BL$4)</f>
        <v>0</v>
      </c>
      <c r="BM101" s="79">
        <f t="array" ref="BM101">SUMIFS('Cắt lồng'!$AH$327:$AH$515,'Cắt lồng'!$AA$327:$AA$515,'Cắt lồng'!$AA101,'Cắt lồng'!$AE$327:$AE$515,'Cắt lồng'!BM$4:BM$4)</f>
        <v>0</v>
      </c>
      <c r="BN101" s="109" t="e">
        <f t="shared" si="254"/>
        <v>#DIV/0!</v>
      </c>
      <c r="BO101" s="79">
        <f t="array" ref="BO101">SUMIFS('Cắt lồng'!$AC$327:$AC$515,'Cắt lồng'!$AA$327:$AA$515,'Cắt lồng'!$AA101,'Cắt lồng'!$AE$327:$AE$515,'Cắt lồng'!BO$4:BO$4)</f>
        <v>0</v>
      </c>
      <c r="BP101" s="79">
        <f t="array" ref="BP101">SUMIFS('Cắt lồng'!$AH$327:$AH$515,'Cắt lồng'!$AA$327:$AA$515,'Cắt lồng'!$AA101,'Cắt lồng'!$AE$327:$AE$515,'Cắt lồng'!BP$4:BP$4)</f>
        <v>0</v>
      </c>
      <c r="BQ101" s="109" t="e">
        <f t="shared" si="255"/>
        <v>#DIV/0!</v>
      </c>
      <c r="BR101" s="79">
        <f t="array" ref="BR101">SUMIFS('Cắt lồng'!$AC$327:$AC$515,'Cắt lồng'!$AA$327:$AA$515,'Cắt lồng'!$AA101,'Cắt lồng'!$AE$327:$AE$515,'Cắt lồng'!BR$4:BR$4)</f>
        <v>0</v>
      </c>
      <c r="BS101" s="79">
        <f t="array" ref="BS101">SUMIFS('Cắt lồng'!$AH$327:$AH$515,'Cắt lồng'!$AA$327:$AA$515,'Cắt lồng'!$AA101,'Cắt lồng'!$AE$327:$AE$515,'Cắt lồng'!BS$4:BS$4)</f>
        <v>0</v>
      </c>
      <c r="BT101" s="109" t="e">
        <f t="shared" si="256"/>
        <v>#DIV/0!</v>
      </c>
      <c r="BU101" s="79">
        <f t="array" ref="BU101">SUMIFS('Cắt lồng'!$AC$327:$AC$515,'Cắt lồng'!$AA$327:$AA$515,'Cắt lồng'!$AA101,'Cắt lồng'!$AE$327:$AE$515,'Cắt lồng'!BU$4:BU$4)</f>
        <v>0</v>
      </c>
      <c r="BV101" s="79">
        <f t="array" ref="BV101">SUMIFS('Cắt lồng'!$AH$327:$AH$515,'Cắt lồng'!$AA$327:$AA$515,'Cắt lồng'!$AA101,'Cắt lồng'!$AE$327:$AE$515,'Cắt lồng'!BV$4:BV$4)</f>
        <v>0</v>
      </c>
      <c r="BW101" s="109" t="e">
        <f t="shared" si="257"/>
        <v>#DIV/0!</v>
      </c>
      <c r="BX101" s="79">
        <f t="array" ref="BX101">SUMIFS('Cắt lồng'!$AC$327:$AC$515,'Cắt lồng'!$AA$327:$AA$515,'Cắt lồng'!$AA101,'Cắt lồng'!$AE$327:$AE$515,'Cắt lồng'!BX$4:BX$4)</f>
        <v>0</v>
      </c>
      <c r="BY101" s="79">
        <f t="array" ref="BY101">SUMIFS('Cắt lồng'!$AH$327:$AH$515,'Cắt lồng'!$AA$327:$AA$515,'Cắt lồng'!$AA101,'Cắt lồng'!$AE$327:$AE$515,'Cắt lồng'!BY$4:BY$4)</f>
        <v>0</v>
      </c>
      <c r="BZ101" s="109" t="e">
        <f t="shared" si="258"/>
        <v>#DIV/0!</v>
      </c>
      <c r="CA101" s="79">
        <f t="array" ref="CA101">SUMIFS('Cắt lồng'!$AC$327:$AC$515,'Cắt lồng'!$AA$327:$AA$515,'Cắt lồng'!$AA101,'Cắt lồng'!$AE$327:$AE$515,'Cắt lồng'!CA$4:CA$4)</f>
        <v>0</v>
      </c>
      <c r="CB101" s="79">
        <f t="array" ref="CB101">SUMIFS('Cắt lồng'!$AH$327:$AH$515,'Cắt lồng'!$AA$327:$AA$515,'Cắt lồng'!$AA101,'Cắt lồng'!$AE$327:$AE$515,'Cắt lồng'!CB$4:CB$4)</f>
        <v>0</v>
      </c>
      <c r="CC101" s="109" t="e">
        <f t="shared" si="259"/>
        <v>#DIV/0!</v>
      </c>
      <c r="CD101" s="79">
        <f t="array" ref="CD101">SUMIFS('Cắt lồng'!$AC$327:$AC$515,'Cắt lồng'!$AA$327:$AA$515,'Cắt lồng'!$AA101,'Cắt lồng'!$AE$327:$AE$515,'Cắt lồng'!CD$4:CD$4)</f>
        <v>0</v>
      </c>
      <c r="CE101" s="79">
        <f t="array" ref="CE101">SUMIFS('Cắt lồng'!$AH$327:$AH$515,'Cắt lồng'!$AA$327:$AA$515,'Cắt lồng'!$AA101,'Cắt lồng'!$AE$327:$AE$515,'Cắt lồng'!CE$4:CE$4)</f>
        <v>0</v>
      </c>
      <c r="CF101" s="109" t="e">
        <f t="shared" si="260"/>
        <v>#DIV/0!</v>
      </c>
      <c r="CG101" s="79">
        <f t="array" ref="CG101">SUMIFS('Cắt lồng'!$AC$327:$AC$515,'Cắt lồng'!$AA$327:$AA$515,'Cắt lồng'!$AA101,'Cắt lồng'!$AE$327:$AE$515,'Cắt lồng'!CG$4:CG$4)</f>
        <v>0</v>
      </c>
      <c r="CH101" s="79">
        <f t="array" ref="CH101">SUMIFS('Cắt lồng'!$AH$327:$AH$515,'Cắt lồng'!$AA$327:$AA$515,'Cắt lồng'!$AA101,'Cắt lồng'!$AE$327:$AE$515,'Cắt lồng'!CH$4:CH$4)</f>
        <v>0</v>
      </c>
      <c r="CI101" s="109" t="e">
        <f t="shared" si="261"/>
        <v>#DIV/0!</v>
      </c>
      <c r="CJ101" s="79">
        <f t="array" ref="CJ101">SUMIFS('Cắt lồng'!$AC$327:$AC$515,'Cắt lồng'!$AA$327:$AA$515,'Cắt lồng'!$AA101,'Cắt lồng'!$AE$327:$AE$515,'Cắt lồng'!CJ$4:CJ$4)</f>
        <v>0</v>
      </c>
      <c r="CK101" s="79">
        <f t="array" ref="CK101">SUMIFS('Cắt lồng'!$AH$327:$AH$515,'Cắt lồng'!$AA$327:$AA$515,'Cắt lồng'!$AA101,'Cắt lồng'!$AE$327:$AE$515,'Cắt lồng'!CK$4:CK$4)</f>
        <v>0</v>
      </c>
      <c r="CL101" s="109" t="e">
        <f t="shared" si="262"/>
        <v>#DIV/0!</v>
      </c>
      <c r="CM101" s="79">
        <f t="array" ref="CM101">SUMIFS('Cắt lồng'!$AC$327:$AC$515,'Cắt lồng'!$AA$327:$AA$515,'Cắt lồng'!$AA101,'Cắt lồng'!$AE$327:$AE$515,'Cắt lồng'!CM$4:CM$4)</f>
        <v>0</v>
      </c>
      <c r="CN101" s="79">
        <f t="array" ref="CN101">SUMIFS('Cắt lồng'!$AH$327:$AH$515,'Cắt lồng'!$AA$327:$AA$515,'Cắt lồng'!$AA101,'Cắt lồng'!$AE$327:$AE$515,'Cắt lồng'!CN$4:CN$4)</f>
        <v>0</v>
      </c>
      <c r="CO101" s="109" t="e">
        <f t="shared" si="263"/>
        <v>#DIV/0!</v>
      </c>
      <c r="CP101" s="79">
        <f t="array" ref="CP101">SUMIFS('Cắt lồng'!$AC$327:$AC$515,'Cắt lồng'!$AA$327:$AA$515,'Cắt lồng'!$AA101,'Cắt lồng'!$AE$327:$AE$515,'Cắt lồng'!CP$4:CP$4)</f>
        <v>0</v>
      </c>
      <c r="CQ101" s="79">
        <f t="array" ref="CQ101">SUMIFS('Cắt lồng'!$AH$327:$AH$515,'Cắt lồng'!$AA$327:$AA$515,'Cắt lồng'!$AA101,'Cắt lồng'!$AE$327:$AE$515,'Cắt lồng'!CQ$4:CQ$4)</f>
        <v>0</v>
      </c>
      <c r="CR101" s="109" t="e">
        <f t="shared" si="264"/>
        <v>#DIV/0!</v>
      </c>
      <c r="CS101" s="79">
        <f t="array" ref="CS101">SUMIFS('Cắt lồng'!$AC$327:$AC$515,'Cắt lồng'!$AA$327:$AA$515,'Cắt lồng'!$AA101,'Cắt lồng'!$AE$327:$AE$515,'Cắt lồng'!CS$4:CS$4)</f>
        <v>0</v>
      </c>
      <c r="CT101" s="79">
        <f t="array" ref="CT101">SUMIFS('Cắt lồng'!$AH$327:$AH$515,'Cắt lồng'!$AA$327:$AA$515,'Cắt lồng'!$AA101,'Cắt lồng'!$AE$327:$AE$515,'Cắt lồng'!CT$4:CT$4)</f>
        <v>0</v>
      </c>
      <c r="CU101" s="109" t="e">
        <f t="shared" si="265"/>
        <v>#DIV/0!</v>
      </c>
      <c r="CV101" s="79">
        <f t="array" ref="CV101">SUMIFS('Cắt lồng'!$AC$327:$AC$515,'Cắt lồng'!$AA$327:$AA$515,'Cắt lồng'!$AA101,'Cắt lồng'!$AE$327:$AE$515,'Cắt lồng'!CV$4:CV$4)</f>
        <v>0</v>
      </c>
      <c r="CW101" s="79">
        <f t="array" ref="CW101">SUMIFS('Cắt lồng'!$AH$327:$AH$515,'Cắt lồng'!$AA$327:$AA$515,'Cắt lồng'!$AA101,'Cắt lồng'!$AE$327:$AE$515,'Cắt lồng'!CW$4:CW$4)</f>
        <v>0</v>
      </c>
      <c r="CX101" s="109" t="e">
        <f t="shared" si="266"/>
        <v>#DIV/0!</v>
      </c>
      <c r="CY101" s="79">
        <f t="array" ref="CY101">SUMIFS('Cắt lồng'!$AC$327:$AC$515,'Cắt lồng'!$AA$327:$AA$515,'Cắt lồng'!$AA101,'Cắt lồng'!$AE$327:$AE$515,'Cắt lồng'!CY$4:CY$4)</f>
        <v>0</v>
      </c>
      <c r="CZ101" s="79">
        <f t="array" ref="CZ101">SUMIFS('Cắt lồng'!$AH$327:$AH$515,'Cắt lồng'!$AA$327:$AA$515,'Cắt lồng'!$AA101,'Cắt lồng'!$AE$327:$AE$515,'Cắt lồng'!CZ$4:CZ$4)</f>
        <v>0</v>
      </c>
      <c r="DA101" s="109" t="e">
        <f t="shared" si="267"/>
        <v>#DIV/0!</v>
      </c>
      <c r="DB101" s="79">
        <f t="array" ref="DB101">SUMIFS('Cắt lồng'!$AC$327:$AC$515,'Cắt lồng'!$AA$327:$AA$515,'Cắt lồng'!$AA101,'Cắt lồng'!$AE$327:$AE$515,'Cắt lồng'!DB$4:DB$4)</f>
        <v>0</v>
      </c>
      <c r="DC101" s="79">
        <f t="array" ref="DC101">SUMIFS('Cắt lồng'!$AH$327:$AH$515,'Cắt lồng'!$AA$327:$AA$515,'Cắt lồng'!$AA101,'Cắt lồng'!$AE$327:$AE$515,'Cắt lồng'!DC$4:DC$4)</f>
        <v>0</v>
      </c>
      <c r="DD101" s="109" t="e">
        <f t="shared" si="268"/>
        <v>#DIV/0!</v>
      </c>
      <c r="DE101" s="79">
        <f t="array" ref="DE101">SUMIFS('Cắt lồng'!$AC$327:$AC$515,'Cắt lồng'!$AA$327:$AA$515,'Cắt lồng'!$AA101,'Cắt lồng'!$AE$327:$AE$515,'Cắt lồng'!DE$4:DE$4)</f>
        <v>0</v>
      </c>
      <c r="DF101" s="79">
        <f t="array" ref="DF101">SUMIFS('Cắt lồng'!$AH$327:$AH$515,'Cắt lồng'!$AA$327:$AA$515,'Cắt lồng'!$AA101,'Cắt lồng'!$AE$327:$AE$515,'Cắt lồng'!DF$4:DF$4)</f>
        <v>0</v>
      </c>
      <c r="DG101" s="109" t="e">
        <f t="shared" si="269"/>
        <v>#DIV/0!</v>
      </c>
      <c r="DH101" s="79">
        <f t="array" ref="DH101">SUMIFS('Cắt lồng'!$AC$327:$AC$515,'Cắt lồng'!$AA$327:$AA$515,'Cắt lồng'!$AA101,'Cắt lồng'!$AE$327:$AE$515,'Cắt lồng'!DH$4:DH$4)</f>
        <v>0</v>
      </c>
      <c r="DI101" s="79">
        <f t="array" ref="DI101">SUMIFS('Cắt lồng'!$AH$327:$AH$515,'Cắt lồng'!$AA$327:$AA$515,'Cắt lồng'!$AA101,'Cắt lồng'!$AE$327:$AE$515,'Cắt lồng'!DI$4:DI$4)</f>
        <v>0</v>
      </c>
      <c r="DJ101" s="109" t="e">
        <f t="shared" si="270"/>
        <v>#DIV/0!</v>
      </c>
      <c r="DK101" s="79">
        <f t="array" ref="DK101">SUMIFS('Cắt lồng'!$AC$327:$AC$515,'Cắt lồng'!$AA$327:$AA$515,'Cắt lồng'!$AA101,'Cắt lồng'!$AE$327:$AE$515,'Cắt lồng'!DK$4:DK$4)</f>
        <v>0</v>
      </c>
      <c r="DL101" s="79">
        <f t="array" ref="DL101">SUMIFS('Cắt lồng'!$AH$327:$AH$515,'Cắt lồng'!$AA$327:$AA$515,'Cắt lồng'!$AA101,'Cắt lồng'!$AE$327:$AE$515,'Cắt lồng'!DL$4:DL$4)</f>
        <v>0</v>
      </c>
      <c r="DM101" s="109" t="e">
        <f t="shared" si="271"/>
        <v>#DIV/0!</v>
      </c>
      <c r="DN101" s="79">
        <f t="array" ref="DN101">SUMIFS('Cắt lồng'!$AC$327:$AC$515,'Cắt lồng'!$AA$327:$AA$515,'Cắt lồng'!$AA101,'Cắt lồng'!$AE$327:$AE$515,'Cắt lồng'!DN$4:DN$4)</f>
        <v>0</v>
      </c>
      <c r="DO101" s="79">
        <f t="array" ref="DO101">SUMIFS('Cắt lồng'!$AH$327:$AH$515,'Cắt lồng'!$AA$327:$AA$515,'Cắt lồng'!$AA101,'Cắt lồng'!$AE$327:$AE$515,'Cắt lồng'!DO$4:DO$4)</f>
        <v>0</v>
      </c>
      <c r="DP101" s="109" t="e">
        <f t="shared" si="272"/>
        <v>#DIV/0!</v>
      </c>
      <c r="DQ101" s="79">
        <f t="array" ref="DQ101">SUMIFS('Cắt lồng'!$AC$327:$AC$515,'Cắt lồng'!$AA$327:$AA$515,'Cắt lồng'!$AA101,'Cắt lồng'!$AE$327:$AE$515,'Cắt lồng'!DQ$4:DQ$4)</f>
        <v>0</v>
      </c>
      <c r="DR101" s="79">
        <f t="array" ref="DR101">SUMIFS('Cắt lồng'!$AH$327:$AH$515,'Cắt lồng'!$AA$327:$AA$515,'Cắt lồng'!$AA101,'Cắt lồng'!$AE$327:$AE$515,'Cắt lồng'!DR$4:DR$4)</f>
        <v>0</v>
      </c>
      <c r="DS101" s="109" t="e">
        <f t="shared" si="273"/>
        <v>#DIV/0!</v>
      </c>
      <c r="DT101" s="79">
        <f t="array" ref="DT101">SUMIFS('Cắt lồng'!$AC$327:$AC$515,'Cắt lồng'!$AA$327:$AA$515,'Cắt lồng'!$AA101,'Cắt lồng'!$AE$327:$AE$515,'Cắt lồng'!DT$4:DT$4)</f>
        <v>0</v>
      </c>
      <c r="DU101" s="79">
        <f t="array" ref="DU101">SUMIFS('Cắt lồng'!$AH$327:$AH$515,'Cắt lồng'!$AA$327:$AA$515,'Cắt lồng'!$AA101,'Cắt lồng'!$AE$327:$AE$515,'Cắt lồng'!DU$4:DU$4)</f>
        <v>0</v>
      </c>
      <c r="DV101" s="109" t="e">
        <f t="shared" si="274"/>
        <v>#DIV/0!</v>
      </c>
      <c r="DW101" s="79">
        <f t="array" ref="DW101">SUMIFS('Cắt lồng'!$AC$327:$AC$515,'Cắt lồng'!$AA$327:$AA$515,'Cắt lồng'!$AA101,'Cắt lồng'!$AE$327:$AE$515,'Cắt lồng'!DW$4:DW$4)</f>
        <v>0</v>
      </c>
      <c r="DX101" s="79">
        <f t="array" ref="DX101">SUMIFS('Cắt lồng'!$AH$327:$AH$515,'Cắt lồng'!$AA$327:$AA$515,'Cắt lồng'!$AA101,'Cắt lồng'!$AE$327:$AE$515,'Cắt lồng'!DX$4:DX$4)</f>
        <v>0</v>
      </c>
      <c r="DY101" s="109" t="e">
        <f t="shared" si="275"/>
        <v>#DIV/0!</v>
      </c>
      <c r="DZ101" s="79">
        <f t="array" ref="DZ101">SUMIFS('Cắt lồng'!$AC$327:$AC$515,'Cắt lồng'!$AA$327:$AA$515,'Cắt lồng'!$AA101,'Cắt lồng'!$AE$327:$AE$515,'Cắt lồng'!DZ$4:DZ$4)</f>
        <v>0</v>
      </c>
      <c r="EA101" s="79">
        <f t="array" ref="EA101">SUMIFS('Cắt lồng'!$AH$327:$AH$515,'Cắt lồng'!$AA$327:$AA$515,'Cắt lồng'!$AA101,'Cắt lồng'!$AE$327:$AE$515,'Cắt lồng'!EA$4:EA$4)</f>
        <v>0</v>
      </c>
      <c r="EB101" s="109" t="e">
        <f t="shared" si="276"/>
        <v>#DIV/0!</v>
      </c>
      <c r="EC101" s="79">
        <f t="array" ref="EC101">SUMIFS('Cắt lồng'!$AC$327:$AC$515,'Cắt lồng'!$AA$327:$AA$515,'Cắt lồng'!$AA101,'Cắt lồng'!$AE$327:$AE$515,'Cắt lồng'!EC$4:EC$4)</f>
        <v>0</v>
      </c>
      <c r="ED101" s="79">
        <f t="array" ref="ED101">SUMIFS('Cắt lồng'!$AH$327:$AH$515,'Cắt lồng'!$AA$327:$AA$515,'Cắt lồng'!$AA101,'Cắt lồng'!$AE$327:$AE$515,'Cắt lồng'!ED$4:ED$4)</f>
        <v>0</v>
      </c>
      <c r="EE101" s="109" t="e">
        <f t="shared" si="277"/>
        <v>#DIV/0!</v>
      </c>
      <c r="EF101" s="79">
        <f t="array" ref="EF101">SUMIFS('Cắt lồng'!$AC$327:$AC$515,'Cắt lồng'!$AA$327:$AA$515,'Cắt lồng'!$AA101,'Cắt lồng'!$AE$327:$AE$515,'Cắt lồng'!EF$4:EF$4)</f>
        <v>0</v>
      </c>
      <c r="EG101" s="79">
        <f t="array" ref="EG101">SUMIFS('Cắt lồng'!$AH$327:$AH$515,'Cắt lồng'!$AA$327:$AA$515,'Cắt lồng'!$AA101,'Cắt lồng'!$AE$327:$AE$515,'Cắt lồng'!EG$4:EG$4)</f>
        <v>0</v>
      </c>
      <c r="EH101" s="109" t="e">
        <f t="shared" si="278"/>
        <v>#DIV/0!</v>
      </c>
      <c r="EI101" s="79">
        <f t="array" ref="EI101">SUMIFS('Cắt lồng'!$AC$327:$AC$515,'Cắt lồng'!$AA$327:$AA$515,'Cắt lồng'!$AA101,'Cắt lồng'!$AE$327:$AE$515,'Cắt lồng'!EI$4:EI$4)</f>
        <v>0</v>
      </c>
      <c r="EJ101" s="79">
        <f t="array" ref="EJ101">SUMIFS('Cắt lồng'!$AH$327:$AH$515,'Cắt lồng'!$AA$327:$AA$515,'Cắt lồng'!$AA101,'Cắt lồng'!$AE$327:$AE$515,'Cắt lồng'!EJ$4:EJ$4)</f>
        <v>0</v>
      </c>
      <c r="EK101" s="109" t="e">
        <f t="shared" si="279"/>
        <v>#DIV/0!</v>
      </c>
    </row>
    <row r="102" spans="1:150" s="83" customFormat="1" ht="14.25" hidden="1" customHeight="1">
      <c r="A102" s="30">
        <v>73</v>
      </c>
      <c r="B102" s="27"/>
      <c r="C102" s="30"/>
      <c r="D102" s="117"/>
      <c r="E102" s="119"/>
      <c r="F102" s="115"/>
      <c r="G102" s="82">
        <f t="shared" si="212"/>
        <v>0</v>
      </c>
      <c r="H102" s="81">
        <f t="shared" si="213"/>
        <v>0</v>
      </c>
      <c r="I102" s="19">
        <f t="shared" si="214"/>
        <v>0</v>
      </c>
      <c r="J102" s="11">
        <f t="shared" si="215"/>
        <v>0</v>
      </c>
      <c r="K102" s="19">
        <f t="shared" si="216"/>
        <v>0</v>
      </c>
      <c r="L102" s="19">
        <f t="shared" si="217"/>
        <v>0</v>
      </c>
      <c r="M102" s="19">
        <f t="shared" si="218"/>
        <v>0</v>
      </c>
      <c r="N102" s="19">
        <f t="shared" si="219"/>
        <v>0</v>
      </c>
      <c r="O102" s="19">
        <f t="shared" si="220"/>
        <v>0</v>
      </c>
      <c r="P102" s="19">
        <f t="shared" si="221"/>
        <v>0</v>
      </c>
      <c r="Q102" s="19">
        <f t="shared" si="222"/>
        <v>0</v>
      </c>
      <c r="R102" s="19">
        <f t="shared" si="223"/>
        <v>0</v>
      </c>
      <c r="S102" s="19">
        <f t="shared" si="224"/>
        <v>0</v>
      </c>
      <c r="T102" s="19">
        <f t="shared" si="225"/>
        <v>0</v>
      </c>
      <c r="U102" s="19">
        <f t="shared" si="226"/>
        <v>0</v>
      </c>
      <c r="V102" s="19">
        <f t="shared" si="227"/>
        <v>0</v>
      </c>
      <c r="W102" s="19">
        <f t="shared" si="228"/>
        <v>0</v>
      </c>
      <c r="X102" s="19">
        <f t="shared" si="229"/>
        <v>0</v>
      </c>
      <c r="Y102" s="19">
        <f t="shared" si="230"/>
        <v>0</v>
      </c>
      <c r="Z102" s="19">
        <f t="shared" si="231"/>
        <v>0</v>
      </c>
      <c r="AA102" s="164">
        <v>9295</v>
      </c>
      <c r="AB102" s="17" t="e">
        <f>+H102*SUMIF('[1]KẾ HOẠCH'!$B$5:$CK$5,'Cắt lồng'!AA102,'[1]KẾ HOẠCH'!$B$6:$CK$6)+H102*SUMIF('[1]KẾ HOẠCH'!$B$7:$CK$7,'Cắt lồng'!AA102,'[1]KẾ HOẠCH'!$B$8:$CK$8)+H102*SUMIF('[1]KẾ HOẠCH'!$B$15:$CK$15,'Cắt lồng'!AA102,'[1]KẾ HOẠCH'!$B$16:$CK$16)</f>
        <v>#VALUE!</v>
      </c>
      <c r="AC102" s="16">
        <f t="shared" si="232"/>
        <v>0</v>
      </c>
      <c r="AD102" s="15" t="e">
        <f t="shared" si="233"/>
        <v>#VALUE!</v>
      </c>
      <c r="AE102" s="42"/>
      <c r="AF102" s="112" t="e">
        <f t="shared" si="234"/>
        <v>#DIV/0!</v>
      </c>
      <c r="AG102" s="112"/>
      <c r="AH102" s="112">
        <f t="shared" si="235"/>
        <v>0</v>
      </c>
      <c r="AI102" s="111" t="e">
        <f t="shared" si="236"/>
        <v>#DIV/0!</v>
      </c>
      <c r="AJ102" s="20">
        <f t="shared" si="237"/>
        <v>0</v>
      </c>
      <c r="AK102" s="30">
        <f t="shared" si="238"/>
        <v>0</v>
      </c>
      <c r="AL102" s="30">
        <f t="shared" si="239"/>
        <v>0</v>
      </c>
      <c r="AM102" s="30">
        <f t="shared" si="240"/>
        <v>0</v>
      </c>
      <c r="AN102" s="30">
        <f t="shared" si="241"/>
        <v>0</v>
      </c>
      <c r="AO102" s="30">
        <f t="shared" si="242"/>
        <v>0</v>
      </c>
      <c r="AP102" s="30">
        <f t="shared" si="243"/>
        <v>0</v>
      </c>
      <c r="AQ102" s="30">
        <f t="shared" si="244"/>
        <v>0</v>
      </c>
      <c r="AR102" s="30">
        <f t="shared" si="245"/>
        <v>0</v>
      </c>
      <c r="AS102" s="30">
        <f t="shared" si="246"/>
        <v>0</v>
      </c>
      <c r="AT102" s="30">
        <f t="shared" si="247"/>
        <v>0</v>
      </c>
      <c r="AU102" s="80"/>
      <c r="AV102" s="110">
        <f t="shared" si="248"/>
        <v>0</v>
      </c>
      <c r="AW102" s="79">
        <f t="array" ref="AW102">SUMIFS('Cắt lồng'!$AC$327:$AC$515,'Cắt lồng'!$AA$327:$AA$515,'Cắt lồng'!$AA102,'Cắt lồng'!$AE$327:$AE$515,'Cắt lồng'!AW$4:AW$4)</f>
        <v>0</v>
      </c>
      <c r="AX102" s="79">
        <f t="array" ref="AX102">SUMIFS('Cắt lồng'!$AH$327:$AH$515,'Cắt lồng'!$AA$327:$AA$515,'Cắt lồng'!$AA102,'Cắt lồng'!$AE$327:$AE$515,'Cắt lồng'!AX$4:AX$4)</f>
        <v>0</v>
      </c>
      <c r="AY102" s="109" t="e">
        <f t="shared" si="249"/>
        <v>#DIV/0!</v>
      </c>
      <c r="AZ102" s="79">
        <f t="array" ref="AZ102">SUMIFS('Cắt lồng'!$AC$327:$AC$515,'Cắt lồng'!$AA$327:$AA$515,'Cắt lồng'!$AA102,'Cắt lồng'!$AE$327:$AE$515,'Cắt lồng'!AZ$4:AZ$4)</f>
        <v>0</v>
      </c>
      <c r="BA102" s="79">
        <f t="array" ref="BA102">SUMIFS('Cắt lồng'!$AH$327:$AH$515,'Cắt lồng'!$AA$327:$AA$515,'Cắt lồng'!$AA102,'Cắt lồng'!$AE$327:$AE$515,'Cắt lồng'!BA$4:BA$4)</f>
        <v>0</v>
      </c>
      <c r="BB102" s="109" t="e">
        <f t="shared" si="250"/>
        <v>#DIV/0!</v>
      </c>
      <c r="BC102" s="79">
        <f t="array" ref="BC102">SUMIFS('Cắt lồng'!$AC$327:$AC$515,'Cắt lồng'!$AA$327:$AA$515,'Cắt lồng'!$AA102,'Cắt lồng'!$AE$327:$AE$515,'Cắt lồng'!BC$4:BC$4)</f>
        <v>0</v>
      </c>
      <c r="BD102" s="79">
        <f t="array" ref="BD102">SUMIFS('Cắt lồng'!$AH$327:$AH$515,'Cắt lồng'!$AA$327:$AA$515,'Cắt lồng'!$AA102,'Cắt lồng'!$AE$327:$AE$515,'Cắt lồng'!BD$4:BD$4)</f>
        <v>0</v>
      </c>
      <c r="BE102" s="109" t="e">
        <f t="shared" si="251"/>
        <v>#DIV/0!</v>
      </c>
      <c r="BF102" s="79">
        <f t="array" ref="BF102">SUMIFS('Cắt lồng'!$AC$327:$AC$515,'Cắt lồng'!$AA$327:$AA$515,'Cắt lồng'!$AA102,'Cắt lồng'!$AE$327:$AE$515,'Cắt lồng'!BF$4:BF$4)</f>
        <v>0</v>
      </c>
      <c r="BG102" s="79">
        <f t="array" ref="BG102">SUMIFS('Cắt lồng'!$AH$327:$AH$515,'Cắt lồng'!$AA$327:$AA$515,'Cắt lồng'!$AA102,'Cắt lồng'!$AE$327:$AE$515,'Cắt lồng'!BG$4:BG$4)</f>
        <v>0</v>
      </c>
      <c r="BH102" s="109" t="e">
        <f t="shared" si="252"/>
        <v>#DIV/0!</v>
      </c>
      <c r="BI102" s="79">
        <f t="array" ref="BI102">SUMIFS('Cắt lồng'!$AC$327:$AC$515,'Cắt lồng'!$AA$327:$AA$515,'Cắt lồng'!$AA102,'Cắt lồng'!$AE$327:$AE$515,'Cắt lồng'!BI$4:BI$4)</f>
        <v>0</v>
      </c>
      <c r="BJ102" s="79">
        <f t="array" ref="BJ102">SUMIFS('Cắt lồng'!$AH$327:$AH$515,'Cắt lồng'!$AA$327:$AA$515,'Cắt lồng'!$AA102,'Cắt lồng'!$AE$327:$AE$515,'Cắt lồng'!BJ$4:BJ$4)</f>
        <v>0</v>
      </c>
      <c r="BK102" s="109" t="e">
        <f t="shared" si="253"/>
        <v>#DIV/0!</v>
      </c>
      <c r="BL102" s="79">
        <f t="array" ref="BL102">SUMIFS('Cắt lồng'!$AC$327:$AC$515,'Cắt lồng'!$AA$327:$AA$515,'Cắt lồng'!$AA102,'Cắt lồng'!$AE$327:$AE$515,'Cắt lồng'!BL$4:BL$4)</f>
        <v>0</v>
      </c>
      <c r="BM102" s="79">
        <f t="array" ref="BM102">SUMIFS('Cắt lồng'!$AH$327:$AH$515,'Cắt lồng'!$AA$327:$AA$515,'Cắt lồng'!$AA102,'Cắt lồng'!$AE$327:$AE$515,'Cắt lồng'!BM$4:BM$4)</f>
        <v>0</v>
      </c>
      <c r="BN102" s="109" t="e">
        <f t="shared" si="254"/>
        <v>#DIV/0!</v>
      </c>
      <c r="BO102" s="79">
        <f t="array" ref="BO102">SUMIFS('Cắt lồng'!$AC$327:$AC$515,'Cắt lồng'!$AA$327:$AA$515,'Cắt lồng'!$AA102,'Cắt lồng'!$AE$327:$AE$515,'Cắt lồng'!BO$4:BO$4)</f>
        <v>0</v>
      </c>
      <c r="BP102" s="79">
        <f t="array" ref="BP102">SUMIFS('Cắt lồng'!$AH$327:$AH$515,'Cắt lồng'!$AA$327:$AA$515,'Cắt lồng'!$AA102,'Cắt lồng'!$AE$327:$AE$515,'Cắt lồng'!BP$4:BP$4)</f>
        <v>0</v>
      </c>
      <c r="BQ102" s="109" t="e">
        <f t="shared" si="255"/>
        <v>#DIV/0!</v>
      </c>
      <c r="BR102" s="79">
        <f t="array" ref="BR102">SUMIFS('Cắt lồng'!$AC$327:$AC$515,'Cắt lồng'!$AA$327:$AA$515,'Cắt lồng'!$AA102,'Cắt lồng'!$AE$327:$AE$515,'Cắt lồng'!BR$4:BR$4)</f>
        <v>0</v>
      </c>
      <c r="BS102" s="79">
        <f t="array" ref="BS102">SUMIFS('Cắt lồng'!$AH$327:$AH$515,'Cắt lồng'!$AA$327:$AA$515,'Cắt lồng'!$AA102,'Cắt lồng'!$AE$327:$AE$515,'Cắt lồng'!BS$4:BS$4)</f>
        <v>0</v>
      </c>
      <c r="BT102" s="109" t="e">
        <f t="shared" si="256"/>
        <v>#DIV/0!</v>
      </c>
      <c r="BU102" s="79">
        <f t="array" ref="BU102">SUMIFS('Cắt lồng'!$AC$327:$AC$515,'Cắt lồng'!$AA$327:$AA$515,'Cắt lồng'!$AA102,'Cắt lồng'!$AE$327:$AE$515,'Cắt lồng'!BU$4:BU$4)</f>
        <v>0</v>
      </c>
      <c r="BV102" s="79">
        <f t="array" ref="BV102">SUMIFS('Cắt lồng'!$AH$327:$AH$515,'Cắt lồng'!$AA$327:$AA$515,'Cắt lồng'!$AA102,'Cắt lồng'!$AE$327:$AE$515,'Cắt lồng'!BV$4:BV$4)</f>
        <v>0</v>
      </c>
      <c r="BW102" s="109" t="e">
        <f t="shared" si="257"/>
        <v>#DIV/0!</v>
      </c>
      <c r="BX102" s="79">
        <f t="array" ref="BX102">SUMIFS('Cắt lồng'!$AC$327:$AC$515,'Cắt lồng'!$AA$327:$AA$515,'Cắt lồng'!$AA102,'Cắt lồng'!$AE$327:$AE$515,'Cắt lồng'!BX$4:BX$4)</f>
        <v>0</v>
      </c>
      <c r="BY102" s="79">
        <f t="array" ref="BY102">SUMIFS('Cắt lồng'!$AH$327:$AH$515,'Cắt lồng'!$AA$327:$AA$515,'Cắt lồng'!$AA102,'Cắt lồng'!$AE$327:$AE$515,'Cắt lồng'!BY$4:BY$4)</f>
        <v>0</v>
      </c>
      <c r="BZ102" s="109" t="e">
        <f t="shared" si="258"/>
        <v>#DIV/0!</v>
      </c>
      <c r="CA102" s="79">
        <f t="array" ref="CA102">SUMIFS('Cắt lồng'!$AC$327:$AC$515,'Cắt lồng'!$AA$327:$AA$515,'Cắt lồng'!$AA102,'Cắt lồng'!$AE$327:$AE$515,'Cắt lồng'!CA$4:CA$4)</f>
        <v>0</v>
      </c>
      <c r="CB102" s="79">
        <f t="array" ref="CB102">SUMIFS('Cắt lồng'!$AH$327:$AH$515,'Cắt lồng'!$AA$327:$AA$515,'Cắt lồng'!$AA102,'Cắt lồng'!$AE$327:$AE$515,'Cắt lồng'!CB$4:CB$4)</f>
        <v>0</v>
      </c>
      <c r="CC102" s="109" t="e">
        <f t="shared" si="259"/>
        <v>#DIV/0!</v>
      </c>
      <c r="CD102" s="79">
        <f t="array" ref="CD102">SUMIFS('Cắt lồng'!$AC$327:$AC$515,'Cắt lồng'!$AA$327:$AA$515,'Cắt lồng'!$AA102,'Cắt lồng'!$AE$327:$AE$515,'Cắt lồng'!CD$4:CD$4)</f>
        <v>0</v>
      </c>
      <c r="CE102" s="79">
        <f t="array" ref="CE102">SUMIFS('Cắt lồng'!$AH$327:$AH$515,'Cắt lồng'!$AA$327:$AA$515,'Cắt lồng'!$AA102,'Cắt lồng'!$AE$327:$AE$515,'Cắt lồng'!CE$4:CE$4)</f>
        <v>0</v>
      </c>
      <c r="CF102" s="109" t="e">
        <f t="shared" si="260"/>
        <v>#DIV/0!</v>
      </c>
      <c r="CG102" s="79">
        <f t="array" ref="CG102">SUMIFS('Cắt lồng'!$AC$327:$AC$515,'Cắt lồng'!$AA$327:$AA$515,'Cắt lồng'!$AA102,'Cắt lồng'!$AE$327:$AE$515,'Cắt lồng'!CG$4:CG$4)</f>
        <v>0</v>
      </c>
      <c r="CH102" s="79">
        <f t="array" ref="CH102">SUMIFS('Cắt lồng'!$AH$327:$AH$515,'Cắt lồng'!$AA$327:$AA$515,'Cắt lồng'!$AA102,'Cắt lồng'!$AE$327:$AE$515,'Cắt lồng'!CH$4:CH$4)</f>
        <v>0</v>
      </c>
      <c r="CI102" s="109" t="e">
        <f t="shared" si="261"/>
        <v>#DIV/0!</v>
      </c>
      <c r="CJ102" s="79">
        <f t="array" ref="CJ102">SUMIFS('Cắt lồng'!$AC$327:$AC$515,'Cắt lồng'!$AA$327:$AA$515,'Cắt lồng'!$AA102,'Cắt lồng'!$AE$327:$AE$515,'Cắt lồng'!CJ$4:CJ$4)</f>
        <v>0</v>
      </c>
      <c r="CK102" s="79">
        <f t="array" ref="CK102">SUMIFS('Cắt lồng'!$AH$327:$AH$515,'Cắt lồng'!$AA$327:$AA$515,'Cắt lồng'!$AA102,'Cắt lồng'!$AE$327:$AE$515,'Cắt lồng'!CK$4:CK$4)</f>
        <v>0</v>
      </c>
      <c r="CL102" s="109" t="e">
        <f t="shared" si="262"/>
        <v>#DIV/0!</v>
      </c>
      <c r="CM102" s="79">
        <f t="array" ref="CM102">SUMIFS('Cắt lồng'!$AC$327:$AC$515,'Cắt lồng'!$AA$327:$AA$515,'Cắt lồng'!$AA102,'Cắt lồng'!$AE$327:$AE$515,'Cắt lồng'!CM$4:CM$4)</f>
        <v>0</v>
      </c>
      <c r="CN102" s="79">
        <f t="array" ref="CN102">SUMIFS('Cắt lồng'!$AH$327:$AH$515,'Cắt lồng'!$AA$327:$AA$515,'Cắt lồng'!$AA102,'Cắt lồng'!$AE$327:$AE$515,'Cắt lồng'!CN$4:CN$4)</f>
        <v>0</v>
      </c>
      <c r="CO102" s="109" t="e">
        <f t="shared" si="263"/>
        <v>#DIV/0!</v>
      </c>
      <c r="CP102" s="79">
        <f t="array" ref="CP102">SUMIFS('Cắt lồng'!$AC$327:$AC$515,'Cắt lồng'!$AA$327:$AA$515,'Cắt lồng'!$AA102,'Cắt lồng'!$AE$327:$AE$515,'Cắt lồng'!CP$4:CP$4)</f>
        <v>0</v>
      </c>
      <c r="CQ102" s="79">
        <f t="array" ref="CQ102">SUMIFS('Cắt lồng'!$AH$327:$AH$515,'Cắt lồng'!$AA$327:$AA$515,'Cắt lồng'!$AA102,'Cắt lồng'!$AE$327:$AE$515,'Cắt lồng'!CQ$4:CQ$4)</f>
        <v>0</v>
      </c>
      <c r="CR102" s="109" t="e">
        <f t="shared" si="264"/>
        <v>#DIV/0!</v>
      </c>
      <c r="CS102" s="79">
        <f t="array" ref="CS102">SUMIFS('Cắt lồng'!$AC$327:$AC$515,'Cắt lồng'!$AA$327:$AA$515,'Cắt lồng'!$AA102,'Cắt lồng'!$AE$327:$AE$515,'Cắt lồng'!CS$4:CS$4)</f>
        <v>0</v>
      </c>
      <c r="CT102" s="79">
        <f t="array" ref="CT102">SUMIFS('Cắt lồng'!$AH$327:$AH$515,'Cắt lồng'!$AA$327:$AA$515,'Cắt lồng'!$AA102,'Cắt lồng'!$AE$327:$AE$515,'Cắt lồng'!CT$4:CT$4)</f>
        <v>0</v>
      </c>
      <c r="CU102" s="109" t="e">
        <f t="shared" si="265"/>
        <v>#DIV/0!</v>
      </c>
      <c r="CV102" s="79">
        <f t="array" ref="CV102">SUMIFS('Cắt lồng'!$AC$327:$AC$515,'Cắt lồng'!$AA$327:$AA$515,'Cắt lồng'!$AA102,'Cắt lồng'!$AE$327:$AE$515,'Cắt lồng'!CV$4:CV$4)</f>
        <v>0</v>
      </c>
      <c r="CW102" s="79">
        <f t="array" ref="CW102">SUMIFS('Cắt lồng'!$AH$327:$AH$515,'Cắt lồng'!$AA$327:$AA$515,'Cắt lồng'!$AA102,'Cắt lồng'!$AE$327:$AE$515,'Cắt lồng'!CW$4:CW$4)</f>
        <v>0</v>
      </c>
      <c r="CX102" s="109" t="e">
        <f t="shared" si="266"/>
        <v>#DIV/0!</v>
      </c>
      <c r="CY102" s="79">
        <f t="array" ref="CY102">SUMIFS('Cắt lồng'!$AC$327:$AC$515,'Cắt lồng'!$AA$327:$AA$515,'Cắt lồng'!$AA102,'Cắt lồng'!$AE$327:$AE$515,'Cắt lồng'!CY$4:CY$4)</f>
        <v>0</v>
      </c>
      <c r="CZ102" s="79">
        <f t="array" ref="CZ102">SUMIFS('Cắt lồng'!$AH$327:$AH$515,'Cắt lồng'!$AA$327:$AA$515,'Cắt lồng'!$AA102,'Cắt lồng'!$AE$327:$AE$515,'Cắt lồng'!CZ$4:CZ$4)</f>
        <v>0</v>
      </c>
      <c r="DA102" s="109" t="e">
        <f t="shared" si="267"/>
        <v>#DIV/0!</v>
      </c>
      <c r="DB102" s="79">
        <f t="array" ref="DB102">SUMIFS('Cắt lồng'!$AC$327:$AC$515,'Cắt lồng'!$AA$327:$AA$515,'Cắt lồng'!$AA102,'Cắt lồng'!$AE$327:$AE$515,'Cắt lồng'!DB$4:DB$4)</f>
        <v>0</v>
      </c>
      <c r="DC102" s="79">
        <f t="array" ref="DC102">SUMIFS('Cắt lồng'!$AH$327:$AH$515,'Cắt lồng'!$AA$327:$AA$515,'Cắt lồng'!$AA102,'Cắt lồng'!$AE$327:$AE$515,'Cắt lồng'!DC$4:DC$4)</f>
        <v>0</v>
      </c>
      <c r="DD102" s="109" t="e">
        <f t="shared" si="268"/>
        <v>#DIV/0!</v>
      </c>
      <c r="DE102" s="79">
        <f t="array" ref="DE102">SUMIFS('Cắt lồng'!$AC$327:$AC$515,'Cắt lồng'!$AA$327:$AA$515,'Cắt lồng'!$AA102,'Cắt lồng'!$AE$327:$AE$515,'Cắt lồng'!DE$4:DE$4)</f>
        <v>0</v>
      </c>
      <c r="DF102" s="79">
        <f t="array" ref="DF102">SUMIFS('Cắt lồng'!$AH$327:$AH$515,'Cắt lồng'!$AA$327:$AA$515,'Cắt lồng'!$AA102,'Cắt lồng'!$AE$327:$AE$515,'Cắt lồng'!DF$4:DF$4)</f>
        <v>0</v>
      </c>
      <c r="DG102" s="109" t="e">
        <f t="shared" si="269"/>
        <v>#DIV/0!</v>
      </c>
      <c r="DH102" s="79">
        <f t="array" ref="DH102">SUMIFS('Cắt lồng'!$AC$327:$AC$515,'Cắt lồng'!$AA$327:$AA$515,'Cắt lồng'!$AA102,'Cắt lồng'!$AE$327:$AE$515,'Cắt lồng'!DH$4:DH$4)</f>
        <v>0</v>
      </c>
      <c r="DI102" s="79">
        <f t="array" ref="DI102">SUMIFS('Cắt lồng'!$AH$327:$AH$515,'Cắt lồng'!$AA$327:$AA$515,'Cắt lồng'!$AA102,'Cắt lồng'!$AE$327:$AE$515,'Cắt lồng'!DI$4:DI$4)</f>
        <v>0</v>
      </c>
      <c r="DJ102" s="109" t="e">
        <f t="shared" si="270"/>
        <v>#DIV/0!</v>
      </c>
      <c r="DK102" s="79">
        <f t="array" ref="DK102">SUMIFS('Cắt lồng'!$AC$327:$AC$515,'Cắt lồng'!$AA$327:$AA$515,'Cắt lồng'!$AA102,'Cắt lồng'!$AE$327:$AE$515,'Cắt lồng'!DK$4:DK$4)</f>
        <v>0</v>
      </c>
      <c r="DL102" s="79">
        <f t="array" ref="DL102">SUMIFS('Cắt lồng'!$AH$327:$AH$515,'Cắt lồng'!$AA$327:$AA$515,'Cắt lồng'!$AA102,'Cắt lồng'!$AE$327:$AE$515,'Cắt lồng'!DL$4:DL$4)</f>
        <v>0</v>
      </c>
      <c r="DM102" s="109" t="e">
        <f t="shared" si="271"/>
        <v>#DIV/0!</v>
      </c>
      <c r="DN102" s="79">
        <f t="array" ref="DN102">SUMIFS('Cắt lồng'!$AC$327:$AC$515,'Cắt lồng'!$AA$327:$AA$515,'Cắt lồng'!$AA102,'Cắt lồng'!$AE$327:$AE$515,'Cắt lồng'!DN$4:DN$4)</f>
        <v>0</v>
      </c>
      <c r="DO102" s="79">
        <f t="array" ref="DO102">SUMIFS('Cắt lồng'!$AH$327:$AH$515,'Cắt lồng'!$AA$327:$AA$515,'Cắt lồng'!$AA102,'Cắt lồng'!$AE$327:$AE$515,'Cắt lồng'!DO$4:DO$4)</f>
        <v>0</v>
      </c>
      <c r="DP102" s="109" t="e">
        <f t="shared" si="272"/>
        <v>#DIV/0!</v>
      </c>
      <c r="DQ102" s="79">
        <f t="array" ref="DQ102">SUMIFS('Cắt lồng'!$AC$327:$AC$515,'Cắt lồng'!$AA$327:$AA$515,'Cắt lồng'!$AA102,'Cắt lồng'!$AE$327:$AE$515,'Cắt lồng'!DQ$4:DQ$4)</f>
        <v>0</v>
      </c>
      <c r="DR102" s="79">
        <f t="array" ref="DR102">SUMIFS('Cắt lồng'!$AH$327:$AH$515,'Cắt lồng'!$AA$327:$AA$515,'Cắt lồng'!$AA102,'Cắt lồng'!$AE$327:$AE$515,'Cắt lồng'!DR$4:DR$4)</f>
        <v>0</v>
      </c>
      <c r="DS102" s="109" t="e">
        <f t="shared" si="273"/>
        <v>#DIV/0!</v>
      </c>
      <c r="DT102" s="79">
        <f t="array" ref="DT102">SUMIFS('Cắt lồng'!$AC$327:$AC$515,'Cắt lồng'!$AA$327:$AA$515,'Cắt lồng'!$AA102,'Cắt lồng'!$AE$327:$AE$515,'Cắt lồng'!DT$4:DT$4)</f>
        <v>0</v>
      </c>
      <c r="DU102" s="79">
        <f t="array" ref="DU102">SUMIFS('Cắt lồng'!$AH$327:$AH$515,'Cắt lồng'!$AA$327:$AA$515,'Cắt lồng'!$AA102,'Cắt lồng'!$AE$327:$AE$515,'Cắt lồng'!DU$4:DU$4)</f>
        <v>0</v>
      </c>
      <c r="DV102" s="109" t="e">
        <f t="shared" si="274"/>
        <v>#DIV/0!</v>
      </c>
      <c r="DW102" s="79">
        <f t="array" ref="DW102">SUMIFS('Cắt lồng'!$AC$327:$AC$515,'Cắt lồng'!$AA$327:$AA$515,'Cắt lồng'!$AA102,'Cắt lồng'!$AE$327:$AE$515,'Cắt lồng'!DW$4:DW$4)</f>
        <v>0</v>
      </c>
      <c r="DX102" s="79">
        <f t="array" ref="DX102">SUMIFS('Cắt lồng'!$AH$327:$AH$515,'Cắt lồng'!$AA$327:$AA$515,'Cắt lồng'!$AA102,'Cắt lồng'!$AE$327:$AE$515,'Cắt lồng'!DX$4:DX$4)</f>
        <v>0</v>
      </c>
      <c r="DY102" s="109" t="e">
        <f t="shared" si="275"/>
        <v>#DIV/0!</v>
      </c>
      <c r="DZ102" s="79">
        <f t="array" ref="DZ102">SUMIFS('Cắt lồng'!$AC$327:$AC$515,'Cắt lồng'!$AA$327:$AA$515,'Cắt lồng'!$AA102,'Cắt lồng'!$AE$327:$AE$515,'Cắt lồng'!DZ$4:DZ$4)</f>
        <v>0</v>
      </c>
      <c r="EA102" s="79">
        <f t="array" ref="EA102">SUMIFS('Cắt lồng'!$AH$327:$AH$515,'Cắt lồng'!$AA$327:$AA$515,'Cắt lồng'!$AA102,'Cắt lồng'!$AE$327:$AE$515,'Cắt lồng'!EA$4:EA$4)</f>
        <v>0</v>
      </c>
      <c r="EB102" s="109" t="e">
        <f t="shared" si="276"/>
        <v>#DIV/0!</v>
      </c>
      <c r="EC102" s="79">
        <f t="array" ref="EC102">SUMIFS('Cắt lồng'!$AC$327:$AC$515,'Cắt lồng'!$AA$327:$AA$515,'Cắt lồng'!$AA102,'Cắt lồng'!$AE$327:$AE$515,'Cắt lồng'!EC$4:EC$4)</f>
        <v>0</v>
      </c>
      <c r="ED102" s="79">
        <f t="array" ref="ED102">SUMIFS('Cắt lồng'!$AH$327:$AH$515,'Cắt lồng'!$AA$327:$AA$515,'Cắt lồng'!$AA102,'Cắt lồng'!$AE$327:$AE$515,'Cắt lồng'!ED$4:ED$4)</f>
        <v>0</v>
      </c>
      <c r="EE102" s="109" t="e">
        <f t="shared" si="277"/>
        <v>#DIV/0!</v>
      </c>
      <c r="EF102" s="79">
        <f t="array" ref="EF102">SUMIFS('Cắt lồng'!$AC$327:$AC$515,'Cắt lồng'!$AA$327:$AA$515,'Cắt lồng'!$AA102,'Cắt lồng'!$AE$327:$AE$515,'Cắt lồng'!EF$4:EF$4)</f>
        <v>0</v>
      </c>
      <c r="EG102" s="79">
        <f t="array" ref="EG102">SUMIFS('Cắt lồng'!$AH$327:$AH$515,'Cắt lồng'!$AA$327:$AA$515,'Cắt lồng'!$AA102,'Cắt lồng'!$AE$327:$AE$515,'Cắt lồng'!EG$4:EG$4)</f>
        <v>0</v>
      </c>
      <c r="EH102" s="109" t="e">
        <f t="shared" si="278"/>
        <v>#DIV/0!</v>
      </c>
      <c r="EI102" s="79">
        <f t="array" ref="EI102">SUMIFS('Cắt lồng'!$AC$327:$AC$515,'Cắt lồng'!$AA$327:$AA$515,'Cắt lồng'!$AA102,'Cắt lồng'!$AE$327:$AE$515,'Cắt lồng'!EI$4:EI$4)</f>
        <v>0</v>
      </c>
      <c r="EJ102" s="79">
        <f t="array" ref="EJ102">SUMIFS('Cắt lồng'!$AH$327:$AH$515,'Cắt lồng'!$AA$327:$AA$515,'Cắt lồng'!$AA102,'Cắt lồng'!$AE$327:$AE$515,'Cắt lồng'!EJ$4:EJ$4)</f>
        <v>0</v>
      </c>
      <c r="EK102" s="109" t="e">
        <f t="shared" si="279"/>
        <v>#DIV/0!</v>
      </c>
    </row>
    <row r="103" spans="1:150" s="12" customFormat="1" ht="14.25" hidden="1" customHeight="1">
      <c r="A103" s="30">
        <v>74</v>
      </c>
      <c r="B103" s="26"/>
      <c r="C103" s="25"/>
      <c r="D103" s="24"/>
      <c r="E103" s="60"/>
      <c r="F103" s="59"/>
      <c r="G103" s="82">
        <f t="shared" si="212"/>
        <v>0</v>
      </c>
      <c r="H103" s="81">
        <f t="shared" si="213"/>
        <v>0</v>
      </c>
      <c r="I103" s="19">
        <f t="shared" si="214"/>
        <v>0</v>
      </c>
      <c r="J103" s="11">
        <f t="shared" si="215"/>
        <v>0</v>
      </c>
      <c r="K103" s="19">
        <f t="shared" si="216"/>
        <v>0</v>
      </c>
      <c r="L103" s="19">
        <f t="shared" si="217"/>
        <v>0</v>
      </c>
      <c r="M103" s="19">
        <f t="shared" si="218"/>
        <v>0</v>
      </c>
      <c r="N103" s="19">
        <f t="shared" si="219"/>
        <v>0</v>
      </c>
      <c r="O103" s="19">
        <f t="shared" si="220"/>
        <v>0</v>
      </c>
      <c r="P103" s="19">
        <f t="shared" si="221"/>
        <v>0</v>
      </c>
      <c r="Q103" s="19">
        <f t="shared" si="222"/>
        <v>0</v>
      </c>
      <c r="R103" s="19">
        <f t="shared" si="223"/>
        <v>0</v>
      </c>
      <c r="S103" s="19">
        <f t="shared" si="224"/>
        <v>0</v>
      </c>
      <c r="T103" s="19">
        <f t="shared" si="225"/>
        <v>0</v>
      </c>
      <c r="U103" s="19">
        <f t="shared" si="226"/>
        <v>0</v>
      </c>
      <c r="V103" s="19">
        <f t="shared" si="227"/>
        <v>0</v>
      </c>
      <c r="W103" s="19">
        <f t="shared" si="228"/>
        <v>0</v>
      </c>
      <c r="X103" s="19">
        <f t="shared" si="229"/>
        <v>0</v>
      </c>
      <c r="Y103" s="19">
        <f t="shared" si="230"/>
        <v>0</v>
      </c>
      <c r="Z103" s="19">
        <f t="shared" si="231"/>
        <v>0</v>
      </c>
      <c r="AA103" s="164" t="s">
        <v>146</v>
      </c>
      <c r="AB103" s="17" t="e">
        <f>+H103*SUMIF('[1]KẾ HOẠCH'!$B$5:$CK$5,'Cắt lồng'!AA103,'[1]KẾ HOẠCH'!$B$6:$CK$6)+H103*SUMIF('[1]KẾ HOẠCH'!$B$7:$CK$7,'Cắt lồng'!AA103,'[1]KẾ HOẠCH'!$B$8:$CK$8)+H103*SUMIF('[1]KẾ HOẠCH'!$B$15:$CK$15,'Cắt lồng'!AA103,'[1]KẾ HOẠCH'!$B$16:$CK$16)</f>
        <v>#VALUE!</v>
      </c>
      <c r="AC103" s="16">
        <f t="shared" si="232"/>
        <v>0</v>
      </c>
      <c r="AD103" s="15" t="e">
        <f t="shared" si="233"/>
        <v>#VALUE!</v>
      </c>
      <c r="AE103" s="42"/>
      <c r="AF103" s="112" t="e">
        <f t="shared" si="234"/>
        <v>#DIV/0!</v>
      </c>
      <c r="AG103" s="112"/>
      <c r="AH103" s="112">
        <f t="shared" si="235"/>
        <v>0</v>
      </c>
      <c r="AI103" s="111" t="e">
        <f t="shared" si="236"/>
        <v>#DIV/0!</v>
      </c>
      <c r="AJ103" s="20">
        <f t="shared" si="237"/>
        <v>0</v>
      </c>
      <c r="AK103" s="30">
        <f t="shared" si="238"/>
        <v>0</v>
      </c>
      <c r="AL103" s="30">
        <f t="shared" si="239"/>
        <v>0</v>
      </c>
      <c r="AM103" s="30">
        <f t="shared" si="240"/>
        <v>0</v>
      </c>
      <c r="AN103" s="30">
        <f t="shared" si="241"/>
        <v>0</v>
      </c>
      <c r="AO103" s="30">
        <f t="shared" si="242"/>
        <v>0</v>
      </c>
      <c r="AP103" s="30">
        <f t="shared" si="243"/>
        <v>0</v>
      </c>
      <c r="AQ103" s="30">
        <f t="shared" si="244"/>
        <v>0</v>
      </c>
      <c r="AR103" s="30">
        <f t="shared" si="245"/>
        <v>0</v>
      </c>
      <c r="AS103" s="30">
        <f t="shared" si="246"/>
        <v>0</v>
      </c>
      <c r="AT103" s="30">
        <f t="shared" si="247"/>
        <v>0</v>
      </c>
      <c r="AU103" s="80"/>
      <c r="AV103" s="110">
        <f t="shared" si="248"/>
        <v>0</v>
      </c>
      <c r="AW103" s="79">
        <f t="array" ref="AW103">SUMIFS('Cắt lồng'!$AC$327:$AC$515,'Cắt lồng'!$AA$327:$AA$515,'Cắt lồng'!$AA103,'Cắt lồng'!$AE$327:$AE$515,'Cắt lồng'!AW$4:AW$4)</f>
        <v>0</v>
      </c>
      <c r="AX103" s="79">
        <f t="array" ref="AX103">SUMIFS('Cắt lồng'!$AH$327:$AH$515,'Cắt lồng'!$AA$327:$AA$515,'Cắt lồng'!$AA103,'Cắt lồng'!$AE$327:$AE$515,'Cắt lồng'!AX$4:AX$4)</f>
        <v>0</v>
      </c>
      <c r="AY103" s="109" t="e">
        <f t="shared" si="249"/>
        <v>#DIV/0!</v>
      </c>
      <c r="AZ103" s="79">
        <f t="array" ref="AZ103">SUMIFS('Cắt lồng'!$AC$327:$AC$515,'Cắt lồng'!$AA$327:$AA$515,'Cắt lồng'!$AA103,'Cắt lồng'!$AE$327:$AE$515,'Cắt lồng'!AZ$4:AZ$4)</f>
        <v>0</v>
      </c>
      <c r="BA103" s="79">
        <f t="array" ref="BA103">SUMIFS('Cắt lồng'!$AH$327:$AH$515,'Cắt lồng'!$AA$327:$AA$515,'Cắt lồng'!$AA103,'Cắt lồng'!$AE$327:$AE$515,'Cắt lồng'!BA$4:BA$4)</f>
        <v>0</v>
      </c>
      <c r="BB103" s="109" t="e">
        <f t="shared" si="250"/>
        <v>#DIV/0!</v>
      </c>
      <c r="BC103" s="79">
        <f t="array" ref="BC103">SUMIFS('Cắt lồng'!$AC$327:$AC$515,'Cắt lồng'!$AA$327:$AA$515,'Cắt lồng'!$AA103,'Cắt lồng'!$AE$327:$AE$515,'Cắt lồng'!BC$4:BC$4)</f>
        <v>0</v>
      </c>
      <c r="BD103" s="79">
        <f t="array" ref="BD103">SUMIFS('Cắt lồng'!$AH$327:$AH$515,'Cắt lồng'!$AA$327:$AA$515,'Cắt lồng'!$AA103,'Cắt lồng'!$AE$327:$AE$515,'Cắt lồng'!BD$4:BD$4)</f>
        <v>0</v>
      </c>
      <c r="BE103" s="109" t="e">
        <f t="shared" si="251"/>
        <v>#DIV/0!</v>
      </c>
      <c r="BF103" s="79">
        <f t="array" ref="BF103">SUMIFS('Cắt lồng'!$AC$327:$AC$515,'Cắt lồng'!$AA$327:$AA$515,'Cắt lồng'!$AA103,'Cắt lồng'!$AE$327:$AE$515,'Cắt lồng'!BF$4:BF$4)</f>
        <v>0</v>
      </c>
      <c r="BG103" s="79">
        <f t="array" ref="BG103">SUMIFS('Cắt lồng'!$AH$327:$AH$515,'Cắt lồng'!$AA$327:$AA$515,'Cắt lồng'!$AA103,'Cắt lồng'!$AE$327:$AE$515,'Cắt lồng'!BG$4:BG$4)</f>
        <v>0</v>
      </c>
      <c r="BH103" s="109" t="e">
        <f t="shared" si="252"/>
        <v>#DIV/0!</v>
      </c>
      <c r="BI103" s="79">
        <f t="array" ref="BI103">SUMIFS('Cắt lồng'!$AC$327:$AC$515,'Cắt lồng'!$AA$327:$AA$515,'Cắt lồng'!$AA103,'Cắt lồng'!$AE$327:$AE$515,'Cắt lồng'!BI$4:BI$4)</f>
        <v>0</v>
      </c>
      <c r="BJ103" s="79">
        <f t="array" ref="BJ103">SUMIFS('Cắt lồng'!$AH$327:$AH$515,'Cắt lồng'!$AA$327:$AA$515,'Cắt lồng'!$AA103,'Cắt lồng'!$AE$327:$AE$515,'Cắt lồng'!BJ$4:BJ$4)</f>
        <v>0</v>
      </c>
      <c r="BK103" s="109" t="e">
        <f t="shared" si="253"/>
        <v>#DIV/0!</v>
      </c>
      <c r="BL103" s="79">
        <f t="array" ref="BL103">SUMIFS('Cắt lồng'!$AC$327:$AC$515,'Cắt lồng'!$AA$327:$AA$515,'Cắt lồng'!$AA103,'Cắt lồng'!$AE$327:$AE$515,'Cắt lồng'!BL$4:BL$4)</f>
        <v>0</v>
      </c>
      <c r="BM103" s="79">
        <f t="array" ref="BM103">SUMIFS('Cắt lồng'!$AH$327:$AH$515,'Cắt lồng'!$AA$327:$AA$515,'Cắt lồng'!$AA103,'Cắt lồng'!$AE$327:$AE$515,'Cắt lồng'!BM$4:BM$4)</f>
        <v>0</v>
      </c>
      <c r="BN103" s="109" t="e">
        <f t="shared" si="254"/>
        <v>#DIV/0!</v>
      </c>
      <c r="BO103" s="79">
        <f t="array" ref="BO103">SUMIFS('Cắt lồng'!$AC$327:$AC$515,'Cắt lồng'!$AA$327:$AA$515,'Cắt lồng'!$AA103,'Cắt lồng'!$AE$327:$AE$515,'Cắt lồng'!BO$4:BO$4)</f>
        <v>0</v>
      </c>
      <c r="BP103" s="79">
        <f t="array" ref="BP103">SUMIFS('Cắt lồng'!$AH$327:$AH$515,'Cắt lồng'!$AA$327:$AA$515,'Cắt lồng'!$AA103,'Cắt lồng'!$AE$327:$AE$515,'Cắt lồng'!BP$4:BP$4)</f>
        <v>0</v>
      </c>
      <c r="BQ103" s="109" t="e">
        <f t="shared" si="255"/>
        <v>#DIV/0!</v>
      </c>
      <c r="BR103" s="79">
        <f t="array" ref="BR103">SUMIFS('Cắt lồng'!$AC$327:$AC$515,'Cắt lồng'!$AA$327:$AA$515,'Cắt lồng'!$AA103,'Cắt lồng'!$AE$327:$AE$515,'Cắt lồng'!BR$4:BR$4)</f>
        <v>0</v>
      </c>
      <c r="BS103" s="79">
        <f t="array" ref="BS103">SUMIFS('Cắt lồng'!$AH$327:$AH$515,'Cắt lồng'!$AA$327:$AA$515,'Cắt lồng'!$AA103,'Cắt lồng'!$AE$327:$AE$515,'Cắt lồng'!BS$4:BS$4)</f>
        <v>0</v>
      </c>
      <c r="BT103" s="109" t="e">
        <f t="shared" si="256"/>
        <v>#DIV/0!</v>
      </c>
      <c r="BU103" s="79">
        <f t="array" ref="BU103">SUMIFS('Cắt lồng'!$AC$327:$AC$515,'Cắt lồng'!$AA$327:$AA$515,'Cắt lồng'!$AA103,'Cắt lồng'!$AE$327:$AE$515,'Cắt lồng'!BU$4:BU$4)</f>
        <v>0</v>
      </c>
      <c r="BV103" s="79">
        <f t="array" ref="BV103">SUMIFS('Cắt lồng'!$AH$327:$AH$515,'Cắt lồng'!$AA$327:$AA$515,'Cắt lồng'!$AA103,'Cắt lồng'!$AE$327:$AE$515,'Cắt lồng'!BV$4:BV$4)</f>
        <v>0</v>
      </c>
      <c r="BW103" s="109" t="e">
        <f t="shared" si="257"/>
        <v>#DIV/0!</v>
      </c>
      <c r="BX103" s="79">
        <f t="array" ref="BX103">SUMIFS('Cắt lồng'!$AC$327:$AC$515,'Cắt lồng'!$AA$327:$AA$515,'Cắt lồng'!$AA103,'Cắt lồng'!$AE$327:$AE$515,'Cắt lồng'!BX$4:BX$4)</f>
        <v>0</v>
      </c>
      <c r="BY103" s="79">
        <f t="array" ref="BY103">SUMIFS('Cắt lồng'!$AH$327:$AH$515,'Cắt lồng'!$AA$327:$AA$515,'Cắt lồng'!$AA103,'Cắt lồng'!$AE$327:$AE$515,'Cắt lồng'!BY$4:BY$4)</f>
        <v>0</v>
      </c>
      <c r="BZ103" s="109" t="e">
        <f t="shared" si="258"/>
        <v>#DIV/0!</v>
      </c>
      <c r="CA103" s="79">
        <f t="array" ref="CA103">SUMIFS('Cắt lồng'!$AC$327:$AC$515,'Cắt lồng'!$AA$327:$AA$515,'Cắt lồng'!$AA103,'Cắt lồng'!$AE$327:$AE$515,'Cắt lồng'!CA$4:CA$4)</f>
        <v>0</v>
      </c>
      <c r="CB103" s="79">
        <f t="array" ref="CB103">SUMIFS('Cắt lồng'!$AH$327:$AH$515,'Cắt lồng'!$AA$327:$AA$515,'Cắt lồng'!$AA103,'Cắt lồng'!$AE$327:$AE$515,'Cắt lồng'!CB$4:CB$4)</f>
        <v>0</v>
      </c>
      <c r="CC103" s="109" t="e">
        <f t="shared" si="259"/>
        <v>#DIV/0!</v>
      </c>
      <c r="CD103" s="79">
        <f t="array" ref="CD103">SUMIFS('Cắt lồng'!$AC$327:$AC$515,'Cắt lồng'!$AA$327:$AA$515,'Cắt lồng'!$AA103,'Cắt lồng'!$AE$327:$AE$515,'Cắt lồng'!CD$4:CD$4)</f>
        <v>0</v>
      </c>
      <c r="CE103" s="79">
        <f t="array" ref="CE103">SUMIFS('Cắt lồng'!$AH$327:$AH$515,'Cắt lồng'!$AA$327:$AA$515,'Cắt lồng'!$AA103,'Cắt lồng'!$AE$327:$AE$515,'Cắt lồng'!CE$4:CE$4)</f>
        <v>0</v>
      </c>
      <c r="CF103" s="109" t="e">
        <f t="shared" si="260"/>
        <v>#DIV/0!</v>
      </c>
      <c r="CG103" s="79">
        <f t="array" ref="CG103">SUMIFS('Cắt lồng'!$AC$327:$AC$515,'Cắt lồng'!$AA$327:$AA$515,'Cắt lồng'!$AA103,'Cắt lồng'!$AE$327:$AE$515,'Cắt lồng'!CG$4:CG$4)</f>
        <v>0</v>
      </c>
      <c r="CH103" s="79">
        <f t="array" ref="CH103">SUMIFS('Cắt lồng'!$AH$327:$AH$515,'Cắt lồng'!$AA$327:$AA$515,'Cắt lồng'!$AA103,'Cắt lồng'!$AE$327:$AE$515,'Cắt lồng'!CH$4:CH$4)</f>
        <v>0</v>
      </c>
      <c r="CI103" s="109" t="e">
        <f t="shared" si="261"/>
        <v>#DIV/0!</v>
      </c>
      <c r="CJ103" s="79">
        <f t="array" ref="CJ103">SUMIFS('Cắt lồng'!$AC$327:$AC$515,'Cắt lồng'!$AA$327:$AA$515,'Cắt lồng'!$AA103,'Cắt lồng'!$AE$327:$AE$515,'Cắt lồng'!CJ$4:CJ$4)</f>
        <v>0</v>
      </c>
      <c r="CK103" s="79">
        <f t="array" ref="CK103">SUMIFS('Cắt lồng'!$AH$327:$AH$515,'Cắt lồng'!$AA$327:$AA$515,'Cắt lồng'!$AA103,'Cắt lồng'!$AE$327:$AE$515,'Cắt lồng'!CK$4:CK$4)</f>
        <v>0</v>
      </c>
      <c r="CL103" s="109" t="e">
        <f t="shared" si="262"/>
        <v>#DIV/0!</v>
      </c>
      <c r="CM103" s="79">
        <f t="array" ref="CM103">SUMIFS('Cắt lồng'!$AC$327:$AC$515,'Cắt lồng'!$AA$327:$AA$515,'Cắt lồng'!$AA103,'Cắt lồng'!$AE$327:$AE$515,'Cắt lồng'!CM$4:CM$4)</f>
        <v>0</v>
      </c>
      <c r="CN103" s="79">
        <f t="array" ref="CN103">SUMIFS('Cắt lồng'!$AH$327:$AH$515,'Cắt lồng'!$AA$327:$AA$515,'Cắt lồng'!$AA103,'Cắt lồng'!$AE$327:$AE$515,'Cắt lồng'!CN$4:CN$4)</f>
        <v>0</v>
      </c>
      <c r="CO103" s="109" t="e">
        <f t="shared" si="263"/>
        <v>#DIV/0!</v>
      </c>
      <c r="CP103" s="79">
        <f t="array" ref="CP103">SUMIFS('Cắt lồng'!$AC$327:$AC$515,'Cắt lồng'!$AA$327:$AA$515,'Cắt lồng'!$AA103,'Cắt lồng'!$AE$327:$AE$515,'Cắt lồng'!CP$4:CP$4)</f>
        <v>0</v>
      </c>
      <c r="CQ103" s="79">
        <f t="array" ref="CQ103">SUMIFS('Cắt lồng'!$AH$327:$AH$515,'Cắt lồng'!$AA$327:$AA$515,'Cắt lồng'!$AA103,'Cắt lồng'!$AE$327:$AE$515,'Cắt lồng'!CQ$4:CQ$4)</f>
        <v>0</v>
      </c>
      <c r="CR103" s="109" t="e">
        <f t="shared" si="264"/>
        <v>#DIV/0!</v>
      </c>
      <c r="CS103" s="79">
        <f t="array" ref="CS103">SUMIFS('Cắt lồng'!$AC$327:$AC$515,'Cắt lồng'!$AA$327:$AA$515,'Cắt lồng'!$AA103,'Cắt lồng'!$AE$327:$AE$515,'Cắt lồng'!CS$4:CS$4)</f>
        <v>0</v>
      </c>
      <c r="CT103" s="79">
        <f t="array" ref="CT103">SUMIFS('Cắt lồng'!$AH$327:$AH$515,'Cắt lồng'!$AA$327:$AA$515,'Cắt lồng'!$AA103,'Cắt lồng'!$AE$327:$AE$515,'Cắt lồng'!CT$4:CT$4)</f>
        <v>0</v>
      </c>
      <c r="CU103" s="109" t="e">
        <f t="shared" si="265"/>
        <v>#DIV/0!</v>
      </c>
      <c r="CV103" s="79">
        <f t="array" ref="CV103">SUMIFS('Cắt lồng'!$AC$327:$AC$515,'Cắt lồng'!$AA$327:$AA$515,'Cắt lồng'!$AA103,'Cắt lồng'!$AE$327:$AE$515,'Cắt lồng'!CV$4:CV$4)</f>
        <v>0</v>
      </c>
      <c r="CW103" s="79">
        <f t="array" ref="CW103">SUMIFS('Cắt lồng'!$AH$327:$AH$515,'Cắt lồng'!$AA$327:$AA$515,'Cắt lồng'!$AA103,'Cắt lồng'!$AE$327:$AE$515,'Cắt lồng'!CW$4:CW$4)</f>
        <v>0</v>
      </c>
      <c r="CX103" s="109" t="e">
        <f t="shared" si="266"/>
        <v>#DIV/0!</v>
      </c>
      <c r="CY103" s="79">
        <f t="array" ref="CY103">SUMIFS('Cắt lồng'!$AC$327:$AC$515,'Cắt lồng'!$AA$327:$AA$515,'Cắt lồng'!$AA103,'Cắt lồng'!$AE$327:$AE$515,'Cắt lồng'!CY$4:CY$4)</f>
        <v>0</v>
      </c>
      <c r="CZ103" s="79">
        <f t="array" ref="CZ103">SUMIFS('Cắt lồng'!$AH$327:$AH$515,'Cắt lồng'!$AA$327:$AA$515,'Cắt lồng'!$AA103,'Cắt lồng'!$AE$327:$AE$515,'Cắt lồng'!CZ$4:CZ$4)</f>
        <v>0</v>
      </c>
      <c r="DA103" s="109" t="e">
        <f t="shared" si="267"/>
        <v>#DIV/0!</v>
      </c>
      <c r="DB103" s="79">
        <f t="array" ref="DB103">SUMIFS('Cắt lồng'!$AC$327:$AC$515,'Cắt lồng'!$AA$327:$AA$515,'Cắt lồng'!$AA103,'Cắt lồng'!$AE$327:$AE$515,'Cắt lồng'!DB$4:DB$4)</f>
        <v>0</v>
      </c>
      <c r="DC103" s="79">
        <f t="array" ref="DC103">SUMIFS('Cắt lồng'!$AH$327:$AH$515,'Cắt lồng'!$AA$327:$AA$515,'Cắt lồng'!$AA103,'Cắt lồng'!$AE$327:$AE$515,'Cắt lồng'!DC$4:DC$4)</f>
        <v>0</v>
      </c>
      <c r="DD103" s="109" t="e">
        <f t="shared" si="268"/>
        <v>#DIV/0!</v>
      </c>
      <c r="DE103" s="79">
        <f t="array" ref="DE103">SUMIFS('Cắt lồng'!$AC$327:$AC$515,'Cắt lồng'!$AA$327:$AA$515,'Cắt lồng'!$AA103,'Cắt lồng'!$AE$327:$AE$515,'Cắt lồng'!DE$4:DE$4)</f>
        <v>0</v>
      </c>
      <c r="DF103" s="79">
        <f t="array" ref="DF103">SUMIFS('Cắt lồng'!$AH$327:$AH$515,'Cắt lồng'!$AA$327:$AA$515,'Cắt lồng'!$AA103,'Cắt lồng'!$AE$327:$AE$515,'Cắt lồng'!DF$4:DF$4)</f>
        <v>0</v>
      </c>
      <c r="DG103" s="109" t="e">
        <f t="shared" si="269"/>
        <v>#DIV/0!</v>
      </c>
      <c r="DH103" s="79">
        <f t="array" ref="DH103">SUMIFS('Cắt lồng'!$AC$327:$AC$515,'Cắt lồng'!$AA$327:$AA$515,'Cắt lồng'!$AA103,'Cắt lồng'!$AE$327:$AE$515,'Cắt lồng'!DH$4:DH$4)</f>
        <v>0</v>
      </c>
      <c r="DI103" s="79">
        <f t="array" ref="DI103">SUMIFS('Cắt lồng'!$AH$327:$AH$515,'Cắt lồng'!$AA$327:$AA$515,'Cắt lồng'!$AA103,'Cắt lồng'!$AE$327:$AE$515,'Cắt lồng'!DI$4:DI$4)</f>
        <v>0</v>
      </c>
      <c r="DJ103" s="109" t="e">
        <f t="shared" si="270"/>
        <v>#DIV/0!</v>
      </c>
      <c r="DK103" s="79">
        <f t="array" ref="DK103">SUMIFS('Cắt lồng'!$AC$327:$AC$515,'Cắt lồng'!$AA$327:$AA$515,'Cắt lồng'!$AA103,'Cắt lồng'!$AE$327:$AE$515,'Cắt lồng'!DK$4:DK$4)</f>
        <v>0</v>
      </c>
      <c r="DL103" s="79">
        <f t="array" ref="DL103">SUMIFS('Cắt lồng'!$AH$327:$AH$515,'Cắt lồng'!$AA$327:$AA$515,'Cắt lồng'!$AA103,'Cắt lồng'!$AE$327:$AE$515,'Cắt lồng'!DL$4:DL$4)</f>
        <v>0</v>
      </c>
      <c r="DM103" s="109" t="e">
        <f t="shared" si="271"/>
        <v>#DIV/0!</v>
      </c>
      <c r="DN103" s="79">
        <f t="array" ref="DN103">SUMIFS('Cắt lồng'!$AC$327:$AC$515,'Cắt lồng'!$AA$327:$AA$515,'Cắt lồng'!$AA103,'Cắt lồng'!$AE$327:$AE$515,'Cắt lồng'!DN$4:DN$4)</f>
        <v>0</v>
      </c>
      <c r="DO103" s="79">
        <f t="array" ref="DO103">SUMIFS('Cắt lồng'!$AH$327:$AH$515,'Cắt lồng'!$AA$327:$AA$515,'Cắt lồng'!$AA103,'Cắt lồng'!$AE$327:$AE$515,'Cắt lồng'!DO$4:DO$4)</f>
        <v>0</v>
      </c>
      <c r="DP103" s="109" t="e">
        <f t="shared" si="272"/>
        <v>#DIV/0!</v>
      </c>
      <c r="DQ103" s="79">
        <f t="array" ref="DQ103">SUMIFS('Cắt lồng'!$AC$327:$AC$515,'Cắt lồng'!$AA$327:$AA$515,'Cắt lồng'!$AA103,'Cắt lồng'!$AE$327:$AE$515,'Cắt lồng'!DQ$4:DQ$4)</f>
        <v>0</v>
      </c>
      <c r="DR103" s="79">
        <f t="array" ref="DR103">SUMIFS('Cắt lồng'!$AH$327:$AH$515,'Cắt lồng'!$AA$327:$AA$515,'Cắt lồng'!$AA103,'Cắt lồng'!$AE$327:$AE$515,'Cắt lồng'!DR$4:DR$4)</f>
        <v>0</v>
      </c>
      <c r="DS103" s="109" t="e">
        <f t="shared" si="273"/>
        <v>#DIV/0!</v>
      </c>
      <c r="DT103" s="79">
        <f t="array" ref="DT103">SUMIFS('Cắt lồng'!$AC$327:$AC$515,'Cắt lồng'!$AA$327:$AA$515,'Cắt lồng'!$AA103,'Cắt lồng'!$AE$327:$AE$515,'Cắt lồng'!DT$4:DT$4)</f>
        <v>0</v>
      </c>
      <c r="DU103" s="79">
        <f t="array" ref="DU103">SUMIFS('Cắt lồng'!$AH$327:$AH$515,'Cắt lồng'!$AA$327:$AA$515,'Cắt lồng'!$AA103,'Cắt lồng'!$AE$327:$AE$515,'Cắt lồng'!DU$4:DU$4)</f>
        <v>0</v>
      </c>
      <c r="DV103" s="109" t="e">
        <f t="shared" si="274"/>
        <v>#DIV/0!</v>
      </c>
      <c r="DW103" s="79">
        <f t="array" ref="DW103">SUMIFS('Cắt lồng'!$AC$327:$AC$515,'Cắt lồng'!$AA$327:$AA$515,'Cắt lồng'!$AA103,'Cắt lồng'!$AE$327:$AE$515,'Cắt lồng'!DW$4:DW$4)</f>
        <v>0</v>
      </c>
      <c r="DX103" s="79">
        <f t="array" ref="DX103">SUMIFS('Cắt lồng'!$AH$327:$AH$515,'Cắt lồng'!$AA$327:$AA$515,'Cắt lồng'!$AA103,'Cắt lồng'!$AE$327:$AE$515,'Cắt lồng'!DX$4:DX$4)</f>
        <v>0</v>
      </c>
      <c r="DY103" s="109" t="e">
        <f t="shared" si="275"/>
        <v>#DIV/0!</v>
      </c>
      <c r="DZ103" s="79">
        <f t="array" ref="DZ103">SUMIFS('Cắt lồng'!$AC$327:$AC$515,'Cắt lồng'!$AA$327:$AA$515,'Cắt lồng'!$AA103,'Cắt lồng'!$AE$327:$AE$515,'Cắt lồng'!DZ$4:DZ$4)</f>
        <v>0</v>
      </c>
      <c r="EA103" s="79">
        <f t="array" ref="EA103">SUMIFS('Cắt lồng'!$AH$327:$AH$515,'Cắt lồng'!$AA$327:$AA$515,'Cắt lồng'!$AA103,'Cắt lồng'!$AE$327:$AE$515,'Cắt lồng'!EA$4:EA$4)</f>
        <v>0</v>
      </c>
      <c r="EB103" s="109" t="e">
        <f t="shared" si="276"/>
        <v>#DIV/0!</v>
      </c>
      <c r="EC103" s="79">
        <f t="array" ref="EC103">SUMIFS('Cắt lồng'!$AC$327:$AC$515,'Cắt lồng'!$AA$327:$AA$515,'Cắt lồng'!$AA103,'Cắt lồng'!$AE$327:$AE$515,'Cắt lồng'!EC$4:EC$4)</f>
        <v>0</v>
      </c>
      <c r="ED103" s="79">
        <f t="array" ref="ED103">SUMIFS('Cắt lồng'!$AH$327:$AH$515,'Cắt lồng'!$AA$327:$AA$515,'Cắt lồng'!$AA103,'Cắt lồng'!$AE$327:$AE$515,'Cắt lồng'!ED$4:ED$4)</f>
        <v>0</v>
      </c>
      <c r="EE103" s="109" t="e">
        <f t="shared" si="277"/>
        <v>#DIV/0!</v>
      </c>
      <c r="EF103" s="79">
        <f t="array" ref="EF103">SUMIFS('Cắt lồng'!$AC$327:$AC$515,'Cắt lồng'!$AA$327:$AA$515,'Cắt lồng'!$AA103,'Cắt lồng'!$AE$327:$AE$515,'Cắt lồng'!EF$4:EF$4)</f>
        <v>0</v>
      </c>
      <c r="EG103" s="79">
        <f t="array" ref="EG103">SUMIFS('Cắt lồng'!$AH$327:$AH$515,'Cắt lồng'!$AA$327:$AA$515,'Cắt lồng'!$AA103,'Cắt lồng'!$AE$327:$AE$515,'Cắt lồng'!EG$4:EG$4)</f>
        <v>0</v>
      </c>
      <c r="EH103" s="109" t="e">
        <f t="shared" si="278"/>
        <v>#DIV/0!</v>
      </c>
      <c r="EI103" s="79">
        <f t="array" ref="EI103">SUMIFS('Cắt lồng'!$AC$327:$AC$515,'Cắt lồng'!$AA$327:$AA$515,'Cắt lồng'!$AA103,'Cắt lồng'!$AE$327:$AE$515,'Cắt lồng'!EI$4:EI$4)</f>
        <v>0</v>
      </c>
      <c r="EJ103" s="79">
        <f t="array" ref="EJ103">SUMIFS('Cắt lồng'!$AH$327:$AH$515,'Cắt lồng'!$AA$327:$AA$515,'Cắt lồng'!$AA103,'Cắt lồng'!$AE$327:$AE$515,'Cắt lồng'!EJ$4:EJ$4)</f>
        <v>0</v>
      </c>
      <c r="EK103" s="109" t="e">
        <f t="shared" si="279"/>
        <v>#DIV/0!</v>
      </c>
      <c r="EL103" s="80"/>
      <c r="EM103" s="80"/>
      <c r="EN103" s="80"/>
      <c r="EO103" s="80"/>
      <c r="EP103" s="80"/>
      <c r="EQ103" s="80"/>
      <c r="ER103" s="80"/>
      <c r="ES103" s="80"/>
      <c r="ET103" s="80"/>
    </row>
    <row r="104" spans="1:150" s="12" customFormat="1" ht="14.25" hidden="1" customHeight="1">
      <c r="A104" s="30">
        <v>75</v>
      </c>
      <c r="B104" s="26"/>
      <c r="C104" s="25"/>
      <c r="D104" s="24"/>
      <c r="E104" s="60"/>
      <c r="F104" s="59"/>
      <c r="G104" s="82">
        <f t="shared" si="212"/>
        <v>0</v>
      </c>
      <c r="H104" s="81">
        <f t="shared" si="213"/>
        <v>0</v>
      </c>
      <c r="I104" s="19">
        <f t="shared" si="214"/>
        <v>0</v>
      </c>
      <c r="J104" s="11">
        <f t="shared" si="215"/>
        <v>0</v>
      </c>
      <c r="K104" s="19">
        <f t="shared" si="216"/>
        <v>0</v>
      </c>
      <c r="L104" s="19">
        <f t="shared" si="217"/>
        <v>0</v>
      </c>
      <c r="M104" s="19">
        <f t="shared" si="218"/>
        <v>0</v>
      </c>
      <c r="N104" s="19">
        <f t="shared" si="219"/>
        <v>0</v>
      </c>
      <c r="O104" s="19">
        <f t="shared" si="220"/>
        <v>0</v>
      </c>
      <c r="P104" s="19">
        <f t="shared" si="221"/>
        <v>0</v>
      </c>
      <c r="Q104" s="19">
        <f t="shared" si="222"/>
        <v>0</v>
      </c>
      <c r="R104" s="19">
        <f t="shared" si="223"/>
        <v>0</v>
      </c>
      <c r="S104" s="19">
        <f t="shared" si="224"/>
        <v>0</v>
      </c>
      <c r="T104" s="19">
        <f t="shared" si="225"/>
        <v>0</v>
      </c>
      <c r="U104" s="19">
        <f t="shared" si="226"/>
        <v>0</v>
      </c>
      <c r="V104" s="19">
        <f t="shared" si="227"/>
        <v>0</v>
      </c>
      <c r="W104" s="19">
        <f t="shared" si="228"/>
        <v>0</v>
      </c>
      <c r="X104" s="19">
        <f t="shared" si="229"/>
        <v>0</v>
      </c>
      <c r="Y104" s="19">
        <f t="shared" si="230"/>
        <v>0</v>
      </c>
      <c r="Z104" s="19">
        <f t="shared" si="231"/>
        <v>0</v>
      </c>
      <c r="AA104" s="164">
        <v>2421</v>
      </c>
      <c r="AB104" s="17" t="e">
        <f>+H104*SUMIF('[1]KẾ HOẠCH'!$B$5:$CK$5,'Cắt lồng'!AA104,'[1]KẾ HOẠCH'!$B$6:$CK$6)+H104*SUMIF('[1]KẾ HOẠCH'!$B$7:$CK$7,'Cắt lồng'!AA104,'[1]KẾ HOẠCH'!$B$8:$CK$8)+H104*SUMIF('[1]KẾ HOẠCH'!$B$15:$CK$15,'Cắt lồng'!AA104,'[1]KẾ HOẠCH'!$B$16:$CK$16)</f>
        <v>#VALUE!</v>
      </c>
      <c r="AC104" s="16">
        <f t="shared" si="232"/>
        <v>0</v>
      </c>
      <c r="AD104" s="15" t="e">
        <f t="shared" si="233"/>
        <v>#VALUE!</v>
      </c>
      <c r="AE104" s="42"/>
      <c r="AF104" s="10" t="e">
        <f t="shared" si="234"/>
        <v>#DIV/0!</v>
      </c>
      <c r="AG104" s="10"/>
      <c r="AH104" s="152">
        <f t="shared" si="235"/>
        <v>0</v>
      </c>
      <c r="AI104" s="54" t="e">
        <f t="shared" si="236"/>
        <v>#DIV/0!</v>
      </c>
      <c r="AJ104" s="25">
        <f t="shared" si="237"/>
        <v>0</v>
      </c>
      <c r="AK104" s="30">
        <f t="shared" si="238"/>
        <v>0</v>
      </c>
      <c r="AL104" s="30">
        <f t="shared" si="239"/>
        <v>0</v>
      </c>
      <c r="AM104" s="30">
        <f t="shared" si="240"/>
        <v>0</v>
      </c>
      <c r="AN104" s="30">
        <f t="shared" si="241"/>
        <v>0</v>
      </c>
      <c r="AO104" s="30">
        <f t="shared" si="242"/>
        <v>0</v>
      </c>
      <c r="AP104" s="30">
        <f t="shared" si="243"/>
        <v>0</v>
      </c>
      <c r="AQ104" s="30">
        <f t="shared" si="244"/>
        <v>0</v>
      </c>
      <c r="AR104" s="30">
        <f t="shared" si="245"/>
        <v>0</v>
      </c>
      <c r="AS104" s="30">
        <f t="shared" si="246"/>
        <v>0</v>
      </c>
      <c r="AT104" s="30">
        <f t="shared" si="247"/>
        <v>0</v>
      </c>
      <c r="AV104" s="79">
        <f t="shared" si="248"/>
        <v>0</v>
      </c>
      <c r="AW104" s="79">
        <f t="array" ref="AW104">SUMIFS('Cắt lồng'!$AC$327:$AC$515,'Cắt lồng'!$AA$327:$AA$515,'Cắt lồng'!$AA104,'Cắt lồng'!$AE$327:$AE$515,'Cắt lồng'!AW$4:AW$4)</f>
        <v>0</v>
      </c>
      <c r="AX104" s="79">
        <f t="array" ref="AX104">SUMIFS('Cắt lồng'!$AH$327:$AH$515,'Cắt lồng'!$AA$327:$AA$515,'Cắt lồng'!$AA104,'Cắt lồng'!$AE$327:$AE$515,'Cắt lồng'!AX$4:AX$4)</f>
        <v>0</v>
      </c>
      <c r="AY104" s="78" t="e">
        <f t="shared" si="249"/>
        <v>#DIV/0!</v>
      </c>
      <c r="AZ104" s="79">
        <f t="array" ref="AZ104">SUMIFS('Cắt lồng'!$AC$327:$AC$515,'Cắt lồng'!$AA$327:$AA$515,'Cắt lồng'!$AA104,'Cắt lồng'!$AE$327:$AE$515,'Cắt lồng'!AZ$4:AZ$4)</f>
        <v>0</v>
      </c>
      <c r="BA104" s="79">
        <f t="array" ref="BA104">SUMIFS('Cắt lồng'!$AH$327:$AH$515,'Cắt lồng'!$AA$327:$AA$515,'Cắt lồng'!$AA104,'Cắt lồng'!$AE$327:$AE$515,'Cắt lồng'!BA$4:BA$4)</f>
        <v>0</v>
      </c>
      <c r="BB104" s="78" t="e">
        <f t="shared" si="250"/>
        <v>#DIV/0!</v>
      </c>
      <c r="BC104" s="79">
        <f t="array" ref="BC104">SUMIFS('Cắt lồng'!$AC$327:$AC$515,'Cắt lồng'!$AA$327:$AA$515,'Cắt lồng'!$AA104,'Cắt lồng'!$AE$327:$AE$515,'Cắt lồng'!BC$4:BC$4)</f>
        <v>0</v>
      </c>
      <c r="BD104" s="79">
        <f t="array" ref="BD104">SUMIFS('Cắt lồng'!$AH$327:$AH$515,'Cắt lồng'!$AA$327:$AA$515,'Cắt lồng'!$AA104,'Cắt lồng'!$AE$327:$AE$515,'Cắt lồng'!BD$4:BD$4)</f>
        <v>0</v>
      </c>
      <c r="BE104" s="78" t="e">
        <f t="shared" si="251"/>
        <v>#DIV/0!</v>
      </c>
      <c r="BF104" s="79">
        <f t="array" ref="BF104">SUMIFS('Cắt lồng'!$AC$327:$AC$515,'Cắt lồng'!$AA$327:$AA$515,'Cắt lồng'!$AA104,'Cắt lồng'!$AE$327:$AE$515,'Cắt lồng'!BF$4:BF$4)</f>
        <v>0</v>
      </c>
      <c r="BG104" s="79">
        <f t="array" ref="BG104">SUMIFS('Cắt lồng'!$AH$327:$AH$515,'Cắt lồng'!$AA$327:$AA$515,'Cắt lồng'!$AA104,'Cắt lồng'!$AE$327:$AE$515,'Cắt lồng'!BG$4:BG$4)</f>
        <v>0</v>
      </c>
      <c r="BH104" s="78" t="e">
        <f t="shared" si="252"/>
        <v>#DIV/0!</v>
      </c>
      <c r="BI104" s="79">
        <f t="array" ref="BI104">SUMIFS('Cắt lồng'!$AC$327:$AC$515,'Cắt lồng'!$AA$327:$AA$515,'Cắt lồng'!$AA104,'Cắt lồng'!$AE$327:$AE$515,'Cắt lồng'!BI$4:BI$4)</f>
        <v>0</v>
      </c>
      <c r="BJ104" s="79">
        <f t="array" ref="BJ104">SUMIFS('Cắt lồng'!$AH$327:$AH$515,'Cắt lồng'!$AA$327:$AA$515,'Cắt lồng'!$AA104,'Cắt lồng'!$AE$327:$AE$515,'Cắt lồng'!BJ$4:BJ$4)</f>
        <v>0</v>
      </c>
      <c r="BK104" s="78" t="e">
        <f t="shared" si="253"/>
        <v>#DIV/0!</v>
      </c>
      <c r="BL104" s="79">
        <f t="array" ref="BL104">SUMIFS('Cắt lồng'!$AC$327:$AC$515,'Cắt lồng'!$AA$327:$AA$515,'Cắt lồng'!$AA104,'Cắt lồng'!$AE$327:$AE$515,'Cắt lồng'!BL$4:BL$4)</f>
        <v>0</v>
      </c>
      <c r="BM104" s="79">
        <f t="array" ref="BM104">SUMIFS('Cắt lồng'!$AH$327:$AH$515,'Cắt lồng'!$AA$327:$AA$515,'Cắt lồng'!$AA104,'Cắt lồng'!$AE$327:$AE$515,'Cắt lồng'!BM$4:BM$4)</f>
        <v>0</v>
      </c>
      <c r="BN104" s="78" t="e">
        <f t="shared" si="254"/>
        <v>#DIV/0!</v>
      </c>
      <c r="BO104" s="79">
        <f t="array" ref="BO104">SUMIFS('Cắt lồng'!$AC$327:$AC$515,'Cắt lồng'!$AA$327:$AA$515,'Cắt lồng'!$AA104,'Cắt lồng'!$AE$327:$AE$515,'Cắt lồng'!BO$4:BO$4)</f>
        <v>0</v>
      </c>
      <c r="BP104" s="79">
        <f t="array" ref="BP104">SUMIFS('Cắt lồng'!$AH$327:$AH$515,'Cắt lồng'!$AA$327:$AA$515,'Cắt lồng'!$AA104,'Cắt lồng'!$AE$327:$AE$515,'Cắt lồng'!BP$4:BP$4)</f>
        <v>0</v>
      </c>
      <c r="BQ104" s="78" t="e">
        <f t="shared" si="255"/>
        <v>#DIV/0!</v>
      </c>
      <c r="BR104" s="79">
        <f t="array" ref="BR104">SUMIFS('Cắt lồng'!$AC$327:$AC$515,'Cắt lồng'!$AA$327:$AA$515,'Cắt lồng'!$AA104,'Cắt lồng'!$AE$327:$AE$515,'Cắt lồng'!BR$4:BR$4)</f>
        <v>0</v>
      </c>
      <c r="BS104" s="79">
        <f t="array" ref="BS104">SUMIFS('Cắt lồng'!$AH$327:$AH$515,'Cắt lồng'!$AA$327:$AA$515,'Cắt lồng'!$AA104,'Cắt lồng'!$AE$327:$AE$515,'Cắt lồng'!BS$4:BS$4)</f>
        <v>0</v>
      </c>
      <c r="BT104" s="78" t="e">
        <f t="shared" si="256"/>
        <v>#DIV/0!</v>
      </c>
      <c r="BU104" s="79">
        <f t="array" ref="BU104">SUMIFS('Cắt lồng'!$AC$327:$AC$515,'Cắt lồng'!$AA$327:$AA$515,'Cắt lồng'!$AA104,'Cắt lồng'!$AE$327:$AE$515,'Cắt lồng'!BU$4:BU$4)</f>
        <v>0</v>
      </c>
      <c r="BV104" s="79">
        <f t="array" ref="BV104">SUMIFS('Cắt lồng'!$AH$327:$AH$515,'Cắt lồng'!$AA$327:$AA$515,'Cắt lồng'!$AA104,'Cắt lồng'!$AE$327:$AE$515,'Cắt lồng'!BV$4:BV$4)</f>
        <v>0</v>
      </c>
      <c r="BW104" s="78" t="e">
        <f t="shared" si="257"/>
        <v>#DIV/0!</v>
      </c>
      <c r="BX104" s="79">
        <f t="array" ref="BX104">SUMIFS('Cắt lồng'!$AC$327:$AC$515,'Cắt lồng'!$AA$327:$AA$515,'Cắt lồng'!$AA104,'Cắt lồng'!$AE$327:$AE$515,'Cắt lồng'!BX$4:BX$4)</f>
        <v>0</v>
      </c>
      <c r="BY104" s="79">
        <f t="array" ref="BY104">SUMIFS('Cắt lồng'!$AH$327:$AH$515,'Cắt lồng'!$AA$327:$AA$515,'Cắt lồng'!$AA104,'Cắt lồng'!$AE$327:$AE$515,'Cắt lồng'!BY$4:BY$4)</f>
        <v>0</v>
      </c>
      <c r="BZ104" s="78" t="e">
        <f t="shared" si="258"/>
        <v>#DIV/0!</v>
      </c>
      <c r="CA104" s="79">
        <f t="array" ref="CA104">SUMIFS('Cắt lồng'!$AC$327:$AC$515,'Cắt lồng'!$AA$327:$AA$515,'Cắt lồng'!$AA104,'Cắt lồng'!$AE$327:$AE$515,'Cắt lồng'!CA$4:CA$4)</f>
        <v>0</v>
      </c>
      <c r="CB104" s="79">
        <f t="array" ref="CB104">SUMIFS('Cắt lồng'!$AH$327:$AH$515,'Cắt lồng'!$AA$327:$AA$515,'Cắt lồng'!$AA104,'Cắt lồng'!$AE$327:$AE$515,'Cắt lồng'!CB$4:CB$4)</f>
        <v>0</v>
      </c>
      <c r="CC104" s="78" t="e">
        <f t="shared" si="259"/>
        <v>#DIV/0!</v>
      </c>
      <c r="CD104" s="79">
        <f t="array" ref="CD104">SUMIFS('Cắt lồng'!$AC$327:$AC$515,'Cắt lồng'!$AA$327:$AA$515,'Cắt lồng'!$AA104,'Cắt lồng'!$AE$327:$AE$515,'Cắt lồng'!CD$4:CD$4)</f>
        <v>0</v>
      </c>
      <c r="CE104" s="79">
        <f t="array" ref="CE104">SUMIFS('Cắt lồng'!$AH$327:$AH$515,'Cắt lồng'!$AA$327:$AA$515,'Cắt lồng'!$AA104,'Cắt lồng'!$AE$327:$AE$515,'Cắt lồng'!CE$4:CE$4)</f>
        <v>0</v>
      </c>
      <c r="CF104" s="78" t="e">
        <f t="shared" si="260"/>
        <v>#DIV/0!</v>
      </c>
      <c r="CG104" s="79">
        <f t="array" ref="CG104">SUMIFS('Cắt lồng'!$AC$327:$AC$515,'Cắt lồng'!$AA$327:$AA$515,'Cắt lồng'!$AA104,'Cắt lồng'!$AE$327:$AE$515,'Cắt lồng'!CG$4:CG$4)</f>
        <v>0</v>
      </c>
      <c r="CH104" s="79">
        <f t="array" ref="CH104">SUMIFS('Cắt lồng'!$AH$327:$AH$515,'Cắt lồng'!$AA$327:$AA$515,'Cắt lồng'!$AA104,'Cắt lồng'!$AE$327:$AE$515,'Cắt lồng'!CH$4:CH$4)</f>
        <v>0</v>
      </c>
      <c r="CI104" s="78" t="e">
        <f t="shared" si="261"/>
        <v>#DIV/0!</v>
      </c>
      <c r="CJ104" s="79">
        <f t="array" ref="CJ104">SUMIFS('Cắt lồng'!$AC$327:$AC$515,'Cắt lồng'!$AA$327:$AA$515,'Cắt lồng'!$AA104,'Cắt lồng'!$AE$327:$AE$515,'Cắt lồng'!CJ$4:CJ$4)</f>
        <v>0</v>
      </c>
      <c r="CK104" s="79">
        <f t="array" ref="CK104">SUMIFS('Cắt lồng'!$AH$327:$AH$515,'Cắt lồng'!$AA$327:$AA$515,'Cắt lồng'!$AA104,'Cắt lồng'!$AE$327:$AE$515,'Cắt lồng'!CK$4:CK$4)</f>
        <v>0</v>
      </c>
      <c r="CL104" s="78" t="e">
        <f t="shared" si="262"/>
        <v>#DIV/0!</v>
      </c>
      <c r="CM104" s="79">
        <f t="array" ref="CM104">SUMIFS('Cắt lồng'!$AC$327:$AC$515,'Cắt lồng'!$AA$327:$AA$515,'Cắt lồng'!$AA104,'Cắt lồng'!$AE$327:$AE$515,'Cắt lồng'!CM$4:CM$4)</f>
        <v>0</v>
      </c>
      <c r="CN104" s="79">
        <f t="array" ref="CN104">SUMIFS('Cắt lồng'!$AH$327:$AH$515,'Cắt lồng'!$AA$327:$AA$515,'Cắt lồng'!$AA104,'Cắt lồng'!$AE$327:$AE$515,'Cắt lồng'!CN$4:CN$4)</f>
        <v>0</v>
      </c>
      <c r="CO104" s="78" t="e">
        <f t="shared" si="263"/>
        <v>#DIV/0!</v>
      </c>
      <c r="CP104" s="79">
        <f t="array" ref="CP104">SUMIFS('Cắt lồng'!$AC$327:$AC$515,'Cắt lồng'!$AA$327:$AA$515,'Cắt lồng'!$AA104,'Cắt lồng'!$AE$327:$AE$515,'Cắt lồng'!CP$4:CP$4)</f>
        <v>0</v>
      </c>
      <c r="CQ104" s="79">
        <f t="array" ref="CQ104">SUMIFS('Cắt lồng'!$AH$327:$AH$515,'Cắt lồng'!$AA$327:$AA$515,'Cắt lồng'!$AA104,'Cắt lồng'!$AE$327:$AE$515,'Cắt lồng'!CQ$4:CQ$4)</f>
        <v>0</v>
      </c>
      <c r="CR104" s="78" t="e">
        <f t="shared" si="264"/>
        <v>#DIV/0!</v>
      </c>
      <c r="CS104" s="79">
        <f t="array" ref="CS104">SUMIFS('Cắt lồng'!$AC$327:$AC$515,'Cắt lồng'!$AA$327:$AA$515,'Cắt lồng'!$AA104,'Cắt lồng'!$AE$327:$AE$515,'Cắt lồng'!CS$4:CS$4)</f>
        <v>0</v>
      </c>
      <c r="CT104" s="79">
        <f t="array" ref="CT104">SUMIFS('Cắt lồng'!$AH$327:$AH$515,'Cắt lồng'!$AA$327:$AA$515,'Cắt lồng'!$AA104,'Cắt lồng'!$AE$327:$AE$515,'Cắt lồng'!CT$4:CT$4)</f>
        <v>0</v>
      </c>
      <c r="CU104" s="78" t="e">
        <f t="shared" si="265"/>
        <v>#DIV/0!</v>
      </c>
      <c r="CV104" s="79">
        <f t="array" ref="CV104">SUMIFS('Cắt lồng'!$AC$327:$AC$515,'Cắt lồng'!$AA$327:$AA$515,'Cắt lồng'!$AA104,'Cắt lồng'!$AE$327:$AE$515,'Cắt lồng'!CV$4:CV$4)</f>
        <v>0</v>
      </c>
      <c r="CW104" s="79">
        <f t="array" ref="CW104">SUMIFS('Cắt lồng'!$AH$327:$AH$515,'Cắt lồng'!$AA$327:$AA$515,'Cắt lồng'!$AA104,'Cắt lồng'!$AE$327:$AE$515,'Cắt lồng'!CW$4:CW$4)</f>
        <v>0</v>
      </c>
      <c r="CX104" s="78" t="e">
        <f t="shared" si="266"/>
        <v>#DIV/0!</v>
      </c>
      <c r="CY104" s="79">
        <f t="array" ref="CY104">SUMIFS('Cắt lồng'!$AC$327:$AC$515,'Cắt lồng'!$AA$327:$AA$515,'Cắt lồng'!$AA104,'Cắt lồng'!$AE$327:$AE$515,'Cắt lồng'!CY$4:CY$4)</f>
        <v>0</v>
      </c>
      <c r="CZ104" s="79">
        <f t="array" ref="CZ104">SUMIFS('Cắt lồng'!$AH$327:$AH$515,'Cắt lồng'!$AA$327:$AA$515,'Cắt lồng'!$AA104,'Cắt lồng'!$AE$327:$AE$515,'Cắt lồng'!CZ$4:CZ$4)</f>
        <v>0</v>
      </c>
      <c r="DA104" s="78" t="e">
        <f t="shared" si="267"/>
        <v>#DIV/0!</v>
      </c>
      <c r="DB104" s="79">
        <f t="array" ref="DB104">SUMIFS('Cắt lồng'!$AC$327:$AC$515,'Cắt lồng'!$AA$327:$AA$515,'Cắt lồng'!$AA104,'Cắt lồng'!$AE$327:$AE$515,'Cắt lồng'!DB$4:DB$4)</f>
        <v>0</v>
      </c>
      <c r="DC104" s="79">
        <f t="array" ref="DC104">SUMIFS('Cắt lồng'!$AH$327:$AH$515,'Cắt lồng'!$AA$327:$AA$515,'Cắt lồng'!$AA104,'Cắt lồng'!$AE$327:$AE$515,'Cắt lồng'!DC$4:DC$4)</f>
        <v>0</v>
      </c>
      <c r="DD104" s="78" t="e">
        <f t="shared" si="268"/>
        <v>#DIV/0!</v>
      </c>
      <c r="DE104" s="79">
        <f t="array" ref="DE104">SUMIFS('Cắt lồng'!$AC$327:$AC$515,'Cắt lồng'!$AA$327:$AA$515,'Cắt lồng'!$AA104,'Cắt lồng'!$AE$327:$AE$515,'Cắt lồng'!DE$4:DE$4)</f>
        <v>0</v>
      </c>
      <c r="DF104" s="79">
        <f t="array" ref="DF104">SUMIFS('Cắt lồng'!$AH$327:$AH$515,'Cắt lồng'!$AA$327:$AA$515,'Cắt lồng'!$AA104,'Cắt lồng'!$AE$327:$AE$515,'Cắt lồng'!DF$4:DF$4)</f>
        <v>0</v>
      </c>
      <c r="DG104" s="78" t="e">
        <f t="shared" si="269"/>
        <v>#DIV/0!</v>
      </c>
      <c r="DH104" s="79">
        <f t="array" ref="DH104">SUMIFS('Cắt lồng'!$AC$327:$AC$515,'Cắt lồng'!$AA$327:$AA$515,'Cắt lồng'!$AA104,'Cắt lồng'!$AE$327:$AE$515,'Cắt lồng'!DH$4:DH$4)</f>
        <v>0</v>
      </c>
      <c r="DI104" s="79">
        <f t="array" ref="DI104">SUMIFS('Cắt lồng'!$AH$327:$AH$515,'Cắt lồng'!$AA$327:$AA$515,'Cắt lồng'!$AA104,'Cắt lồng'!$AE$327:$AE$515,'Cắt lồng'!DI$4:DI$4)</f>
        <v>0</v>
      </c>
      <c r="DJ104" s="78" t="e">
        <f t="shared" si="270"/>
        <v>#DIV/0!</v>
      </c>
      <c r="DK104" s="79">
        <f t="array" ref="DK104">SUMIFS('Cắt lồng'!$AC$327:$AC$515,'Cắt lồng'!$AA$327:$AA$515,'Cắt lồng'!$AA104,'Cắt lồng'!$AE$327:$AE$515,'Cắt lồng'!DK$4:DK$4)</f>
        <v>0</v>
      </c>
      <c r="DL104" s="79">
        <f t="array" ref="DL104">SUMIFS('Cắt lồng'!$AH$327:$AH$515,'Cắt lồng'!$AA$327:$AA$515,'Cắt lồng'!$AA104,'Cắt lồng'!$AE$327:$AE$515,'Cắt lồng'!DL$4:DL$4)</f>
        <v>0</v>
      </c>
      <c r="DM104" s="78" t="e">
        <f t="shared" si="271"/>
        <v>#DIV/0!</v>
      </c>
      <c r="DN104" s="79">
        <f t="array" ref="DN104">SUMIFS('Cắt lồng'!$AC$327:$AC$515,'Cắt lồng'!$AA$327:$AA$515,'Cắt lồng'!$AA104,'Cắt lồng'!$AE$327:$AE$515,'Cắt lồng'!DN$4:DN$4)</f>
        <v>0</v>
      </c>
      <c r="DO104" s="79">
        <f t="array" ref="DO104">SUMIFS('Cắt lồng'!$AH$327:$AH$515,'Cắt lồng'!$AA$327:$AA$515,'Cắt lồng'!$AA104,'Cắt lồng'!$AE$327:$AE$515,'Cắt lồng'!DO$4:DO$4)</f>
        <v>0</v>
      </c>
      <c r="DP104" s="78" t="e">
        <f t="shared" si="272"/>
        <v>#DIV/0!</v>
      </c>
      <c r="DQ104" s="79">
        <f t="array" ref="DQ104">SUMIFS('Cắt lồng'!$AC$327:$AC$515,'Cắt lồng'!$AA$327:$AA$515,'Cắt lồng'!$AA104,'Cắt lồng'!$AE$327:$AE$515,'Cắt lồng'!DQ$4:DQ$4)</f>
        <v>0</v>
      </c>
      <c r="DR104" s="79">
        <f t="array" ref="DR104">SUMIFS('Cắt lồng'!$AH$327:$AH$515,'Cắt lồng'!$AA$327:$AA$515,'Cắt lồng'!$AA104,'Cắt lồng'!$AE$327:$AE$515,'Cắt lồng'!DR$4:DR$4)</f>
        <v>0</v>
      </c>
      <c r="DS104" s="78" t="e">
        <f t="shared" si="273"/>
        <v>#DIV/0!</v>
      </c>
      <c r="DT104" s="79">
        <f t="array" ref="DT104">SUMIFS('Cắt lồng'!$AC$327:$AC$515,'Cắt lồng'!$AA$327:$AA$515,'Cắt lồng'!$AA104,'Cắt lồng'!$AE$327:$AE$515,'Cắt lồng'!DT$4:DT$4)</f>
        <v>0</v>
      </c>
      <c r="DU104" s="79">
        <f t="array" ref="DU104">SUMIFS('Cắt lồng'!$AH$327:$AH$515,'Cắt lồng'!$AA$327:$AA$515,'Cắt lồng'!$AA104,'Cắt lồng'!$AE$327:$AE$515,'Cắt lồng'!DU$4:DU$4)</f>
        <v>0</v>
      </c>
      <c r="DV104" s="78" t="e">
        <f t="shared" si="274"/>
        <v>#DIV/0!</v>
      </c>
      <c r="DW104" s="79">
        <f t="array" ref="DW104">SUMIFS('Cắt lồng'!$AC$327:$AC$515,'Cắt lồng'!$AA$327:$AA$515,'Cắt lồng'!$AA104,'Cắt lồng'!$AE$327:$AE$515,'Cắt lồng'!DW$4:DW$4)</f>
        <v>0</v>
      </c>
      <c r="DX104" s="79">
        <f t="array" ref="DX104">SUMIFS('Cắt lồng'!$AH$327:$AH$515,'Cắt lồng'!$AA$327:$AA$515,'Cắt lồng'!$AA104,'Cắt lồng'!$AE$327:$AE$515,'Cắt lồng'!DX$4:DX$4)</f>
        <v>0</v>
      </c>
      <c r="DY104" s="78" t="e">
        <f t="shared" si="275"/>
        <v>#DIV/0!</v>
      </c>
      <c r="DZ104" s="79">
        <f t="array" ref="DZ104">SUMIFS('Cắt lồng'!$AC$327:$AC$515,'Cắt lồng'!$AA$327:$AA$515,'Cắt lồng'!$AA104,'Cắt lồng'!$AE$327:$AE$515,'Cắt lồng'!DZ$4:DZ$4)</f>
        <v>0</v>
      </c>
      <c r="EA104" s="79">
        <f t="array" ref="EA104">SUMIFS('Cắt lồng'!$AH$327:$AH$515,'Cắt lồng'!$AA$327:$AA$515,'Cắt lồng'!$AA104,'Cắt lồng'!$AE$327:$AE$515,'Cắt lồng'!EA$4:EA$4)</f>
        <v>0</v>
      </c>
      <c r="EB104" s="78" t="e">
        <f t="shared" si="276"/>
        <v>#DIV/0!</v>
      </c>
      <c r="EC104" s="79">
        <f t="array" ref="EC104">SUMIFS('Cắt lồng'!$AC$327:$AC$515,'Cắt lồng'!$AA$327:$AA$515,'Cắt lồng'!$AA104,'Cắt lồng'!$AE$327:$AE$515,'Cắt lồng'!EC$4:EC$4)</f>
        <v>0</v>
      </c>
      <c r="ED104" s="79">
        <f t="array" ref="ED104">SUMIFS('Cắt lồng'!$AH$327:$AH$515,'Cắt lồng'!$AA$327:$AA$515,'Cắt lồng'!$AA104,'Cắt lồng'!$AE$327:$AE$515,'Cắt lồng'!ED$4:ED$4)</f>
        <v>0</v>
      </c>
      <c r="EE104" s="78" t="e">
        <f t="shared" si="277"/>
        <v>#DIV/0!</v>
      </c>
      <c r="EF104" s="79">
        <f t="array" ref="EF104">SUMIFS('Cắt lồng'!$AC$327:$AC$515,'Cắt lồng'!$AA$327:$AA$515,'Cắt lồng'!$AA104,'Cắt lồng'!$AE$327:$AE$515,'Cắt lồng'!EF$4:EF$4)</f>
        <v>0</v>
      </c>
      <c r="EG104" s="79">
        <f t="array" ref="EG104">SUMIFS('Cắt lồng'!$AH$327:$AH$515,'Cắt lồng'!$AA$327:$AA$515,'Cắt lồng'!$AA104,'Cắt lồng'!$AE$327:$AE$515,'Cắt lồng'!EG$4:EG$4)</f>
        <v>0</v>
      </c>
      <c r="EH104" s="78" t="e">
        <f t="shared" si="278"/>
        <v>#DIV/0!</v>
      </c>
      <c r="EI104" s="79">
        <f t="array" ref="EI104">SUMIFS('Cắt lồng'!$AC$327:$AC$515,'Cắt lồng'!$AA$327:$AA$515,'Cắt lồng'!$AA104,'Cắt lồng'!$AE$327:$AE$515,'Cắt lồng'!EI$4:EI$4)</f>
        <v>0</v>
      </c>
      <c r="EJ104" s="79">
        <f t="array" ref="EJ104">SUMIFS('Cắt lồng'!$AH$327:$AH$515,'Cắt lồng'!$AA$327:$AA$515,'Cắt lồng'!$AA104,'Cắt lồng'!$AE$327:$AE$515,'Cắt lồng'!EJ$4:EJ$4)</f>
        <v>0</v>
      </c>
      <c r="EK104" s="78" t="e">
        <f t="shared" si="279"/>
        <v>#DIV/0!</v>
      </c>
    </row>
    <row r="105" spans="1:150" s="83" customFormat="1" ht="14.25" hidden="1" customHeight="1">
      <c r="A105" s="30">
        <v>73</v>
      </c>
      <c r="B105" s="27"/>
      <c r="C105" s="30"/>
      <c r="D105" s="117"/>
      <c r="E105" s="119"/>
      <c r="F105" s="115"/>
      <c r="G105" s="82">
        <f t="shared" si="212"/>
        <v>0</v>
      </c>
      <c r="H105" s="81">
        <f t="shared" si="213"/>
        <v>0</v>
      </c>
      <c r="I105" s="19">
        <f t="shared" si="214"/>
        <v>0</v>
      </c>
      <c r="J105" s="11">
        <f t="shared" si="215"/>
        <v>0</v>
      </c>
      <c r="K105" s="19">
        <f t="shared" si="216"/>
        <v>0</v>
      </c>
      <c r="L105" s="19">
        <f t="shared" si="217"/>
        <v>0</v>
      </c>
      <c r="M105" s="19">
        <f t="shared" si="218"/>
        <v>0</v>
      </c>
      <c r="N105" s="19">
        <f t="shared" si="219"/>
        <v>0</v>
      </c>
      <c r="O105" s="19">
        <f t="shared" si="220"/>
        <v>0</v>
      </c>
      <c r="P105" s="19">
        <f t="shared" si="221"/>
        <v>0</v>
      </c>
      <c r="Q105" s="19">
        <f t="shared" si="222"/>
        <v>0</v>
      </c>
      <c r="R105" s="19">
        <f t="shared" si="223"/>
        <v>0</v>
      </c>
      <c r="S105" s="19">
        <f t="shared" si="224"/>
        <v>0</v>
      </c>
      <c r="T105" s="19">
        <f t="shared" si="225"/>
        <v>0</v>
      </c>
      <c r="U105" s="19">
        <f t="shared" si="226"/>
        <v>0</v>
      </c>
      <c r="V105" s="19">
        <f t="shared" si="227"/>
        <v>0</v>
      </c>
      <c r="W105" s="19">
        <f t="shared" si="228"/>
        <v>0</v>
      </c>
      <c r="X105" s="19">
        <f t="shared" si="229"/>
        <v>0</v>
      </c>
      <c r="Y105" s="19">
        <f t="shared" si="230"/>
        <v>0</v>
      </c>
      <c r="Z105" s="19">
        <f t="shared" si="231"/>
        <v>0</v>
      </c>
      <c r="AA105" s="164">
        <v>2431</v>
      </c>
      <c r="AB105" s="17" t="e">
        <f>+H105*SUMIF('[1]KẾ HOẠCH'!$B$5:$CK$5,'Cắt lồng'!AA105,'[1]KẾ HOẠCH'!$B$6:$CK$6)+H105*SUMIF('[1]KẾ HOẠCH'!$B$7:$CK$7,'Cắt lồng'!AA105,'[1]KẾ HOẠCH'!$B$8:$CK$8)+H105*SUMIF('[1]KẾ HOẠCH'!$B$15:$CK$15,'Cắt lồng'!AA105,'[1]KẾ HOẠCH'!$B$16:$CK$16)</f>
        <v>#VALUE!</v>
      </c>
      <c r="AC105" s="16">
        <f t="shared" si="232"/>
        <v>0</v>
      </c>
      <c r="AD105" s="15" t="e">
        <f t="shared" si="233"/>
        <v>#VALUE!</v>
      </c>
      <c r="AE105" s="42"/>
      <c r="AF105" s="112" t="e">
        <f t="shared" si="234"/>
        <v>#DIV/0!</v>
      </c>
      <c r="AG105" s="112"/>
      <c r="AH105" s="112">
        <f t="shared" si="235"/>
        <v>0</v>
      </c>
      <c r="AI105" s="111" t="e">
        <f t="shared" si="236"/>
        <v>#DIV/0!</v>
      </c>
      <c r="AJ105" s="20">
        <f t="shared" si="237"/>
        <v>0</v>
      </c>
      <c r="AK105" s="30">
        <f t="shared" si="238"/>
        <v>0</v>
      </c>
      <c r="AL105" s="30">
        <f t="shared" si="239"/>
        <v>0</v>
      </c>
      <c r="AM105" s="30">
        <f t="shared" si="240"/>
        <v>0</v>
      </c>
      <c r="AN105" s="30">
        <f t="shared" si="241"/>
        <v>0</v>
      </c>
      <c r="AO105" s="30">
        <f t="shared" si="242"/>
        <v>0</v>
      </c>
      <c r="AP105" s="30">
        <f t="shared" si="243"/>
        <v>0</v>
      </c>
      <c r="AQ105" s="30">
        <f t="shared" si="244"/>
        <v>0</v>
      </c>
      <c r="AR105" s="30">
        <f t="shared" si="245"/>
        <v>0</v>
      </c>
      <c r="AS105" s="30">
        <f t="shared" si="246"/>
        <v>0</v>
      </c>
      <c r="AT105" s="30">
        <f t="shared" si="247"/>
        <v>0</v>
      </c>
      <c r="AU105" s="80"/>
      <c r="AV105" s="110">
        <f t="shared" si="248"/>
        <v>0</v>
      </c>
      <c r="AW105" s="79">
        <f t="array" ref="AW105">SUMIFS('Cắt lồng'!$AC$327:$AC$515,'Cắt lồng'!$AA$327:$AA$515,'Cắt lồng'!$AA105,'Cắt lồng'!$AE$327:$AE$515,'Cắt lồng'!AW$4:AW$4)</f>
        <v>0</v>
      </c>
      <c r="AX105" s="79">
        <f t="array" ref="AX105">SUMIFS('Cắt lồng'!$AH$327:$AH$515,'Cắt lồng'!$AA$327:$AA$515,'Cắt lồng'!$AA105,'Cắt lồng'!$AE$327:$AE$515,'Cắt lồng'!AX$4:AX$4)</f>
        <v>0</v>
      </c>
      <c r="AY105" s="109" t="e">
        <f t="shared" si="249"/>
        <v>#DIV/0!</v>
      </c>
      <c r="AZ105" s="79">
        <f t="array" ref="AZ105">SUMIFS('Cắt lồng'!$AC$327:$AC$515,'Cắt lồng'!$AA$327:$AA$515,'Cắt lồng'!$AA105,'Cắt lồng'!$AE$327:$AE$515,'Cắt lồng'!AZ$4:AZ$4)</f>
        <v>0</v>
      </c>
      <c r="BA105" s="79">
        <f t="array" ref="BA105">SUMIFS('Cắt lồng'!$AH$327:$AH$515,'Cắt lồng'!$AA$327:$AA$515,'Cắt lồng'!$AA105,'Cắt lồng'!$AE$327:$AE$515,'Cắt lồng'!BA$4:BA$4)</f>
        <v>0</v>
      </c>
      <c r="BB105" s="109" t="e">
        <f t="shared" si="250"/>
        <v>#DIV/0!</v>
      </c>
      <c r="BC105" s="79">
        <f t="array" ref="BC105">SUMIFS('Cắt lồng'!$AC$327:$AC$515,'Cắt lồng'!$AA$327:$AA$515,'Cắt lồng'!$AA105,'Cắt lồng'!$AE$327:$AE$515,'Cắt lồng'!BC$4:BC$4)</f>
        <v>0</v>
      </c>
      <c r="BD105" s="79">
        <f t="array" ref="BD105">SUMIFS('Cắt lồng'!$AH$327:$AH$515,'Cắt lồng'!$AA$327:$AA$515,'Cắt lồng'!$AA105,'Cắt lồng'!$AE$327:$AE$515,'Cắt lồng'!BD$4:BD$4)</f>
        <v>0</v>
      </c>
      <c r="BE105" s="109" t="e">
        <f t="shared" si="251"/>
        <v>#DIV/0!</v>
      </c>
      <c r="BF105" s="79">
        <f t="array" ref="BF105">SUMIFS('Cắt lồng'!$AC$327:$AC$515,'Cắt lồng'!$AA$327:$AA$515,'Cắt lồng'!$AA105,'Cắt lồng'!$AE$327:$AE$515,'Cắt lồng'!BF$4:BF$4)</f>
        <v>0</v>
      </c>
      <c r="BG105" s="79">
        <f t="array" ref="BG105">SUMIFS('Cắt lồng'!$AH$327:$AH$515,'Cắt lồng'!$AA$327:$AA$515,'Cắt lồng'!$AA105,'Cắt lồng'!$AE$327:$AE$515,'Cắt lồng'!BG$4:BG$4)</f>
        <v>0</v>
      </c>
      <c r="BH105" s="109" t="e">
        <f t="shared" si="252"/>
        <v>#DIV/0!</v>
      </c>
      <c r="BI105" s="79">
        <f t="array" ref="BI105">SUMIFS('Cắt lồng'!$AC$327:$AC$515,'Cắt lồng'!$AA$327:$AA$515,'Cắt lồng'!$AA105,'Cắt lồng'!$AE$327:$AE$515,'Cắt lồng'!BI$4:BI$4)</f>
        <v>0</v>
      </c>
      <c r="BJ105" s="79">
        <f t="array" ref="BJ105">SUMIFS('Cắt lồng'!$AH$327:$AH$515,'Cắt lồng'!$AA$327:$AA$515,'Cắt lồng'!$AA105,'Cắt lồng'!$AE$327:$AE$515,'Cắt lồng'!BJ$4:BJ$4)</f>
        <v>0</v>
      </c>
      <c r="BK105" s="109" t="e">
        <f t="shared" si="253"/>
        <v>#DIV/0!</v>
      </c>
      <c r="BL105" s="79">
        <f t="array" ref="BL105">SUMIFS('Cắt lồng'!$AC$327:$AC$515,'Cắt lồng'!$AA$327:$AA$515,'Cắt lồng'!$AA105,'Cắt lồng'!$AE$327:$AE$515,'Cắt lồng'!BL$4:BL$4)</f>
        <v>0</v>
      </c>
      <c r="BM105" s="79">
        <f t="array" ref="BM105">SUMIFS('Cắt lồng'!$AH$327:$AH$515,'Cắt lồng'!$AA$327:$AA$515,'Cắt lồng'!$AA105,'Cắt lồng'!$AE$327:$AE$515,'Cắt lồng'!BM$4:BM$4)</f>
        <v>0</v>
      </c>
      <c r="BN105" s="109" t="e">
        <f t="shared" si="254"/>
        <v>#DIV/0!</v>
      </c>
      <c r="BO105" s="79">
        <f t="array" ref="BO105">SUMIFS('Cắt lồng'!$AC$327:$AC$515,'Cắt lồng'!$AA$327:$AA$515,'Cắt lồng'!$AA105,'Cắt lồng'!$AE$327:$AE$515,'Cắt lồng'!BO$4:BO$4)</f>
        <v>0</v>
      </c>
      <c r="BP105" s="79">
        <f t="array" ref="BP105">SUMIFS('Cắt lồng'!$AH$327:$AH$515,'Cắt lồng'!$AA$327:$AA$515,'Cắt lồng'!$AA105,'Cắt lồng'!$AE$327:$AE$515,'Cắt lồng'!BP$4:BP$4)</f>
        <v>0</v>
      </c>
      <c r="BQ105" s="109" t="e">
        <f t="shared" si="255"/>
        <v>#DIV/0!</v>
      </c>
      <c r="BR105" s="79">
        <f t="array" ref="BR105">SUMIFS('Cắt lồng'!$AC$327:$AC$515,'Cắt lồng'!$AA$327:$AA$515,'Cắt lồng'!$AA105,'Cắt lồng'!$AE$327:$AE$515,'Cắt lồng'!BR$4:BR$4)</f>
        <v>0</v>
      </c>
      <c r="BS105" s="79">
        <f t="array" ref="BS105">SUMIFS('Cắt lồng'!$AH$327:$AH$515,'Cắt lồng'!$AA$327:$AA$515,'Cắt lồng'!$AA105,'Cắt lồng'!$AE$327:$AE$515,'Cắt lồng'!BS$4:BS$4)</f>
        <v>0</v>
      </c>
      <c r="BT105" s="109" t="e">
        <f t="shared" si="256"/>
        <v>#DIV/0!</v>
      </c>
      <c r="BU105" s="79">
        <f t="array" ref="BU105">SUMIFS('Cắt lồng'!$AC$327:$AC$515,'Cắt lồng'!$AA$327:$AA$515,'Cắt lồng'!$AA105,'Cắt lồng'!$AE$327:$AE$515,'Cắt lồng'!BU$4:BU$4)</f>
        <v>0</v>
      </c>
      <c r="BV105" s="79">
        <f t="array" ref="BV105">SUMIFS('Cắt lồng'!$AH$327:$AH$515,'Cắt lồng'!$AA$327:$AA$515,'Cắt lồng'!$AA105,'Cắt lồng'!$AE$327:$AE$515,'Cắt lồng'!BV$4:BV$4)</f>
        <v>0</v>
      </c>
      <c r="BW105" s="109" t="e">
        <f t="shared" si="257"/>
        <v>#DIV/0!</v>
      </c>
      <c r="BX105" s="79">
        <f t="array" ref="BX105">SUMIFS('Cắt lồng'!$AC$327:$AC$515,'Cắt lồng'!$AA$327:$AA$515,'Cắt lồng'!$AA105,'Cắt lồng'!$AE$327:$AE$515,'Cắt lồng'!BX$4:BX$4)</f>
        <v>0</v>
      </c>
      <c r="BY105" s="79">
        <f t="array" ref="BY105">SUMIFS('Cắt lồng'!$AH$327:$AH$515,'Cắt lồng'!$AA$327:$AA$515,'Cắt lồng'!$AA105,'Cắt lồng'!$AE$327:$AE$515,'Cắt lồng'!BY$4:BY$4)</f>
        <v>0</v>
      </c>
      <c r="BZ105" s="109" t="e">
        <f t="shared" si="258"/>
        <v>#DIV/0!</v>
      </c>
      <c r="CA105" s="79">
        <f t="array" ref="CA105">SUMIFS('Cắt lồng'!$AC$327:$AC$515,'Cắt lồng'!$AA$327:$AA$515,'Cắt lồng'!$AA105,'Cắt lồng'!$AE$327:$AE$515,'Cắt lồng'!CA$4:CA$4)</f>
        <v>0</v>
      </c>
      <c r="CB105" s="79">
        <f t="array" ref="CB105">SUMIFS('Cắt lồng'!$AH$327:$AH$515,'Cắt lồng'!$AA$327:$AA$515,'Cắt lồng'!$AA105,'Cắt lồng'!$AE$327:$AE$515,'Cắt lồng'!CB$4:CB$4)</f>
        <v>0</v>
      </c>
      <c r="CC105" s="109" t="e">
        <f t="shared" si="259"/>
        <v>#DIV/0!</v>
      </c>
      <c r="CD105" s="79">
        <f t="array" ref="CD105">SUMIFS('Cắt lồng'!$AC$327:$AC$515,'Cắt lồng'!$AA$327:$AA$515,'Cắt lồng'!$AA105,'Cắt lồng'!$AE$327:$AE$515,'Cắt lồng'!CD$4:CD$4)</f>
        <v>0</v>
      </c>
      <c r="CE105" s="79">
        <f t="array" ref="CE105">SUMIFS('Cắt lồng'!$AH$327:$AH$515,'Cắt lồng'!$AA$327:$AA$515,'Cắt lồng'!$AA105,'Cắt lồng'!$AE$327:$AE$515,'Cắt lồng'!CE$4:CE$4)</f>
        <v>0</v>
      </c>
      <c r="CF105" s="109" t="e">
        <f t="shared" si="260"/>
        <v>#DIV/0!</v>
      </c>
      <c r="CG105" s="79">
        <f t="array" ref="CG105">SUMIFS('Cắt lồng'!$AC$327:$AC$515,'Cắt lồng'!$AA$327:$AA$515,'Cắt lồng'!$AA105,'Cắt lồng'!$AE$327:$AE$515,'Cắt lồng'!CG$4:CG$4)</f>
        <v>0</v>
      </c>
      <c r="CH105" s="79">
        <f t="array" ref="CH105">SUMIFS('Cắt lồng'!$AH$327:$AH$515,'Cắt lồng'!$AA$327:$AA$515,'Cắt lồng'!$AA105,'Cắt lồng'!$AE$327:$AE$515,'Cắt lồng'!CH$4:CH$4)</f>
        <v>0</v>
      </c>
      <c r="CI105" s="109" t="e">
        <f t="shared" si="261"/>
        <v>#DIV/0!</v>
      </c>
      <c r="CJ105" s="79">
        <f t="array" ref="CJ105">SUMIFS('Cắt lồng'!$AC$327:$AC$515,'Cắt lồng'!$AA$327:$AA$515,'Cắt lồng'!$AA105,'Cắt lồng'!$AE$327:$AE$515,'Cắt lồng'!CJ$4:CJ$4)</f>
        <v>0</v>
      </c>
      <c r="CK105" s="79">
        <f t="array" ref="CK105">SUMIFS('Cắt lồng'!$AH$327:$AH$515,'Cắt lồng'!$AA$327:$AA$515,'Cắt lồng'!$AA105,'Cắt lồng'!$AE$327:$AE$515,'Cắt lồng'!CK$4:CK$4)</f>
        <v>0</v>
      </c>
      <c r="CL105" s="109" t="e">
        <f t="shared" si="262"/>
        <v>#DIV/0!</v>
      </c>
      <c r="CM105" s="79">
        <f t="array" ref="CM105">SUMIFS('Cắt lồng'!$AC$327:$AC$515,'Cắt lồng'!$AA$327:$AA$515,'Cắt lồng'!$AA105,'Cắt lồng'!$AE$327:$AE$515,'Cắt lồng'!CM$4:CM$4)</f>
        <v>0</v>
      </c>
      <c r="CN105" s="79">
        <f t="array" ref="CN105">SUMIFS('Cắt lồng'!$AH$327:$AH$515,'Cắt lồng'!$AA$327:$AA$515,'Cắt lồng'!$AA105,'Cắt lồng'!$AE$327:$AE$515,'Cắt lồng'!CN$4:CN$4)</f>
        <v>0</v>
      </c>
      <c r="CO105" s="109" t="e">
        <f t="shared" si="263"/>
        <v>#DIV/0!</v>
      </c>
      <c r="CP105" s="79">
        <f t="array" ref="CP105">SUMIFS('Cắt lồng'!$AC$327:$AC$515,'Cắt lồng'!$AA$327:$AA$515,'Cắt lồng'!$AA105,'Cắt lồng'!$AE$327:$AE$515,'Cắt lồng'!CP$4:CP$4)</f>
        <v>0</v>
      </c>
      <c r="CQ105" s="79">
        <f t="array" ref="CQ105">SUMIFS('Cắt lồng'!$AH$327:$AH$515,'Cắt lồng'!$AA$327:$AA$515,'Cắt lồng'!$AA105,'Cắt lồng'!$AE$327:$AE$515,'Cắt lồng'!CQ$4:CQ$4)</f>
        <v>0</v>
      </c>
      <c r="CR105" s="109" t="e">
        <f t="shared" si="264"/>
        <v>#DIV/0!</v>
      </c>
      <c r="CS105" s="79">
        <f t="array" ref="CS105">SUMIFS('Cắt lồng'!$AC$327:$AC$515,'Cắt lồng'!$AA$327:$AA$515,'Cắt lồng'!$AA105,'Cắt lồng'!$AE$327:$AE$515,'Cắt lồng'!CS$4:CS$4)</f>
        <v>0</v>
      </c>
      <c r="CT105" s="79">
        <f t="array" ref="CT105">SUMIFS('Cắt lồng'!$AH$327:$AH$515,'Cắt lồng'!$AA$327:$AA$515,'Cắt lồng'!$AA105,'Cắt lồng'!$AE$327:$AE$515,'Cắt lồng'!CT$4:CT$4)</f>
        <v>0</v>
      </c>
      <c r="CU105" s="109" t="e">
        <f t="shared" si="265"/>
        <v>#DIV/0!</v>
      </c>
      <c r="CV105" s="79">
        <f t="array" ref="CV105">SUMIFS('Cắt lồng'!$AC$327:$AC$515,'Cắt lồng'!$AA$327:$AA$515,'Cắt lồng'!$AA105,'Cắt lồng'!$AE$327:$AE$515,'Cắt lồng'!CV$4:CV$4)</f>
        <v>0</v>
      </c>
      <c r="CW105" s="79">
        <f t="array" ref="CW105">SUMIFS('Cắt lồng'!$AH$327:$AH$515,'Cắt lồng'!$AA$327:$AA$515,'Cắt lồng'!$AA105,'Cắt lồng'!$AE$327:$AE$515,'Cắt lồng'!CW$4:CW$4)</f>
        <v>0</v>
      </c>
      <c r="CX105" s="109" t="e">
        <f t="shared" si="266"/>
        <v>#DIV/0!</v>
      </c>
      <c r="CY105" s="79">
        <f t="array" ref="CY105">SUMIFS('Cắt lồng'!$AC$327:$AC$515,'Cắt lồng'!$AA$327:$AA$515,'Cắt lồng'!$AA105,'Cắt lồng'!$AE$327:$AE$515,'Cắt lồng'!CY$4:CY$4)</f>
        <v>0</v>
      </c>
      <c r="CZ105" s="79">
        <f t="array" ref="CZ105">SUMIFS('Cắt lồng'!$AH$327:$AH$515,'Cắt lồng'!$AA$327:$AA$515,'Cắt lồng'!$AA105,'Cắt lồng'!$AE$327:$AE$515,'Cắt lồng'!CZ$4:CZ$4)</f>
        <v>0</v>
      </c>
      <c r="DA105" s="109" t="e">
        <f t="shared" si="267"/>
        <v>#DIV/0!</v>
      </c>
      <c r="DB105" s="79">
        <f t="array" ref="DB105">SUMIFS('Cắt lồng'!$AC$327:$AC$515,'Cắt lồng'!$AA$327:$AA$515,'Cắt lồng'!$AA105,'Cắt lồng'!$AE$327:$AE$515,'Cắt lồng'!DB$4:DB$4)</f>
        <v>0</v>
      </c>
      <c r="DC105" s="79">
        <f t="array" ref="DC105">SUMIFS('Cắt lồng'!$AH$327:$AH$515,'Cắt lồng'!$AA$327:$AA$515,'Cắt lồng'!$AA105,'Cắt lồng'!$AE$327:$AE$515,'Cắt lồng'!DC$4:DC$4)</f>
        <v>0</v>
      </c>
      <c r="DD105" s="109" t="e">
        <f t="shared" si="268"/>
        <v>#DIV/0!</v>
      </c>
      <c r="DE105" s="79">
        <f t="array" ref="DE105">SUMIFS('Cắt lồng'!$AC$327:$AC$515,'Cắt lồng'!$AA$327:$AA$515,'Cắt lồng'!$AA105,'Cắt lồng'!$AE$327:$AE$515,'Cắt lồng'!DE$4:DE$4)</f>
        <v>0</v>
      </c>
      <c r="DF105" s="79">
        <f t="array" ref="DF105">SUMIFS('Cắt lồng'!$AH$327:$AH$515,'Cắt lồng'!$AA$327:$AA$515,'Cắt lồng'!$AA105,'Cắt lồng'!$AE$327:$AE$515,'Cắt lồng'!DF$4:DF$4)</f>
        <v>0</v>
      </c>
      <c r="DG105" s="109" t="e">
        <f t="shared" si="269"/>
        <v>#DIV/0!</v>
      </c>
      <c r="DH105" s="79">
        <f t="array" ref="DH105">SUMIFS('Cắt lồng'!$AC$327:$AC$515,'Cắt lồng'!$AA$327:$AA$515,'Cắt lồng'!$AA105,'Cắt lồng'!$AE$327:$AE$515,'Cắt lồng'!DH$4:DH$4)</f>
        <v>0</v>
      </c>
      <c r="DI105" s="79">
        <f t="array" ref="DI105">SUMIFS('Cắt lồng'!$AH$327:$AH$515,'Cắt lồng'!$AA$327:$AA$515,'Cắt lồng'!$AA105,'Cắt lồng'!$AE$327:$AE$515,'Cắt lồng'!DI$4:DI$4)</f>
        <v>0</v>
      </c>
      <c r="DJ105" s="109" t="e">
        <f t="shared" si="270"/>
        <v>#DIV/0!</v>
      </c>
      <c r="DK105" s="79">
        <f t="array" ref="DK105">SUMIFS('Cắt lồng'!$AC$327:$AC$515,'Cắt lồng'!$AA$327:$AA$515,'Cắt lồng'!$AA105,'Cắt lồng'!$AE$327:$AE$515,'Cắt lồng'!DK$4:DK$4)</f>
        <v>0</v>
      </c>
      <c r="DL105" s="79">
        <f t="array" ref="DL105">SUMIFS('Cắt lồng'!$AH$327:$AH$515,'Cắt lồng'!$AA$327:$AA$515,'Cắt lồng'!$AA105,'Cắt lồng'!$AE$327:$AE$515,'Cắt lồng'!DL$4:DL$4)</f>
        <v>0</v>
      </c>
      <c r="DM105" s="109" t="e">
        <f t="shared" si="271"/>
        <v>#DIV/0!</v>
      </c>
      <c r="DN105" s="79">
        <f t="array" ref="DN105">SUMIFS('Cắt lồng'!$AC$327:$AC$515,'Cắt lồng'!$AA$327:$AA$515,'Cắt lồng'!$AA105,'Cắt lồng'!$AE$327:$AE$515,'Cắt lồng'!DN$4:DN$4)</f>
        <v>0</v>
      </c>
      <c r="DO105" s="79">
        <f t="array" ref="DO105">SUMIFS('Cắt lồng'!$AH$327:$AH$515,'Cắt lồng'!$AA$327:$AA$515,'Cắt lồng'!$AA105,'Cắt lồng'!$AE$327:$AE$515,'Cắt lồng'!DO$4:DO$4)</f>
        <v>0</v>
      </c>
      <c r="DP105" s="109" t="e">
        <f t="shared" si="272"/>
        <v>#DIV/0!</v>
      </c>
      <c r="DQ105" s="79">
        <f t="array" ref="DQ105">SUMIFS('Cắt lồng'!$AC$327:$AC$515,'Cắt lồng'!$AA$327:$AA$515,'Cắt lồng'!$AA105,'Cắt lồng'!$AE$327:$AE$515,'Cắt lồng'!DQ$4:DQ$4)</f>
        <v>0</v>
      </c>
      <c r="DR105" s="79">
        <f t="array" ref="DR105">SUMIFS('Cắt lồng'!$AH$327:$AH$515,'Cắt lồng'!$AA$327:$AA$515,'Cắt lồng'!$AA105,'Cắt lồng'!$AE$327:$AE$515,'Cắt lồng'!DR$4:DR$4)</f>
        <v>0</v>
      </c>
      <c r="DS105" s="109" t="e">
        <f t="shared" si="273"/>
        <v>#DIV/0!</v>
      </c>
      <c r="DT105" s="79">
        <f t="array" ref="DT105">SUMIFS('Cắt lồng'!$AC$327:$AC$515,'Cắt lồng'!$AA$327:$AA$515,'Cắt lồng'!$AA105,'Cắt lồng'!$AE$327:$AE$515,'Cắt lồng'!DT$4:DT$4)</f>
        <v>0</v>
      </c>
      <c r="DU105" s="79">
        <f t="array" ref="DU105">SUMIFS('Cắt lồng'!$AH$327:$AH$515,'Cắt lồng'!$AA$327:$AA$515,'Cắt lồng'!$AA105,'Cắt lồng'!$AE$327:$AE$515,'Cắt lồng'!DU$4:DU$4)</f>
        <v>0</v>
      </c>
      <c r="DV105" s="109" t="e">
        <f t="shared" si="274"/>
        <v>#DIV/0!</v>
      </c>
      <c r="DW105" s="79">
        <f t="array" ref="DW105">SUMIFS('Cắt lồng'!$AC$327:$AC$515,'Cắt lồng'!$AA$327:$AA$515,'Cắt lồng'!$AA105,'Cắt lồng'!$AE$327:$AE$515,'Cắt lồng'!DW$4:DW$4)</f>
        <v>0</v>
      </c>
      <c r="DX105" s="79">
        <f t="array" ref="DX105">SUMIFS('Cắt lồng'!$AH$327:$AH$515,'Cắt lồng'!$AA$327:$AA$515,'Cắt lồng'!$AA105,'Cắt lồng'!$AE$327:$AE$515,'Cắt lồng'!DX$4:DX$4)</f>
        <v>0</v>
      </c>
      <c r="DY105" s="109" t="e">
        <f t="shared" si="275"/>
        <v>#DIV/0!</v>
      </c>
      <c r="DZ105" s="79">
        <f t="array" ref="DZ105">SUMIFS('Cắt lồng'!$AC$327:$AC$515,'Cắt lồng'!$AA$327:$AA$515,'Cắt lồng'!$AA105,'Cắt lồng'!$AE$327:$AE$515,'Cắt lồng'!DZ$4:DZ$4)</f>
        <v>0</v>
      </c>
      <c r="EA105" s="79">
        <f t="array" ref="EA105">SUMIFS('Cắt lồng'!$AH$327:$AH$515,'Cắt lồng'!$AA$327:$AA$515,'Cắt lồng'!$AA105,'Cắt lồng'!$AE$327:$AE$515,'Cắt lồng'!EA$4:EA$4)</f>
        <v>0</v>
      </c>
      <c r="EB105" s="109" t="e">
        <f t="shared" si="276"/>
        <v>#DIV/0!</v>
      </c>
      <c r="EC105" s="79">
        <f t="array" ref="EC105">SUMIFS('Cắt lồng'!$AC$327:$AC$515,'Cắt lồng'!$AA$327:$AA$515,'Cắt lồng'!$AA105,'Cắt lồng'!$AE$327:$AE$515,'Cắt lồng'!EC$4:EC$4)</f>
        <v>0</v>
      </c>
      <c r="ED105" s="79">
        <f t="array" ref="ED105">SUMIFS('Cắt lồng'!$AH$327:$AH$515,'Cắt lồng'!$AA$327:$AA$515,'Cắt lồng'!$AA105,'Cắt lồng'!$AE$327:$AE$515,'Cắt lồng'!ED$4:ED$4)</f>
        <v>0</v>
      </c>
      <c r="EE105" s="109" t="e">
        <f t="shared" si="277"/>
        <v>#DIV/0!</v>
      </c>
      <c r="EF105" s="79">
        <f t="array" ref="EF105">SUMIFS('Cắt lồng'!$AC$327:$AC$515,'Cắt lồng'!$AA$327:$AA$515,'Cắt lồng'!$AA105,'Cắt lồng'!$AE$327:$AE$515,'Cắt lồng'!EF$4:EF$4)</f>
        <v>0</v>
      </c>
      <c r="EG105" s="79">
        <f t="array" ref="EG105">SUMIFS('Cắt lồng'!$AH$327:$AH$515,'Cắt lồng'!$AA$327:$AA$515,'Cắt lồng'!$AA105,'Cắt lồng'!$AE$327:$AE$515,'Cắt lồng'!EG$4:EG$4)</f>
        <v>0</v>
      </c>
      <c r="EH105" s="109" t="e">
        <f t="shared" si="278"/>
        <v>#DIV/0!</v>
      </c>
      <c r="EI105" s="79">
        <f t="array" ref="EI105">SUMIFS('Cắt lồng'!$AC$327:$AC$515,'Cắt lồng'!$AA$327:$AA$515,'Cắt lồng'!$AA105,'Cắt lồng'!$AE$327:$AE$515,'Cắt lồng'!EI$4:EI$4)</f>
        <v>0</v>
      </c>
      <c r="EJ105" s="79">
        <f t="array" ref="EJ105">SUMIFS('Cắt lồng'!$AH$327:$AH$515,'Cắt lồng'!$AA$327:$AA$515,'Cắt lồng'!$AA105,'Cắt lồng'!$AE$327:$AE$515,'Cắt lồng'!EJ$4:EJ$4)</f>
        <v>0</v>
      </c>
      <c r="EK105" s="109" t="e">
        <f t="shared" si="279"/>
        <v>#DIV/0!</v>
      </c>
    </row>
    <row r="106" spans="1:150" s="12" customFormat="1" ht="14.25" hidden="1" customHeight="1">
      <c r="A106" s="30">
        <v>74</v>
      </c>
      <c r="B106" s="26"/>
      <c r="C106" s="25"/>
      <c r="D106" s="24"/>
      <c r="E106" s="60"/>
      <c r="F106" s="59"/>
      <c r="G106" s="82">
        <f t="shared" si="212"/>
        <v>0</v>
      </c>
      <c r="H106" s="81">
        <f t="shared" si="213"/>
        <v>0</v>
      </c>
      <c r="I106" s="19">
        <f t="shared" si="214"/>
        <v>0</v>
      </c>
      <c r="J106" s="11">
        <f t="shared" si="215"/>
        <v>0</v>
      </c>
      <c r="K106" s="19">
        <f t="shared" si="216"/>
        <v>0</v>
      </c>
      <c r="L106" s="19">
        <f t="shared" si="217"/>
        <v>0</v>
      </c>
      <c r="M106" s="19">
        <f t="shared" si="218"/>
        <v>0</v>
      </c>
      <c r="N106" s="19">
        <f t="shared" si="219"/>
        <v>0</v>
      </c>
      <c r="O106" s="19">
        <f t="shared" si="220"/>
        <v>0</v>
      </c>
      <c r="P106" s="19">
        <f t="shared" si="221"/>
        <v>0</v>
      </c>
      <c r="Q106" s="19">
        <f t="shared" si="222"/>
        <v>0</v>
      </c>
      <c r="R106" s="19">
        <f t="shared" si="223"/>
        <v>0</v>
      </c>
      <c r="S106" s="19">
        <f t="shared" si="224"/>
        <v>0</v>
      </c>
      <c r="T106" s="19">
        <f t="shared" si="225"/>
        <v>0</v>
      </c>
      <c r="U106" s="19">
        <f t="shared" si="226"/>
        <v>0</v>
      </c>
      <c r="V106" s="19">
        <f t="shared" si="227"/>
        <v>0</v>
      </c>
      <c r="W106" s="19">
        <f t="shared" si="228"/>
        <v>0</v>
      </c>
      <c r="X106" s="19">
        <f t="shared" si="229"/>
        <v>0</v>
      </c>
      <c r="Y106" s="19">
        <f t="shared" si="230"/>
        <v>0</v>
      </c>
      <c r="Z106" s="19">
        <f t="shared" si="231"/>
        <v>0</v>
      </c>
      <c r="AA106" s="164">
        <v>3311</v>
      </c>
      <c r="AB106" s="17" t="e">
        <f>+H106*SUMIF('[1]KẾ HOẠCH'!$B$5:$CK$5,'Cắt lồng'!AA106,'[1]KẾ HOẠCH'!$B$6:$CK$6)+H106*SUMIF('[1]KẾ HOẠCH'!$B$7:$CK$7,'Cắt lồng'!AA106,'[1]KẾ HOẠCH'!$B$8:$CK$8)+H106*SUMIF('[1]KẾ HOẠCH'!$B$15:$CK$15,'Cắt lồng'!AA106,'[1]KẾ HOẠCH'!$B$16:$CK$16)</f>
        <v>#VALUE!</v>
      </c>
      <c r="AC106" s="16">
        <f t="shared" si="232"/>
        <v>0</v>
      </c>
      <c r="AD106" s="15" t="e">
        <f t="shared" si="233"/>
        <v>#VALUE!</v>
      </c>
      <c r="AE106" s="42"/>
      <c r="AF106" s="112" t="e">
        <f t="shared" si="234"/>
        <v>#DIV/0!</v>
      </c>
      <c r="AG106" s="112"/>
      <c r="AH106" s="112">
        <f t="shared" si="235"/>
        <v>0</v>
      </c>
      <c r="AI106" s="111" t="e">
        <f t="shared" si="236"/>
        <v>#DIV/0!</v>
      </c>
      <c r="AJ106" s="20">
        <f t="shared" si="237"/>
        <v>0</v>
      </c>
      <c r="AK106" s="30">
        <f t="shared" si="238"/>
        <v>0</v>
      </c>
      <c r="AL106" s="30">
        <f t="shared" si="239"/>
        <v>0</v>
      </c>
      <c r="AM106" s="30">
        <f t="shared" si="240"/>
        <v>0</v>
      </c>
      <c r="AN106" s="30">
        <f t="shared" si="241"/>
        <v>0</v>
      </c>
      <c r="AO106" s="30">
        <f t="shared" si="242"/>
        <v>0</v>
      </c>
      <c r="AP106" s="30">
        <f t="shared" si="243"/>
        <v>0</v>
      </c>
      <c r="AQ106" s="30">
        <f t="shared" si="244"/>
        <v>0</v>
      </c>
      <c r="AR106" s="30">
        <f t="shared" si="245"/>
        <v>0</v>
      </c>
      <c r="AS106" s="30">
        <f t="shared" si="246"/>
        <v>0</v>
      </c>
      <c r="AT106" s="30">
        <f t="shared" si="247"/>
        <v>0</v>
      </c>
      <c r="AU106" s="80"/>
      <c r="AV106" s="110">
        <f t="shared" si="248"/>
        <v>0</v>
      </c>
      <c r="AW106" s="79">
        <f t="array" ref="AW106">SUMIFS('Cắt lồng'!$AC$327:$AC$515,'Cắt lồng'!$AA$327:$AA$515,'Cắt lồng'!$AA106,'Cắt lồng'!$AE$327:$AE$515,'Cắt lồng'!AW$4:AW$4)</f>
        <v>0</v>
      </c>
      <c r="AX106" s="79">
        <f t="array" ref="AX106">SUMIFS('Cắt lồng'!$AH$327:$AH$515,'Cắt lồng'!$AA$327:$AA$515,'Cắt lồng'!$AA106,'Cắt lồng'!$AE$327:$AE$515,'Cắt lồng'!AX$4:AX$4)</f>
        <v>0</v>
      </c>
      <c r="AY106" s="109" t="e">
        <f t="shared" si="249"/>
        <v>#DIV/0!</v>
      </c>
      <c r="AZ106" s="79">
        <f t="array" ref="AZ106">SUMIFS('Cắt lồng'!$AC$327:$AC$515,'Cắt lồng'!$AA$327:$AA$515,'Cắt lồng'!$AA106,'Cắt lồng'!$AE$327:$AE$515,'Cắt lồng'!AZ$4:AZ$4)</f>
        <v>0</v>
      </c>
      <c r="BA106" s="79">
        <f t="array" ref="BA106">SUMIFS('Cắt lồng'!$AH$327:$AH$515,'Cắt lồng'!$AA$327:$AA$515,'Cắt lồng'!$AA106,'Cắt lồng'!$AE$327:$AE$515,'Cắt lồng'!BA$4:BA$4)</f>
        <v>0</v>
      </c>
      <c r="BB106" s="109" t="e">
        <f t="shared" si="250"/>
        <v>#DIV/0!</v>
      </c>
      <c r="BC106" s="79">
        <f t="array" ref="BC106">SUMIFS('Cắt lồng'!$AC$327:$AC$515,'Cắt lồng'!$AA$327:$AA$515,'Cắt lồng'!$AA106,'Cắt lồng'!$AE$327:$AE$515,'Cắt lồng'!BC$4:BC$4)</f>
        <v>0</v>
      </c>
      <c r="BD106" s="79">
        <f t="array" ref="BD106">SUMIFS('Cắt lồng'!$AH$327:$AH$515,'Cắt lồng'!$AA$327:$AA$515,'Cắt lồng'!$AA106,'Cắt lồng'!$AE$327:$AE$515,'Cắt lồng'!BD$4:BD$4)</f>
        <v>0</v>
      </c>
      <c r="BE106" s="109" t="e">
        <f t="shared" si="251"/>
        <v>#DIV/0!</v>
      </c>
      <c r="BF106" s="79">
        <f t="array" ref="BF106">SUMIFS('Cắt lồng'!$AC$327:$AC$515,'Cắt lồng'!$AA$327:$AA$515,'Cắt lồng'!$AA106,'Cắt lồng'!$AE$327:$AE$515,'Cắt lồng'!BF$4:BF$4)</f>
        <v>0</v>
      </c>
      <c r="BG106" s="79">
        <f t="array" ref="BG106">SUMIFS('Cắt lồng'!$AH$327:$AH$515,'Cắt lồng'!$AA$327:$AA$515,'Cắt lồng'!$AA106,'Cắt lồng'!$AE$327:$AE$515,'Cắt lồng'!BG$4:BG$4)</f>
        <v>0</v>
      </c>
      <c r="BH106" s="109" t="e">
        <f t="shared" si="252"/>
        <v>#DIV/0!</v>
      </c>
      <c r="BI106" s="79">
        <f t="array" ref="BI106">SUMIFS('Cắt lồng'!$AC$327:$AC$515,'Cắt lồng'!$AA$327:$AA$515,'Cắt lồng'!$AA106,'Cắt lồng'!$AE$327:$AE$515,'Cắt lồng'!BI$4:BI$4)</f>
        <v>0</v>
      </c>
      <c r="BJ106" s="79">
        <f t="array" ref="BJ106">SUMIFS('Cắt lồng'!$AH$327:$AH$515,'Cắt lồng'!$AA$327:$AA$515,'Cắt lồng'!$AA106,'Cắt lồng'!$AE$327:$AE$515,'Cắt lồng'!BJ$4:BJ$4)</f>
        <v>0</v>
      </c>
      <c r="BK106" s="109" t="e">
        <f t="shared" si="253"/>
        <v>#DIV/0!</v>
      </c>
      <c r="BL106" s="79">
        <f t="array" ref="BL106">SUMIFS('Cắt lồng'!$AC$327:$AC$515,'Cắt lồng'!$AA$327:$AA$515,'Cắt lồng'!$AA106,'Cắt lồng'!$AE$327:$AE$515,'Cắt lồng'!BL$4:BL$4)</f>
        <v>0</v>
      </c>
      <c r="BM106" s="79">
        <f t="array" ref="BM106">SUMIFS('Cắt lồng'!$AH$327:$AH$515,'Cắt lồng'!$AA$327:$AA$515,'Cắt lồng'!$AA106,'Cắt lồng'!$AE$327:$AE$515,'Cắt lồng'!BM$4:BM$4)</f>
        <v>0</v>
      </c>
      <c r="BN106" s="109" t="e">
        <f t="shared" si="254"/>
        <v>#DIV/0!</v>
      </c>
      <c r="BO106" s="79">
        <f t="array" ref="BO106">SUMIFS('Cắt lồng'!$AC$327:$AC$515,'Cắt lồng'!$AA$327:$AA$515,'Cắt lồng'!$AA106,'Cắt lồng'!$AE$327:$AE$515,'Cắt lồng'!BO$4:BO$4)</f>
        <v>0</v>
      </c>
      <c r="BP106" s="79">
        <f t="array" ref="BP106">SUMIFS('Cắt lồng'!$AH$327:$AH$515,'Cắt lồng'!$AA$327:$AA$515,'Cắt lồng'!$AA106,'Cắt lồng'!$AE$327:$AE$515,'Cắt lồng'!BP$4:BP$4)</f>
        <v>0</v>
      </c>
      <c r="BQ106" s="109" t="e">
        <f t="shared" si="255"/>
        <v>#DIV/0!</v>
      </c>
      <c r="BR106" s="79">
        <f t="array" ref="BR106">SUMIFS('Cắt lồng'!$AC$327:$AC$515,'Cắt lồng'!$AA$327:$AA$515,'Cắt lồng'!$AA106,'Cắt lồng'!$AE$327:$AE$515,'Cắt lồng'!BR$4:BR$4)</f>
        <v>0</v>
      </c>
      <c r="BS106" s="79">
        <f t="array" ref="BS106">SUMIFS('Cắt lồng'!$AH$327:$AH$515,'Cắt lồng'!$AA$327:$AA$515,'Cắt lồng'!$AA106,'Cắt lồng'!$AE$327:$AE$515,'Cắt lồng'!BS$4:BS$4)</f>
        <v>0</v>
      </c>
      <c r="BT106" s="109" t="e">
        <f t="shared" si="256"/>
        <v>#DIV/0!</v>
      </c>
      <c r="BU106" s="79">
        <f t="array" ref="BU106">SUMIFS('Cắt lồng'!$AC$327:$AC$515,'Cắt lồng'!$AA$327:$AA$515,'Cắt lồng'!$AA106,'Cắt lồng'!$AE$327:$AE$515,'Cắt lồng'!BU$4:BU$4)</f>
        <v>0</v>
      </c>
      <c r="BV106" s="79">
        <f t="array" ref="BV106">SUMIFS('Cắt lồng'!$AH$327:$AH$515,'Cắt lồng'!$AA$327:$AA$515,'Cắt lồng'!$AA106,'Cắt lồng'!$AE$327:$AE$515,'Cắt lồng'!BV$4:BV$4)</f>
        <v>0</v>
      </c>
      <c r="BW106" s="109" t="e">
        <f t="shared" si="257"/>
        <v>#DIV/0!</v>
      </c>
      <c r="BX106" s="79">
        <f t="array" ref="BX106">SUMIFS('Cắt lồng'!$AC$327:$AC$515,'Cắt lồng'!$AA$327:$AA$515,'Cắt lồng'!$AA106,'Cắt lồng'!$AE$327:$AE$515,'Cắt lồng'!BX$4:BX$4)</f>
        <v>0</v>
      </c>
      <c r="BY106" s="79">
        <f t="array" ref="BY106">SUMIFS('Cắt lồng'!$AH$327:$AH$515,'Cắt lồng'!$AA$327:$AA$515,'Cắt lồng'!$AA106,'Cắt lồng'!$AE$327:$AE$515,'Cắt lồng'!BY$4:BY$4)</f>
        <v>0</v>
      </c>
      <c r="BZ106" s="109" t="e">
        <f t="shared" si="258"/>
        <v>#DIV/0!</v>
      </c>
      <c r="CA106" s="79">
        <f t="array" ref="CA106">SUMIFS('Cắt lồng'!$AC$327:$AC$515,'Cắt lồng'!$AA$327:$AA$515,'Cắt lồng'!$AA106,'Cắt lồng'!$AE$327:$AE$515,'Cắt lồng'!CA$4:CA$4)</f>
        <v>0</v>
      </c>
      <c r="CB106" s="79">
        <f t="array" ref="CB106">SUMIFS('Cắt lồng'!$AH$327:$AH$515,'Cắt lồng'!$AA$327:$AA$515,'Cắt lồng'!$AA106,'Cắt lồng'!$AE$327:$AE$515,'Cắt lồng'!CB$4:CB$4)</f>
        <v>0</v>
      </c>
      <c r="CC106" s="109" t="e">
        <f t="shared" si="259"/>
        <v>#DIV/0!</v>
      </c>
      <c r="CD106" s="79">
        <f t="array" ref="CD106">SUMIFS('Cắt lồng'!$AC$327:$AC$515,'Cắt lồng'!$AA$327:$AA$515,'Cắt lồng'!$AA106,'Cắt lồng'!$AE$327:$AE$515,'Cắt lồng'!CD$4:CD$4)</f>
        <v>0</v>
      </c>
      <c r="CE106" s="79">
        <f t="array" ref="CE106">SUMIFS('Cắt lồng'!$AH$327:$AH$515,'Cắt lồng'!$AA$327:$AA$515,'Cắt lồng'!$AA106,'Cắt lồng'!$AE$327:$AE$515,'Cắt lồng'!CE$4:CE$4)</f>
        <v>0</v>
      </c>
      <c r="CF106" s="109" t="e">
        <f t="shared" si="260"/>
        <v>#DIV/0!</v>
      </c>
      <c r="CG106" s="79">
        <f t="array" ref="CG106">SUMIFS('Cắt lồng'!$AC$327:$AC$515,'Cắt lồng'!$AA$327:$AA$515,'Cắt lồng'!$AA106,'Cắt lồng'!$AE$327:$AE$515,'Cắt lồng'!CG$4:CG$4)</f>
        <v>0</v>
      </c>
      <c r="CH106" s="79">
        <f t="array" ref="CH106">SUMIFS('Cắt lồng'!$AH$327:$AH$515,'Cắt lồng'!$AA$327:$AA$515,'Cắt lồng'!$AA106,'Cắt lồng'!$AE$327:$AE$515,'Cắt lồng'!CH$4:CH$4)</f>
        <v>0</v>
      </c>
      <c r="CI106" s="109" t="e">
        <f t="shared" si="261"/>
        <v>#DIV/0!</v>
      </c>
      <c r="CJ106" s="79">
        <f t="array" ref="CJ106">SUMIFS('Cắt lồng'!$AC$327:$AC$515,'Cắt lồng'!$AA$327:$AA$515,'Cắt lồng'!$AA106,'Cắt lồng'!$AE$327:$AE$515,'Cắt lồng'!CJ$4:CJ$4)</f>
        <v>0</v>
      </c>
      <c r="CK106" s="79">
        <f t="array" ref="CK106">SUMIFS('Cắt lồng'!$AH$327:$AH$515,'Cắt lồng'!$AA$327:$AA$515,'Cắt lồng'!$AA106,'Cắt lồng'!$AE$327:$AE$515,'Cắt lồng'!CK$4:CK$4)</f>
        <v>0</v>
      </c>
      <c r="CL106" s="109" t="e">
        <f t="shared" si="262"/>
        <v>#DIV/0!</v>
      </c>
      <c r="CM106" s="79">
        <f t="array" ref="CM106">SUMIFS('Cắt lồng'!$AC$327:$AC$515,'Cắt lồng'!$AA$327:$AA$515,'Cắt lồng'!$AA106,'Cắt lồng'!$AE$327:$AE$515,'Cắt lồng'!CM$4:CM$4)</f>
        <v>0</v>
      </c>
      <c r="CN106" s="79">
        <f t="array" ref="CN106">SUMIFS('Cắt lồng'!$AH$327:$AH$515,'Cắt lồng'!$AA$327:$AA$515,'Cắt lồng'!$AA106,'Cắt lồng'!$AE$327:$AE$515,'Cắt lồng'!CN$4:CN$4)</f>
        <v>0</v>
      </c>
      <c r="CO106" s="109" t="e">
        <f t="shared" si="263"/>
        <v>#DIV/0!</v>
      </c>
      <c r="CP106" s="79">
        <f t="array" ref="CP106">SUMIFS('Cắt lồng'!$AC$327:$AC$515,'Cắt lồng'!$AA$327:$AA$515,'Cắt lồng'!$AA106,'Cắt lồng'!$AE$327:$AE$515,'Cắt lồng'!CP$4:CP$4)</f>
        <v>0</v>
      </c>
      <c r="CQ106" s="79">
        <f t="array" ref="CQ106">SUMIFS('Cắt lồng'!$AH$327:$AH$515,'Cắt lồng'!$AA$327:$AA$515,'Cắt lồng'!$AA106,'Cắt lồng'!$AE$327:$AE$515,'Cắt lồng'!CQ$4:CQ$4)</f>
        <v>0</v>
      </c>
      <c r="CR106" s="109" t="e">
        <f t="shared" si="264"/>
        <v>#DIV/0!</v>
      </c>
      <c r="CS106" s="79">
        <f t="array" ref="CS106">SUMIFS('Cắt lồng'!$AC$327:$AC$515,'Cắt lồng'!$AA$327:$AA$515,'Cắt lồng'!$AA106,'Cắt lồng'!$AE$327:$AE$515,'Cắt lồng'!CS$4:CS$4)</f>
        <v>0</v>
      </c>
      <c r="CT106" s="79">
        <f t="array" ref="CT106">SUMIFS('Cắt lồng'!$AH$327:$AH$515,'Cắt lồng'!$AA$327:$AA$515,'Cắt lồng'!$AA106,'Cắt lồng'!$AE$327:$AE$515,'Cắt lồng'!CT$4:CT$4)</f>
        <v>0</v>
      </c>
      <c r="CU106" s="109" t="e">
        <f t="shared" si="265"/>
        <v>#DIV/0!</v>
      </c>
      <c r="CV106" s="79">
        <f t="array" ref="CV106">SUMIFS('Cắt lồng'!$AC$327:$AC$515,'Cắt lồng'!$AA$327:$AA$515,'Cắt lồng'!$AA106,'Cắt lồng'!$AE$327:$AE$515,'Cắt lồng'!CV$4:CV$4)</f>
        <v>0</v>
      </c>
      <c r="CW106" s="79">
        <f t="array" ref="CW106">SUMIFS('Cắt lồng'!$AH$327:$AH$515,'Cắt lồng'!$AA$327:$AA$515,'Cắt lồng'!$AA106,'Cắt lồng'!$AE$327:$AE$515,'Cắt lồng'!CW$4:CW$4)</f>
        <v>0</v>
      </c>
      <c r="CX106" s="109" t="e">
        <f t="shared" si="266"/>
        <v>#DIV/0!</v>
      </c>
      <c r="CY106" s="79">
        <f t="array" ref="CY106">SUMIFS('Cắt lồng'!$AC$327:$AC$515,'Cắt lồng'!$AA$327:$AA$515,'Cắt lồng'!$AA106,'Cắt lồng'!$AE$327:$AE$515,'Cắt lồng'!CY$4:CY$4)</f>
        <v>0</v>
      </c>
      <c r="CZ106" s="79">
        <f t="array" ref="CZ106">SUMIFS('Cắt lồng'!$AH$327:$AH$515,'Cắt lồng'!$AA$327:$AA$515,'Cắt lồng'!$AA106,'Cắt lồng'!$AE$327:$AE$515,'Cắt lồng'!CZ$4:CZ$4)</f>
        <v>0</v>
      </c>
      <c r="DA106" s="109" t="e">
        <f t="shared" si="267"/>
        <v>#DIV/0!</v>
      </c>
      <c r="DB106" s="79">
        <f t="array" ref="DB106">SUMIFS('Cắt lồng'!$AC$327:$AC$515,'Cắt lồng'!$AA$327:$AA$515,'Cắt lồng'!$AA106,'Cắt lồng'!$AE$327:$AE$515,'Cắt lồng'!DB$4:DB$4)</f>
        <v>0</v>
      </c>
      <c r="DC106" s="79">
        <f t="array" ref="DC106">SUMIFS('Cắt lồng'!$AH$327:$AH$515,'Cắt lồng'!$AA$327:$AA$515,'Cắt lồng'!$AA106,'Cắt lồng'!$AE$327:$AE$515,'Cắt lồng'!DC$4:DC$4)</f>
        <v>0</v>
      </c>
      <c r="DD106" s="109" t="e">
        <f t="shared" si="268"/>
        <v>#DIV/0!</v>
      </c>
      <c r="DE106" s="79">
        <f t="array" ref="DE106">SUMIFS('Cắt lồng'!$AC$327:$AC$515,'Cắt lồng'!$AA$327:$AA$515,'Cắt lồng'!$AA106,'Cắt lồng'!$AE$327:$AE$515,'Cắt lồng'!DE$4:DE$4)</f>
        <v>0</v>
      </c>
      <c r="DF106" s="79">
        <f t="array" ref="DF106">SUMIFS('Cắt lồng'!$AH$327:$AH$515,'Cắt lồng'!$AA$327:$AA$515,'Cắt lồng'!$AA106,'Cắt lồng'!$AE$327:$AE$515,'Cắt lồng'!DF$4:DF$4)</f>
        <v>0</v>
      </c>
      <c r="DG106" s="109" t="e">
        <f t="shared" si="269"/>
        <v>#DIV/0!</v>
      </c>
      <c r="DH106" s="79">
        <f t="array" ref="DH106">SUMIFS('Cắt lồng'!$AC$327:$AC$515,'Cắt lồng'!$AA$327:$AA$515,'Cắt lồng'!$AA106,'Cắt lồng'!$AE$327:$AE$515,'Cắt lồng'!DH$4:DH$4)</f>
        <v>0</v>
      </c>
      <c r="DI106" s="79">
        <f t="array" ref="DI106">SUMIFS('Cắt lồng'!$AH$327:$AH$515,'Cắt lồng'!$AA$327:$AA$515,'Cắt lồng'!$AA106,'Cắt lồng'!$AE$327:$AE$515,'Cắt lồng'!DI$4:DI$4)</f>
        <v>0</v>
      </c>
      <c r="DJ106" s="109" t="e">
        <f t="shared" si="270"/>
        <v>#DIV/0!</v>
      </c>
      <c r="DK106" s="79">
        <f t="array" ref="DK106">SUMIFS('Cắt lồng'!$AC$327:$AC$515,'Cắt lồng'!$AA$327:$AA$515,'Cắt lồng'!$AA106,'Cắt lồng'!$AE$327:$AE$515,'Cắt lồng'!DK$4:DK$4)</f>
        <v>0</v>
      </c>
      <c r="DL106" s="79">
        <f t="array" ref="DL106">SUMIFS('Cắt lồng'!$AH$327:$AH$515,'Cắt lồng'!$AA$327:$AA$515,'Cắt lồng'!$AA106,'Cắt lồng'!$AE$327:$AE$515,'Cắt lồng'!DL$4:DL$4)</f>
        <v>0</v>
      </c>
      <c r="DM106" s="109" t="e">
        <f t="shared" si="271"/>
        <v>#DIV/0!</v>
      </c>
      <c r="DN106" s="79">
        <f t="array" ref="DN106">SUMIFS('Cắt lồng'!$AC$327:$AC$515,'Cắt lồng'!$AA$327:$AA$515,'Cắt lồng'!$AA106,'Cắt lồng'!$AE$327:$AE$515,'Cắt lồng'!DN$4:DN$4)</f>
        <v>0</v>
      </c>
      <c r="DO106" s="79">
        <f t="array" ref="DO106">SUMIFS('Cắt lồng'!$AH$327:$AH$515,'Cắt lồng'!$AA$327:$AA$515,'Cắt lồng'!$AA106,'Cắt lồng'!$AE$327:$AE$515,'Cắt lồng'!DO$4:DO$4)</f>
        <v>0</v>
      </c>
      <c r="DP106" s="109" t="e">
        <f t="shared" si="272"/>
        <v>#DIV/0!</v>
      </c>
      <c r="DQ106" s="79">
        <f t="array" ref="DQ106">SUMIFS('Cắt lồng'!$AC$327:$AC$515,'Cắt lồng'!$AA$327:$AA$515,'Cắt lồng'!$AA106,'Cắt lồng'!$AE$327:$AE$515,'Cắt lồng'!DQ$4:DQ$4)</f>
        <v>0</v>
      </c>
      <c r="DR106" s="79">
        <f t="array" ref="DR106">SUMIFS('Cắt lồng'!$AH$327:$AH$515,'Cắt lồng'!$AA$327:$AA$515,'Cắt lồng'!$AA106,'Cắt lồng'!$AE$327:$AE$515,'Cắt lồng'!DR$4:DR$4)</f>
        <v>0</v>
      </c>
      <c r="DS106" s="109" t="e">
        <f t="shared" si="273"/>
        <v>#DIV/0!</v>
      </c>
      <c r="DT106" s="79">
        <f t="array" ref="DT106">SUMIFS('Cắt lồng'!$AC$327:$AC$515,'Cắt lồng'!$AA$327:$AA$515,'Cắt lồng'!$AA106,'Cắt lồng'!$AE$327:$AE$515,'Cắt lồng'!DT$4:DT$4)</f>
        <v>0</v>
      </c>
      <c r="DU106" s="79">
        <f t="array" ref="DU106">SUMIFS('Cắt lồng'!$AH$327:$AH$515,'Cắt lồng'!$AA$327:$AA$515,'Cắt lồng'!$AA106,'Cắt lồng'!$AE$327:$AE$515,'Cắt lồng'!DU$4:DU$4)</f>
        <v>0</v>
      </c>
      <c r="DV106" s="109" t="e">
        <f t="shared" si="274"/>
        <v>#DIV/0!</v>
      </c>
      <c r="DW106" s="79">
        <f t="array" ref="DW106">SUMIFS('Cắt lồng'!$AC$327:$AC$515,'Cắt lồng'!$AA$327:$AA$515,'Cắt lồng'!$AA106,'Cắt lồng'!$AE$327:$AE$515,'Cắt lồng'!DW$4:DW$4)</f>
        <v>0</v>
      </c>
      <c r="DX106" s="79">
        <f t="array" ref="DX106">SUMIFS('Cắt lồng'!$AH$327:$AH$515,'Cắt lồng'!$AA$327:$AA$515,'Cắt lồng'!$AA106,'Cắt lồng'!$AE$327:$AE$515,'Cắt lồng'!DX$4:DX$4)</f>
        <v>0</v>
      </c>
      <c r="DY106" s="109" t="e">
        <f t="shared" si="275"/>
        <v>#DIV/0!</v>
      </c>
      <c r="DZ106" s="79">
        <f t="array" ref="DZ106">SUMIFS('Cắt lồng'!$AC$327:$AC$515,'Cắt lồng'!$AA$327:$AA$515,'Cắt lồng'!$AA106,'Cắt lồng'!$AE$327:$AE$515,'Cắt lồng'!DZ$4:DZ$4)</f>
        <v>0</v>
      </c>
      <c r="EA106" s="79">
        <f t="array" ref="EA106">SUMIFS('Cắt lồng'!$AH$327:$AH$515,'Cắt lồng'!$AA$327:$AA$515,'Cắt lồng'!$AA106,'Cắt lồng'!$AE$327:$AE$515,'Cắt lồng'!EA$4:EA$4)</f>
        <v>0</v>
      </c>
      <c r="EB106" s="109" t="e">
        <f t="shared" si="276"/>
        <v>#DIV/0!</v>
      </c>
      <c r="EC106" s="79">
        <f t="array" ref="EC106">SUMIFS('Cắt lồng'!$AC$327:$AC$515,'Cắt lồng'!$AA$327:$AA$515,'Cắt lồng'!$AA106,'Cắt lồng'!$AE$327:$AE$515,'Cắt lồng'!EC$4:EC$4)</f>
        <v>0</v>
      </c>
      <c r="ED106" s="79">
        <f t="array" ref="ED106">SUMIFS('Cắt lồng'!$AH$327:$AH$515,'Cắt lồng'!$AA$327:$AA$515,'Cắt lồng'!$AA106,'Cắt lồng'!$AE$327:$AE$515,'Cắt lồng'!ED$4:ED$4)</f>
        <v>0</v>
      </c>
      <c r="EE106" s="109" t="e">
        <f t="shared" si="277"/>
        <v>#DIV/0!</v>
      </c>
      <c r="EF106" s="79">
        <f t="array" ref="EF106">SUMIFS('Cắt lồng'!$AC$327:$AC$515,'Cắt lồng'!$AA$327:$AA$515,'Cắt lồng'!$AA106,'Cắt lồng'!$AE$327:$AE$515,'Cắt lồng'!EF$4:EF$4)</f>
        <v>0</v>
      </c>
      <c r="EG106" s="79">
        <f t="array" ref="EG106">SUMIFS('Cắt lồng'!$AH$327:$AH$515,'Cắt lồng'!$AA$327:$AA$515,'Cắt lồng'!$AA106,'Cắt lồng'!$AE$327:$AE$515,'Cắt lồng'!EG$4:EG$4)</f>
        <v>0</v>
      </c>
      <c r="EH106" s="109" t="e">
        <f t="shared" si="278"/>
        <v>#DIV/0!</v>
      </c>
      <c r="EI106" s="79">
        <f t="array" ref="EI106">SUMIFS('Cắt lồng'!$AC$327:$AC$515,'Cắt lồng'!$AA$327:$AA$515,'Cắt lồng'!$AA106,'Cắt lồng'!$AE$327:$AE$515,'Cắt lồng'!EI$4:EI$4)</f>
        <v>0</v>
      </c>
      <c r="EJ106" s="79">
        <f t="array" ref="EJ106">SUMIFS('Cắt lồng'!$AH$327:$AH$515,'Cắt lồng'!$AA$327:$AA$515,'Cắt lồng'!$AA106,'Cắt lồng'!$AE$327:$AE$515,'Cắt lồng'!EJ$4:EJ$4)</f>
        <v>0</v>
      </c>
      <c r="EK106" s="109" t="e">
        <f t="shared" si="279"/>
        <v>#DIV/0!</v>
      </c>
      <c r="EL106" s="80"/>
      <c r="EM106" s="80"/>
      <c r="EN106" s="80"/>
      <c r="EO106" s="80"/>
      <c r="EP106" s="80"/>
      <c r="EQ106" s="80"/>
      <c r="ER106" s="80"/>
      <c r="ES106" s="80"/>
      <c r="ET106" s="80"/>
    </row>
    <row r="107" spans="1:150" s="12" customFormat="1" ht="14.25" hidden="1" customHeight="1">
      <c r="A107" s="30">
        <v>75</v>
      </c>
      <c r="B107" s="26"/>
      <c r="C107" s="25"/>
      <c r="D107" s="24"/>
      <c r="E107" s="60"/>
      <c r="F107" s="59"/>
      <c r="G107" s="82">
        <f t="shared" si="212"/>
        <v>0</v>
      </c>
      <c r="H107" s="81">
        <f t="shared" si="213"/>
        <v>10.83</v>
      </c>
      <c r="I107" s="19">
        <f t="shared" si="214"/>
        <v>0</v>
      </c>
      <c r="J107" s="11">
        <f t="shared" si="215"/>
        <v>1.17</v>
      </c>
      <c r="K107" s="19">
        <f t="shared" si="216"/>
        <v>0</v>
      </c>
      <c r="L107" s="19">
        <f t="shared" si="217"/>
        <v>0</v>
      </c>
      <c r="M107" s="19">
        <f t="shared" si="218"/>
        <v>0</v>
      </c>
      <c r="N107" s="19">
        <f t="shared" si="219"/>
        <v>0</v>
      </c>
      <c r="O107" s="19">
        <f t="shared" si="220"/>
        <v>0</v>
      </c>
      <c r="P107" s="19">
        <f t="shared" si="221"/>
        <v>0</v>
      </c>
      <c r="Q107" s="19">
        <f t="shared" si="222"/>
        <v>0</v>
      </c>
      <c r="R107" s="19">
        <f t="shared" si="223"/>
        <v>0</v>
      </c>
      <c r="S107" s="19">
        <f t="shared" si="224"/>
        <v>0</v>
      </c>
      <c r="T107" s="19">
        <f t="shared" si="225"/>
        <v>1.17</v>
      </c>
      <c r="U107" s="19">
        <f t="shared" si="226"/>
        <v>0</v>
      </c>
      <c r="V107" s="19">
        <f t="shared" si="227"/>
        <v>0</v>
      </c>
      <c r="W107" s="19">
        <f t="shared" si="228"/>
        <v>0</v>
      </c>
      <c r="X107" s="19">
        <f t="shared" si="229"/>
        <v>0</v>
      </c>
      <c r="Y107" s="19">
        <f t="shared" si="230"/>
        <v>0</v>
      </c>
      <c r="Z107" s="19">
        <f t="shared" si="231"/>
        <v>0</v>
      </c>
      <c r="AA107" s="164" t="s">
        <v>24</v>
      </c>
      <c r="AB107" s="17" t="e">
        <f>+H107*SUMIF('[1]KẾ HOẠCH'!$B$5:$CK$5,'Cắt lồng'!AA107,'[1]KẾ HOẠCH'!$B$6:$CK$6)+H107*SUMIF('[1]KẾ HOẠCH'!$B$7:$CK$7,'Cắt lồng'!AA107,'[1]KẾ HOẠCH'!$B$8:$CK$8)+H107*SUMIF('[1]KẾ HOẠCH'!$B$15:$CK$15,'Cắt lồng'!AA107,'[1]KẾ HOẠCH'!$B$16:$CK$16)</f>
        <v>#VALUE!</v>
      </c>
      <c r="AC107" s="16">
        <f t="shared" si="232"/>
        <v>1200</v>
      </c>
      <c r="AD107" s="15" t="e">
        <f t="shared" si="233"/>
        <v>#VALUE!</v>
      </c>
      <c r="AE107" s="42"/>
      <c r="AF107" s="10">
        <f t="shared" si="234"/>
        <v>110.80332409972299</v>
      </c>
      <c r="AG107" s="10"/>
      <c r="AH107" s="152">
        <f t="shared" si="235"/>
        <v>0</v>
      </c>
      <c r="AI107" s="54">
        <f t="shared" si="236"/>
        <v>0</v>
      </c>
      <c r="AJ107" s="25">
        <f t="shared" si="237"/>
        <v>0</v>
      </c>
      <c r="AK107" s="30">
        <f t="shared" si="238"/>
        <v>0</v>
      </c>
      <c r="AL107" s="30">
        <f t="shared" si="239"/>
        <v>0</v>
      </c>
      <c r="AM107" s="30">
        <f t="shared" si="240"/>
        <v>0</v>
      </c>
      <c r="AN107" s="30">
        <f t="shared" si="241"/>
        <v>0</v>
      </c>
      <c r="AO107" s="30">
        <f t="shared" si="242"/>
        <v>0</v>
      </c>
      <c r="AP107" s="30">
        <f t="shared" si="243"/>
        <v>0</v>
      </c>
      <c r="AQ107" s="30">
        <f t="shared" si="244"/>
        <v>0</v>
      </c>
      <c r="AR107" s="30">
        <f t="shared" si="245"/>
        <v>0</v>
      </c>
      <c r="AS107" s="30">
        <f t="shared" si="246"/>
        <v>0</v>
      </c>
      <c r="AT107" s="30">
        <f t="shared" si="247"/>
        <v>0</v>
      </c>
      <c r="AV107" s="79">
        <f t="shared" si="248"/>
        <v>10.83</v>
      </c>
      <c r="AW107" s="79">
        <f t="array" ref="AW107">SUMIFS('Cắt lồng'!$AC$327:$AC$515,'Cắt lồng'!$AA$327:$AA$515,'Cắt lồng'!$AA107,'Cắt lồng'!$AE$327:$AE$515,'Cắt lồng'!AW$4:AW$4)</f>
        <v>1200</v>
      </c>
      <c r="AX107" s="79">
        <f t="array" ref="AX107">SUMIFS('Cắt lồng'!$AH$327:$AH$515,'Cắt lồng'!$AA$327:$AA$515,'Cắt lồng'!$AA107,'Cắt lồng'!$AE$327:$AE$515,'Cắt lồng'!AX$4:AX$4)</f>
        <v>0</v>
      </c>
      <c r="AY107" s="78">
        <f t="shared" si="249"/>
        <v>0</v>
      </c>
      <c r="AZ107" s="79">
        <f t="array" ref="AZ107">SUMIFS('Cắt lồng'!$AC$327:$AC$515,'Cắt lồng'!$AA$327:$AA$515,'Cắt lồng'!$AA107,'Cắt lồng'!$AE$327:$AE$515,'Cắt lồng'!AZ$4:AZ$4)</f>
        <v>0</v>
      </c>
      <c r="BA107" s="79">
        <f t="array" ref="BA107">SUMIFS('Cắt lồng'!$AH$327:$AH$515,'Cắt lồng'!$AA$327:$AA$515,'Cắt lồng'!$AA107,'Cắt lồng'!$AE$327:$AE$515,'Cắt lồng'!BA$4:BA$4)</f>
        <v>0</v>
      </c>
      <c r="BB107" s="78" t="e">
        <f t="shared" si="250"/>
        <v>#DIV/0!</v>
      </c>
      <c r="BC107" s="79">
        <f t="array" ref="BC107">SUMIFS('Cắt lồng'!$AC$327:$AC$515,'Cắt lồng'!$AA$327:$AA$515,'Cắt lồng'!$AA107,'Cắt lồng'!$AE$327:$AE$515,'Cắt lồng'!BC$4:BC$4)</f>
        <v>0</v>
      </c>
      <c r="BD107" s="79">
        <f t="array" ref="BD107">SUMIFS('Cắt lồng'!$AH$327:$AH$515,'Cắt lồng'!$AA$327:$AA$515,'Cắt lồng'!$AA107,'Cắt lồng'!$AE$327:$AE$515,'Cắt lồng'!BD$4:BD$4)</f>
        <v>0</v>
      </c>
      <c r="BE107" s="78" t="e">
        <f t="shared" si="251"/>
        <v>#DIV/0!</v>
      </c>
      <c r="BF107" s="79">
        <f t="array" ref="BF107">SUMIFS('Cắt lồng'!$AC$327:$AC$515,'Cắt lồng'!$AA$327:$AA$515,'Cắt lồng'!$AA107,'Cắt lồng'!$AE$327:$AE$515,'Cắt lồng'!BF$4:BF$4)</f>
        <v>0</v>
      </c>
      <c r="BG107" s="79">
        <f t="array" ref="BG107">SUMIFS('Cắt lồng'!$AH$327:$AH$515,'Cắt lồng'!$AA$327:$AA$515,'Cắt lồng'!$AA107,'Cắt lồng'!$AE$327:$AE$515,'Cắt lồng'!BG$4:BG$4)</f>
        <v>0</v>
      </c>
      <c r="BH107" s="78" t="e">
        <f t="shared" si="252"/>
        <v>#DIV/0!</v>
      </c>
      <c r="BI107" s="79">
        <f t="array" ref="BI107">SUMIFS('Cắt lồng'!$AC$327:$AC$515,'Cắt lồng'!$AA$327:$AA$515,'Cắt lồng'!$AA107,'Cắt lồng'!$AE$327:$AE$515,'Cắt lồng'!BI$4:BI$4)</f>
        <v>0</v>
      </c>
      <c r="BJ107" s="79">
        <f t="array" ref="BJ107">SUMIFS('Cắt lồng'!$AH$327:$AH$515,'Cắt lồng'!$AA$327:$AA$515,'Cắt lồng'!$AA107,'Cắt lồng'!$AE$327:$AE$515,'Cắt lồng'!BJ$4:BJ$4)</f>
        <v>0</v>
      </c>
      <c r="BK107" s="78" t="e">
        <f t="shared" si="253"/>
        <v>#DIV/0!</v>
      </c>
      <c r="BL107" s="79">
        <f t="array" ref="BL107">SUMIFS('Cắt lồng'!$AC$327:$AC$515,'Cắt lồng'!$AA$327:$AA$515,'Cắt lồng'!$AA107,'Cắt lồng'!$AE$327:$AE$515,'Cắt lồng'!BL$4:BL$4)</f>
        <v>0</v>
      </c>
      <c r="BM107" s="79">
        <f t="array" ref="BM107">SUMIFS('Cắt lồng'!$AH$327:$AH$515,'Cắt lồng'!$AA$327:$AA$515,'Cắt lồng'!$AA107,'Cắt lồng'!$AE$327:$AE$515,'Cắt lồng'!BM$4:BM$4)</f>
        <v>0</v>
      </c>
      <c r="BN107" s="78" t="e">
        <f t="shared" si="254"/>
        <v>#DIV/0!</v>
      </c>
      <c r="BO107" s="79">
        <f t="array" ref="BO107">SUMIFS('Cắt lồng'!$AC$327:$AC$515,'Cắt lồng'!$AA$327:$AA$515,'Cắt lồng'!$AA107,'Cắt lồng'!$AE$327:$AE$515,'Cắt lồng'!BO$4:BO$4)</f>
        <v>0</v>
      </c>
      <c r="BP107" s="79">
        <f t="array" ref="BP107">SUMIFS('Cắt lồng'!$AH$327:$AH$515,'Cắt lồng'!$AA$327:$AA$515,'Cắt lồng'!$AA107,'Cắt lồng'!$AE$327:$AE$515,'Cắt lồng'!BP$4:BP$4)</f>
        <v>0</v>
      </c>
      <c r="BQ107" s="78" t="e">
        <f t="shared" si="255"/>
        <v>#DIV/0!</v>
      </c>
      <c r="BR107" s="79">
        <f t="array" ref="BR107">SUMIFS('Cắt lồng'!$AC$327:$AC$515,'Cắt lồng'!$AA$327:$AA$515,'Cắt lồng'!$AA107,'Cắt lồng'!$AE$327:$AE$515,'Cắt lồng'!BR$4:BR$4)</f>
        <v>0</v>
      </c>
      <c r="BS107" s="79">
        <f t="array" ref="BS107">SUMIFS('Cắt lồng'!$AH$327:$AH$515,'Cắt lồng'!$AA$327:$AA$515,'Cắt lồng'!$AA107,'Cắt lồng'!$AE$327:$AE$515,'Cắt lồng'!BS$4:BS$4)</f>
        <v>0</v>
      </c>
      <c r="BT107" s="78" t="e">
        <f t="shared" si="256"/>
        <v>#DIV/0!</v>
      </c>
      <c r="BU107" s="79">
        <f t="array" ref="BU107">SUMIFS('Cắt lồng'!$AC$327:$AC$515,'Cắt lồng'!$AA$327:$AA$515,'Cắt lồng'!$AA107,'Cắt lồng'!$AE$327:$AE$515,'Cắt lồng'!BU$4:BU$4)</f>
        <v>0</v>
      </c>
      <c r="BV107" s="79">
        <f t="array" ref="BV107">SUMIFS('Cắt lồng'!$AH$327:$AH$515,'Cắt lồng'!$AA$327:$AA$515,'Cắt lồng'!$AA107,'Cắt lồng'!$AE$327:$AE$515,'Cắt lồng'!BV$4:BV$4)</f>
        <v>0</v>
      </c>
      <c r="BW107" s="78" t="e">
        <f t="shared" si="257"/>
        <v>#DIV/0!</v>
      </c>
      <c r="BX107" s="79">
        <f t="array" ref="BX107">SUMIFS('Cắt lồng'!$AC$327:$AC$515,'Cắt lồng'!$AA$327:$AA$515,'Cắt lồng'!$AA107,'Cắt lồng'!$AE$327:$AE$515,'Cắt lồng'!BX$4:BX$4)</f>
        <v>0</v>
      </c>
      <c r="BY107" s="79">
        <f t="array" ref="BY107">SUMIFS('Cắt lồng'!$AH$327:$AH$515,'Cắt lồng'!$AA$327:$AA$515,'Cắt lồng'!$AA107,'Cắt lồng'!$AE$327:$AE$515,'Cắt lồng'!BY$4:BY$4)</f>
        <v>0</v>
      </c>
      <c r="BZ107" s="78" t="e">
        <f t="shared" si="258"/>
        <v>#DIV/0!</v>
      </c>
      <c r="CA107" s="79">
        <f t="array" ref="CA107">SUMIFS('Cắt lồng'!$AC$327:$AC$515,'Cắt lồng'!$AA$327:$AA$515,'Cắt lồng'!$AA107,'Cắt lồng'!$AE$327:$AE$515,'Cắt lồng'!CA$4:CA$4)</f>
        <v>0</v>
      </c>
      <c r="CB107" s="79">
        <f t="array" ref="CB107">SUMIFS('Cắt lồng'!$AH$327:$AH$515,'Cắt lồng'!$AA$327:$AA$515,'Cắt lồng'!$AA107,'Cắt lồng'!$AE$327:$AE$515,'Cắt lồng'!CB$4:CB$4)</f>
        <v>0</v>
      </c>
      <c r="CC107" s="78" t="e">
        <f t="shared" si="259"/>
        <v>#DIV/0!</v>
      </c>
      <c r="CD107" s="79">
        <f t="array" ref="CD107">SUMIFS('Cắt lồng'!$AC$327:$AC$515,'Cắt lồng'!$AA$327:$AA$515,'Cắt lồng'!$AA107,'Cắt lồng'!$AE$327:$AE$515,'Cắt lồng'!CD$4:CD$4)</f>
        <v>0</v>
      </c>
      <c r="CE107" s="79">
        <f t="array" ref="CE107">SUMIFS('Cắt lồng'!$AH$327:$AH$515,'Cắt lồng'!$AA$327:$AA$515,'Cắt lồng'!$AA107,'Cắt lồng'!$AE$327:$AE$515,'Cắt lồng'!CE$4:CE$4)</f>
        <v>0</v>
      </c>
      <c r="CF107" s="78" t="e">
        <f t="shared" si="260"/>
        <v>#DIV/0!</v>
      </c>
      <c r="CG107" s="79">
        <f t="array" ref="CG107">SUMIFS('Cắt lồng'!$AC$327:$AC$515,'Cắt lồng'!$AA$327:$AA$515,'Cắt lồng'!$AA107,'Cắt lồng'!$AE$327:$AE$515,'Cắt lồng'!CG$4:CG$4)</f>
        <v>0</v>
      </c>
      <c r="CH107" s="79">
        <f t="array" ref="CH107">SUMIFS('Cắt lồng'!$AH$327:$AH$515,'Cắt lồng'!$AA$327:$AA$515,'Cắt lồng'!$AA107,'Cắt lồng'!$AE$327:$AE$515,'Cắt lồng'!CH$4:CH$4)</f>
        <v>0</v>
      </c>
      <c r="CI107" s="78" t="e">
        <f t="shared" si="261"/>
        <v>#DIV/0!</v>
      </c>
      <c r="CJ107" s="79">
        <f t="array" ref="CJ107">SUMIFS('Cắt lồng'!$AC$327:$AC$515,'Cắt lồng'!$AA$327:$AA$515,'Cắt lồng'!$AA107,'Cắt lồng'!$AE$327:$AE$515,'Cắt lồng'!CJ$4:CJ$4)</f>
        <v>0</v>
      </c>
      <c r="CK107" s="79">
        <f t="array" ref="CK107">SUMIFS('Cắt lồng'!$AH$327:$AH$515,'Cắt lồng'!$AA$327:$AA$515,'Cắt lồng'!$AA107,'Cắt lồng'!$AE$327:$AE$515,'Cắt lồng'!CK$4:CK$4)</f>
        <v>0</v>
      </c>
      <c r="CL107" s="78" t="e">
        <f t="shared" si="262"/>
        <v>#DIV/0!</v>
      </c>
      <c r="CM107" s="79">
        <f t="array" ref="CM107">SUMIFS('Cắt lồng'!$AC$327:$AC$515,'Cắt lồng'!$AA$327:$AA$515,'Cắt lồng'!$AA107,'Cắt lồng'!$AE$327:$AE$515,'Cắt lồng'!CM$4:CM$4)</f>
        <v>0</v>
      </c>
      <c r="CN107" s="79">
        <f t="array" ref="CN107">SUMIFS('Cắt lồng'!$AH$327:$AH$515,'Cắt lồng'!$AA$327:$AA$515,'Cắt lồng'!$AA107,'Cắt lồng'!$AE$327:$AE$515,'Cắt lồng'!CN$4:CN$4)</f>
        <v>0</v>
      </c>
      <c r="CO107" s="78" t="e">
        <f t="shared" si="263"/>
        <v>#DIV/0!</v>
      </c>
      <c r="CP107" s="79">
        <f t="array" ref="CP107">SUMIFS('Cắt lồng'!$AC$327:$AC$515,'Cắt lồng'!$AA$327:$AA$515,'Cắt lồng'!$AA107,'Cắt lồng'!$AE$327:$AE$515,'Cắt lồng'!CP$4:CP$4)</f>
        <v>0</v>
      </c>
      <c r="CQ107" s="79">
        <f t="array" ref="CQ107">SUMIFS('Cắt lồng'!$AH$327:$AH$515,'Cắt lồng'!$AA$327:$AA$515,'Cắt lồng'!$AA107,'Cắt lồng'!$AE$327:$AE$515,'Cắt lồng'!CQ$4:CQ$4)</f>
        <v>0</v>
      </c>
      <c r="CR107" s="78" t="e">
        <f t="shared" si="264"/>
        <v>#DIV/0!</v>
      </c>
      <c r="CS107" s="79">
        <f t="array" ref="CS107">SUMIFS('Cắt lồng'!$AC$327:$AC$515,'Cắt lồng'!$AA$327:$AA$515,'Cắt lồng'!$AA107,'Cắt lồng'!$AE$327:$AE$515,'Cắt lồng'!CS$4:CS$4)</f>
        <v>0</v>
      </c>
      <c r="CT107" s="79">
        <f t="array" ref="CT107">SUMIFS('Cắt lồng'!$AH$327:$AH$515,'Cắt lồng'!$AA$327:$AA$515,'Cắt lồng'!$AA107,'Cắt lồng'!$AE$327:$AE$515,'Cắt lồng'!CT$4:CT$4)</f>
        <v>0</v>
      </c>
      <c r="CU107" s="78" t="e">
        <f t="shared" si="265"/>
        <v>#DIV/0!</v>
      </c>
      <c r="CV107" s="79">
        <f t="array" ref="CV107">SUMIFS('Cắt lồng'!$AC$327:$AC$515,'Cắt lồng'!$AA$327:$AA$515,'Cắt lồng'!$AA107,'Cắt lồng'!$AE$327:$AE$515,'Cắt lồng'!CV$4:CV$4)</f>
        <v>0</v>
      </c>
      <c r="CW107" s="79">
        <f t="array" ref="CW107">SUMIFS('Cắt lồng'!$AH$327:$AH$515,'Cắt lồng'!$AA$327:$AA$515,'Cắt lồng'!$AA107,'Cắt lồng'!$AE$327:$AE$515,'Cắt lồng'!CW$4:CW$4)</f>
        <v>0</v>
      </c>
      <c r="CX107" s="78" t="e">
        <f t="shared" si="266"/>
        <v>#DIV/0!</v>
      </c>
      <c r="CY107" s="79">
        <f t="array" ref="CY107">SUMIFS('Cắt lồng'!$AC$327:$AC$515,'Cắt lồng'!$AA$327:$AA$515,'Cắt lồng'!$AA107,'Cắt lồng'!$AE$327:$AE$515,'Cắt lồng'!CY$4:CY$4)</f>
        <v>0</v>
      </c>
      <c r="CZ107" s="79">
        <f t="array" ref="CZ107">SUMIFS('Cắt lồng'!$AH$327:$AH$515,'Cắt lồng'!$AA$327:$AA$515,'Cắt lồng'!$AA107,'Cắt lồng'!$AE$327:$AE$515,'Cắt lồng'!CZ$4:CZ$4)</f>
        <v>0</v>
      </c>
      <c r="DA107" s="78" t="e">
        <f t="shared" si="267"/>
        <v>#DIV/0!</v>
      </c>
      <c r="DB107" s="79">
        <f t="array" ref="DB107">SUMIFS('Cắt lồng'!$AC$327:$AC$515,'Cắt lồng'!$AA$327:$AA$515,'Cắt lồng'!$AA107,'Cắt lồng'!$AE$327:$AE$515,'Cắt lồng'!DB$4:DB$4)</f>
        <v>0</v>
      </c>
      <c r="DC107" s="79">
        <f t="array" ref="DC107">SUMIFS('Cắt lồng'!$AH$327:$AH$515,'Cắt lồng'!$AA$327:$AA$515,'Cắt lồng'!$AA107,'Cắt lồng'!$AE$327:$AE$515,'Cắt lồng'!DC$4:DC$4)</f>
        <v>0</v>
      </c>
      <c r="DD107" s="78" t="e">
        <f t="shared" si="268"/>
        <v>#DIV/0!</v>
      </c>
      <c r="DE107" s="79">
        <f t="array" ref="DE107">SUMIFS('Cắt lồng'!$AC$327:$AC$515,'Cắt lồng'!$AA$327:$AA$515,'Cắt lồng'!$AA107,'Cắt lồng'!$AE$327:$AE$515,'Cắt lồng'!DE$4:DE$4)</f>
        <v>0</v>
      </c>
      <c r="DF107" s="79">
        <f t="array" ref="DF107">SUMIFS('Cắt lồng'!$AH$327:$AH$515,'Cắt lồng'!$AA$327:$AA$515,'Cắt lồng'!$AA107,'Cắt lồng'!$AE$327:$AE$515,'Cắt lồng'!DF$4:DF$4)</f>
        <v>0</v>
      </c>
      <c r="DG107" s="78" t="e">
        <f t="shared" si="269"/>
        <v>#DIV/0!</v>
      </c>
      <c r="DH107" s="79">
        <f t="array" ref="DH107">SUMIFS('Cắt lồng'!$AC$327:$AC$515,'Cắt lồng'!$AA$327:$AA$515,'Cắt lồng'!$AA107,'Cắt lồng'!$AE$327:$AE$515,'Cắt lồng'!DH$4:DH$4)</f>
        <v>0</v>
      </c>
      <c r="DI107" s="79">
        <f t="array" ref="DI107">SUMIFS('Cắt lồng'!$AH$327:$AH$515,'Cắt lồng'!$AA$327:$AA$515,'Cắt lồng'!$AA107,'Cắt lồng'!$AE$327:$AE$515,'Cắt lồng'!DI$4:DI$4)</f>
        <v>0</v>
      </c>
      <c r="DJ107" s="78" t="e">
        <f t="shared" si="270"/>
        <v>#DIV/0!</v>
      </c>
      <c r="DK107" s="79">
        <f t="array" ref="DK107">SUMIFS('Cắt lồng'!$AC$327:$AC$515,'Cắt lồng'!$AA$327:$AA$515,'Cắt lồng'!$AA107,'Cắt lồng'!$AE$327:$AE$515,'Cắt lồng'!DK$4:DK$4)</f>
        <v>0</v>
      </c>
      <c r="DL107" s="79">
        <f t="array" ref="DL107">SUMIFS('Cắt lồng'!$AH$327:$AH$515,'Cắt lồng'!$AA$327:$AA$515,'Cắt lồng'!$AA107,'Cắt lồng'!$AE$327:$AE$515,'Cắt lồng'!DL$4:DL$4)</f>
        <v>0</v>
      </c>
      <c r="DM107" s="78" t="e">
        <f t="shared" si="271"/>
        <v>#DIV/0!</v>
      </c>
      <c r="DN107" s="79">
        <f t="array" ref="DN107">SUMIFS('Cắt lồng'!$AC$327:$AC$515,'Cắt lồng'!$AA$327:$AA$515,'Cắt lồng'!$AA107,'Cắt lồng'!$AE$327:$AE$515,'Cắt lồng'!DN$4:DN$4)</f>
        <v>0</v>
      </c>
      <c r="DO107" s="79">
        <f t="array" ref="DO107">SUMIFS('Cắt lồng'!$AH$327:$AH$515,'Cắt lồng'!$AA$327:$AA$515,'Cắt lồng'!$AA107,'Cắt lồng'!$AE$327:$AE$515,'Cắt lồng'!DO$4:DO$4)</f>
        <v>0</v>
      </c>
      <c r="DP107" s="78" t="e">
        <f t="shared" si="272"/>
        <v>#DIV/0!</v>
      </c>
      <c r="DQ107" s="79">
        <f t="array" ref="DQ107">SUMIFS('Cắt lồng'!$AC$327:$AC$515,'Cắt lồng'!$AA$327:$AA$515,'Cắt lồng'!$AA107,'Cắt lồng'!$AE$327:$AE$515,'Cắt lồng'!DQ$4:DQ$4)</f>
        <v>0</v>
      </c>
      <c r="DR107" s="79">
        <f t="array" ref="DR107">SUMIFS('Cắt lồng'!$AH$327:$AH$515,'Cắt lồng'!$AA$327:$AA$515,'Cắt lồng'!$AA107,'Cắt lồng'!$AE$327:$AE$515,'Cắt lồng'!DR$4:DR$4)</f>
        <v>0</v>
      </c>
      <c r="DS107" s="78" t="e">
        <f t="shared" si="273"/>
        <v>#DIV/0!</v>
      </c>
      <c r="DT107" s="79">
        <f t="array" ref="DT107">SUMIFS('Cắt lồng'!$AC$327:$AC$515,'Cắt lồng'!$AA$327:$AA$515,'Cắt lồng'!$AA107,'Cắt lồng'!$AE$327:$AE$515,'Cắt lồng'!DT$4:DT$4)</f>
        <v>0</v>
      </c>
      <c r="DU107" s="79">
        <f t="array" ref="DU107">SUMIFS('Cắt lồng'!$AH$327:$AH$515,'Cắt lồng'!$AA$327:$AA$515,'Cắt lồng'!$AA107,'Cắt lồng'!$AE$327:$AE$515,'Cắt lồng'!DU$4:DU$4)</f>
        <v>0</v>
      </c>
      <c r="DV107" s="78" t="e">
        <f t="shared" si="274"/>
        <v>#DIV/0!</v>
      </c>
      <c r="DW107" s="79">
        <f t="array" ref="DW107">SUMIFS('Cắt lồng'!$AC$327:$AC$515,'Cắt lồng'!$AA$327:$AA$515,'Cắt lồng'!$AA107,'Cắt lồng'!$AE$327:$AE$515,'Cắt lồng'!DW$4:DW$4)</f>
        <v>0</v>
      </c>
      <c r="DX107" s="79">
        <f t="array" ref="DX107">SUMIFS('Cắt lồng'!$AH$327:$AH$515,'Cắt lồng'!$AA$327:$AA$515,'Cắt lồng'!$AA107,'Cắt lồng'!$AE$327:$AE$515,'Cắt lồng'!DX$4:DX$4)</f>
        <v>0</v>
      </c>
      <c r="DY107" s="78" t="e">
        <f t="shared" si="275"/>
        <v>#DIV/0!</v>
      </c>
      <c r="DZ107" s="79">
        <f t="array" ref="DZ107">SUMIFS('Cắt lồng'!$AC$327:$AC$515,'Cắt lồng'!$AA$327:$AA$515,'Cắt lồng'!$AA107,'Cắt lồng'!$AE$327:$AE$515,'Cắt lồng'!DZ$4:DZ$4)</f>
        <v>0</v>
      </c>
      <c r="EA107" s="79">
        <f t="array" ref="EA107">SUMIFS('Cắt lồng'!$AH$327:$AH$515,'Cắt lồng'!$AA$327:$AA$515,'Cắt lồng'!$AA107,'Cắt lồng'!$AE$327:$AE$515,'Cắt lồng'!EA$4:EA$4)</f>
        <v>0</v>
      </c>
      <c r="EB107" s="78" t="e">
        <f t="shared" si="276"/>
        <v>#DIV/0!</v>
      </c>
      <c r="EC107" s="79">
        <f t="array" ref="EC107">SUMIFS('Cắt lồng'!$AC$327:$AC$515,'Cắt lồng'!$AA$327:$AA$515,'Cắt lồng'!$AA107,'Cắt lồng'!$AE$327:$AE$515,'Cắt lồng'!EC$4:EC$4)</f>
        <v>0</v>
      </c>
      <c r="ED107" s="79">
        <f t="array" ref="ED107">SUMIFS('Cắt lồng'!$AH$327:$AH$515,'Cắt lồng'!$AA$327:$AA$515,'Cắt lồng'!$AA107,'Cắt lồng'!$AE$327:$AE$515,'Cắt lồng'!ED$4:ED$4)</f>
        <v>0</v>
      </c>
      <c r="EE107" s="78" t="e">
        <f t="shared" si="277"/>
        <v>#DIV/0!</v>
      </c>
      <c r="EF107" s="79">
        <f t="array" ref="EF107">SUMIFS('Cắt lồng'!$AC$327:$AC$515,'Cắt lồng'!$AA$327:$AA$515,'Cắt lồng'!$AA107,'Cắt lồng'!$AE$327:$AE$515,'Cắt lồng'!EF$4:EF$4)</f>
        <v>0</v>
      </c>
      <c r="EG107" s="79">
        <f t="array" ref="EG107">SUMIFS('Cắt lồng'!$AH$327:$AH$515,'Cắt lồng'!$AA$327:$AA$515,'Cắt lồng'!$AA107,'Cắt lồng'!$AE$327:$AE$515,'Cắt lồng'!EG$4:EG$4)</f>
        <v>0</v>
      </c>
      <c r="EH107" s="78" t="e">
        <f t="shared" si="278"/>
        <v>#DIV/0!</v>
      </c>
      <c r="EI107" s="79">
        <f t="array" ref="EI107">SUMIFS('Cắt lồng'!$AC$327:$AC$515,'Cắt lồng'!$AA$327:$AA$515,'Cắt lồng'!$AA107,'Cắt lồng'!$AE$327:$AE$515,'Cắt lồng'!EI$4:EI$4)</f>
        <v>0</v>
      </c>
      <c r="EJ107" s="79">
        <f t="array" ref="EJ107">SUMIFS('Cắt lồng'!$AH$327:$AH$515,'Cắt lồng'!$AA$327:$AA$515,'Cắt lồng'!$AA107,'Cắt lồng'!$AE$327:$AE$515,'Cắt lồng'!EJ$4:EJ$4)</f>
        <v>0</v>
      </c>
      <c r="EK107" s="78" t="e">
        <f t="shared" si="279"/>
        <v>#DIV/0!</v>
      </c>
    </row>
    <row r="108" spans="1:150" s="12" customFormat="1" ht="14.25" hidden="1" customHeight="1">
      <c r="A108" s="30">
        <v>75</v>
      </c>
      <c r="B108" s="26"/>
      <c r="C108" s="25"/>
      <c r="D108" s="24"/>
      <c r="E108" s="60"/>
      <c r="F108" s="59"/>
      <c r="G108" s="82">
        <f t="shared" si="212"/>
        <v>0</v>
      </c>
      <c r="H108" s="81">
        <f t="shared" si="213"/>
        <v>0</v>
      </c>
      <c r="I108" s="19">
        <f t="shared" si="214"/>
        <v>0</v>
      </c>
      <c r="J108" s="11">
        <f t="shared" si="215"/>
        <v>0</v>
      </c>
      <c r="K108" s="19">
        <f t="shared" si="216"/>
        <v>0</v>
      </c>
      <c r="L108" s="19">
        <f t="shared" si="217"/>
        <v>0</v>
      </c>
      <c r="M108" s="19">
        <f t="shared" si="218"/>
        <v>0</v>
      </c>
      <c r="N108" s="19">
        <f t="shared" si="219"/>
        <v>0</v>
      </c>
      <c r="O108" s="19">
        <f t="shared" si="220"/>
        <v>0</v>
      </c>
      <c r="P108" s="19">
        <f t="shared" si="221"/>
        <v>0</v>
      </c>
      <c r="Q108" s="19">
        <f t="shared" si="222"/>
        <v>0</v>
      </c>
      <c r="R108" s="19">
        <f t="shared" si="223"/>
        <v>0</v>
      </c>
      <c r="S108" s="19">
        <f t="shared" si="224"/>
        <v>0</v>
      </c>
      <c r="T108" s="19">
        <f t="shared" si="225"/>
        <v>0</v>
      </c>
      <c r="U108" s="19">
        <f t="shared" si="226"/>
        <v>0</v>
      </c>
      <c r="V108" s="19">
        <f t="shared" si="227"/>
        <v>0</v>
      </c>
      <c r="W108" s="19">
        <f t="shared" si="228"/>
        <v>0</v>
      </c>
      <c r="X108" s="19">
        <f t="shared" si="229"/>
        <v>0</v>
      </c>
      <c r="Y108" s="19">
        <f t="shared" si="230"/>
        <v>0</v>
      </c>
      <c r="Z108" s="19">
        <f t="shared" si="231"/>
        <v>0</v>
      </c>
      <c r="AA108" s="164" t="s">
        <v>141</v>
      </c>
      <c r="AB108" s="17" t="e">
        <f>+H108*SUMIF('[1]KẾ HOẠCH'!$B$5:$CK$5,'Cắt lồng'!AA108,'[1]KẾ HOẠCH'!$B$6:$CK$6)+H108*SUMIF('[1]KẾ HOẠCH'!$B$7:$CK$7,'Cắt lồng'!AA108,'[1]KẾ HOẠCH'!$B$8:$CK$8)+H108*SUMIF('[1]KẾ HOẠCH'!$B$15:$CK$15,'Cắt lồng'!AA108,'[1]KẾ HOẠCH'!$B$16:$CK$16)</f>
        <v>#VALUE!</v>
      </c>
      <c r="AC108" s="16">
        <f t="shared" si="232"/>
        <v>0</v>
      </c>
      <c r="AD108" s="15" t="e">
        <f t="shared" si="233"/>
        <v>#VALUE!</v>
      </c>
      <c r="AE108" s="42"/>
      <c r="AF108" s="10" t="e">
        <f t="shared" si="234"/>
        <v>#DIV/0!</v>
      </c>
      <c r="AG108" s="10"/>
      <c r="AH108" s="152">
        <f t="shared" si="235"/>
        <v>0</v>
      </c>
      <c r="AI108" s="54" t="e">
        <f t="shared" si="236"/>
        <v>#DIV/0!</v>
      </c>
      <c r="AJ108" s="25">
        <f t="shared" si="237"/>
        <v>0</v>
      </c>
      <c r="AK108" s="30">
        <f t="shared" si="238"/>
        <v>0</v>
      </c>
      <c r="AL108" s="30">
        <f t="shared" si="239"/>
        <v>0</v>
      </c>
      <c r="AM108" s="30">
        <f t="shared" si="240"/>
        <v>0</v>
      </c>
      <c r="AN108" s="30">
        <f t="shared" si="241"/>
        <v>0</v>
      </c>
      <c r="AO108" s="30">
        <f t="shared" si="242"/>
        <v>0</v>
      </c>
      <c r="AP108" s="30">
        <f t="shared" si="243"/>
        <v>0</v>
      </c>
      <c r="AQ108" s="30">
        <f t="shared" si="244"/>
        <v>0</v>
      </c>
      <c r="AR108" s="30">
        <f t="shared" si="245"/>
        <v>0</v>
      </c>
      <c r="AS108" s="30">
        <f t="shared" si="246"/>
        <v>0</v>
      </c>
      <c r="AT108" s="30">
        <f t="shared" si="247"/>
        <v>0</v>
      </c>
      <c r="AV108" s="79">
        <f t="shared" si="248"/>
        <v>0</v>
      </c>
      <c r="AW108" s="79">
        <f t="array" ref="AW108">SUMIFS('Cắt lồng'!$AC$327:$AC$515,'Cắt lồng'!$AA$327:$AA$515,'Cắt lồng'!$AA108,'Cắt lồng'!$AE$327:$AE$515,'Cắt lồng'!AW$4:AW$4)</f>
        <v>0</v>
      </c>
      <c r="AX108" s="79">
        <f t="array" ref="AX108">SUMIFS('Cắt lồng'!$AH$327:$AH$515,'Cắt lồng'!$AA$327:$AA$515,'Cắt lồng'!$AA108,'Cắt lồng'!$AE$327:$AE$515,'Cắt lồng'!AX$4:AX$4)</f>
        <v>0</v>
      </c>
      <c r="AY108" s="78" t="e">
        <f t="shared" si="249"/>
        <v>#DIV/0!</v>
      </c>
      <c r="AZ108" s="79">
        <f t="array" ref="AZ108">SUMIFS('Cắt lồng'!$AC$327:$AC$515,'Cắt lồng'!$AA$327:$AA$515,'Cắt lồng'!$AA108,'Cắt lồng'!$AE$327:$AE$515,'Cắt lồng'!AZ$4:AZ$4)</f>
        <v>0</v>
      </c>
      <c r="BA108" s="79">
        <f t="array" ref="BA108">SUMIFS('Cắt lồng'!$AH$327:$AH$515,'Cắt lồng'!$AA$327:$AA$515,'Cắt lồng'!$AA108,'Cắt lồng'!$AE$327:$AE$515,'Cắt lồng'!BA$4:BA$4)</f>
        <v>0</v>
      </c>
      <c r="BB108" s="78" t="e">
        <f t="shared" si="250"/>
        <v>#DIV/0!</v>
      </c>
      <c r="BC108" s="79">
        <f t="array" ref="BC108">SUMIFS('Cắt lồng'!$AC$327:$AC$515,'Cắt lồng'!$AA$327:$AA$515,'Cắt lồng'!$AA108,'Cắt lồng'!$AE$327:$AE$515,'Cắt lồng'!BC$4:BC$4)</f>
        <v>0</v>
      </c>
      <c r="BD108" s="79">
        <f t="array" ref="BD108">SUMIFS('Cắt lồng'!$AH$327:$AH$515,'Cắt lồng'!$AA$327:$AA$515,'Cắt lồng'!$AA108,'Cắt lồng'!$AE$327:$AE$515,'Cắt lồng'!BD$4:BD$4)</f>
        <v>0</v>
      </c>
      <c r="BE108" s="78" t="e">
        <f t="shared" si="251"/>
        <v>#DIV/0!</v>
      </c>
      <c r="BF108" s="79">
        <f t="array" ref="BF108">SUMIFS('Cắt lồng'!$AC$327:$AC$515,'Cắt lồng'!$AA$327:$AA$515,'Cắt lồng'!$AA108,'Cắt lồng'!$AE$327:$AE$515,'Cắt lồng'!BF$4:BF$4)</f>
        <v>0</v>
      </c>
      <c r="BG108" s="79">
        <f t="array" ref="BG108">SUMIFS('Cắt lồng'!$AH$327:$AH$515,'Cắt lồng'!$AA$327:$AA$515,'Cắt lồng'!$AA108,'Cắt lồng'!$AE$327:$AE$515,'Cắt lồng'!BG$4:BG$4)</f>
        <v>0</v>
      </c>
      <c r="BH108" s="78" t="e">
        <f t="shared" si="252"/>
        <v>#DIV/0!</v>
      </c>
      <c r="BI108" s="79">
        <f t="array" ref="BI108">SUMIFS('Cắt lồng'!$AC$327:$AC$515,'Cắt lồng'!$AA$327:$AA$515,'Cắt lồng'!$AA108,'Cắt lồng'!$AE$327:$AE$515,'Cắt lồng'!BI$4:BI$4)</f>
        <v>0</v>
      </c>
      <c r="BJ108" s="79">
        <f t="array" ref="BJ108">SUMIFS('Cắt lồng'!$AH$327:$AH$515,'Cắt lồng'!$AA$327:$AA$515,'Cắt lồng'!$AA108,'Cắt lồng'!$AE$327:$AE$515,'Cắt lồng'!BJ$4:BJ$4)</f>
        <v>0</v>
      </c>
      <c r="BK108" s="78" t="e">
        <f t="shared" si="253"/>
        <v>#DIV/0!</v>
      </c>
      <c r="BL108" s="79">
        <f t="array" ref="BL108">SUMIFS('Cắt lồng'!$AC$327:$AC$515,'Cắt lồng'!$AA$327:$AA$515,'Cắt lồng'!$AA108,'Cắt lồng'!$AE$327:$AE$515,'Cắt lồng'!BL$4:BL$4)</f>
        <v>0</v>
      </c>
      <c r="BM108" s="79">
        <f t="array" ref="BM108">SUMIFS('Cắt lồng'!$AH$327:$AH$515,'Cắt lồng'!$AA$327:$AA$515,'Cắt lồng'!$AA108,'Cắt lồng'!$AE$327:$AE$515,'Cắt lồng'!BM$4:BM$4)</f>
        <v>0</v>
      </c>
      <c r="BN108" s="78" t="e">
        <f t="shared" si="254"/>
        <v>#DIV/0!</v>
      </c>
      <c r="BO108" s="79">
        <f t="array" ref="BO108">SUMIFS('Cắt lồng'!$AC$327:$AC$515,'Cắt lồng'!$AA$327:$AA$515,'Cắt lồng'!$AA108,'Cắt lồng'!$AE$327:$AE$515,'Cắt lồng'!BO$4:BO$4)</f>
        <v>0</v>
      </c>
      <c r="BP108" s="79">
        <f t="array" ref="BP108">SUMIFS('Cắt lồng'!$AH$327:$AH$515,'Cắt lồng'!$AA$327:$AA$515,'Cắt lồng'!$AA108,'Cắt lồng'!$AE$327:$AE$515,'Cắt lồng'!BP$4:BP$4)</f>
        <v>0</v>
      </c>
      <c r="BQ108" s="78" t="e">
        <f t="shared" si="255"/>
        <v>#DIV/0!</v>
      </c>
      <c r="BR108" s="79">
        <f t="array" ref="BR108">SUMIFS('Cắt lồng'!$AC$327:$AC$515,'Cắt lồng'!$AA$327:$AA$515,'Cắt lồng'!$AA108,'Cắt lồng'!$AE$327:$AE$515,'Cắt lồng'!BR$4:BR$4)</f>
        <v>0</v>
      </c>
      <c r="BS108" s="79">
        <f t="array" ref="BS108">SUMIFS('Cắt lồng'!$AH$327:$AH$515,'Cắt lồng'!$AA$327:$AA$515,'Cắt lồng'!$AA108,'Cắt lồng'!$AE$327:$AE$515,'Cắt lồng'!BS$4:BS$4)</f>
        <v>0</v>
      </c>
      <c r="BT108" s="78" t="e">
        <f t="shared" si="256"/>
        <v>#DIV/0!</v>
      </c>
      <c r="BU108" s="79">
        <f t="array" ref="BU108">SUMIFS('Cắt lồng'!$AC$327:$AC$515,'Cắt lồng'!$AA$327:$AA$515,'Cắt lồng'!$AA108,'Cắt lồng'!$AE$327:$AE$515,'Cắt lồng'!BU$4:BU$4)</f>
        <v>0</v>
      </c>
      <c r="BV108" s="79">
        <f t="array" ref="BV108">SUMIFS('Cắt lồng'!$AH$327:$AH$515,'Cắt lồng'!$AA$327:$AA$515,'Cắt lồng'!$AA108,'Cắt lồng'!$AE$327:$AE$515,'Cắt lồng'!BV$4:BV$4)</f>
        <v>0</v>
      </c>
      <c r="BW108" s="78" t="e">
        <f t="shared" si="257"/>
        <v>#DIV/0!</v>
      </c>
      <c r="BX108" s="79">
        <f t="array" ref="BX108">SUMIFS('Cắt lồng'!$AC$327:$AC$515,'Cắt lồng'!$AA$327:$AA$515,'Cắt lồng'!$AA108,'Cắt lồng'!$AE$327:$AE$515,'Cắt lồng'!BX$4:BX$4)</f>
        <v>0</v>
      </c>
      <c r="BY108" s="79">
        <f t="array" ref="BY108">SUMIFS('Cắt lồng'!$AH$327:$AH$515,'Cắt lồng'!$AA$327:$AA$515,'Cắt lồng'!$AA108,'Cắt lồng'!$AE$327:$AE$515,'Cắt lồng'!BY$4:BY$4)</f>
        <v>0</v>
      </c>
      <c r="BZ108" s="78" t="e">
        <f t="shared" si="258"/>
        <v>#DIV/0!</v>
      </c>
      <c r="CA108" s="79">
        <f t="array" ref="CA108">SUMIFS('Cắt lồng'!$AC$327:$AC$515,'Cắt lồng'!$AA$327:$AA$515,'Cắt lồng'!$AA108,'Cắt lồng'!$AE$327:$AE$515,'Cắt lồng'!CA$4:CA$4)</f>
        <v>0</v>
      </c>
      <c r="CB108" s="79">
        <f t="array" ref="CB108">SUMIFS('Cắt lồng'!$AH$327:$AH$515,'Cắt lồng'!$AA$327:$AA$515,'Cắt lồng'!$AA108,'Cắt lồng'!$AE$327:$AE$515,'Cắt lồng'!CB$4:CB$4)</f>
        <v>0</v>
      </c>
      <c r="CC108" s="78" t="e">
        <f t="shared" si="259"/>
        <v>#DIV/0!</v>
      </c>
      <c r="CD108" s="79">
        <f t="array" ref="CD108">SUMIFS('Cắt lồng'!$AC$327:$AC$515,'Cắt lồng'!$AA$327:$AA$515,'Cắt lồng'!$AA108,'Cắt lồng'!$AE$327:$AE$515,'Cắt lồng'!CD$4:CD$4)</f>
        <v>0</v>
      </c>
      <c r="CE108" s="79">
        <f t="array" ref="CE108">SUMIFS('Cắt lồng'!$AH$327:$AH$515,'Cắt lồng'!$AA$327:$AA$515,'Cắt lồng'!$AA108,'Cắt lồng'!$AE$327:$AE$515,'Cắt lồng'!CE$4:CE$4)</f>
        <v>0</v>
      </c>
      <c r="CF108" s="78" t="e">
        <f t="shared" si="260"/>
        <v>#DIV/0!</v>
      </c>
      <c r="CG108" s="79">
        <f t="array" ref="CG108">SUMIFS('Cắt lồng'!$AC$327:$AC$515,'Cắt lồng'!$AA$327:$AA$515,'Cắt lồng'!$AA108,'Cắt lồng'!$AE$327:$AE$515,'Cắt lồng'!CG$4:CG$4)</f>
        <v>0</v>
      </c>
      <c r="CH108" s="79">
        <f t="array" ref="CH108">SUMIFS('Cắt lồng'!$AH$327:$AH$515,'Cắt lồng'!$AA$327:$AA$515,'Cắt lồng'!$AA108,'Cắt lồng'!$AE$327:$AE$515,'Cắt lồng'!CH$4:CH$4)</f>
        <v>0</v>
      </c>
      <c r="CI108" s="78" t="e">
        <f t="shared" si="261"/>
        <v>#DIV/0!</v>
      </c>
      <c r="CJ108" s="79">
        <f t="array" ref="CJ108">SUMIFS('Cắt lồng'!$AC$327:$AC$515,'Cắt lồng'!$AA$327:$AA$515,'Cắt lồng'!$AA108,'Cắt lồng'!$AE$327:$AE$515,'Cắt lồng'!CJ$4:CJ$4)</f>
        <v>0</v>
      </c>
      <c r="CK108" s="79">
        <f t="array" ref="CK108">SUMIFS('Cắt lồng'!$AH$327:$AH$515,'Cắt lồng'!$AA$327:$AA$515,'Cắt lồng'!$AA108,'Cắt lồng'!$AE$327:$AE$515,'Cắt lồng'!CK$4:CK$4)</f>
        <v>0</v>
      </c>
      <c r="CL108" s="78" t="e">
        <f t="shared" si="262"/>
        <v>#DIV/0!</v>
      </c>
      <c r="CM108" s="79">
        <f t="array" ref="CM108">SUMIFS('Cắt lồng'!$AC$327:$AC$515,'Cắt lồng'!$AA$327:$AA$515,'Cắt lồng'!$AA108,'Cắt lồng'!$AE$327:$AE$515,'Cắt lồng'!CM$4:CM$4)</f>
        <v>0</v>
      </c>
      <c r="CN108" s="79">
        <f t="array" ref="CN108">SUMIFS('Cắt lồng'!$AH$327:$AH$515,'Cắt lồng'!$AA$327:$AA$515,'Cắt lồng'!$AA108,'Cắt lồng'!$AE$327:$AE$515,'Cắt lồng'!CN$4:CN$4)</f>
        <v>0</v>
      </c>
      <c r="CO108" s="78" t="e">
        <f t="shared" si="263"/>
        <v>#DIV/0!</v>
      </c>
      <c r="CP108" s="79">
        <f t="array" ref="CP108">SUMIFS('Cắt lồng'!$AC$327:$AC$515,'Cắt lồng'!$AA$327:$AA$515,'Cắt lồng'!$AA108,'Cắt lồng'!$AE$327:$AE$515,'Cắt lồng'!CP$4:CP$4)</f>
        <v>0</v>
      </c>
      <c r="CQ108" s="79">
        <f t="array" ref="CQ108">SUMIFS('Cắt lồng'!$AH$327:$AH$515,'Cắt lồng'!$AA$327:$AA$515,'Cắt lồng'!$AA108,'Cắt lồng'!$AE$327:$AE$515,'Cắt lồng'!CQ$4:CQ$4)</f>
        <v>0</v>
      </c>
      <c r="CR108" s="78" t="e">
        <f t="shared" si="264"/>
        <v>#DIV/0!</v>
      </c>
      <c r="CS108" s="79">
        <f t="array" ref="CS108">SUMIFS('Cắt lồng'!$AC$327:$AC$515,'Cắt lồng'!$AA$327:$AA$515,'Cắt lồng'!$AA108,'Cắt lồng'!$AE$327:$AE$515,'Cắt lồng'!CS$4:CS$4)</f>
        <v>0</v>
      </c>
      <c r="CT108" s="79">
        <f t="array" ref="CT108">SUMIFS('Cắt lồng'!$AH$327:$AH$515,'Cắt lồng'!$AA$327:$AA$515,'Cắt lồng'!$AA108,'Cắt lồng'!$AE$327:$AE$515,'Cắt lồng'!CT$4:CT$4)</f>
        <v>0</v>
      </c>
      <c r="CU108" s="78" t="e">
        <f t="shared" si="265"/>
        <v>#DIV/0!</v>
      </c>
      <c r="CV108" s="79">
        <f t="array" ref="CV108">SUMIFS('Cắt lồng'!$AC$327:$AC$515,'Cắt lồng'!$AA$327:$AA$515,'Cắt lồng'!$AA108,'Cắt lồng'!$AE$327:$AE$515,'Cắt lồng'!CV$4:CV$4)</f>
        <v>0</v>
      </c>
      <c r="CW108" s="79">
        <f t="array" ref="CW108">SUMIFS('Cắt lồng'!$AH$327:$AH$515,'Cắt lồng'!$AA$327:$AA$515,'Cắt lồng'!$AA108,'Cắt lồng'!$AE$327:$AE$515,'Cắt lồng'!CW$4:CW$4)</f>
        <v>0</v>
      </c>
      <c r="CX108" s="78" t="e">
        <f t="shared" si="266"/>
        <v>#DIV/0!</v>
      </c>
      <c r="CY108" s="79">
        <f t="array" ref="CY108">SUMIFS('Cắt lồng'!$AC$327:$AC$515,'Cắt lồng'!$AA$327:$AA$515,'Cắt lồng'!$AA108,'Cắt lồng'!$AE$327:$AE$515,'Cắt lồng'!CY$4:CY$4)</f>
        <v>0</v>
      </c>
      <c r="CZ108" s="79">
        <f t="array" ref="CZ108">SUMIFS('Cắt lồng'!$AH$327:$AH$515,'Cắt lồng'!$AA$327:$AA$515,'Cắt lồng'!$AA108,'Cắt lồng'!$AE$327:$AE$515,'Cắt lồng'!CZ$4:CZ$4)</f>
        <v>0</v>
      </c>
      <c r="DA108" s="78" t="e">
        <f t="shared" si="267"/>
        <v>#DIV/0!</v>
      </c>
      <c r="DB108" s="79">
        <f t="array" ref="DB108">SUMIFS('Cắt lồng'!$AC$327:$AC$515,'Cắt lồng'!$AA$327:$AA$515,'Cắt lồng'!$AA108,'Cắt lồng'!$AE$327:$AE$515,'Cắt lồng'!DB$4:DB$4)</f>
        <v>0</v>
      </c>
      <c r="DC108" s="79">
        <f t="array" ref="DC108">SUMIFS('Cắt lồng'!$AH$327:$AH$515,'Cắt lồng'!$AA$327:$AA$515,'Cắt lồng'!$AA108,'Cắt lồng'!$AE$327:$AE$515,'Cắt lồng'!DC$4:DC$4)</f>
        <v>0</v>
      </c>
      <c r="DD108" s="78" t="e">
        <f t="shared" si="268"/>
        <v>#DIV/0!</v>
      </c>
      <c r="DE108" s="79">
        <f t="array" ref="DE108">SUMIFS('Cắt lồng'!$AC$327:$AC$515,'Cắt lồng'!$AA$327:$AA$515,'Cắt lồng'!$AA108,'Cắt lồng'!$AE$327:$AE$515,'Cắt lồng'!DE$4:DE$4)</f>
        <v>0</v>
      </c>
      <c r="DF108" s="79">
        <f t="array" ref="DF108">SUMIFS('Cắt lồng'!$AH$327:$AH$515,'Cắt lồng'!$AA$327:$AA$515,'Cắt lồng'!$AA108,'Cắt lồng'!$AE$327:$AE$515,'Cắt lồng'!DF$4:DF$4)</f>
        <v>0</v>
      </c>
      <c r="DG108" s="78" t="e">
        <f t="shared" si="269"/>
        <v>#DIV/0!</v>
      </c>
      <c r="DH108" s="79">
        <f t="array" ref="DH108">SUMIFS('Cắt lồng'!$AC$327:$AC$515,'Cắt lồng'!$AA$327:$AA$515,'Cắt lồng'!$AA108,'Cắt lồng'!$AE$327:$AE$515,'Cắt lồng'!DH$4:DH$4)</f>
        <v>0</v>
      </c>
      <c r="DI108" s="79">
        <f t="array" ref="DI108">SUMIFS('Cắt lồng'!$AH$327:$AH$515,'Cắt lồng'!$AA$327:$AA$515,'Cắt lồng'!$AA108,'Cắt lồng'!$AE$327:$AE$515,'Cắt lồng'!DI$4:DI$4)</f>
        <v>0</v>
      </c>
      <c r="DJ108" s="78" t="e">
        <f t="shared" si="270"/>
        <v>#DIV/0!</v>
      </c>
      <c r="DK108" s="79">
        <f t="array" ref="DK108">SUMIFS('Cắt lồng'!$AC$327:$AC$515,'Cắt lồng'!$AA$327:$AA$515,'Cắt lồng'!$AA108,'Cắt lồng'!$AE$327:$AE$515,'Cắt lồng'!DK$4:DK$4)</f>
        <v>0</v>
      </c>
      <c r="DL108" s="79">
        <f t="array" ref="DL108">SUMIFS('Cắt lồng'!$AH$327:$AH$515,'Cắt lồng'!$AA$327:$AA$515,'Cắt lồng'!$AA108,'Cắt lồng'!$AE$327:$AE$515,'Cắt lồng'!DL$4:DL$4)</f>
        <v>0</v>
      </c>
      <c r="DM108" s="78" t="e">
        <f t="shared" si="271"/>
        <v>#DIV/0!</v>
      </c>
      <c r="DN108" s="79">
        <f t="array" ref="DN108">SUMIFS('Cắt lồng'!$AC$327:$AC$515,'Cắt lồng'!$AA$327:$AA$515,'Cắt lồng'!$AA108,'Cắt lồng'!$AE$327:$AE$515,'Cắt lồng'!DN$4:DN$4)</f>
        <v>0</v>
      </c>
      <c r="DO108" s="79">
        <f t="array" ref="DO108">SUMIFS('Cắt lồng'!$AH$327:$AH$515,'Cắt lồng'!$AA$327:$AA$515,'Cắt lồng'!$AA108,'Cắt lồng'!$AE$327:$AE$515,'Cắt lồng'!DO$4:DO$4)</f>
        <v>0</v>
      </c>
      <c r="DP108" s="78" t="e">
        <f t="shared" si="272"/>
        <v>#DIV/0!</v>
      </c>
      <c r="DQ108" s="79">
        <f t="array" ref="DQ108">SUMIFS('Cắt lồng'!$AC$327:$AC$515,'Cắt lồng'!$AA$327:$AA$515,'Cắt lồng'!$AA108,'Cắt lồng'!$AE$327:$AE$515,'Cắt lồng'!DQ$4:DQ$4)</f>
        <v>0</v>
      </c>
      <c r="DR108" s="79">
        <f t="array" ref="DR108">SUMIFS('Cắt lồng'!$AH$327:$AH$515,'Cắt lồng'!$AA$327:$AA$515,'Cắt lồng'!$AA108,'Cắt lồng'!$AE$327:$AE$515,'Cắt lồng'!DR$4:DR$4)</f>
        <v>0</v>
      </c>
      <c r="DS108" s="78" t="e">
        <f t="shared" si="273"/>
        <v>#DIV/0!</v>
      </c>
      <c r="DT108" s="79">
        <f t="array" ref="DT108">SUMIFS('Cắt lồng'!$AC$327:$AC$515,'Cắt lồng'!$AA$327:$AA$515,'Cắt lồng'!$AA108,'Cắt lồng'!$AE$327:$AE$515,'Cắt lồng'!DT$4:DT$4)</f>
        <v>0</v>
      </c>
      <c r="DU108" s="79">
        <f t="array" ref="DU108">SUMIFS('Cắt lồng'!$AH$327:$AH$515,'Cắt lồng'!$AA$327:$AA$515,'Cắt lồng'!$AA108,'Cắt lồng'!$AE$327:$AE$515,'Cắt lồng'!DU$4:DU$4)</f>
        <v>0</v>
      </c>
      <c r="DV108" s="78" t="e">
        <f t="shared" si="274"/>
        <v>#DIV/0!</v>
      </c>
      <c r="DW108" s="79">
        <f t="array" ref="DW108">SUMIFS('Cắt lồng'!$AC$327:$AC$515,'Cắt lồng'!$AA$327:$AA$515,'Cắt lồng'!$AA108,'Cắt lồng'!$AE$327:$AE$515,'Cắt lồng'!DW$4:DW$4)</f>
        <v>0</v>
      </c>
      <c r="DX108" s="79">
        <f t="array" ref="DX108">SUMIFS('Cắt lồng'!$AH$327:$AH$515,'Cắt lồng'!$AA$327:$AA$515,'Cắt lồng'!$AA108,'Cắt lồng'!$AE$327:$AE$515,'Cắt lồng'!DX$4:DX$4)</f>
        <v>0</v>
      </c>
      <c r="DY108" s="78" t="e">
        <f t="shared" si="275"/>
        <v>#DIV/0!</v>
      </c>
      <c r="DZ108" s="79">
        <f t="array" ref="DZ108">SUMIFS('Cắt lồng'!$AC$327:$AC$515,'Cắt lồng'!$AA$327:$AA$515,'Cắt lồng'!$AA108,'Cắt lồng'!$AE$327:$AE$515,'Cắt lồng'!DZ$4:DZ$4)</f>
        <v>0</v>
      </c>
      <c r="EA108" s="79">
        <f t="array" ref="EA108">SUMIFS('Cắt lồng'!$AH$327:$AH$515,'Cắt lồng'!$AA$327:$AA$515,'Cắt lồng'!$AA108,'Cắt lồng'!$AE$327:$AE$515,'Cắt lồng'!EA$4:EA$4)</f>
        <v>0</v>
      </c>
      <c r="EB108" s="78" t="e">
        <f t="shared" si="276"/>
        <v>#DIV/0!</v>
      </c>
      <c r="EC108" s="79">
        <f t="array" ref="EC108">SUMIFS('Cắt lồng'!$AC$327:$AC$515,'Cắt lồng'!$AA$327:$AA$515,'Cắt lồng'!$AA108,'Cắt lồng'!$AE$327:$AE$515,'Cắt lồng'!EC$4:EC$4)</f>
        <v>0</v>
      </c>
      <c r="ED108" s="79">
        <f t="array" ref="ED108">SUMIFS('Cắt lồng'!$AH$327:$AH$515,'Cắt lồng'!$AA$327:$AA$515,'Cắt lồng'!$AA108,'Cắt lồng'!$AE$327:$AE$515,'Cắt lồng'!ED$4:ED$4)</f>
        <v>0</v>
      </c>
      <c r="EE108" s="78" t="e">
        <f t="shared" si="277"/>
        <v>#DIV/0!</v>
      </c>
      <c r="EF108" s="79">
        <f t="array" ref="EF108">SUMIFS('Cắt lồng'!$AC$327:$AC$515,'Cắt lồng'!$AA$327:$AA$515,'Cắt lồng'!$AA108,'Cắt lồng'!$AE$327:$AE$515,'Cắt lồng'!EF$4:EF$4)</f>
        <v>0</v>
      </c>
      <c r="EG108" s="79">
        <f t="array" ref="EG108">SUMIFS('Cắt lồng'!$AH$327:$AH$515,'Cắt lồng'!$AA$327:$AA$515,'Cắt lồng'!$AA108,'Cắt lồng'!$AE$327:$AE$515,'Cắt lồng'!EG$4:EG$4)</f>
        <v>0</v>
      </c>
      <c r="EH108" s="78" t="e">
        <f t="shared" si="278"/>
        <v>#DIV/0!</v>
      </c>
      <c r="EI108" s="79">
        <f t="array" ref="EI108">SUMIFS('Cắt lồng'!$AC$327:$AC$515,'Cắt lồng'!$AA$327:$AA$515,'Cắt lồng'!$AA108,'Cắt lồng'!$AE$327:$AE$515,'Cắt lồng'!EI$4:EI$4)</f>
        <v>0</v>
      </c>
      <c r="EJ108" s="79">
        <f t="array" ref="EJ108">SUMIFS('Cắt lồng'!$AH$327:$AH$515,'Cắt lồng'!$AA$327:$AA$515,'Cắt lồng'!$AA108,'Cắt lồng'!$AE$327:$AE$515,'Cắt lồng'!EJ$4:EJ$4)</f>
        <v>0</v>
      </c>
      <c r="EK108" s="78" t="e">
        <f t="shared" si="279"/>
        <v>#DIV/0!</v>
      </c>
    </row>
    <row r="109" spans="1:150" s="155" customFormat="1" ht="14.25" hidden="1" customHeight="1">
      <c r="A109" s="158">
        <v>76</v>
      </c>
      <c r="B109" s="164"/>
      <c r="C109" s="158"/>
      <c r="D109" s="169"/>
      <c r="E109" s="168"/>
      <c r="F109" s="167"/>
      <c r="G109" s="166">
        <f t="shared" si="212"/>
        <v>0</v>
      </c>
      <c r="H109" s="166">
        <f t="shared" si="213"/>
        <v>0</v>
      </c>
      <c r="I109" s="165">
        <f t="shared" si="214"/>
        <v>0</v>
      </c>
      <c r="J109" s="165">
        <f t="shared" si="215"/>
        <v>0</v>
      </c>
      <c r="K109" s="165">
        <f t="shared" si="216"/>
        <v>0</v>
      </c>
      <c r="L109" s="165">
        <f t="shared" si="217"/>
        <v>0</v>
      </c>
      <c r="M109" s="165">
        <f t="shared" si="218"/>
        <v>0</v>
      </c>
      <c r="N109" s="165">
        <f t="shared" si="219"/>
        <v>0</v>
      </c>
      <c r="O109" s="165">
        <f t="shared" si="220"/>
        <v>0</v>
      </c>
      <c r="P109" s="165">
        <f t="shared" si="221"/>
        <v>0</v>
      </c>
      <c r="Q109" s="165">
        <f t="shared" si="222"/>
        <v>0</v>
      </c>
      <c r="R109" s="165">
        <f t="shared" si="223"/>
        <v>0</v>
      </c>
      <c r="S109" s="165">
        <f t="shared" si="224"/>
        <v>0</v>
      </c>
      <c r="T109" s="165">
        <f t="shared" si="225"/>
        <v>0</v>
      </c>
      <c r="U109" s="165">
        <f t="shared" si="226"/>
        <v>0</v>
      </c>
      <c r="V109" s="165">
        <f t="shared" si="227"/>
        <v>0</v>
      </c>
      <c r="W109" s="165">
        <f t="shared" si="228"/>
        <v>0</v>
      </c>
      <c r="X109" s="165">
        <f t="shared" si="229"/>
        <v>0</v>
      </c>
      <c r="Y109" s="165">
        <f t="shared" si="230"/>
        <v>0</v>
      </c>
      <c r="Z109" s="165">
        <f t="shared" si="231"/>
        <v>0</v>
      </c>
      <c r="AA109" s="164" t="s">
        <v>139</v>
      </c>
      <c r="AB109" s="163" t="e">
        <f>+H109*SUMIF('[1]KẾ HOẠCH'!$B$5:$CK$5,'Cắt lồng'!AA109,'[1]KẾ HOẠCH'!$B$6:$CK$6)+H109*SUMIF('[1]KẾ HOẠCH'!$B$7:$CK$7,'Cắt lồng'!AA109,'[1]KẾ HOẠCH'!$B$8:$CK$8)</f>
        <v>#VALUE!</v>
      </c>
      <c r="AC109" s="163">
        <f t="shared" si="232"/>
        <v>0</v>
      </c>
      <c r="AD109" s="162" t="e">
        <f t="shared" si="233"/>
        <v>#VALUE!</v>
      </c>
      <c r="AE109" s="161"/>
      <c r="AF109" s="160" t="e">
        <f t="shared" si="234"/>
        <v>#DIV/0!</v>
      </c>
      <c r="AG109" s="160"/>
      <c r="AH109" s="160">
        <f t="shared" si="235"/>
        <v>0</v>
      </c>
      <c r="AI109" s="159" t="e">
        <f t="shared" si="236"/>
        <v>#DIV/0!</v>
      </c>
      <c r="AJ109" s="158">
        <f t="shared" si="237"/>
        <v>0</v>
      </c>
      <c r="AK109" s="30">
        <f t="shared" si="238"/>
        <v>0</v>
      </c>
      <c r="AL109" s="30">
        <f t="shared" si="239"/>
        <v>0</v>
      </c>
      <c r="AM109" s="30">
        <f t="shared" si="240"/>
        <v>0</v>
      </c>
      <c r="AN109" s="30">
        <f t="shared" si="241"/>
        <v>0</v>
      </c>
      <c r="AO109" s="30">
        <f t="shared" si="242"/>
        <v>0</v>
      </c>
      <c r="AP109" s="30">
        <f t="shared" si="243"/>
        <v>0</v>
      </c>
      <c r="AQ109" s="30">
        <f t="shared" si="244"/>
        <v>0</v>
      </c>
      <c r="AR109" s="30">
        <f t="shared" si="245"/>
        <v>0</v>
      </c>
      <c r="AS109" s="30">
        <f t="shared" si="246"/>
        <v>0</v>
      </c>
      <c r="AT109" s="30">
        <f t="shared" si="247"/>
        <v>0</v>
      </c>
      <c r="AV109" s="157">
        <f t="shared" si="248"/>
        <v>0</v>
      </c>
      <c r="AW109" s="79">
        <f t="array" ref="AW109">SUMIFS('Cắt lồng'!$AC$327:$AC$515,'Cắt lồng'!$AA$327:$AA$515,'Cắt lồng'!$AA109,'Cắt lồng'!$AE$327:$AE$515,'Cắt lồng'!AW$4:AW$4)</f>
        <v>0</v>
      </c>
      <c r="AX109" s="79">
        <f t="array" ref="AX109">SUMIFS('Cắt lồng'!$AH$327:$AH$515,'Cắt lồng'!$AA$327:$AA$515,'Cắt lồng'!$AA109,'Cắt lồng'!$AE$327:$AE$515,'Cắt lồng'!AX$4:AX$4)</f>
        <v>0</v>
      </c>
      <c r="AY109" s="156" t="e">
        <f t="shared" si="249"/>
        <v>#DIV/0!</v>
      </c>
      <c r="AZ109" s="79">
        <f t="array" ref="AZ109">SUMIFS('Cắt lồng'!$AC$327:$AC$515,'Cắt lồng'!$AA$327:$AA$515,'Cắt lồng'!$AA109,'Cắt lồng'!$AE$327:$AE$515,'Cắt lồng'!AZ$4:AZ$4)</f>
        <v>0</v>
      </c>
      <c r="BA109" s="79">
        <f t="array" ref="BA109">SUMIFS('Cắt lồng'!$AH$327:$AH$515,'Cắt lồng'!$AA$327:$AA$515,'Cắt lồng'!$AA109,'Cắt lồng'!$AE$327:$AE$515,'Cắt lồng'!BA$4:BA$4)</f>
        <v>0</v>
      </c>
      <c r="BB109" s="156" t="e">
        <f t="shared" si="250"/>
        <v>#DIV/0!</v>
      </c>
      <c r="BC109" s="79">
        <f t="array" ref="BC109">SUMIFS('Cắt lồng'!$AC$327:$AC$515,'Cắt lồng'!$AA$327:$AA$515,'Cắt lồng'!$AA109,'Cắt lồng'!$AE$327:$AE$515,'Cắt lồng'!BC$4:BC$4)</f>
        <v>0</v>
      </c>
      <c r="BD109" s="79">
        <f t="array" ref="BD109">SUMIFS('Cắt lồng'!$AH$327:$AH$515,'Cắt lồng'!$AA$327:$AA$515,'Cắt lồng'!$AA109,'Cắt lồng'!$AE$327:$AE$515,'Cắt lồng'!BD$4:BD$4)</f>
        <v>0</v>
      </c>
      <c r="BE109" s="156" t="e">
        <f t="shared" si="251"/>
        <v>#DIV/0!</v>
      </c>
      <c r="BF109" s="79">
        <f t="array" ref="BF109">SUMIFS('Cắt lồng'!$AC$327:$AC$515,'Cắt lồng'!$AA$327:$AA$515,'Cắt lồng'!$AA109,'Cắt lồng'!$AE$327:$AE$515,'Cắt lồng'!BF$4:BF$4)</f>
        <v>0</v>
      </c>
      <c r="BG109" s="79">
        <f t="array" ref="BG109">SUMIFS('Cắt lồng'!$AH$327:$AH$515,'Cắt lồng'!$AA$327:$AA$515,'Cắt lồng'!$AA109,'Cắt lồng'!$AE$327:$AE$515,'Cắt lồng'!BG$4:BG$4)</f>
        <v>0</v>
      </c>
      <c r="BH109" s="156" t="e">
        <f t="shared" si="252"/>
        <v>#DIV/0!</v>
      </c>
      <c r="BI109" s="79">
        <f t="array" ref="BI109">SUMIFS('Cắt lồng'!$AC$327:$AC$515,'Cắt lồng'!$AA$327:$AA$515,'Cắt lồng'!$AA109,'Cắt lồng'!$AE$327:$AE$515,'Cắt lồng'!BI$4:BI$4)</f>
        <v>0</v>
      </c>
      <c r="BJ109" s="79">
        <f t="array" ref="BJ109">SUMIFS('Cắt lồng'!$AH$327:$AH$515,'Cắt lồng'!$AA$327:$AA$515,'Cắt lồng'!$AA109,'Cắt lồng'!$AE$327:$AE$515,'Cắt lồng'!BJ$4:BJ$4)</f>
        <v>0</v>
      </c>
      <c r="BK109" s="156" t="e">
        <f t="shared" si="253"/>
        <v>#DIV/0!</v>
      </c>
      <c r="BL109" s="79">
        <f t="array" ref="BL109">SUMIFS('Cắt lồng'!$AC$327:$AC$515,'Cắt lồng'!$AA$327:$AA$515,'Cắt lồng'!$AA109,'Cắt lồng'!$AE$327:$AE$515,'Cắt lồng'!BL$4:BL$4)</f>
        <v>0</v>
      </c>
      <c r="BM109" s="79">
        <f t="array" ref="BM109">SUMIFS('Cắt lồng'!$AH$327:$AH$515,'Cắt lồng'!$AA$327:$AA$515,'Cắt lồng'!$AA109,'Cắt lồng'!$AE$327:$AE$515,'Cắt lồng'!BM$4:BM$4)</f>
        <v>0</v>
      </c>
      <c r="BN109" s="156" t="e">
        <f t="shared" si="254"/>
        <v>#DIV/0!</v>
      </c>
      <c r="BO109" s="79">
        <f t="array" ref="BO109">SUMIFS('Cắt lồng'!$AC$327:$AC$515,'Cắt lồng'!$AA$327:$AA$515,'Cắt lồng'!$AA109,'Cắt lồng'!$AE$327:$AE$515,'Cắt lồng'!BO$4:BO$4)</f>
        <v>0</v>
      </c>
      <c r="BP109" s="79">
        <f t="array" ref="BP109">SUMIFS('Cắt lồng'!$AH$327:$AH$515,'Cắt lồng'!$AA$327:$AA$515,'Cắt lồng'!$AA109,'Cắt lồng'!$AE$327:$AE$515,'Cắt lồng'!BP$4:BP$4)</f>
        <v>0</v>
      </c>
      <c r="BQ109" s="156" t="e">
        <f t="shared" si="255"/>
        <v>#DIV/0!</v>
      </c>
      <c r="BR109" s="79">
        <f t="array" ref="BR109">SUMIFS('Cắt lồng'!$AC$327:$AC$515,'Cắt lồng'!$AA$327:$AA$515,'Cắt lồng'!$AA109,'Cắt lồng'!$AE$327:$AE$515,'Cắt lồng'!BR$4:BR$4)</f>
        <v>0</v>
      </c>
      <c r="BS109" s="79">
        <f t="array" ref="BS109">SUMIFS('Cắt lồng'!$AH$327:$AH$515,'Cắt lồng'!$AA$327:$AA$515,'Cắt lồng'!$AA109,'Cắt lồng'!$AE$327:$AE$515,'Cắt lồng'!BS$4:BS$4)</f>
        <v>0</v>
      </c>
      <c r="BT109" s="156" t="e">
        <f t="shared" si="256"/>
        <v>#DIV/0!</v>
      </c>
      <c r="BU109" s="79">
        <f t="array" ref="BU109">SUMIFS('Cắt lồng'!$AC$327:$AC$515,'Cắt lồng'!$AA$327:$AA$515,'Cắt lồng'!$AA109,'Cắt lồng'!$AE$327:$AE$515,'Cắt lồng'!BU$4:BU$4)</f>
        <v>0</v>
      </c>
      <c r="BV109" s="79">
        <f t="array" ref="BV109">SUMIFS('Cắt lồng'!$AH$327:$AH$515,'Cắt lồng'!$AA$327:$AA$515,'Cắt lồng'!$AA109,'Cắt lồng'!$AE$327:$AE$515,'Cắt lồng'!BV$4:BV$4)</f>
        <v>0</v>
      </c>
      <c r="BW109" s="156" t="e">
        <f t="shared" si="257"/>
        <v>#DIV/0!</v>
      </c>
      <c r="BX109" s="79">
        <f t="array" ref="BX109">SUMIFS('Cắt lồng'!$AC$327:$AC$515,'Cắt lồng'!$AA$327:$AA$515,'Cắt lồng'!$AA109,'Cắt lồng'!$AE$327:$AE$515,'Cắt lồng'!BX$4:BX$4)</f>
        <v>0</v>
      </c>
      <c r="BY109" s="79">
        <f t="array" ref="BY109">SUMIFS('Cắt lồng'!$AH$327:$AH$515,'Cắt lồng'!$AA$327:$AA$515,'Cắt lồng'!$AA109,'Cắt lồng'!$AE$327:$AE$515,'Cắt lồng'!BY$4:BY$4)</f>
        <v>0</v>
      </c>
      <c r="BZ109" s="156" t="e">
        <f t="shared" si="258"/>
        <v>#DIV/0!</v>
      </c>
      <c r="CA109" s="79">
        <f t="array" ref="CA109">SUMIFS('Cắt lồng'!$AC$327:$AC$515,'Cắt lồng'!$AA$327:$AA$515,'Cắt lồng'!$AA109,'Cắt lồng'!$AE$327:$AE$515,'Cắt lồng'!CA$4:CA$4)</f>
        <v>0</v>
      </c>
      <c r="CB109" s="79">
        <f t="array" ref="CB109">SUMIFS('Cắt lồng'!$AH$327:$AH$515,'Cắt lồng'!$AA$327:$AA$515,'Cắt lồng'!$AA109,'Cắt lồng'!$AE$327:$AE$515,'Cắt lồng'!CB$4:CB$4)</f>
        <v>0</v>
      </c>
      <c r="CC109" s="156" t="e">
        <f t="shared" si="259"/>
        <v>#DIV/0!</v>
      </c>
      <c r="CD109" s="79">
        <f t="array" ref="CD109">SUMIFS('Cắt lồng'!$AC$327:$AC$515,'Cắt lồng'!$AA$327:$AA$515,'Cắt lồng'!$AA109,'Cắt lồng'!$AE$327:$AE$515,'Cắt lồng'!CD$4:CD$4)</f>
        <v>0</v>
      </c>
      <c r="CE109" s="79">
        <f t="array" ref="CE109">SUMIFS('Cắt lồng'!$AH$327:$AH$515,'Cắt lồng'!$AA$327:$AA$515,'Cắt lồng'!$AA109,'Cắt lồng'!$AE$327:$AE$515,'Cắt lồng'!CE$4:CE$4)</f>
        <v>0</v>
      </c>
      <c r="CF109" s="156" t="e">
        <f t="shared" si="260"/>
        <v>#DIV/0!</v>
      </c>
      <c r="CG109" s="79">
        <f t="array" ref="CG109">SUMIFS('Cắt lồng'!$AC$327:$AC$515,'Cắt lồng'!$AA$327:$AA$515,'Cắt lồng'!$AA109,'Cắt lồng'!$AE$327:$AE$515,'Cắt lồng'!CG$4:CG$4)</f>
        <v>0</v>
      </c>
      <c r="CH109" s="79">
        <f t="array" ref="CH109">SUMIFS('Cắt lồng'!$AH$327:$AH$515,'Cắt lồng'!$AA$327:$AA$515,'Cắt lồng'!$AA109,'Cắt lồng'!$AE$327:$AE$515,'Cắt lồng'!CH$4:CH$4)</f>
        <v>0</v>
      </c>
      <c r="CI109" s="156" t="e">
        <f t="shared" si="261"/>
        <v>#DIV/0!</v>
      </c>
      <c r="CJ109" s="79">
        <f t="array" ref="CJ109">SUMIFS('Cắt lồng'!$AC$327:$AC$515,'Cắt lồng'!$AA$327:$AA$515,'Cắt lồng'!$AA109,'Cắt lồng'!$AE$327:$AE$515,'Cắt lồng'!CJ$4:CJ$4)</f>
        <v>0</v>
      </c>
      <c r="CK109" s="79">
        <f t="array" ref="CK109">SUMIFS('Cắt lồng'!$AH$327:$AH$515,'Cắt lồng'!$AA$327:$AA$515,'Cắt lồng'!$AA109,'Cắt lồng'!$AE$327:$AE$515,'Cắt lồng'!CK$4:CK$4)</f>
        <v>0</v>
      </c>
      <c r="CL109" s="156" t="e">
        <f t="shared" si="262"/>
        <v>#DIV/0!</v>
      </c>
      <c r="CM109" s="79">
        <f t="array" ref="CM109">SUMIFS('Cắt lồng'!$AC$327:$AC$515,'Cắt lồng'!$AA$327:$AA$515,'Cắt lồng'!$AA109,'Cắt lồng'!$AE$327:$AE$515,'Cắt lồng'!CM$4:CM$4)</f>
        <v>0</v>
      </c>
      <c r="CN109" s="79">
        <f t="array" ref="CN109">SUMIFS('Cắt lồng'!$AH$327:$AH$515,'Cắt lồng'!$AA$327:$AA$515,'Cắt lồng'!$AA109,'Cắt lồng'!$AE$327:$AE$515,'Cắt lồng'!CN$4:CN$4)</f>
        <v>0</v>
      </c>
      <c r="CO109" s="156" t="e">
        <f t="shared" si="263"/>
        <v>#DIV/0!</v>
      </c>
      <c r="CP109" s="79">
        <f t="array" ref="CP109">SUMIFS('Cắt lồng'!$AC$327:$AC$515,'Cắt lồng'!$AA$327:$AA$515,'Cắt lồng'!$AA109,'Cắt lồng'!$AE$327:$AE$515,'Cắt lồng'!CP$4:CP$4)</f>
        <v>0</v>
      </c>
      <c r="CQ109" s="79">
        <f t="array" ref="CQ109">SUMIFS('Cắt lồng'!$AH$327:$AH$515,'Cắt lồng'!$AA$327:$AA$515,'Cắt lồng'!$AA109,'Cắt lồng'!$AE$327:$AE$515,'Cắt lồng'!CQ$4:CQ$4)</f>
        <v>0</v>
      </c>
      <c r="CR109" s="156" t="e">
        <f t="shared" si="264"/>
        <v>#DIV/0!</v>
      </c>
      <c r="CS109" s="79">
        <f t="array" ref="CS109">SUMIFS('Cắt lồng'!$AC$327:$AC$515,'Cắt lồng'!$AA$327:$AA$515,'Cắt lồng'!$AA109,'Cắt lồng'!$AE$327:$AE$515,'Cắt lồng'!CS$4:CS$4)</f>
        <v>0</v>
      </c>
      <c r="CT109" s="79">
        <f t="array" ref="CT109">SUMIFS('Cắt lồng'!$AH$327:$AH$515,'Cắt lồng'!$AA$327:$AA$515,'Cắt lồng'!$AA109,'Cắt lồng'!$AE$327:$AE$515,'Cắt lồng'!CT$4:CT$4)</f>
        <v>0</v>
      </c>
      <c r="CU109" s="156" t="e">
        <f t="shared" si="265"/>
        <v>#DIV/0!</v>
      </c>
      <c r="CV109" s="79">
        <f t="array" ref="CV109">SUMIFS('Cắt lồng'!$AC$327:$AC$515,'Cắt lồng'!$AA$327:$AA$515,'Cắt lồng'!$AA109,'Cắt lồng'!$AE$327:$AE$515,'Cắt lồng'!CV$4:CV$4)</f>
        <v>0</v>
      </c>
      <c r="CW109" s="79">
        <f t="array" ref="CW109">SUMIFS('Cắt lồng'!$AH$327:$AH$515,'Cắt lồng'!$AA$327:$AA$515,'Cắt lồng'!$AA109,'Cắt lồng'!$AE$327:$AE$515,'Cắt lồng'!CW$4:CW$4)</f>
        <v>0</v>
      </c>
      <c r="CX109" s="156" t="e">
        <f t="shared" si="266"/>
        <v>#DIV/0!</v>
      </c>
      <c r="CY109" s="79">
        <f t="array" ref="CY109">SUMIFS('Cắt lồng'!$AC$327:$AC$515,'Cắt lồng'!$AA$327:$AA$515,'Cắt lồng'!$AA109,'Cắt lồng'!$AE$327:$AE$515,'Cắt lồng'!CY$4:CY$4)</f>
        <v>0</v>
      </c>
      <c r="CZ109" s="79">
        <f t="array" ref="CZ109">SUMIFS('Cắt lồng'!$AH$327:$AH$515,'Cắt lồng'!$AA$327:$AA$515,'Cắt lồng'!$AA109,'Cắt lồng'!$AE$327:$AE$515,'Cắt lồng'!CZ$4:CZ$4)</f>
        <v>0</v>
      </c>
      <c r="DA109" s="156" t="e">
        <f t="shared" si="267"/>
        <v>#DIV/0!</v>
      </c>
      <c r="DB109" s="79">
        <f t="array" ref="DB109">SUMIFS('Cắt lồng'!$AC$327:$AC$515,'Cắt lồng'!$AA$327:$AA$515,'Cắt lồng'!$AA109,'Cắt lồng'!$AE$327:$AE$515,'Cắt lồng'!DB$4:DB$4)</f>
        <v>0</v>
      </c>
      <c r="DC109" s="79">
        <f t="array" ref="DC109">SUMIFS('Cắt lồng'!$AH$327:$AH$515,'Cắt lồng'!$AA$327:$AA$515,'Cắt lồng'!$AA109,'Cắt lồng'!$AE$327:$AE$515,'Cắt lồng'!DC$4:DC$4)</f>
        <v>0</v>
      </c>
      <c r="DD109" s="156" t="e">
        <f t="shared" si="268"/>
        <v>#DIV/0!</v>
      </c>
      <c r="DE109" s="79">
        <f t="array" ref="DE109">SUMIFS('Cắt lồng'!$AC$327:$AC$515,'Cắt lồng'!$AA$327:$AA$515,'Cắt lồng'!$AA109,'Cắt lồng'!$AE$327:$AE$515,'Cắt lồng'!DE$4:DE$4)</f>
        <v>0</v>
      </c>
      <c r="DF109" s="79">
        <f t="array" ref="DF109">SUMIFS('Cắt lồng'!$AH$327:$AH$515,'Cắt lồng'!$AA$327:$AA$515,'Cắt lồng'!$AA109,'Cắt lồng'!$AE$327:$AE$515,'Cắt lồng'!DF$4:DF$4)</f>
        <v>0</v>
      </c>
      <c r="DG109" s="156" t="e">
        <f t="shared" si="269"/>
        <v>#DIV/0!</v>
      </c>
      <c r="DH109" s="79">
        <f t="array" ref="DH109">SUMIFS('Cắt lồng'!$AC$327:$AC$515,'Cắt lồng'!$AA$327:$AA$515,'Cắt lồng'!$AA109,'Cắt lồng'!$AE$327:$AE$515,'Cắt lồng'!DH$4:DH$4)</f>
        <v>0</v>
      </c>
      <c r="DI109" s="79">
        <f t="array" ref="DI109">SUMIFS('Cắt lồng'!$AH$327:$AH$515,'Cắt lồng'!$AA$327:$AA$515,'Cắt lồng'!$AA109,'Cắt lồng'!$AE$327:$AE$515,'Cắt lồng'!DI$4:DI$4)</f>
        <v>0</v>
      </c>
      <c r="DJ109" s="156" t="e">
        <f t="shared" si="270"/>
        <v>#DIV/0!</v>
      </c>
      <c r="DK109" s="79">
        <f t="array" ref="DK109">SUMIFS('Cắt lồng'!$AC$327:$AC$515,'Cắt lồng'!$AA$327:$AA$515,'Cắt lồng'!$AA109,'Cắt lồng'!$AE$327:$AE$515,'Cắt lồng'!DK$4:DK$4)</f>
        <v>0</v>
      </c>
      <c r="DL109" s="79">
        <f t="array" ref="DL109">SUMIFS('Cắt lồng'!$AH$327:$AH$515,'Cắt lồng'!$AA$327:$AA$515,'Cắt lồng'!$AA109,'Cắt lồng'!$AE$327:$AE$515,'Cắt lồng'!DL$4:DL$4)</f>
        <v>0</v>
      </c>
      <c r="DM109" s="156" t="e">
        <f t="shared" si="271"/>
        <v>#DIV/0!</v>
      </c>
      <c r="DN109" s="79">
        <f t="array" ref="DN109">SUMIFS('Cắt lồng'!$AC$327:$AC$515,'Cắt lồng'!$AA$327:$AA$515,'Cắt lồng'!$AA109,'Cắt lồng'!$AE$327:$AE$515,'Cắt lồng'!DN$4:DN$4)</f>
        <v>0</v>
      </c>
      <c r="DO109" s="79">
        <f t="array" ref="DO109">SUMIFS('Cắt lồng'!$AH$327:$AH$515,'Cắt lồng'!$AA$327:$AA$515,'Cắt lồng'!$AA109,'Cắt lồng'!$AE$327:$AE$515,'Cắt lồng'!DO$4:DO$4)</f>
        <v>0</v>
      </c>
      <c r="DP109" s="156" t="e">
        <f t="shared" si="272"/>
        <v>#DIV/0!</v>
      </c>
      <c r="DQ109" s="79">
        <f t="array" ref="DQ109">SUMIFS('Cắt lồng'!$AC$327:$AC$515,'Cắt lồng'!$AA$327:$AA$515,'Cắt lồng'!$AA109,'Cắt lồng'!$AE$327:$AE$515,'Cắt lồng'!DQ$4:DQ$4)</f>
        <v>0</v>
      </c>
      <c r="DR109" s="79">
        <f t="array" ref="DR109">SUMIFS('Cắt lồng'!$AH$327:$AH$515,'Cắt lồng'!$AA$327:$AA$515,'Cắt lồng'!$AA109,'Cắt lồng'!$AE$327:$AE$515,'Cắt lồng'!DR$4:DR$4)</f>
        <v>0</v>
      </c>
      <c r="DS109" s="156" t="e">
        <f t="shared" si="273"/>
        <v>#DIV/0!</v>
      </c>
      <c r="DT109" s="79">
        <f t="array" ref="DT109">SUMIFS('Cắt lồng'!$AC$327:$AC$515,'Cắt lồng'!$AA$327:$AA$515,'Cắt lồng'!$AA109,'Cắt lồng'!$AE$327:$AE$515,'Cắt lồng'!DT$4:DT$4)</f>
        <v>0</v>
      </c>
      <c r="DU109" s="79">
        <f t="array" ref="DU109">SUMIFS('Cắt lồng'!$AH$327:$AH$515,'Cắt lồng'!$AA$327:$AA$515,'Cắt lồng'!$AA109,'Cắt lồng'!$AE$327:$AE$515,'Cắt lồng'!DU$4:DU$4)</f>
        <v>0</v>
      </c>
      <c r="DV109" s="156" t="e">
        <f t="shared" si="274"/>
        <v>#DIV/0!</v>
      </c>
      <c r="DW109" s="79">
        <f t="array" ref="DW109">SUMIFS('Cắt lồng'!$AC$327:$AC$515,'Cắt lồng'!$AA$327:$AA$515,'Cắt lồng'!$AA109,'Cắt lồng'!$AE$327:$AE$515,'Cắt lồng'!DW$4:DW$4)</f>
        <v>0</v>
      </c>
      <c r="DX109" s="79">
        <f t="array" ref="DX109">SUMIFS('Cắt lồng'!$AH$327:$AH$515,'Cắt lồng'!$AA$327:$AA$515,'Cắt lồng'!$AA109,'Cắt lồng'!$AE$327:$AE$515,'Cắt lồng'!DX$4:DX$4)</f>
        <v>0</v>
      </c>
      <c r="DY109" s="156" t="e">
        <f t="shared" si="275"/>
        <v>#DIV/0!</v>
      </c>
      <c r="DZ109" s="79">
        <f t="array" ref="DZ109">SUMIFS('Cắt lồng'!$AC$327:$AC$515,'Cắt lồng'!$AA$327:$AA$515,'Cắt lồng'!$AA109,'Cắt lồng'!$AE$327:$AE$515,'Cắt lồng'!DZ$4:DZ$4)</f>
        <v>0</v>
      </c>
      <c r="EA109" s="79">
        <f t="array" ref="EA109">SUMIFS('Cắt lồng'!$AH$327:$AH$515,'Cắt lồng'!$AA$327:$AA$515,'Cắt lồng'!$AA109,'Cắt lồng'!$AE$327:$AE$515,'Cắt lồng'!EA$4:EA$4)</f>
        <v>0</v>
      </c>
      <c r="EB109" s="156" t="e">
        <f t="shared" si="276"/>
        <v>#DIV/0!</v>
      </c>
      <c r="EC109" s="79">
        <f t="array" ref="EC109">SUMIFS('Cắt lồng'!$AC$327:$AC$515,'Cắt lồng'!$AA$327:$AA$515,'Cắt lồng'!$AA109,'Cắt lồng'!$AE$327:$AE$515,'Cắt lồng'!EC$4:EC$4)</f>
        <v>0</v>
      </c>
      <c r="ED109" s="79">
        <f t="array" ref="ED109">SUMIFS('Cắt lồng'!$AH$327:$AH$515,'Cắt lồng'!$AA$327:$AA$515,'Cắt lồng'!$AA109,'Cắt lồng'!$AE$327:$AE$515,'Cắt lồng'!ED$4:ED$4)</f>
        <v>0</v>
      </c>
      <c r="EE109" s="156" t="e">
        <f t="shared" si="277"/>
        <v>#DIV/0!</v>
      </c>
      <c r="EF109" s="79">
        <f t="array" ref="EF109">SUMIFS('Cắt lồng'!$AC$327:$AC$515,'Cắt lồng'!$AA$327:$AA$515,'Cắt lồng'!$AA109,'Cắt lồng'!$AE$327:$AE$515,'Cắt lồng'!EF$4:EF$4)</f>
        <v>0</v>
      </c>
      <c r="EG109" s="79">
        <f t="array" ref="EG109">SUMIFS('Cắt lồng'!$AH$327:$AH$515,'Cắt lồng'!$AA$327:$AA$515,'Cắt lồng'!$AA109,'Cắt lồng'!$AE$327:$AE$515,'Cắt lồng'!EG$4:EG$4)</f>
        <v>0</v>
      </c>
      <c r="EH109" s="156" t="e">
        <f t="shared" si="278"/>
        <v>#DIV/0!</v>
      </c>
      <c r="EI109" s="79">
        <f t="array" ref="EI109">SUMIFS('Cắt lồng'!$AC$327:$AC$515,'Cắt lồng'!$AA$327:$AA$515,'Cắt lồng'!$AA109,'Cắt lồng'!$AE$327:$AE$515,'Cắt lồng'!EI$4:EI$4)</f>
        <v>0</v>
      </c>
      <c r="EJ109" s="79">
        <f t="array" ref="EJ109">SUMIFS('Cắt lồng'!$AH$327:$AH$515,'Cắt lồng'!$AA$327:$AA$515,'Cắt lồng'!$AA109,'Cắt lồng'!$AE$327:$AE$515,'Cắt lồng'!EJ$4:EJ$4)</f>
        <v>0</v>
      </c>
      <c r="EK109" s="156" t="e">
        <f t="shared" si="279"/>
        <v>#DIV/0!</v>
      </c>
    </row>
    <row r="110" spans="1:150" s="12" customFormat="1" ht="14.25" hidden="1" customHeight="1">
      <c r="A110" s="30">
        <v>77</v>
      </c>
      <c r="B110" s="26"/>
      <c r="C110" s="25"/>
      <c r="D110" s="24"/>
      <c r="E110" s="60"/>
      <c r="F110" s="59"/>
      <c r="G110" s="82">
        <f t="shared" si="212"/>
        <v>0</v>
      </c>
      <c r="H110" s="81">
        <f t="shared" si="213"/>
        <v>0</v>
      </c>
      <c r="I110" s="19">
        <f t="shared" si="214"/>
        <v>0</v>
      </c>
      <c r="J110" s="11">
        <f t="shared" si="215"/>
        <v>0</v>
      </c>
      <c r="K110" s="19">
        <f t="shared" si="216"/>
        <v>0</v>
      </c>
      <c r="L110" s="19">
        <f t="shared" si="217"/>
        <v>0</v>
      </c>
      <c r="M110" s="19">
        <f t="shared" si="218"/>
        <v>0</v>
      </c>
      <c r="N110" s="19">
        <f t="shared" si="219"/>
        <v>0</v>
      </c>
      <c r="O110" s="19">
        <f t="shared" si="220"/>
        <v>0</v>
      </c>
      <c r="P110" s="19">
        <f t="shared" si="221"/>
        <v>0</v>
      </c>
      <c r="Q110" s="19">
        <f t="shared" si="222"/>
        <v>0</v>
      </c>
      <c r="R110" s="19">
        <f t="shared" si="223"/>
        <v>0</v>
      </c>
      <c r="S110" s="19">
        <f t="shared" si="224"/>
        <v>0</v>
      </c>
      <c r="T110" s="19">
        <f t="shared" si="225"/>
        <v>0</v>
      </c>
      <c r="U110" s="19">
        <f t="shared" si="226"/>
        <v>0</v>
      </c>
      <c r="V110" s="19">
        <f t="shared" si="227"/>
        <v>0</v>
      </c>
      <c r="W110" s="19">
        <f t="shared" si="228"/>
        <v>0</v>
      </c>
      <c r="X110" s="19">
        <f t="shared" si="229"/>
        <v>0</v>
      </c>
      <c r="Y110" s="19">
        <f t="shared" si="230"/>
        <v>0</v>
      </c>
      <c r="Z110" s="19">
        <f t="shared" si="231"/>
        <v>0</v>
      </c>
      <c r="AA110" s="154">
        <v>6262</v>
      </c>
      <c r="AB110" s="17" t="e">
        <f>+H110*SUMIF('[1]KẾ HOẠCH'!$B$5:$CK$5,'Cắt lồng'!AA110,'[1]KẾ HOẠCH'!$B$6:$CK$6)+H110*SUMIF('[1]KẾ HOẠCH'!$B$7:$CK$7,'Cắt lồng'!AA110,'[1]KẾ HOẠCH'!$B$8:$CK$8)+H110*SUMIF('[1]KẾ HOẠCH'!$B$15:$CK$15,'Cắt lồng'!AA110,'[1]KẾ HOẠCH'!$B$16:$CK$16)</f>
        <v>#VALUE!</v>
      </c>
      <c r="AC110" s="16">
        <f t="shared" si="232"/>
        <v>0</v>
      </c>
      <c r="AD110" s="15" t="e">
        <f t="shared" si="233"/>
        <v>#VALUE!</v>
      </c>
      <c r="AE110" s="42"/>
      <c r="AF110" s="10" t="e">
        <f t="shared" si="234"/>
        <v>#DIV/0!</v>
      </c>
      <c r="AG110" s="10"/>
      <c r="AH110" s="152">
        <f t="shared" si="235"/>
        <v>0</v>
      </c>
      <c r="AI110" s="54" t="e">
        <f t="shared" si="236"/>
        <v>#DIV/0!</v>
      </c>
      <c r="AJ110" s="25">
        <f t="shared" si="237"/>
        <v>0</v>
      </c>
      <c r="AK110" s="25">
        <f t="shared" si="238"/>
        <v>0</v>
      </c>
      <c r="AL110" s="25">
        <f t="shared" si="239"/>
        <v>0</v>
      </c>
      <c r="AM110" s="30">
        <f t="shared" si="240"/>
        <v>0</v>
      </c>
      <c r="AN110" s="25">
        <f t="shared" si="241"/>
        <v>0</v>
      </c>
      <c r="AO110" s="25">
        <f t="shared" si="242"/>
        <v>0</v>
      </c>
      <c r="AP110" s="25">
        <f t="shared" si="243"/>
        <v>0</v>
      </c>
      <c r="AQ110" s="25">
        <f t="shared" si="244"/>
        <v>0</v>
      </c>
      <c r="AR110" s="25">
        <f t="shared" si="245"/>
        <v>0</v>
      </c>
      <c r="AS110" s="25">
        <f t="shared" si="246"/>
        <v>0</v>
      </c>
      <c r="AT110" s="25">
        <f t="shared" si="247"/>
        <v>0</v>
      </c>
      <c r="AV110" s="79">
        <f t="shared" si="248"/>
        <v>0</v>
      </c>
      <c r="AW110" s="79">
        <f t="array" ref="AW110">SUMIFS('Cắt lồng'!$AC$327:$AC$515,'Cắt lồng'!$AA$327:$AA$515,'Cắt lồng'!$AA110,'Cắt lồng'!$AE$327:$AE$515,'Cắt lồng'!AW$4:AW$4)</f>
        <v>0</v>
      </c>
      <c r="AX110" s="79">
        <f t="array" ref="AX110">SUMIFS('Cắt lồng'!$AH$327:$AH$515,'Cắt lồng'!$AA$327:$AA$515,'Cắt lồng'!$AA110,'Cắt lồng'!$AE$327:$AE$515,'Cắt lồng'!AX$4:AX$4)</f>
        <v>0</v>
      </c>
      <c r="AY110" s="78" t="e">
        <f t="shared" si="249"/>
        <v>#DIV/0!</v>
      </c>
      <c r="AZ110" s="79">
        <f t="array" ref="AZ110">SUMIFS('Cắt lồng'!$AC$327:$AC$515,'Cắt lồng'!$AA$327:$AA$515,'Cắt lồng'!$AA110,'Cắt lồng'!$AE$327:$AE$515,'Cắt lồng'!AZ$4:AZ$4)</f>
        <v>0</v>
      </c>
      <c r="BA110" s="79">
        <f t="array" ref="BA110">SUMIFS('Cắt lồng'!$AH$327:$AH$515,'Cắt lồng'!$AA$327:$AA$515,'Cắt lồng'!$AA110,'Cắt lồng'!$AE$327:$AE$515,'Cắt lồng'!BA$4:BA$4)</f>
        <v>0</v>
      </c>
      <c r="BB110" s="78" t="e">
        <f t="shared" si="250"/>
        <v>#DIV/0!</v>
      </c>
      <c r="BC110" s="79">
        <f t="array" ref="BC110">SUMIFS('Cắt lồng'!$AC$327:$AC$515,'Cắt lồng'!$AA$327:$AA$515,'Cắt lồng'!$AA110,'Cắt lồng'!$AE$327:$AE$515,'Cắt lồng'!BC$4:BC$4)</f>
        <v>0</v>
      </c>
      <c r="BD110" s="79">
        <f t="array" ref="BD110">SUMIFS('Cắt lồng'!$AH$327:$AH$515,'Cắt lồng'!$AA$327:$AA$515,'Cắt lồng'!$AA110,'Cắt lồng'!$AE$327:$AE$515,'Cắt lồng'!BD$4:BD$4)</f>
        <v>0</v>
      </c>
      <c r="BE110" s="78" t="e">
        <f t="shared" si="251"/>
        <v>#DIV/0!</v>
      </c>
      <c r="BF110" s="79">
        <f t="array" ref="BF110">SUMIFS('Cắt lồng'!$AC$327:$AC$515,'Cắt lồng'!$AA$327:$AA$515,'Cắt lồng'!$AA110,'Cắt lồng'!$AE$327:$AE$515,'Cắt lồng'!BF$4:BF$4)</f>
        <v>0</v>
      </c>
      <c r="BG110" s="79">
        <f t="array" ref="BG110">SUMIFS('Cắt lồng'!$AH$327:$AH$515,'Cắt lồng'!$AA$327:$AA$515,'Cắt lồng'!$AA110,'Cắt lồng'!$AE$327:$AE$515,'Cắt lồng'!BG$4:BG$4)</f>
        <v>0</v>
      </c>
      <c r="BH110" s="78" t="e">
        <f t="shared" si="252"/>
        <v>#DIV/0!</v>
      </c>
      <c r="BI110" s="79">
        <f t="array" ref="BI110">SUMIFS('Cắt lồng'!$AC$327:$AC$515,'Cắt lồng'!$AA$327:$AA$515,'Cắt lồng'!$AA110,'Cắt lồng'!$AE$327:$AE$515,'Cắt lồng'!BI$4:BI$4)</f>
        <v>0</v>
      </c>
      <c r="BJ110" s="79">
        <f t="array" ref="BJ110">SUMIFS('Cắt lồng'!$AH$327:$AH$515,'Cắt lồng'!$AA$327:$AA$515,'Cắt lồng'!$AA110,'Cắt lồng'!$AE$327:$AE$515,'Cắt lồng'!BJ$4:BJ$4)</f>
        <v>0</v>
      </c>
      <c r="BK110" s="78" t="e">
        <f t="shared" si="253"/>
        <v>#DIV/0!</v>
      </c>
      <c r="BL110" s="79">
        <f t="array" ref="BL110">SUMIFS('Cắt lồng'!$AC$327:$AC$515,'Cắt lồng'!$AA$327:$AA$515,'Cắt lồng'!$AA110,'Cắt lồng'!$AE$327:$AE$515,'Cắt lồng'!BL$4:BL$4)</f>
        <v>0</v>
      </c>
      <c r="BM110" s="79">
        <f t="array" ref="BM110">SUMIFS('Cắt lồng'!$AH$327:$AH$515,'Cắt lồng'!$AA$327:$AA$515,'Cắt lồng'!$AA110,'Cắt lồng'!$AE$327:$AE$515,'Cắt lồng'!BM$4:BM$4)</f>
        <v>0</v>
      </c>
      <c r="BN110" s="78" t="e">
        <f t="shared" si="254"/>
        <v>#DIV/0!</v>
      </c>
      <c r="BO110" s="79">
        <f t="array" ref="BO110">SUMIFS('Cắt lồng'!$AC$327:$AC$515,'Cắt lồng'!$AA$327:$AA$515,'Cắt lồng'!$AA110,'Cắt lồng'!$AE$327:$AE$515,'Cắt lồng'!BO$4:BO$4)</f>
        <v>0</v>
      </c>
      <c r="BP110" s="79">
        <f t="array" ref="BP110">SUMIFS('Cắt lồng'!$AH$327:$AH$515,'Cắt lồng'!$AA$327:$AA$515,'Cắt lồng'!$AA110,'Cắt lồng'!$AE$327:$AE$515,'Cắt lồng'!BP$4:BP$4)</f>
        <v>0</v>
      </c>
      <c r="BQ110" s="78" t="e">
        <f t="shared" si="255"/>
        <v>#DIV/0!</v>
      </c>
      <c r="BR110" s="79">
        <f t="array" ref="BR110">SUMIFS('Cắt lồng'!$AC$327:$AC$515,'Cắt lồng'!$AA$327:$AA$515,'Cắt lồng'!$AA110,'Cắt lồng'!$AE$327:$AE$515,'Cắt lồng'!BR$4:BR$4)</f>
        <v>0</v>
      </c>
      <c r="BS110" s="79">
        <f t="array" ref="BS110">SUMIFS('Cắt lồng'!$AH$327:$AH$515,'Cắt lồng'!$AA$327:$AA$515,'Cắt lồng'!$AA110,'Cắt lồng'!$AE$327:$AE$515,'Cắt lồng'!BS$4:BS$4)</f>
        <v>0</v>
      </c>
      <c r="BT110" s="78" t="e">
        <f t="shared" si="256"/>
        <v>#DIV/0!</v>
      </c>
      <c r="BU110" s="79">
        <f t="array" ref="BU110">SUMIFS('Cắt lồng'!$AC$327:$AC$515,'Cắt lồng'!$AA$327:$AA$515,'Cắt lồng'!$AA110,'Cắt lồng'!$AE$327:$AE$515,'Cắt lồng'!BU$4:BU$4)</f>
        <v>0</v>
      </c>
      <c r="BV110" s="79">
        <f t="array" ref="BV110">SUMIFS('Cắt lồng'!$AH$327:$AH$515,'Cắt lồng'!$AA$327:$AA$515,'Cắt lồng'!$AA110,'Cắt lồng'!$AE$327:$AE$515,'Cắt lồng'!BV$4:BV$4)</f>
        <v>0</v>
      </c>
      <c r="BW110" s="78" t="e">
        <f t="shared" si="257"/>
        <v>#DIV/0!</v>
      </c>
      <c r="BX110" s="79">
        <f t="array" ref="BX110">SUMIFS('Cắt lồng'!$AC$327:$AC$515,'Cắt lồng'!$AA$327:$AA$515,'Cắt lồng'!$AA110,'Cắt lồng'!$AE$327:$AE$515,'Cắt lồng'!BX$4:BX$4)</f>
        <v>0</v>
      </c>
      <c r="BY110" s="79">
        <f t="array" ref="BY110">SUMIFS('Cắt lồng'!$AH$327:$AH$515,'Cắt lồng'!$AA$327:$AA$515,'Cắt lồng'!$AA110,'Cắt lồng'!$AE$327:$AE$515,'Cắt lồng'!BY$4:BY$4)</f>
        <v>0</v>
      </c>
      <c r="BZ110" s="78" t="e">
        <f t="shared" si="258"/>
        <v>#DIV/0!</v>
      </c>
      <c r="CA110" s="79">
        <f t="array" ref="CA110">SUMIFS('Cắt lồng'!$AC$327:$AC$515,'Cắt lồng'!$AA$327:$AA$515,'Cắt lồng'!$AA110,'Cắt lồng'!$AE$327:$AE$515,'Cắt lồng'!CA$4:CA$4)</f>
        <v>0</v>
      </c>
      <c r="CB110" s="79">
        <f t="array" ref="CB110">SUMIFS('Cắt lồng'!$AH$327:$AH$515,'Cắt lồng'!$AA$327:$AA$515,'Cắt lồng'!$AA110,'Cắt lồng'!$AE$327:$AE$515,'Cắt lồng'!CB$4:CB$4)</f>
        <v>0</v>
      </c>
      <c r="CC110" s="78" t="e">
        <f t="shared" si="259"/>
        <v>#DIV/0!</v>
      </c>
      <c r="CD110" s="79">
        <f t="array" ref="CD110">SUMIFS('Cắt lồng'!$AC$327:$AC$515,'Cắt lồng'!$AA$327:$AA$515,'Cắt lồng'!$AA110,'Cắt lồng'!$AE$327:$AE$515,'Cắt lồng'!CD$4:CD$4)</f>
        <v>0</v>
      </c>
      <c r="CE110" s="79">
        <f t="array" ref="CE110">SUMIFS('Cắt lồng'!$AH$327:$AH$515,'Cắt lồng'!$AA$327:$AA$515,'Cắt lồng'!$AA110,'Cắt lồng'!$AE$327:$AE$515,'Cắt lồng'!CE$4:CE$4)</f>
        <v>0</v>
      </c>
      <c r="CF110" s="78" t="e">
        <f t="shared" si="260"/>
        <v>#DIV/0!</v>
      </c>
      <c r="CG110" s="79">
        <f t="array" ref="CG110">SUMIFS('Cắt lồng'!$AC$327:$AC$515,'Cắt lồng'!$AA$327:$AA$515,'Cắt lồng'!$AA110,'Cắt lồng'!$AE$327:$AE$515,'Cắt lồng'!CG$4:CG$4)</f>
        <v>0</v>
      </c>
      <c r="CH110" s="79">
        <f t="array" ref="CH110">SUMIFS('Cắt lồng'!$AH$327:$AH$515,'Cắt lồng'!$AA$327:$AA$515,'Cắt lồng'!$AA110,'Cắt lồng'!$AE$327:$AE$515,'Cắt lồng'!CH$4:CH$4)</f>
        <v>0</v>
      </c>
      <c r="CI110" s="78" t="e">
        <f t="shared" si="261"/>
        <v>#DIV/0!</v>
      </c>
      <c r="CJ110" s="79">
        <f t="array" ref="CJ110">SUMIFS('Cắt lồng'!$AC$327:$AC$515,'Cắt lồng'!$AA$327:$AA$515,'Cắt lồng'!$AA110,'Cắt lồng'!$AE$327:$AE$515,'Cắt lồng'!CJ$4:CJ$4)</f>
        <v>0</v>
      </c>
      <c r="CK110" s="79">
        <f t="array" ref="CK110">SUMIFS('Cắt lồng'!$AH$327:$AH$515,'Cắt lồng'!$AA$327:$AA$515,'Cắt lồng'!$AA110,'Cắt lồng'!$AE$327:$AE$515,'Cắt lồng'!CK$4:CK$4)</f>
        <v>0</v>
      </c>
      <c r="CL110" s="78" t="e">
        <f t="shared" si="262"/>
        <v>#DIV/0!</v>
      </c>
      <c r="CM110" s="79">
        <f t="array" ref="CM110">SUMIFS('Cắt lồng'!$AC$327:$AC$515,'Cắt lồng'!$AA$327:$AA$515,'Cắt lồng'!$AA110,'Cắt lồng'!$AE$327:$AE$515,'Cắt lồng'!CM$4:CM$4)</f>
        <v>0</v>
      </c>
      <c r="CN110" s="79">
        <f t="array" ref="CN110">SUMIFS('Cắt lồng'!$AH$327:$AH$515,'Cắt lồng'!$AA$327:$AA$515,'Cắt lồng'!$AA110,'Cắt lồng'!$AE$327:$AE$515,'Cắt lồng'!CN$4:CN$4)</f>
        <v>0</v>
      </c>
      <c r="CO110" s="78" t="e">
        <f t="shared" si="263"/>
        <v>#DIV/0!</v>
      </c>
      <c r="CP110" s="79">
        <f t="array" ref="CP110">SUMIFS('Cắt lồng'!$AC$327:$AC$515,'Cắt lồng'!$AA$327:$AA$515,'Cắt lồng'!$AA110,'Cắt lồng'!$AE$327:$AE$515,'Cắt lồng'!CP$4:CP$4)</f>
        <v>0</v>
      </c>
      <c r="CQ110" s="79">
        <f t="array" ref="CQ110">SUMIFS('Cắt lồng'!$AH$327:$AH$515,'Cắt lồng'!$AA$327:$AA$515,'Cắt lồng'!$AA110,'Cắt lồng'!$AE$327:$AE$515,'Cắt lồng'!CQ$4:CQ$4)</f>
        <v>0</v>
      </c>
      <c r="CR110" s="78" t="e">
        <f t="shared" si="264"/>
        <v>#DIV/0!</v>
      </c>
      <c r="CS110" s="79">
        <f t="array" ref="CS110">SUMIFS('Cắt lồng'!$AC$327:$AC$515,'Cắt lồng'!$AA$327:$AA$515,'Cắt lồng'!$AA110,'Cắt lồng'!$AE$327:$AE$515,'Cắt lồng'!CS$4:CS$4)</f>
        <v>0</v>
      </c>
      <c r="CT110" s="79">
        <f t="array" ref="CT110">SUMIFS('Cắt lồng'!$AH$327:$AH$515,'Cắt lồng'!$AA$327:$AA$515,'Cắt lồng'!$AA110,'Cắt lồng'!$AE$327:$AE$515,'Cắt lồng'!CT$4:CT$4)</f>
        <v>0</v>
      </c>
      <c r="CU110" s="78" t="e">
        <f t="shared" si="265"/>
        <v>#DIV/0!</v>
      </c>
      <c r="CV110" s="79">
        <f t="array" ref="CV110">SUMIFS('Cắt lồng'!$AC$327:$AC$515,'Cắt lồng'!$AA$327:$AA$515,'Cắt lồng'!$AA110,'Cắt lồng'!$AE$327:$AE$515,'Cắt lồng'!CV$4:CV$4)</f>
        <v>0</v>
      </c>
      <c r="CW110" s="79">
        <f t="array" ref="CW110">SUMIFS('Cắt lồng'!$AH$327:$AH$515,'Cắt lồng'!$AA$327:$AA$515,'Cắt lồng'!$AA110,'Cắt lồng'!$AE$327:$AE$515,'Cắt lồng'!CW$4:CW$4)</f>
        <v>0</v>
      </c>
      <c r="CX110" s="78" t="e">
        <f t="shared" si="266"/>
        <v>#DIV/0!</v>
      </c>
      <c r="CY110" s="79">
        <f t="array" ref="CY110">SUMIFS('Cắt lồng'!$AC$327:$AC$515,'Cắt lồng'!$AA$327:$AA$515,'Cắt lồng'!$AA110,'Cắt lồng'!$AE$327:$AE$515,'Cắt lồng'!CY$4:CY$4)</f>
        <v>0</v>
      </c>
      <c r="CZ110" s="79">
        <f t="array" ref="CZ110">SUMIFS('Cắt lồng'!$AH$327:$AH$515,'Cắt lồng'!$AA$327:$AA$515,'Cắt lồng'!$AA110,'Cắt lồng'!$AE$327:$AE$515,'Cắt lồng'!CZ$4:CZ$4)</f>
        <v>0</v>
      </c>
      <c r="DA110" s="78" t="e">
        <f t="shared" si="267"/>
        <v>#DIV/0!</v>
      </c>
      <c r="DB110" s="79">
        <f t="array" ref="DB110">SUMIFS('Cắt lồng'!$AC$327:$AC$515,'Cắt lồng'!$AA$327:$AA$515,'Cắt lồng'!$AA110,'Cắt lồng'!$AE$327:$AE$515,'Cắt lồng'!DB$4:DB$4)</f>
        <v>0</v>
      </c>
      <c r="DC110" s="79">
        <f t="array" ref="DC110">SUMIFS('Cắt lồng'!$AH$327:$AH$515,'Cắt lồng'!$AA$327:$AA$515,'Cắt lồng'!$AA110,'Cắt lồng'!$AE$327:$AE$515,'Cắt lồng'!DC$4:DC$4)</f>
        <v>0</v>
      </c>
      <c r="DD110" s="78" t="e">
        <f t="shared" si="268"/>
        <v>#DIV/0!</v>
      </c>
      <c r="DE110" s="79">
        <f t="array" ref="DE110">SUMIFS('Cắt lồng'!$AC$327:$AC$515,'Cắt lồng'!$AA$327:$AA$515,'Cắt lồng'!$AA110,'Cắt lồng'!$AE$327:$AE$515,'Cắt lồng'!DE$4:DE$4)</f>
        <v>0</v>
      </c>
      <c r="DF110" s="79">
        <f t="array" ref="DF110">SUMIFS('Cắt lồng'!$AH$327:$AH$515,'Cắt lồng'!$AA$327:$AA$515,'Cắt lồng'!$AA110,'Cắt lồng'!$AE$327:$AE$515,'Cắt lồng'!DF$4:DF$4)</f>
        <v>0</v>
      </c>
      <c r="DG110" s="78" t="e">
        <f t="shared" si="269"/>
        <v>#DIV/0!</v>
      </c>
      <c r="DH110" s="79">
        <f t="array" ref="DH110">SUMIFS('Cắt lồng'!$AC$327:$AC$515,'Cắt lồng'!$AA$327:$AA$515,'Cắt lồng'!$AA110,'Cắt lồng'!$AE$327:$AE$515,'Cắt lồng'!DH$4:DH$4)</f>
        <v>0</v>
      </c>
      <c r="DI110" s="79">
        <f t="array" ref="DI110">SUMIFS('Cắt lồng'!$AH$327:$AH$515,'Cắt lồng'!$AA$327:$AA$515,'Cắt lồng'!$AA110,'Cắt lồng'!$AE$327:$AE$515,'Cắt lồng'!DI$4:DI$4)</f>
        <v>0</v>
      </c>
      <c r="DJ110" s="78" t="e">
        <f t="shared" si="270"/>
        <v>#DIV/0!</v>
      </c>
      <c r="DK110" s="79">
        <f t="array" ref="DK110">SUMIFS('Cắt lồng'!$AC$327:$AC$515,'Cắt lồng'!$AA$327:$AA$515,'Cắt lồng'!$AA110,'Cắt lồng'!$AE$327:$AE$515,'Cắt lồng'!DK$4:DK$4)</f>
        <v>0</v>
      </c>
      <c r="DL110" s="79">
        <f t="array" ref="DL110">SUMIFS('Cắt lồng'!$AH$327:$AH$515,'Cắt lồng'!$AA$327:$AA$515,'Cắt lồng'!$AA110,'Cắt lồng'!$AE$327:$AE$515,'Cắt lồng'!DL$4:DL$4)</f>
        <v>0</v>
      </c>
      <c r="DM110" s="78" t="e">
        <f t="shared" si="271"/>
        <v>#DIV/0!</v>
      </c>
      <c r="DN110" s="79">
        <f t="array" ref="DN110">SUMIFS('Cắt lồng'!$AC$327:$AC$515,'Cắt lồng'!$AA$327:$AA$515,'Cắt lồng'!$AA110,'Cắt lồng'!$AE$327:$AE$515,'Cắt lồng'!DN$4:DN$4)</f>
        <v>0</v>
      </c>
      <c r="DO110" s="79">
        <f t="array" ref="DO110">SUMIFS('Cắt lồng'!$AH$327:$AH$515,'Cắt lồng'!$AA$327:$AA$515,'Cắt lồng'!$AA110,'Cắt lồng'!$AE$327:$AE$515,'Cắt lồng'!DO$4:DO$4)</f>
        <v>0</v>
      </c>
      <c r="DP110" s="78" t="e">
        <f t="shared" si="272"/>
        <v>#DIV/0!</v>
      </c>
      <c r="DQ110" s="79">
        <f t="array" ref="DQ110">SUMIFS('Cắt lồng'!$AC$327:$AC$515,'Cắt lồng'!$AA$327:$AA$515,'Cắt lồng'!$AA110,'Cắt lồng'!$AE$327:$AE$515,'Cắt lồng'!DQ$4:DQ$4)</f>
        <v>0</v>
      </c>
      <c r="DR110" s="79">
        <f t="array" ref="DR110">SUMIFS('Cắt lồng'!$AH$327:$AH$515,'Cắt lồng'!$AA$327:$AA$515,'Cắt lồng'!$AA110,'Cắt lồng'!$AE$327:$AE$515,'Cắt lồng'!DR$4:DR$4)</f>
        <v>0</v>
      </c>
      <c r="DS110" s="78" t="e">
        <f t="shared" si="273"/>
        <v>#DIV/0!</v>
      </c>
      <c r="DT110" s="79">
        <f t="array" ref="DT110">SUMIFS('Cắt lồng'!$AC$327:$AC$515,'Cắt lồng'!$AA$327:$AA$515,'Cắt lồng'!$AA110,'Cắt lồng'!$AE$327:$AE$515,'Cắt lồng'!DT$4:DT$4)</f>
        <v>0</v>
      </c>
      <c r="DU110" s="79">
        <f t="array" ref="DU110">SUMIFS('Cắt lồng'!$AH$327:$AH$515,'Cắt lồng'!$AA$327:$AA$515,'Cắt lồng'!$AA110,'Cắt lồng'!$AE$327:$AE$515,'Cắt lồng'!DU$4:DU$4)</f>
        <v>0</v>
      </c>
      <c r="DV110" s="78" t="e">
        <f t="shared" si="274"/>
        <v>#DIV/0!</v>
      </c>
      <c r="DW110" s="79">
        <f t="array" ref="DW110">SUMIFS('Cắt lồng'!$AC$327:$AC$515,'Cắt lồng'!$AA$327:$AA$515,'Cắt lồng'!$AA110,'Cắt lồng'!$AE$327:$AE$515,'Cắt lồng'!DW$4:DW$4)</f>
        <v>0</v>
      </c>
      <c r="DX110" s="79">
        <f t="array" ref="DX110">SUMIFS('Cắt lồng'!$AH$327:$AH$515,'Cắt lồng'!$AA$327:$AA$515,'Cắt lồng'!$AA110,'Cắt lồng'!$AE$327:$AE$515,'Cắt lồng'!DX$4:DX$4)</f>
        <v>0</v>
      </c>
      <c r="DY110" s="78" t="e">
        <f t="shared" si="275"/>
        <v>#DIV/0!</v>
      </c>
      <c r="DZ110" s="79">
        <f t="array" ref="DZ110">SUMIFS('Cắt lồng'!$AC$327:$AC$515,'Cắt lồng'!$AA$327:$AA$515,'Cắt lồng'!$AA110,'Cắt lồng'!$AE$327:$AE$515,'Cắt lồng'!DZ$4:DZ$4)</f>
        <v>0</v>
      </c>
      <c r="EA110" s="79">
        <f t="array" ref="EA110">SUMIFS('Cắt lồng'!$AH$327:$AH$515,'Cắt lồng'!$AA$327:$AA$515,'Cắt lồng'!$AA110,'Cắt lồng'!$AE$327:$AE$515,'Cắt lồng'!EA$4:EA$4)</f>
        <v>0</v>
      </c>
      <c r="EB110" s="78" t="e">
        <f t="shared" si="276"/>
        <v>#DIV/0!</v>
      </c>
      <c r="EC110" s="79">
        <f t="array" ref="EC110">SUMIFS('Cắt lồng'!$AC$327:$AC$515,'Cắt lồng'!$AA$327:$AA$515,'Cắt lồng'!$AA110,'Cắt lồng'!$AE$327:$AE$515,'Cắt lồng'!EC$4:EC$4)</f>
        <v>0</v>
      </c>
      <c r="ED110" s="79">
        <f t="array" ref="ED110">SUMIFS('Cắt lồng'!$AH$327:$AH$515,'Cắt lồng'!$AA$327:$AA$515,'Cắt lồng'!$AA110,'Cắt lồng'!$AE$327:$AE$515,'Cắt lồng'!ED$4:ED$4)</f>
        <v>0</v>
      </c>
      <c r="EE110" s="78" t="e">
        <f t="shared" si="277"/>
        <v>#DIV/0!</v>
      </c>
      <c r="EF110" s="79">
        <f t="array" ref="EF110">SUMIFS('Cắt lồng'!$AC$327:$AC$515,'Cắt lồng'!$AA$327:$AA$515,'Cắt lồng'!$AA110,'Cắt lồng'!$AE$327:$AE$515,'Cắt lồng'!EF$4:EF$4)</f>
        <v>0</v>
      </c>
      <c r="EG110" s="79">
        <f t="array" ref="EG110">SUMIFS('Cắt lồng'!$AH$327:$AH$515,'Cắt lồng'!$AA$327:$AA$515,'Cắt lồng'!$AA110,'Cắt lồng'!$AE$327:$AE$515,'Cắt lồng'!EG$4:EG$4)</f>
        <v>0</v>
      </c>
      <c r="EH110" s="78" t="e">
        <f t="shared" si="278"/>
        <v>#DIV/0!</v>
      </c>
      <c r="EI110" s="79">
        <f t="array" ref="EI110">SUMIFS('Cắt lồng'!$AC$327:$AC$515,'Cắt lồng'!$AA$327:$AA$515,'Cắt lồng'!$AA110,'Cắt lồng'!$AE$327:$AE$515,'Cắt lồng'!EI$4:EI$4)</f>
        <v>0</v>
      </c>
      <c r="EJ110" s="79">
        <f t="array" ref="EJ110">SUMIFS('Cắt lồng'!$AH$327:$AH$515,'Cắt lồng'!$AA$327:$AA$515,'Cắt lồng'!$AA110,'Cắt lồng'!$AE$327:$AE$515,'Cắt lồng'!EJ$4:EJ$4)</f>
        <v>0</v>
      </c>
      <c r="EK110" s="78" t="e">
        <f t="shared" si="279"/>
        <v>#DIV/0!</v>
      </c>
    </row>
    <row r="111" spans="1:150" s="12" customFormat="1" ht="14.25" hidden="1" customHeight="1">
      <c r="A111" s="30">
        <v>78</v>
      </c>
      <c r="B111" s="26"/>
      <c r="C111" s="25"/>
      <c r="D111" s="24"/>
      <c r="E111" s="60"/>
      <c r="F111" s="59"/>
      <c r="G111" s="82">
        <f t="shared" si="212"/>
        <v>0</v>
      </c>
      <c r="H111" s="81">
        <f t="shared" si="213"/>
        <v>0</v>
      </c>
      <c r="I111" s="19">
        <f t="shared" si="214"/>
        <v>0</v>
      </c>
      <c r="J111" s="11">
        <f t="shared" si="215"/>
        <v>0</v>
      </c>
      <c r="K111" s="19">
        <f t="shared" si="216"/>
        <v>0</v>
      </c>
      <c r="L111" s="19">
        <f t="shared" si="217"/>
        <v>0</v>
      </c>
      <c r="M111" s="19">
        <f t="shared" si="218"/>
        <v>0</v>
      </c>
      <c r="N111" s="19">
        <f t="shared" si="219"/>
        <v>0</v>
      </c>
      <c r="O111" s="19">
        <f t="shared" si="220"/>
        <v>0</v>
      </c>
      <c r="P111" s="19">
        <f t="shared" si="221"/>
        <v>0</v>
      </c>
      <c r="Q111" s="19">
        <f t="shared" si="222"/>
        <v>0</v>
      </c>
      <c r="R111" s="19">
        <f t="shared" si="223"/>
        <v>0</v>
      </c>
      <c r="S111" s="19">
        <f t="shared" si="224"/>
        <v>0</v>
      </c>
      <c r="T111" s="19">
        <f t="shared" si="225"/>
        <v>0</v>
      </c>
      <c r="U111" s="19">
        <f t="shared" si="226"/>
        <v>0</v>
      </c>
      <c r="V111" s="19">
        <f t="shared" si="227"/>
        <v>0</v>
      </c>
      <c r="W111" s="19">
        <f t="shared" si="228"/>
        <v>0</v>
      </c>
      <c r="X111" s="19">
        <f t="shared" si="229"/>
        <v>0</v>
      </c>
      <c r="Y111" s="19">
        <f t="shared" si="230"/>
        <v>0</v>
      </c>
      <c r="Z111" s="19">
        <f t="shared" si="231"/>
        <v>0</v>
      </c>
      <c r="AA111" s="154">
        <v>2822</v>
      </c>
      <c r="AB111" s="17" t="e">
        <f>+H111*SUMIF('[1]KẾ HOẠCH'!$B$5:$CK$5,'Cắt lồng'!AA111,'[1]KẾ HOẠCH'!$B$6:$CK$6)+H111*SUMIF('[1]KẾ HOẠCH'!$B$7:$CK$7,'Cắt lồng'!AA111,'[1]KẾ HOẠCH'!$B$8:$CK$8)+H111*SUMIF('[1]KẾ HOẠCH'!$B$15:$CK$15,'Cắt lồng'!AA111,'[1]KẾ HOẠCH'!$B$16:$CK$16)</f>
        <v>#VALUE!</v>
      </c>
      <c r="AC111" s="16">
        <f t="shared" si="232"/>
        <v>0</v>
      </c>
      <c r="AD111" s="15" t="e">
        <f t="shared" si="233"/>
        <v>#VALUE!</v>
      </c>
      <c r="AE111" s="42"/>
      <c r="AF111" s="10" t="e">
        <f t="shared" si="234"/>
        <v>#DIV/0!</v>
      </c>
      <c r="AG111" s="10"/>
      <c r="AH111" s="152">
        <f t="shared" si="235"/>
        <v>0</v>
      </c>
      <c r="AI111" s="54" t="e">
        <f t="shared" si="236"/>
        <v>#DIV/0!</v>
      </c>
      <c r="AJ111" s="25">
        <f t="shared" si="237"/>
        <v>0</v>
      </c>
      <c r="AK111" s="25">
        <f t="shared" si="238"/>
        <v>0</v>
      </c>
      <c r="AL111" s="25">
        <f t="shared" si="239"/>
        <v>0</v>
      </c>
      <c r="AM111" s="30">
        <f t="shared" si="240"/>
        <v>0</v>
      </c>
      <c r="AN111" s="25">
        <f t="shared" si="241"/>
        <v>0</v>
      </c>
      <c r="AO111" s="25">
        <f t="shared" si="242"/>
        <v>0</v>
      </c>
      <c r="AP111" s="25">
        <f t="shared" si="243"/>
        <v>0</v>
      </c>
      <c r="AQ111" s="25">
        <f t="shared" si="244"/>
        <v>0</v>
      </c>
      <c r="AR111" s="25">
        <f t="shared" si="245"/>
        <v>0</v>
      </c>
      <c r="AS111" s="25">
        <f t="shared" si="246"/>
        <v>0</v>
      </c>
      <c r="AT111" s="25">
        <f t="shared" si="247"/>
        <v>0</v>
      </c>
      <c r="AV111" s="79">
        <f t="shared" si="248"/>
        <v>0</v>
      </c>
      <c r="AW111" s="79">
        <f t="array" ref="AW111">SUMIFS('Cắt lồng'!$AC$327:$AC$515,'Cắt lồng'!$AA$327:$AA$515,'Cắt lồng'!$AA111,'Cắt lồng'!$AE$327:$AE$515,'Cắt lồng'!AW$4:AW$4)</f>
        <v>0</v>
      </c>
      <c r="AX111" s="79">
        <f t="array" ref="AX111">SUMIFS('Cắt lồng'!$AH$327:$AH$515,'Cắt lồng'!$AA$327:$AA$515,'Cắt lồng'!$AA111,'Cắt lồng'!$AE$327:$AE$515,'Cắt lồng'!AX$4:AX$4)</f>
        <v>0</v>
      </c>
      <c r="AY111" s="78" t="e">
        <f t="shared" si="249"/>
        <v>#DIV/0!</v>
      </c>
      <c r="AZ111" s="79">
        <f t="array" ref="AZ111">SUMIFS('Cắt lồng'!$AC$327:$AC$515,'Cắt lồng'!$AA$327:$AA$515,'Cắt lồng'!$AA111,'Cắt lồng'!$AE$327:$AE$515,'Cắt lồng'!AZ$4:AZ$4)</f>
        <v>0</v>
      </c>
      <c r="BA111" s="79">
        <f t="array" ref="BA111">SUMIFS('Cắt lồng'!$AH$327:$AH$515,'Cắt lồng'!$AA$327:$AA$515,'Cắt lồng'!$AA111,'Cắt lồng'!$AE$327:$AE$515,'Cắt lồng'!BA$4:BA$4)</f>
        <v>0</v>
      </c>
      <c r="BB111" s="78" t="e">
        <f t="shared" si="250"/>
        <v>#DIV/0!</v>
      </c>
      <c r="BC111" s="79">
        <f t="array" ref="BC111">SUMIFS('Cắt lồng'!$AC$327:$AC$515,'Cắt lồng'!$AA$327:$AA$515,'Cắt lồng'!$AA111,'Cắt lồng'!$AE$327:$AE$515,'Cắt lồng'!BC$4:BC$4)</f>
        <v>0</v>
      </c>
      <c r="BD111" s="79">
        <f t="array" ref="BD111">SUMIFS('Cắt lồng'!$AH$327:$AH$515,'Cắt lồng'!$AA$327:$AA$515,'Cắt lồng'!$AA111,'Cắt lồng'!$AE$327:$AE$515,'Cắt lồng'!BD$4:BD$4)</f>
        <v>0</v>
      </c>
      <c r="BE111" s="78" t="e">
        <f t="shared" si="251"/>
        <v>#DIV/0!</v>
      </c>
      <c r="BF111" s="79">
        <f t="array" ref="BF111">SUMIFS('Cắt lồng'!$AC$327:$AC$515,'Cắt lồng'!$AA$327:$AA$515,'Cắt lồng'!$AA111,'Cắt lồng'!$AE$327:$AE$515,'Cắt lồng'!BF$4:BF$4)</f>
        <v>0</v>
      </c>
      <c r="BG111" s="79">
        <f t="array" ref="BG111">SUMIFS('Cắt lồng'!$AH$327:$AH$515,'Cắt lồng'!$AA$327:$AA$515,'Cắt lồng'!$AA111,'Cắt lồng'!$AE$327:$AE$515,'Cắt lồng'!BG$4:BG$4)</f>
        <v>0</v>
      </c>
      <c r="BH111" s="78" t="e">
        <f t="shared" si="252"/>
        <v>#DIV/0!</v>
      </c>
      <c r="BI111" s="79">
        <f t="array" ref="BI111">SUMIFS('Cắt lồng'!$AC$327:$AC$515,'Cắt lồng'!$AA$327:$AA$515,'Cắt lồng'!$AA111,'Cắt lồng'!$AE$327:$AE$515,'Cắt lồng'!BI$4:BI$4)</f>
        <v>0</v>
      </c>
      <c r="BJ111" s="79">
        <f t="array" ref="BJ111">SUMIFS('Cắt lồng'!$AH$327:$AH$515,'Cắt lồng'!$AA$327:$AA$515,'Cắt lồng'!$AA111,'Cắt lồng'!$AE$327:$AE$515,'Cắt lồng'!BJ$4:BJ$4)</f>
        <v>0</v>
      </c>
      <c r="BK111" s="78" t="e">
        <f t="shared" si="253"/>
        <v>#DIV/0!</v>
      </c>
      <c r="BL111" s="79">
        <f t="array" ref="BL111">SUMIFS('Cắt lồng'!$AC$327:$AC$515,'Cắt lồng'!$AA$327:$AA$515,'Cắt lồng'!$AA111,'Cắt lồng'!$AE$327:$AE$515,'Cắt lồng'!BL$4:BL$4)</f>
        <v>0</v>
      </c>
      <c r="BM111" s="79">
        <f t="array" ref="BM111">SUMIFS('Cắt lồng'!$AH$327:$AH$515,'Cắt lồng'!$AA$327:$AA$515,'Cắt lồng'!$AA111,'Cắt lồng'!$AE$327:$AE$515,'Cắt lồng'!BM$4:BM$4)</f>
        <v>0</v>
      </c>
      <c r="BN111" s="78" t="e">
        <f t="shared" si="254"/>
        <v>#DIV/0!</v>
      </c>
      <c r="BO111" s="79">
        <f t="array" ref="BO111">SUMIFS('Cắt lồng'!$AC$327:$AC$515,'Cắt lồng'!$AA$327:$AA$515,'Cắt lồng'!$AA111,'Cắt lồng'!$AE$327:$AE$515,'Cắt lồng'!BO$4:BO$4)</f>
        <v>0</v>
      </c>
      <c r="BP111" s="79">
        <f t="array" ref="BP111">SUMIFS('Cắt lồng'!$AH$327:$AH$515,'Cắt lồng'!$AA$327:$AA$515,'Cắt lồng'!$AA111,'Cắt lồng'!$AE$327:$AE$515,'Cắt lồng'!BP$4:BP$4)</f>
        <v>0</v>
      </c>
      <c r="BQ111" s="78" t="e">
        <f t="shared" si="255"/>
        <v>#DIV/0!</v>
      </c>
      <c r="BR111" s="79">
        <f t="array" ref="BR111">SUMIFS('Cắt lồng'!$AC$327:$AC$515,'Cắt lồng'!$AA$327:$AA$515,'Cắt lồng'!$AA111,'Cắt lồng'!$AE$327:$AE$515,'Cắt lồng'!BR$4:BR$4)</f>
        <v>0</v>
      </c>
      <c r="BS111" s="79">
        <f t="array" ref="BS111">SUMIFS('Cắt lồng'!$AH$327:$AH$515,'Cắt lồng'!$AA$327:$AA$515,'Cắt lồng'!$AA111,'Cắt lồng'!$AE$327:$AE$515,'Cắt lồng'!BS$4:BS$4)</f>
        <v>0</v>
      </c>
      <c r="BT111" s="78" t="e">
        <f t="shared" si="256"/>
        <v>#DIV/0!</v>
      </c>
      <c r="BU111" s="79">
        <f t="array" ref="BU111">SUMIFS('Cắt lồng'!$AC$327:$AC$515,'Cắt lồng'!$AA$327:$AA$515,'Cắt lồng'!$AA111,'Cắt lồng'!$AE$327:$AE$515,'Cắt lồng'!BU$4:BU$4)</f>
        <v>0</v>
      </c>
      <c r="BV111" s="79">
        <f t="array" ref="BV111">SUMIFS('Cắt lồng'!$AH$327:$AH$515,'Cắt lồng'!$AA$327:$AA$515,'Cắt lồng'!$AA111,'Cắt lồng'!$AE$327:$AE$515,'Cắt lồng'!BV$4:BV$4)</f>
        <v>0</v>
      </c>
      <c r="BW111" s="78" t="e">
        <f t="shared" si="257"/>
        <v>#DIV/0!</v>
      </c>
      <c r="BX111" s="79">
        <f t="array" ref="BX111">SUMIFS('Cắt lồng'!$AC$327:$AC$515,'Cắt lồng'!$AA$327:$AA$515,'Cắt lồng'!$AA111,'Cắt lồng'!$AE$327:$AE$515,'Cắt lồng'!BX$4:BX$4)</f>
        <v>0</v>
      </c>
      <c r="BY111" s="79">
        <f t="array" ref="BY111">SUMIFS('Cắt lồng'!$AH$327:$AH$515,'Cắt lồng'!$AA$327:$AA$515,'Cắt lồng'!$AA111,'Cắt lồng'!$AE$327:$AE$515,'Cắt lồng'!BY$4:BY$4)</f>
        <v>0</v>
      </c>
      <c r="BZ111" s="78" t="e">
        <f t="shared" si="258"/>
        <v>#DIV/0!</v>
      </c>
      <c r="CA111" s="79">
        <f t="array" ref="CA111">SUMIFS('Cắt lồng'!$AC$327:$AC$515,'Cắt lồng'!$AA$327:$AA$515,'Cắt lồng'!$AA111,'Cắt lồng'!$AE$327:$AE$515,'Cắt lồng'!CA$4:CA$4)</f>
        <v>0</v>
      </c>
      <c r="CB111" s="79">
        <f t="array" ref="CB111">SUMIFS('Cắt lồng'!$AH$327:$AH$515,'Cắt lồng'!$AA$327:$AA$515,'Cắt lồng'!$AA111,'Cắt lồng'!$AE$327:$AE$515,'Cắt lồng'!CB$4:CB$4)</f>
        <v>0</v>
      </c>
      <c r="CC111" s="78" t="e">
        <f t="shared" si="259"/>
        <v>#DIV/0!</v>
      </c>
      <c r="CD111" s="79">
        <f t="array" ref="CD111">SUMIFS('Cắt lồng'!$AC$327:$AC$515,'Cắt lồng'!$AA$327:$AA$515,'Cắt lồng'!$AA111,'Cắt lồng'!$AE$327:$AE$515,'Cắt lồng'!CD$4:CD$4)</f>
        <v>0</v>
      </c>
      <c r="CE111" s="79">
        <f t="array" ref="CE111">SUMIFS('Cắt lồng'!$AH$327:$AH$515,'Cắt lồng'!$AA$327:$AA$515,'Cắt lồng'!$AA111,'Cắt lồng'!$AE$327:$AE$515,'Cắt lồng'!CE$4:CE$4)</f>
        <v>0</v>
      </c>
      <c r="CF111" s="78" t="e">
        <f t="shared" si="260"/>
        <v>#DIV/0!</v>
      </c>
      <c r="CG111" s="79">
        <f t="array" ref="CG111">SUMIFS('Cắt lồng'!$AC$327:$AC$515,'Cắt lồng'!$AA$327:$AA$515,'Cắt lồng'!$AA111,'Cắt lồng'!$AE$327:$AE$515,'Cắt lồng'!CG$4:CG$4)</f>
        <v>0</v>
      </c>
      <c r="CH111" s="79">
        <f t="array" ref="CH111">SUMIFS('Cắt lồng'!$AH$327:$AH$515,'Cắt lồng'!$AA$327:$AA$515,'Cắt lồng'!$AA111,'Cắt lồng'!$AE$327:$AE$515,'Cắt lồng'!CH$4:CH$4)</f>
        <v>0</v>
      </c>
      <c r="CI111" s="78" t="e">
        <f t="shared" si="261"/>
        <v>#DIV/0!</v>
      </c>
      <c r="CJ111" s="79">
        <f t="array" ref="CJ111">SUMIFS('Cắt lồng'!$AC$327:$AC$515,'Cắt lồng'!$AA$327:$AA$515,'Cắt lồng'!$AA111,'Cắt lồng'!$AE$327:$AE$515,'Cắt lồng'!CJ$4:CJ$4)</f>
        <v>0</v>
      </c>
      <c r="CK111" s="79">
        <f t="array" ref="CK111">SUMIFS('Cắt lồng'!$AH$327:$AH$515,'Cắt lồng'!$AA$327:$AA$515,'Cắt lồng'!$AA111,'Cắt lồng'!$AE$327:$AE$515,'Cắt lồng'!CK$4:CK$4)</f>
        <v>0</v>
      </c>
      <c r="CL111" s="78" t="e">
        <f t="shared" si="262"/>
        <v>#DIV/0!</v>
      </c>
      <c r="CM111" s="79">
        <f t="array" ref="CM111">SUMIFS('Cắt lồng'!$AC$327:$AC$515,'Cắt lồng'!$AA$327:$AA$515,'Cắt lồng'!$AA111,'Cắt lồng'!$AE$327:$AE$515,'Cắt lồng'!CM$4:CM$4)</f>
        <v>0</v>
      </c>
      <c r="CN111" s="79">
        <f t="array" ref="CN111">SUMIFS('Cắt lồng'!$AH$327:$AH$515,'Cắt lồng'!$AA$327:$AA$515,'Cắt lồng'!$AA111,'Cắt lồng'!$AE$327:$AE$515,'Cắt lồng'!CN$4:CN$4)</f>
        <v>0</v>
      </c>
      <c r="CO111" s="78" t="e">
        <f t="shared" si="263"/>
        <v>#DIV/0!</v>
      </c>
      <c r="CP111" s="79">
        <f t="array" ref="CP111">SUMIFS('Cắt lồng'!$AC$327:$AC$515,'Cắt lồng'!$AA$327:$AA$515,'Cắt lồng'!$AA111,'Cắt lồng'!$AE$327:$AE$515,'Cắt lồng'!CP$4:CP$4)</f>
        <v>0</v>
      </c>
      <c r="CQ111" s="79">
        <f t="array" ref="CQ111">SUMIFS('Cắt lồng'!$AH$327:$AH$515,'Cắt lồng'!$AA$327:$AA$515,'Cắt lồng'!$AA111,'Cắt lồng'!$AE$327:$AE$515,'Cắt lồng'!CQ$4:CQ$4)</f>
        <v>0</v>
      </c>
      <c r="CR111" s="78" t="e">
        <f t="shared" si="264"/>
        <v>#DIV/0!</v>
      </c>
      <c r="CS111" s="79">
        <f t="array" ref="CS111">SUMIFS('Cắt lồng'!$AC$327:$AC$515,'Cắt lồng'!$AA$327:$AA$515,'Cắt lồng'!$AA111,'Cắt lồng'!$AE$327:$AE$515,'Cắt lồng'!CS$4:CS$4)</f>
        <v>0</v>
      </c>
      <c r="CT111" s="79">
        <f t="array" ref="CT111">SUMIFS('Cắt lồng'!$AH$327:$AH$515,'Cắt lồng'!$AA$327:$AA$515,'Cắt lồng'!$AA111,'Cắt lồng'!$AE$327:$AE$515,'Cắt lồng'!CT$4:CT$4)</f>
        <v>0</v>
      </c>
      <c r="CU111" s="78" t="e">
        <f t="shared" si="265"/>
        <v>#DIV/0!</v>
      </c>
      <c r="CV111" s="79">
        <f t="array" ref="CV111">SUMIFS('Cắt lồng'!$AC$327:$AC$515,'Cắt lồng'!$AA$327:$AA$515,'Cắt lồng'!$AA111,'Cắt lồng'!$AE$327:$AE$515,'Cắt lồng'!CV$4:CV$4)</f>
        <v>0</v>
      </c>
      <c r="CW111" s="79">
        <f t="array" ref="CW111">SUMIFS('Cắt lồng'!$AH$327:$AH$515,'Cắt lồng'!$AA$327:$AA$515,'Cắt lồng'!$AA111,'Cắt lồng'!$AE$327:$AE$515,'Cắt lồng'!CW$4:CW$4)</f>
        <v>0</v>
      </c>
      <c r="CX111" s="78" t="e">
        <f t="shared" si="266"/>
        <v>#DIV/0!</v>
      </c>
      <c r="CY111" s="79">
        <f t="array" ref="CY111">SUMIFS('Cắt lồng'!$AC$327:$AC$515,'Cắt lồng'!$AA$327:$AA$515,'Cắt lồng'!$AA111,'Cắt lồng'!$AE$327:$AE$515,'Cắt lồng'!CY$4:CY$4)</f>
        <v>0</v>
      </c>
      <c r="CZ111" s="79">
        <f t="array" ref="CZ111">SUMIFS('Cắt lồng'!$AH$327:$AH$515,'Cắt lồng'!$AA$327:$AA$515,'Cắt lồng'!$AA111,'Cắt lồng'!$AE$327:$AE$515,'Cắt lồng'!CZ$4:CZ$4)</f>
        <v>0</v>
      </c>
      <c r="DA111" s="78" t="e">
        <f t="shared" si="267"/>
        <v>#DIV/0!</v>
      </c>
      <c r="DB111" s="79">
        <f t="array" ref="DB111">SUMIFS('Cắt lồng'!$AC$327:$AC$515,'Cắt lồng'!$AA$327:$AA$515,'Cắt lồng'!$AA111,'Cắt lồng'!$AE$327:$AE$515,'Cắt lồng'!DB$4:DB$4)</f>
        <v>0</v>
      </c>
      <c r="DC111" s="79">
        <f t="array" ref="DC111">SUMIFS('Cắt lồng'!$AH$327:$AH$515,'Cắt lồng'!$AA$327:$AA$515,'Cắt lồng'!$AA111,'Cắt lồng'!$AE$327:$AE$515,'Cắt lồng'!DC$4:DC$4)</f>
        <v>0</v>
      </c>
      <c r="DD111" s="78" t="e">
        <f t="shared" si="268"/>
        <v>#DIV/0!</v>
      </c>
      <c r="DE111" s="79">
        <f t="array" ref="DE111">SUMIFS('Cắt lồng'!$AC$327:$AC$515,'Cắt lồng'!$AA$327:$AA$515,'Cắt lồng'!$AA111,'Cắt lồng'!$AE$327:$AE$515,'Cắt lồng'!DE$4:DE$4)</f>
        <v>0</v>
      </c>
      <c r="DF111" s="79">
        <f t="array" ref="DF111">SUMIFS('Cắt lồng'!$AH$327:$AH$515,'Cắt lồng'!$AA$327:$AA$515,'Cắt lồng'!$AA111,'Cắt lồng'!$AE$327:$AE$515,'Cắt lồng'!DF$4:DF$4)</f>
        <v>0</v>
      </c>
      <c r="DG111" s="78" t="e">
        <f t="shared" si="269"/>
        <v>#DIV/0!</v>
      </c>
      <c r="DH111" s="79">
        <f t="array" ref="DH111">SUMIFS('Cắt lồng'!$AC$327:$AC$515,'Cắt lồng'!$AA$327:$AA$515,'Cắt lồng'!$AA111,'Cắt lồng'!$AE$327:$AE$515,'Cắt lồng'!DH$4:DH$4)</f>
        <v>0</v>
      </c>
      <c r="DI111" s="79">
        <f t="array" ref="DI111">SUMIFS('Cắt lồng'!$AH$327:$AH$515,'Cắt lồng'!$AA$327:$AA$515,'Cắt lồng'!$AA111,'Cắt lồng'!$AE$327:$AE$515,'Cắt lồng'!DI$4:DI$4)</f>
        <v>0</v>
      </c>
      <c r="DJ111" s="78" t="e">
        <f t="shared" si="270"/>
        <v>#DIV/0!</v>
      </c>
      <c r="DK111" s="79">
        <f t="array" ref="DK111">SUMIFS('Cắt lồng'!$AC$327:$AC$515,'Cắt lồng'!$AA$327:$AA$515,'Cắt lồng'!$AA111,'Cắt lồng'!$AE$327:$AE$515,'Cắt lồng'!DK$4:DK$4)</f>
        <v>0</v>
      </c>
      <c r="DL111" s="79">
        <f t="array" ref="DL111">SUMIFS('Cắt lồng'!$AH$327:$AH$515,'Cắt lồng'!$AA$327:$AA$515,'Cắt lồng'!$AA111,'Cắt lồng'!$AE$327:$AE$515,'Cắt lồng'!DL$4:DL$4)</f>
        <v>0</v>
      </c>
      <c r="DM111" s="78" t="e">
        <f t="shared" si="271"/>
        <v>#DIV/0!</v>
      </c>
      <c r="DN111" s="79">
        <f t="array" ref="DN111">SUMIFS('Cắt lồng'!$AC$327:$AC$515,'Cắt lồng'!$AA$327:$AA$515,'Cắt lồng'!$AA111,'Cắt lồng'!$AE$327:$AE$515,'Cắt lồng'!DN$4:DN$4)</f>
        <v>0</v>
      </c>
      <c r="DO111" s="79">
        <f t="array" ref="DO111">SUMIFS('Cắt lồng'!$AH$327:$AH$515,'Cắt lồng'!$AA$327:$AA$515,'Cắt lồng'!$AA111,'Cắt lồng'!$AE$327:$AE$515,'Cắt lồng'!DO$4:DO$4)</f>
        <v>0</v>
      </c>
      <c r="DP111" s="78" t="e">
        <f t="shared" si="272"/>
        <v>#DIV/0!</v>
      </c>
      <c r="DQ111" s="79">
        <f t="array" ref="DQ111">SUMIFS('Cắt lồng'!$AC$327:$AC$515,'Cắt lồng'!$AA$327:$AA$515,'Cắt lồng'!$AA111,'Cắt lồng'!$AE$327:$AE$515,'Cắt lồng'!DQ$4:DQ$4)</f>
        <v>0</v>
      </c>
      <c r="DR111" s="79">
        <f t="array" ref="DR111">SUMIFS('Cắt lồng'!$AH$327:$AH$515,'Cắt lồng'!$AA$327:$AA$515,'Cắt lồng'!$AA111,'Cắt lồng'!$AE$327:$AE$515,'Cắt lồng'!DR$4:DR$4)</f>
        <v>0</v>
      </c>
      <c r="DS111" s="78" t="e">
        <f t="shared" si="273"/>
        <v>#DIV/0!</v>
      </c>
      <c r="DT111" s="79">
        <f t="array" ref="DT111">SUMIFS('Cắt lồng'!$AC$327:$AC$515,'Cắt lồng'!$AA$327:$AA$515,'Cắt lồng'!$AA111,'Cắt lồng'!$AE$327:$AE$515,'Cắt lồng'!DT$4:DT$4)</f>
        <v>0</v>
      </c>
      <c r="DU111" s="79">
        <f t="array" ref="DU111">SUMIFS('Cắt lồng'!$AH$327:$AH$515,'Cắt lồng'!$AA$327:$AA$515,'Cắt lồng'!$AA111,'Cắt lồng'!$AE$327:$AE$515,'Cắt lồng'!DU$4:DU$4)</f>
        <v>0</v>
      </c>
      <c r="DV111" s="78" t="e">
        <f t="shared" si="274"/>
        <v>#DIV/0!</v>
      </c>
      <c r="DW111" s="79">
        <f t="array" ref="DW111">SUMIFS('Cắt lồng'!$AC$327:$AC$515,'Cắt lồng'!$AA$327:$AA$515,'Cắt lồng'!$AA111,'Cắt lồng'!$AE$327:$AE$515,'Cắt lồng'!DW$4:DW$4)</f>
        <v>0</v>
      </c>
      <c r="DX111" s="79">
        <f t="array" ref="DX111">SUMIFS('Cắt lồng'!$AH$327:$AH$515,'Cắt lồng'!$AA$327:$AA$515,'Cắt lồng'!$AA111,'Cắt lồng'!$AE$327:$AE$515,'Cắt lồng'!DX$4:DX$4)</f>
        <v>0</v>
      </c>
      <c r="DY111" s="78" t="e">
        <f t="shared" si="275"/>
        <v>#DIV/0!</v>
      </c>
      <c r="DZ111" s="79">
        <f t="array" ref="DZ111">SUMIFS('Cắt lồng'!$AC$327:$AC$515,'Cắt lồng'!$AA$327:$AA$515,'Cắt lồng'!$AA111,'Cắt lồng'!$AE$327:$AE$515,'Cắt lồng'!DZ$4:DZ$4)</f>
        <v>0</v>
      </c>
      <c r="EA111" s="79">
        <f t="array" ref="EA111">SUMIFS('Cắt lồng'!$AH$327:$AH$515,'Cắt lồng'!$AA$327:$AA$515,'Cắt lồng'!$AA111,'Cắt lồng'!$AE$327:$AE$515,'Cắt lồng'!EA$4:EA$4)</f>
        <v>0</v>
      </c>
      <c r="EB111" s="78" t="e">
        <f t="shared" si="276"/>
        <v>#DIV/0!</v>
      </c>
      <c r="EC111" s="79">
        <f t="array" ref="EC111">SUMIFS('Cắt lồng'!$AC$327:$AC$515,'Cắt lồng'!$AA$327:$AA$515,'Cắt lồng'!$AA111,'Cắt lồng'!$AE$327:$AE$515,'Cắt lồng'!EC$4:EC$4)</f>
        <v>0</v>
      </c>
      <c r="ED111" s="79">
        <f t="array" ref="ED111">SUMIFS('Cắt lồng'!$AH$327:$AH$515,'Cắt lồng'!$AA$327:$AA$515,'Cắt lồng'!$AA111,'Cắt lồng'!$AE$327:$AE$515,'Cắt lồng'!ED$4:ED$4)</f>
        <v>0</v>
      </c>
      <c r="EE111" s="78" t="e">
        <f t="shared" si="277"/>
        <v>#DIV/0!</v>
      </c>
      <c r="EF111" s="79">
        <f t="array" ref="EF111">SUMIFS('Cắt lồng'!$AC$327:$AC$515,'Cắt lồng'!$AA$327:$AA$515,'Cắt lồng'!$AA111,'Cắt lồng'!$AE$327:$AE$515,'Cắt lồng'!EF$4:EF$4)</f>
        <v>0</v>
      </c>
      <c r="EG111" s="79">
        <f t="array" ref="EG111">SUMIFS('Cắt lồng'!$AH$327:$AH$515,'Cắt lồng'!$AA$327:$AA$515,'Cắt lồng'!$AA111,'Cắt lồng'!$AE$327:$AE$515,'Cắt lồng'!EG$4:EG$4)</f>
        <v>0</v>
      </c>
      <c r="EH111" s="78" t="e">
        <f t="shared" si="278"/>
        <v>#DIV/0!</v>
      </c>
      <c r="EI111" s="79">
        <f t="array" ref="EI111">SUMIFS('Cắt lồng'!$AC$327:$AC$515,'Cắt lồng'!$AA$327:$AA$515,'Cắt lồng'!$AA111,'Cắt lồng'!$AE$327:$AE$515,'Cắt lồng'!EI$4:EI$4)</f>
        <v>0</v>
      </c>
      <c r="EJ111" s="79">
        <f t="array" ref="EJ111">SUMIFS('Cắt lồng'!$AH$327:$AH$515,'Cắt lồng'!$AA$327:$AA$515,'Cắt lồng'!$AA111,'Cắt lồng'!$AE$327:$AE$515,'Cắt lồng'!EJ$4:EJ$4)</f>
        <v>0</v>
      </c>
      <c r="EK111" s="78" t="e">
        <f t="shared" si="279"/>
        <v>#DIV/0!</v>
      </c>
    </row>
    <row r="112" spans="1:150" s="12" customFormat="1" ht="14.25" hidden="1" customHeight="1">
      <c r="A112" s="30">
        <v>79</v>
      </c>
      <c r="B112" s="26"/>
      <c r="C112" s="25"/>
      <c r="D112" s="24"/>
      <c r="E112" s="60"/>
      <c r="F112" s="59"/>
      <c r="G112" s="82">
        <f t="shared" si="212"/>
        <v>0</v>
      </c>
      <c r="H112" s="81">
        <f t="shared" si="213"/>
        <v>0</v>
      </c>
      <c r="I112" s="19">
        <f t="shared" si="214"/>
        <v>0</v>
      </c>
      <c r="J112" s="11">
        <f t="shared" si="215"/>
        <v>0</v>
      </c>
      <c r="K112" s="19">
        <f t="shared" si="216"/>
        <v>0</v>
      </c>
      <c r="L112" s="19">
        <f t="shared" si="217"/>
        <v>0</v>
      </c>
      <c r="M112" s="19">
        <f t="shared" si="218"/>
        <v>0</v>
      </c>
      <c r="N112" s="19">
        <f t="shared" si="219"/>
        <v>0</v>
      </c>
      <c r="O112" s="19">
        <f t="shared" si="220"/>
        <v>0</v>
      </c>
      <c r="P112" s="19">
        <f t="shared" si="221"/>
        <v>0</v>
      </c>
      <c r="Q112" s="19">
        <f t="shared" si="222"/>
        <v>0</v>
      </c>
      <c r="R112" s="19">
        <f t="shared" si="223"/>
        <v>0</v>
      </c>
      <c r="S112" s="19">
        <f t="shared" si="224"/>
        <v>0</v>
      </c>
      <c r="T112" s="19">
        <f t="shared" si="225"/>
        <v>0</v>
      </c>
      <c r="U112" s="19">
        <f t="shared" si="226"/>
        <v>0</v>
      </c>
      <c r="V112" s="19">
        <f t="shared" si="227"/>
        <v>0</v>
      </c>
      <c r="W112" s="19">
        <f t="shared" si="228"/>
        <v>0</v>
      </c>
      <c r="X112" s="19">
        <f t="shared" si="229"/>
        <v>0</v>
      </c>
      <c r="Y112" s="19">
        <f t="shared" si="230"/>
        <v>0</v>
      </c>
      <c r="Z112" s="19">
        <f t="shared" si="231"/>
        <v>0</v>
      </c>
      <c r="AA112" s="154">
        <v>7133</v>
      </c>
      <c r="AB112" s="17" t="e">
        <f>+H112*SUMIF('[1]KẾ HOẠCH'!$B$5:$CK$5,'Cắt lồng'!AA112,'[1]KẾ HOẠCH'!$B$6:$CK$6)+H112*SUMIF('[1]KẾ HOẠCH'!$B$7:$CK$7,'Cắt lồng'!AA112,'[1]KẾ HOẠCH'!$B$8:$CK$8)+H112*SUMIF('[1]KẾ HOẠCH'!$B$15:$CK$15,'Cắt lồng'!AA112,'[1]KẾ HOẠCH'!$B$16:$CK$16)</f>
        <v>#VALUE!</v>
      </c>
      <c r="AC112" s="16">
        <f t="shared" si="232"/>
        <v>0</v>
      </c>
      <c r="AD112" s="15" t="e">
        <f t="shared" si="233"/>
        <v>#VALUE!</v>
      </c>
      <c r="AE112" s="42"/>
      <c r="AF112" s="10" t="e">
        <f t="shared" si="234"/>
        <v>#DIV/0!</v>
      </c>
      <c r="AG112" s="10"/>
      <c r="AH112" s="152">
        <f t="shared" si="235"/>
        <v>0</v>
      </c>
      <c r="AI112" s="54" t="e">
        <f t="shared" si="236"/>
        <v>#DIV/0!</v>
      </c>
      <c r="AJ112" s="25">
        <f t="shared" si="237"/>
        <v>0</v>
      </c>
      <c r="AK112" s="25">
        <f t="shared" si="238"/>
        <v>0</v>
      </c>
      <c r="AL112" s="25">
        <f t="shared" si="239"/>
        <v>0</v>
      </c>
      <c r="AM112" s="30">
        <f t="shared" si="240"/>
        <v>0</v>
      </c>
      <c r="AN112" s="25">
        <f t="shared" si="241"/>
        <v>0</v>
      </c>
      <c r="AO112" s="25">
        <f t="shared" si="242"/>
        <v>0</v>
      </c>
      <c r="AP112" s="25">
        <f t="shared" si="243"/>
        <v>0</v>
      </c>
      <c r="AQ112" s="25">
        <f t="shared" si="244"/>
        <v>0</v>
      </c>
      <c r="AR112" s="25">
        <f t="shared" si="245"/>
        <v>0</v>
      </c>
      <c r="AS112" s="25">
        <f t="shared" si="246"/>
        <v>0</v>
      </c>
      <c r="AT112" s="25">
        <f t="shared" si="247"/>
        <v>0</v>
      </c>
      <c r="AV112" s="79">
        <f t="shared" si="248"/>
        <v>0</v>
      </c>
      <c r="AW112" s="79">
        <f t="array" ref="AW112">SUMIFS('Cắt lồng'!$AC$327:$AC$515,'Cắt lồng'!$AA$327:$AA$515,'Cắt lồng'!$AA112,'Cắt lồng'!$AE$327:$AE$515,'Cắt lồng'!AW$4:AW$4)</f>
        <v>0</v>
      </c>
      <c r="AX112" s="79">
        <f t="array" ref="AX112">SUMIFS('Cắt lồng'!$AH$327:$AH$515,'Cắt lồng'!$AA$327:$AA$515,'Cắt lồng'!$AA112,'Cắt lồng'!$AE$327:$AE$515,'Cắt lồng'!AX$4:AX$4)</f>
        <v>0</v>
      </c>
      <c r="AY112" s="78" t="e">
        <f t="shared" si="249"/>
        <v>#DIV/0!</v>
      </c>
      <c r="AZ112" s="79">
        <f t="array" ref="AZ112">SUMIFS('Cắt lồng'!$AC$327:$AC$515,'Cắt lồng'!$AA$327:$AA$515,'Cắt lồng'!$AA112,'Cắt lồng'!$AE$327:$AE$515,'Cắt lồng'!AZ$4:AZ$4)</f>
        <v>0</v>
      </c>
      <c r="BA112" s="79">
        <f t="array" ref="BA112">SUMIFS('Cắt lồng'!$AH$327:$AH$515,'Cắt lồng'!$AA$327:$AA$515,'Cắt lồng'!$AA112,'Cắt lồng'!$AE$327:$AE$515,'Cắt lồng'!BA$4:BA$4)</f>
        <v>0</v>
      </c>
      <c r="BB112" s="78" t="e">
        <f t="shared" si="250"/>
        <v>#DIV/0!</v>
      </c>
      <c r="BC112" s="79">
        <f t="array" ref="BC112">SUMIFS('Cắt lồng'!$AC$327:$AC$515,'Cắt lồng'!$AA$327:$AA$515,'Cắt lồng'!$AA112,'Cắt lồng'!$AE$327:$AE$515,'Cắt lồng'!BC$4:BC$4)</f>
        <v>0</v>
      </c>
      <c r="BD112" s="79">
        <f t="array" ref="BD112">SUMIFS('Cắt lồng'!$AH$327:$AH$515,'Cắt lồng'!$AA$327:$AA$515,'Cắt lồng'!$AA112,'Cắt lồng'!$AE$327:$AE$515,'Cắt lồng'!BD$4:BD$4)</f>
        <v>0</v>
      </c>
      <c r="BE112" s="78" t="e">
        <f t="shared" si="251"/>
        <v>#DIV/0!</v>
      </c>
      <c r="BF112" s="79">
        <f t="array" ref="BF112">SUMIFS('Cắt lồng'!$AC$327:$AC$515,'Cắt lồng'!$AA$327:$AA$515,'Cắt lồng'!$AA112,'Cắt lồng'!$AE$327:$AE$515,'Cắt lồng'!BF$4:BF$4)</f>
        <v>0</v>
      </c>
      <c r="BG112" s="79">
        <f t="array" ref="BG112">SUMIFS('Cắt lồng'!$AH$327:$AH$515,'Cắt lồng'!$AA$327:$AA$515,'Cắt lồng'!$AA112,'Cắt lồng'!$AE$327:$AE$515,'Cắt lồng'!BG$4:BG$4)</f>
        <v>0</v>
      </c>
      <c r="BH112" s="78" t="e">
        <f t="shared" si="252"/>
        <v>#DIV/0!</v>
      </c>
      <c r="BI112" s="79">
        <f t="array" ref="BI112">SUMIFS('Cắt lồng'!$AC$327:$AC$515,'Cắt lồng'!$AA$327:$AA$515,'Cắt lồng'!$AA112,'Cắt lồng'!$AE$327:$AE$515,'Cắt lồng'!BI$4:BI$4)</f>
        <v>0</v>
      </c>
      <c r="BJ112" s="79">
        <f t="array" ref="BJ112">SUMIFS('Cắt lồng'!$AH$327:$AH$515,'Cắt lồng'!$AA$327:$AA$515,'Cắt lồng'!$AA112,'Cắt lồng'!$AE$327:$AE$515,'Cắt lồng'!BJ$4:BJ$4)</f>
        <v>0</v>
      </c>
      <c r="BK112" s="78" t="e">
        <f t="shared" si="253"/>
        <v>#DIV/0!</v>
      </c>
      <c r="BL112" s="79">
        <f t="array" ref="BL112">SUMIFS('Cắt lồng'!$AC$327:$AC$515,'Cắt lồng'!$AA$327:$AA$515,'Cắt lồng'!$AA112,'Cắt lồng'!$AE$327:$AE$515,'Cắt lồng'!BL$4:BL$4)</f>
        <v>0</v>
      </c>
      <c r="BM112" s="79">
        <f t="array" ref="BM112">SUMIFS('Cắt lồng'!$AH$327:$AH$515,'Cắt lồng'!$AA$327:$AA$515,'Cắt lồng'!$AA112,'Cắt lồng'!$AE$327:$AE$515,'Cắt lồng'!BM$4:BM$4)</f>
        <v>0</v>
      </c>
      <c r="BN112" s="78" t="e">
        <f t="shared" si="254"/>
        <v>#DIV/0!</v>
      </c>
      <c r="BO112" s="79">
        <f t="array" ref="BO112">SUMIFS('Cắt lồng'!$AC$327:$AC$515,'Cắt lồng'!$AA$327:$AA$515,'Cắt lồng'!$AA112,'Cắt lồng'!$AE$327:$AE$515,'Cắt lồng'!BO$4:BO$4)</f>
        <v>0</v>
      </c>
      <c r="BP112" s="79">
        <f t="array" ref="BP112">SUMIFS('Cắt lồng'!$AH$327:$AH$515,'Cắt lồng'!$AA$327:$AA$515,'Cắt lồng'!$AA112,'Cắt lồng'!$AE$327:$AE$515,'Cắt lồng'!BP$4:BP$4)</f>
        <v>0</v>
      </c>
      <c r="BQ112" s="78" t="e">
        <f t="shared" si="255"/>
        <v>#DIV/0!</v>
      </c>
      <c r="BR112" s="79">
        <f t="array" ref="BR112">SUMIFS('Cắt lồng'!$AC$327:$AC$515,'Cắt lồng'!$AA$327:$AA$515,'Cắt lồng'!$AA112,'Cắt lồng'!$AE$327:$AE$515,'Cắt lồng'!BR$4:BR$4)</f>
        <v>0</v>
      </c>
      <c r="BS112" s="79">
        <f t="array" ref="BS112">SUMIFS('Cắt lồng'!$AH$327:$AH$515,'Cắt lồng'!$AA$327:$AA$515,'Cắt lồng'!$AA112,'Cắt lồng'!$AE$327:$AE$515,'Cắt lồng'!BS$4:BS$4)</f>
        <v>0</v>
      </c>
      <c r="BT112" s="78" t="e">
        <f t="shared" si="256"/>
        <v>#DIV/0!</v>
      </c>
      <c r="BU112" s="79">
        <f t="array" ref="BU112">SUMIFS('Cắt lồng'!$AC$327:$AC$515,'Cắt lồng'!$AA$327:$AA$515,'Cắt lồng'!$AA112,'Cắt lồng'!$AE$327:$AE$515,'Cắt lồng'!BU$4:BU$4)</f>
        <v>0</v>
      </c>
      <c r="BV112" s="79">
        <f t="array" ref="BV112">SUMIFS('Cắt lồng'!$AH$327:$AH$515,'Cắt lồng'!$AA$327:$AA$515,'Cắt lồng'!$AA112,'Cắt lồng'!$AE$327:$AE$515,'Cắt lồng'!BV$4:BV$4)</f>
        <v>0</v>
      </c>
      <c r="BW112" s="78" t="e">
        <f t="shared" si="257"/>
        <v>#DIV/0!</v>
      </c>
      <c r="BX112" s="79">
        <f t="array" ref="BX112">SUMIFS('Cắt lồng'!$AC$327:$AC$515,'Cắt lồng'!$AA$327:$AA$515,'Cắt lồng'!$AA112,'Cắt lồng'!$AE$327:$AE$515,'Cắt lồng'!BX$4:BX$4)</f>
        <v>0</v>
      </c>
      <c r="BY112" s="79">
        <f t="array" ref="BY112">SUMIFS('Cắt lồng'!$AH$327:$AH$515,'Cắt lồng'!$AA$327:$AA$515,'Cắt lồng'!$AA112,'Cắt lồng'!$AE$327:$AE$515,'Cắt lồng'!BY$4:BY$4)</f>
        <v>0</v>
      </c>
      <c r="BZ112" s="78" t="e">
        <f t="shared" si="258"/>
        <v>#DIV/0!</v>
      </c>
      <c r="CA112" s="79">
        <f t="array" ref="CA112">SUMIFS('Cắt lồng'!$AC$327:$AC$515,'Cắt lồng'!$AA$327:$AA$515,'Cắt lồng'!$AA112,'Cắt lồng'!$AE$327:$AE$515,'Cắt lồng'!CA$4:CA$4)</f>
        <v>0</v>
      </c>
      <c r="CB112" s="79">
        <f t="array" ref="CB112">SUMIFS('Cắt lồng'!$AH$327:$AH$515,'Cắt lồng'!$AA$327:$AA$515,'Cắt lồng'!$AA112,'Cắt lồng'!$AE$327:$AE$515,'Cắt lồng'!CB$4:CB$4)</f>
        <v>0</v>
      </c>
      <c r="CC112" s="78" t="e">
        <f t="shared" si="259"/>
        <v>#DIV/0!</v>
      </c>
      <c r="CD112" s="79">
        <f t="array" ref="CD112">SUMIFS('Cắt lồng'!$AC$327:$AC$515,'Cắt lồng'!$AA$327:$AA$515,'Cắt lồng'!$AA112,'Cắt lồng'!$AE$327:$AE$515,'Cắt lồng'!CD$4:CD$4)</f>
        <v>0</v>
      </c>
      <c r="CE112" s="79">
        <f t="array" ref="CE112">SUMIFS('Cắt lồng'!$AH$327:$AH$515,'Cắt lồng'!$AA$327:$AA$515,'Cắt lồng'!$AA112,'Cắt lồng'!$AE$327:$AE$515,'Cắt lồng'!CE$4:CE$4)</f>
        <v>0</v>
      </c>
      <c r="CF112" s="78" t="e">
        <f t="shared" si="260"/>
        <v>#DIV/0!</v>
      </c>
      <c r="CG112" s="79">
        <f t="array" ref="CG112">SUMIFS('Cắt lồng'!$AC$327:$AC$515,'Cắt lồng'!$AA$327:$AA$515,'Cắt lồng'!$AA112,'Cắt lồng'!$AE$327:$AE$515,'Cắt lồng'!CG$4:CG$4)</f>
        <v>0</v>
      </c>
      <c r="CH112" s="79">
        <f t="array" ref="CH112">SUMIFS('Cắt lồng'!$AH$327:$AH$515,'Cắt lồng'!$AA$327:$AA$515,'Cắt lồng'!$AA112,'Cắt lồng'!$AE$327:$AE$515,'Cắt lồng'!CH$4:CH$4)</f>
        <v>0</v>
      </c>
      <c r="CI112" s="78" t="e">
        <f t="shared" si="261"/>
        <v>#DIV/0!</v>
      </c>
      <c r="CJ112" s="79">
        <f t="array" ref="CJ112">SUMIFS('Cắt lồng'!$AC$327:$AC$515,'Cắt lồng'!$AA$327:$AA$515,'Cắt lồng'!$AA112,'Cắt lồng'!$AE$327:$AE$515,'Cắt lồng'!CJ$4:CJ$4)</f>
        <v>0</v>
      </c>
      <c r="CK112" s="79">
        <f t="array" ref="CK112">SUMIFS('Cắt lồng'!$AH$327:$AH$515,'Cắt lồng'!$AA$327:$AA$515,'Cắt lồng'!$AA112,'Cắt lồng'!$AE$327:$AE$515,'Cắt lồng'!CK$4:CK$4)</f>
        <v>0</v>
      </c>
      <c r="CL112" s="78" t="e">
        <f t="shared" si="262"/>
        <v>#DIV/0!</v>
      </c>
      <c r="CM112" s="79">
        <f t="array" ref="CM112">SUMIFS('Cắt lồng'!$AC$327:$AC$515,'Cắt lồng'!$AA$327:$AA$515,'Cắt lồng'!$AA112,'Cắt lồng'!$AE$327:$AE$515,'Cắt lồng'!CM$4:CM$4)</f>
        <v>0</v>
      </c>
      <c r="CN112" s="79">
        <f t="array" ref="CN112">SUMIFS('Cắt lồng'!$AH$327:$AH$515,'Cắt lồng'!$AA$327:$AA$515,'Cắt lồng'!$AA112,'Cắt lồng'!$AE$327:$AE$515,'Cắt lồng'!CN$4:CN$4)</f>
        <v>0</v>
      </c>
      <c r="CO112" s="78" t="e">
        <f t="shared" si="263"/>
        <v>#DIV/0!</v>
      </c>
      <c r="CP112" s="79">
        <f t="array" ref="CP112">SUMIFS('Cắt lồng'!$AC$327:$AC$515,'Cắt lồng'!$AA$327:$AA$515,'Cắt lồng'!$AA112,'Cắt lồng'!$AE$327:$AE$515,'Cắt lồng'!CP$4:CP$4)</f>
        <v>0</v>
      </c>
      <c r="CQ112" s="79">
        <f t="array" ref="CQ112">SUMIFS('Cắt lồng'!$AH$327:$AH$515,'Cắt lồng'!$AA$327:$AA$515,'Cắt lồng'!$AA112,'Cắt lồng'!$AE$327:$AE$515,'Cắt lồng'!CQ$4:CQ$4)</f>
        <v>0</v>
      </c>
      <c r="CR112" s="78" t="e">
        <f t="shared" si="264"/>
        <v>#DIV/0!</v>
      </c>
      <c r="CS112" s="79">
        <f t="array" ref="CS112">SUMIFS('Cắt lồng'!$AC$327:$AC$515,'Cắt lồng'!$AA$327:$AA$515,'Cắt lồng'!$AA112,'Cắt lồng'!$AE$327:$AE$515,'Cắt lồng'!CS$4:CS$4)</f>
        <v>0</v>
      </c>
      <c r="CT112" s="79">
        <f t="array" ref="CT112">SUMIFS('Cắt lồng'!$AH$327:$AH$515,'Cắt lồng'!$AA$327:$AA$515,'Cắt lồng'!$AA112,'Cắt lồng'!$AE$327:$AE$515,'Cắt lồng'!CT$4:CT$4)</f>
        <v>0</v>
      </c>
      <c r="CU112" s="78" t="e">
        <f t="shared" si="265"/>
        <v>#DIV/0!</v>
      </c>
      <c r="CV112" s="79">
        <f t="array" ref="CV112">SUMIFS('Cắt lồng'!$AC$327:$AC$515,'Cắt lồng'!$AA$327:$AA$515,'Cắt lồng'!$AA112,'Cắt lồng'!$AE$327:$AE$515,'Cắt lồng'!CV$4:CV$4)</f>
        <v>0</v>
      </c>
      <c r="CW112" s="79">
        <f t="array" ref="CW112">SUMIFS('Cắt lồng'!$AH$327:$AH$515,'Cắt lồng'!$AA$327:$AA$515,'Cắt lồng'!$AA112,'Cắt lồng'!$AE$327:$AE$515,'Cắt lồng'!CW$4:CW$4)</f>
        <v>0</v>
      </c>
      <c r="CX112" s="78" t="e">
        <f t="shared" si="266"/>
        <v>#DIV/0!</v>
      </c>
      <c r="CY112" s="79">
        <f t="array" ref="CY112">SUMIFS('Cắt lồng'!$AC$327:$AC$515,'Cắt lồng'!$AA$327:$AA$515,'Cắt lồng'!$AA112,'Cắt lồng'!$AE$327:$AE$515,'Cắt lồng'!CY$4:CY$4)</f>
        <v>0</v>
      </c>
      <c r="CZ112" s="79">
        <f t="array" ref="CZ112">SUMIFS('Cắt lồng'!$AH$327:$AH$515,'Cắt lồng'!$AA$327:$AA$515,'Cắt lồng'!$AA112,'Cắt lồng'!$AE$327:$AE$515,'Cắt lồng'!CZ$4:CZ$4)</f>
        <v>0</v>
      </c>
      <c r="DA112" s="78" t="e">
        <f t="shared" si="267"/>
        <v>#DIV/0!</v>
      </c>
      <c r="DB112" s="79">
        <f t="array" ref="DB112">SUMIFS('Cắt lồng'!$AC$327:$AC$515,'Cắt lồng'!$AA$327:$AA$515,'Cắt lồng'!$AA112,'Cắt lồng'!$AE$327:$AE$515,'Cắt lồng'!DB$4:DB$4)</f>
        <v>0</v>
      </c>
      <c r="DC112" s="79">
        <f t="array" ref="DC112">SUMIFS('Cắt lồng'!$AH$327:$AH$515,'Cắt lồng'!$AA$327:$AA$515,'Cắt lồng'!$AA112,'Cắt lồng'!$AE$327:$AE$515,'Cắt lồng'!DC$4:DC$4)</f>
        <v>0</v>
      </c>
      <c r="DD112" s="78" t="e">
        <f t="shared" si="268"/>
        <v>#DIV/0!</v>
      </c>
      <c r="DE112" s="79">
        <f t="array" ref="DE112">SUMIFS('Cắt lồng'!$AC$327:$AC$515,'Cắt lồng'!$AA$327:$AA$515,'Cắt lồng'!$AA112,'Cắt lồng'!$AE$327:$AE$515,'Cắt lồng'!DE$4:DE$4)</f>
        <v>0</v>
      </c>
      <c r="DF112" s="79">
        <f t="array" ref="DF112">SUMIFS('Cắt lồng'!$AH$327:$AH$515,'Cắt lồng'!$AA$327:$AA$515,'Cắt lồng'!$AA112,'Cắt lồng'!$AE$327:$AE$515,'Cắt lồng'!DF$4:DF$4)</f>
        <v>0</v>
      </c>
      <c r="DG112" s="78" t="e">
        <f t="shared" si="269"/>
        <v>#DIV/0!</v>
      </c>
      <c r="DH112" s="79">
        <f t="array" ref="DH112">SUMIFS('Cắt lồng'!$AC$327:$AC$515,'Cắt lồng'!$AA$327:$AA$515,'Cắt lồng'!$AA112,'Cắt lồng'!$AE$327:$AE$515,'Cắt lồng'!DH$4:DH$4)</f>
        <v>0</v>
      </c>
      <c r="DI112" s="79">
        <f t="array" ref="DI112">SUMIFS('Cắt lồng'!$AH$327:$AH$515,'Cắt lồng'!$AA$327:$AA$515,'Cắt lồng'!$AA112,'Cắt lồng'!$AE$327:$AE$515,'Cắt lồng'!DI$4:DI$4)</f>
        <v>0</v>
      </c>
      <c r="DJ112" s="78" t="e">
        <f t="shared" si="270"/>
        <v>#DIV/0!</v>
      </c>
      <c r="DK112" s="79">
        <f t="array" ref="DK112">SUMIFS('Cắt lồng'!$AC$327:$AC$515,'Cắt lồng'!$AA$327:$AA$515,'Cắt lồng'!$AA112,'Cắt lồng'!$AE$327:$AE$515,'Cắt lồng'!DK$4:DK$4)</f>
        <v>0</v>
      </c>
      <c r="DL112" s="79">
        <f t="array" ref="DL112">SUMIFS('Cắt lồng'!$AH$327:$AH$515,'Cắt lồng'!$AA$327:$AA$515,'Cắt lồng'!$AA112,'Cắt lồng'!$AE$327:$AE$515,'Cắt lồng'!DL$4:DL$4)</f>
        <v>0</v>
      </c>
      <c r="DM112" s="78" t="e">
        <f t="shared" si="271"/>
        <v>#DIV/0!</v>
      </c>
      <c r="DN112" s="79">
        <f t="array" ref="DN112">SUMIFS('Cắt lồng'!$AC$327:$AC$515,'Cắt lồng'!$AA$327:$AA$515,'Cắt lồng'!$AA112,'Cắt lồng'!$AE$327:$AE$515,'Cắt lồng'!DN$4:DN$4)</f>
        <v>0</v>
      </c>
      <c r="DO112" s="79">
        <f t="array" ref="DO112">SUMIFS('Cắt lồng'!$AH$327:$AH$515,'Cắt lồng'!$AA$327:$AA$515,'Cắt lồng'!$AA112,'Cắt lồng'!$AE$327:$AE$515,'Cắt lồng'!DO$4:DO$4)</f>
        <v>0</v>
      </c>
      <c r="DP112" s="78" t="e">
        <f t="shared" si="272"/>
        <v>#DIV/0!</v>
      </c>
      <c r="DQ112" s="79">
        <f t="array" ref="DQ112">SUMIFS('Cắt lồng'!$AC$327:$AC$515,'Cắt lồng'!$AA$327:$AA$515,'Cắt lồng'!$AA112,'Cắt lồng'!$AE$327:$AE$515,'Cắt lồng'!DQ$4:DQ$4)</f>
        <v>0</v>
      </c>
      <c r="DR112" s="79">
        <f t="array" ref="DR112">SUMIFS('Cắt lồng'!$AH$327:$AH$515,'Cắt lồng'!$AA$327:$AA$515,'Cắt lồng'!$AA112,'Cắt lồng'!$AE$327:$AE$515,'Cắt lồng'!DR$4:DR$4)</f>
        <v>0</v>
      </c>
      <c r="DS112" s="78" t="e">
        <f t="shared" si="273"/>
        <v>#DIV/0!</v>
      </c>
      <c r="DT112" s="79">
        <f t="array" ref="DT112">SUMIFS('Cắt lồng'!$AC$327:$AC$515,'Cắt lồng'!$AA$327:$AA$515,'Cắt lồng'!$AA112,'Cắt lồng'!$AE$327:$AE$515,'Cắt lồng'!DT$4:DT$4)</f>
        <v>0</v>
      </c>
      <c r="DU112" s="79">
        <f t="array" ref="DU112">SUMIFS('Cắt lồng'!$AH$327:$AH$515,'Cắt lồng'!$AA$327:$AA$515,'Cắt lồng'!$AA112,'Cắt lồng'!$AE$327:$AE$515,'Cắt lồng'!DU$4:DU$4)</f>
        <v>0</v>
      </c>
      <c r="DV112" s="78" t="e">
        <f t="shared" si="274"/>
        <v>#DIV/0!</v>
      </c>
      <c r="DW112" s="79">
        <f t="array" ref="DW112">SUMIFS('Cắt lồng'!$AC$327:$AC$515,'Cắt lồng'!$AA$327:$AA$515,'Cắt lồng'!$AA112,'Cắt lồng'!$AE$327:$AE$515,'Cắt lồng'!DW$4:DW$4)</f>
        <v>0</v>
      </c>
      <c r="DX112" s="79">
        <f t="array" ref="DX112">SUMIFS('Cắt lồng'!$AH$327:$AH$515,'Cắt lồng'!$AA$327:$AA$515,'Cắt lồng'!$AA112,'Cắt lồng'!$AE$327:$AE$515,'Cắt lồng'!DX$4:DX$4)</f>
        <v>0</v>
      </c>
      <c r="DY112" s="78" t="e">
        <f t="shared" si="275"/>
        <v>#DIV/0!</v>
      </c>
      <c r="DZ112" s="79">
        <f t="array" ref="DZ112">SUMIFS('Cắt lồng'!$AC$327:$AC$515,'Cắt lồng'!$AA$327:$AA$515,'Cắt lồng'!$AA112,'Cắt lồng'!$AE$327:$AE$515,'Cắt lồng'!DZ$4:DZ$4)</f>
        <v>0</v>
      </c>
      <c r="EA112" s="79">
        <f t="array" ref="EA112">SUMIFS('Cắt lồng'!$AH$327:$AH$515,'Cắt lồng'!$AA$327:$AA$515,'Cắt lồng'!$AA112,'Cắt lồng'!$AE$327:$AE$515,'Cắt lồng'!EA$4:EA$4)</f>
        <v>0</v>
      </c>
      <c r="EB112" s="78" t="e">
        <f t="shared" si="276"/>
        <v>#DIV/0!</v>
      </c>
      <c r="EC112" s="79">
        <f t="array" ref="EC112">SUMIFS('Cắt lồng'!$AC$327:$AC$515,'Cắt lồng'!$AA$327:$AA$515,'Cắt lồng'!$AA112,'Cắt lồng'!$AE$327:$AE$515,'Cắt lồng'!EC$4:EC$4)</f>
        <v>0</v>
      </c>
      <c r="ED112" s="79">
        <f t="array" ref="ED112">SUMIFS('Cắt lồng'!$AH$327:$AH$515,'Cắt lồng'!$AA$327:$AA$515,'Cắt lồng'!$AA112,'Cắt lồng'!$AE$327:$AE$515,'Cắt lồng'!ED$4:ED$4)</f>
        <v>0</v>
      </c>
      <c r="EE112" s="78" t="e">
        <f t="shared" si="277"/>
        <v>#DIV/0!</v>
      </c>
      <c r="EF112" s="79">
        <f t="array" ref="EF112">SUMIFS('Cắt lồng'!$AC$327:$AC$515,'Cắt lồng'!$AA$327:$AA$515,'Cắt lồng'!$AA112,'Cắt lồng'!$AE$327:$AE$515,'Cắt lồng'!EF$4:EF$4)</f>
        <v>0</v>
      </c>
      <c r="EG112" s="79">
        <f t="array" ref="EG112">SUMIFS('Cắt lồng'!$AH$327:$AH$515,'Cắt lồng'!$AA$327:$AA$515,'Cắt lồng'!$AA112,'Cắt lồng'!$AE$327:$AE$515,'Cắt lồng'!EG$4:EG$4)</f>
        <v>0</v>
      </c>
      <c r="EH112" s="78" t="e">
        <f t="shared" si="278"/>
        <v>#DIV/0!</v>
      </c>
      <c r="EI112" s="79">
        <f t="array" ref="EI112">SUMIFS('Cắt lồng'!$AC$327:$AC$515,'Cắt lồng'!$AA$327:$AA$515,'Cắt lồng'!$AA112,'Cắt lồng'!$AE$327:$AE$515,'Cắt lồng'!EI$4:EI$4)</f>
        <v>0</v>
      </c>
      <c r="EJ112" s="79">
        <f t="array" ref="EJ112">SUMIFS('Cắt lồng'!$AH$327:$AH$515,'Cắt lồng'!$AA$327:$AA$515,'Cắt lồng'!$AA112,'Cắt lồng'!$AE$327:$AE$515,'Cắt lồng'!EJ$4:EJ$4)</f>
        <v>0</v>
      </c>
      <c r="EK112" s="78" t="e">
        <f t="shared" si="279"/>
        <v>#DIV/0!</v>
      </c>
    </row>
    <row r="113" spans="1:141" s="12" customFormat="1" ht="14.25" hidden="1" customHeight="1">
      <c r="A113" s="30">
        <v>80</v>
      </c>
      <c r="B113" s="26"/>
      <c r="C113" s="25"/>
      <c r="D113" s="24"/>
      <c r="E113" s="60"/>
      <c r="F113" s="59"/>
      <c r="G113" s="82">
        <f t="shared" si="212"/>
        <v>0</v>
      </c>
      <c r="H113" s="81">
        <f t="shared" si="213"/>
        <v>0</v>
      </c>
      <c r="I113" s="19">
        <f t="shared" si="214"/>
        <v>0</v>
      </c>
      <c r="J113" s="11">
        <f t="shared" si="215"/>
        <v>0</v>
      </c>
      <c r="K113" s="19">
        <f t="shared" si="216"/>
        <v>0</v>
      </c>
      <c r="L113" s="19">
        <f t="shared" si="217"/>
        <v>0</v>
      </c>
      <c r="M113" s="19">
        <f t="shared" si="218"/>
        <v>0</v>
      </c>
      <c r="N113" s="19">
        <f t="shared" si="219"/>
        <v>0</v>
      </c>
      <c r="O113" s="19">
        <f t="shared" si="220"/>
        <v>0</v>
      </c>
      <c r="P113" s="19">
        <f t="shared" si="221"/>
        <v>0</v>
      </c>
      <c r="Q113" s="19">
        <f t="shared" si="222"/>
        <v>0</v>
      </c>
      <c r="R113" s="19">
        <f t="shared" si="223"/>
        <v>0</v>
      </c>
      <c r="S113" s="19">
        <f t="shared" si="224"/>
        <v>0</v>
      </c>
      <c r="T113" s="19">
        <f t="shared" si="225"/>
        <v>0</v>
      </c>
      <c r="U113" s="19">
        <f t="shared" si="226"/>
        <v>0</v>
      </c>
      <c r="V113" s="19">
        <f t="shared" si="227"/>
        <v>0</v>
      </c>
      <c r="W113" s="19">
        <f t="shared" si="228"/>
        <v>0</v>
      </c>
      <c r="X113" s="19">
        <f t="shared" si="229"/>
        <v>0</v>
      </c>
      <c r="Y113" s="19">
        <f t="shared" si="230"/>
        <v>0</v>
      </c>
      <c r="Z113" s="19">
        <f t="shared" si="231"/>
        <v>0</v>
      </c>
      <c r="AA113" s="154">
        <v>7960</v>
      </c>
      <c r="AB113" s="17" t="e">
        <f>+H113*SUMIF('[1]KẾ HOẠCH'!$B$5:$CK$5,'Cắt lồng'!AA113,'[1]KẾ HOẠCH'!$B$6:$CK$6)+H113*SUMIF('[1]KẾ HOẠCH'!$B$7:$CK$7,'Cắt lồng'!AA113,'[1]KẾ HOẠCH'!$B$8:$CK$8)+H113*SUMIF('[1]KẾ HOẠCH'!$B$15:$CK$15,'Cắt lồng'!AA113,'[1]KẾ HOẠCH'!$B$16:$CK$16)</f>
        <v>#VALUE!</v>
      </c>
      <c r="AC113" s="16">
        <f t="shared" si="232"/>
        <v>0</v>
      </c>
      <c r="AD113" s="15" t="e">
        <f t="shared" si="233"/>
        <v>#VALUE!</v>
      </c>
      <c r="AE113" s="42"/>
      <c r="AF113" s="10" t="e">
        <f t="shared" si="234"/>
        <v>#DIV/0!</v>
      </c>
      <c r="AG113" s="10"/>
      <c r="AH113" s="152">
        <f t="shared" si="235"/>
        <v>0</v>
      </c>
      <c r="AI113" s="54" t="e">
        <f t="shared" si="236"/>
        <v>#DIV/0!</v>
      </c>
      <c r="AJ113" s="25">
        <f t="shared" si="237"/>
        <v>0</v>
      </c>
      <c r="AK113" s="25">
        <f t="shared" si="238"/>
        <v>0</v>
      </c>
      <c r="AL113" s="25">
        <f t="shared" si="239"/>
        <v>0</v>
      </c>
      <c r="AM113" s="30">
        <f t="shared" si="240"/>
        <v>0</v>
      </c>
      <c r="AN113" s="25">
        <f t="shared" si="241"/>
        <v>0</v>
      </c>
      <c r="AO113" s="25">
        <f t="shared" si="242"/>
        <v>0</v>
      </c>
      <c r="AP113" s="25">
        <f t="shared" si="243"/>
        <v>0</v>
      </c>
      <c r="AQ113" s="25">
        <f t="shared" si="244"/>
        <v>0</v>
      </c>
      <c r="AR113" s="25">
        <f t="shared" si="245"/>
        <v>0</v>
      </c>
      <c r="AS113" s="25">
        <f t="shared" si="246"/>
        <v>0</v>
      </c>
      <c r="AT113" s="25">
        <f t="shared" si="247"/>
        <v>0</v>
      </c>
      <c r="AV113" s="79">
        <f t="shared" si="248"/>
        <v>0</v>
      </c>
      <c r="AW113" s="79">
        <f t="array" ref="AW113">SUMIFS('Cắt lồng'!$AC$327:$AC$515,'Cắt lồng'!$AA$327:$AA$515,'Cắt lồng'!$AA113,'Cắt lồng'!$AE$327:$AE$515,'Cắt lồng'!AW$4:AW$4)</f>
        <v>0</v>
      </c>
      <c r="AX113" s="79">
        <f t="array" ref="AX113">SUMIFS('Cắt lồng'!$AH$327:$AH$515,'Cắt lồng'!$AA$327:$AA$515,'Cắt lồng'!$AA113,'Cắt lồng'!$AE$327:$AE$515,'Cắt lồng'!AX$4:AX$4)</f>
        <v>0</v>
      </c>
      <c r="AY113" s="78" t="e">
        <f t="shared" si="249"/>
        <v>#DIV/0!</v>
      </c>
      <c r="AZ113" s="79">
        <f t="array" ref="AZ113">SUMIFS('Cắt lồng'!$AC$327:$AC$515,'Cắt lồng'!$AA$327:$AA$515,'Cắt lồng'!$AA113,'Cắt lồng'!$AE$327:$AE$515,'Cắt lồng'!AZ$4:AZ$4)</f>
        <v>0</v>
      </c>
      <c r="BA113" s="79">
        <f t="array" ref="BA113">SUMIFS('Cắt lồng'!$AH$327:$AH$515,'Cắt lồng'!$AA$327:$AA$515,'Cắt lồng'!$AA113,'Cắt lồng'!$AE$327:$AE$515,'Cắt lồng'!BA$4:BA$4)</f>
        <v>0</v>
      </c>
      <c r="BB113" s="78" t="e">
        <f t="shared" si="250"/>
        <v>#DIV/0!</v>
      </c>
      <c r="BC113" s="79">
        <f t="array" ref="BC113">SUMIFS('Cắt lồng'!$AC$327:$AC$515,'Cắt lồng'!$AA$327:$AA$515,'Cắt lồng'!$AA113,'Cắt lồng'!$AE$327:$AE$515,'Cắt lồng'!BC$4:BC$4)</f>
        <v>0</v>
      </c>
      <c r="BD113" s="79">
        <f t="array" ref="BD113">SUMIFS('Cắt lồng'!$AH$327:$AH$515,'Cắt lồng'!$AA$327:$AA$515,'Cắt lồng'!$AA113,'Cắt lồng'!$AE$327:$AE$515,'Cắt lồng'!BD$4:BD$4)</f>
        <v>0</v>
      </c>
      <c r="BE113" s="78" t="e">
        <f t="shared" si="251"/>
        <v>#DIV/0!</v>
      </c>
      <c r="BF113" s="79">
        <f t="array" ref="BF113">SUMIFS('Cắt lồng'!$AC$327:$AC$515,'Cắt lồng'!$AA$327:$AA$515,'Cắt lồng'!$AA113,'Cắt lồng'!$AE$327:$AE$515,'Cắt lồng'!BF$4:BF$4)</f>
        <v>0</v>
      </c>
      <c r="BG113" s="79">
        <f t="array" ref="BG113">SUMIFS('Cắt lồng'!$AH$327:$AH$515,'Cắt lồng'!$AA$327:$AA$515,'Cắt lồng'!$AA113,'Cắt lồng'!$AE$327:$AE$515,'Cắt lồng'!BG$4:BG$4)</f>
        <v>0</v>
      </c>
      <c r="BH113" s="78" t="e">
        <f t="shared" si="252"/>
        <v>#DIV/0!</v>
      </c>
      <c r="BI113" s="79">
        <f t="array" ref="BI113">SUMIFS('Cắt lồng'!$AC$327:$AC$515,'Cắt lồng'!$AA$327:$AA$515,'Cắt lồng'!$AA113,'Cắt lồng'!$AE$327:$AE$515,'Cắt lồng'!BI$4:BI$4)</f>
        <v>0</v>
      </c>
      <c r="BJ113" s="79">
        <f t="array" ref="BJ113">SUMIFS('Cắt lồng'!$AH$327:$AH$515,'Cắt lồng'!$AA$327:$AA$515,'Cắt lồng'!$AA113,'Cắt lồng'!$AE$327:$AE$515,'Cắt lồng'!BJ$4:BJ$4)</f>
        <v>0</v>
      </c>
      <c r="BK113" s="78" t="e">
        <f t="shared" si="253"/>
        <v>#DIV/0!</v>
      </c>
      <c r="BL113" s="79">
        <f t="array" ref="BL113">SUMIFS('Cắt lồng'!$AC$327:$AC$515,'Cắt lồng'!$AA$327:$AA$515,'Cắt lồng'!$AA113,'Cắt lồng'!$AE$327:$AE$515,'Cắt lồng'!BL$4:BL$4)</f>
        <v>0</v>
      </c>
      <c r="BM113" s="79">
        <f t="array" ref="BM113">SUMIFS('Cắt lồng'!$AH$327:$AH$515,'Cắt lồng'!$AA$327:$AA$515,'Cắt lồng'!$AA113,'Cắt lồng'!$AE$327:$AE$515,'Cắt lồng'!BM$4:BM$4)</f>
        <v>0</v>
      </c>
      <c r="BN113" s="78" t="e">
        <f t="shared" si="254"/>
        <v>#DIV/0!</v>
      </c>
      <c r="BO113" s="79">
        <f t="array" ref="BO113">SUMIFS('Cắt lồng'!$AC$327:$AC$515,'Cắt lồng'!$AA$327:$AA$515,'Cắt lồng'!$AA113,'Cắt lồng'!$AE$327:$AE$515,'Cắt lồng'!BO$4:BO$4)</f>
        <v>0</v>
      </c>
      <c r="BP113" s="79">
        <f t="array" ref="BP113">SUMIFS('Cắt lồng'!$AH$327:$AH$515,'Cắt lồng'!$AA$327:$AA$515,'Cắt lồng'!$AA113,'Cắt lồng'!$AE$327:$AE$515,'Cắt lồng'!BP$4:BP$4)</f>
        <v>0</v>
      </c>
      <c r="BQ113" s="78" t="e">
        <f t="shared" si="255"/>
        <v>#DIV/0!</v>
      </c>
      <c r="BR113" s="79">
        <f t="array" ref="BR113">SUMIFS('Cắt lồng'!$AC$327:$AC$515,'Cắt lồng'!$AA$327:$AA$515,'Cắt lồng'!$AA113,'Cắt lồng'!$AE$327:$AE$515,'Cắt lồng'!BR$4:BR$4)</f>
        <v>0</v>
      </c>
      <c r="BS113" s="79">
        <f t="array" ref="BS113">SUMIFS('Cắt lồng'!$AH$327:$AH$515,'Cắt lồng'!$AA$327:$AA$515,'Cắt lồng'!$AA113,'Cắt lồng'!$AE$327:$AE$515,'Cắt lồng'!BS$4:BS$4)</f>
        <v>0</v>
      </c>
      <c r="BT113" s="78" t="e">
        <f t="shared" si="256"/>
        <v>#DIV/0!</v>
      </c>
      <c r="BU113" s="79">
        <f t="array" ref="BU113">SUMIFS('Cắt lồng'!$AC$327:$AC$515,'Cắt lồng'!$AA$327:$AA$515,'Cắt lồng'!$AA113,'Cắt lồng'!$AE$327:$AE$515,'Cắt lồng'!BU$4:BU$4)</f>
        <v>0</v>
      </c>
      <c r="BV113" s="79">
        <f t="array" ref="BV113">SUMIFS('Cắt lồng'!$AH$327:$AH$515,'Cắt lồng'!$AA$327:$AA$515,'Cắt lồng'!$AA113,'Cắt lồng'!$AE$327:$AE$515,'Cắt lồng'!BV$4:BV$4)</f>
        <v>0</v>
      </c>
      <c r="BW113" s="78" t="e">
        <f t="shared" si="257"/>
        <v>#DIV/0!</v>
      </c>
      <c r="BX113" s="79">
        <f t="array" ref="BX113">SUMIFS('Cắt lồng'!$AC$327:$AC$515,'Cắt lồng'!$AA$327:$AA$515,'Cắt lồng'!$AA113,'Cắt lồng'!$AE$327:$AE$515,'Cắt lồng'!BX$4:BX$4)</f>
        <v>0</v>
      </c>
      <c r="BY113" s="79">
        <f t="array" ref="BY113">SUMIFS('Cắt lồng'!$AH$327:$AH$515,'Cắt lồng'!$AA$327:$AA$515,'Cắt lồng'!$AA113,'Cắt lồng'!$AE$327:$AE$515,'Cắt lồng'!BY$4:BY$4)</f>
        <v>0</v>
      </c>
      <c r="BZ113" s="78" t="e">
        <f t="shared" si="258"/>
        <v>#DIV/0!</v>
      </c>
      <c r="CA113" s="79">
        <f t="array" ref="CA113">SUMIFS('Cắt lồng'!$AC$327:$AC$515,'Cắt lồng'!$AA$327:$AA$515,'Cắt lồng'!$AA113,'Cắt lồng'!$AE$327:$AE$515,'Cắt lồng'!CA$4:CA$4)</f>
        <v>0</v>
      </c>
      <c r="CB113" s="79">
        <f t="array" ref="CB113">SUMIFS('Cắt lồng'!$AH$327:$AH$515,'Cắt lồng'!$AA$327:$AA$515,'Cắt lồng'!$AA113,'Cắt lồng'!$AE$327:$AE$515,'Cắt lồng'!CB$4:CB$4)</f>
        <v>0</v>
      </c>
      <c r="CC113" s="78" t="e">
        <f t="shared" si="259"/>
        <v>#DIV/0!</v>
      </c>
      <c r="CD113" s="79">
        <f t="array" ref="CD113">SUMIFS('Cắt lồng'!$AC$327:$AC$515,'Cắt lồng'!$AA$327:$AA$515,'Cắt lồng'!$AA113,'Cắt lồng'!$AE$327:$AE$515,'Cắt lồng'!CD$4:CD$4)</f>
        <v>0</v>
      </c>
      <c r="CE113" s="79">
        <f t="array" ref="CE113">SUMIFS('Cắt lồng'!$AH$327:$AH$515,'Cắt lồng'!$AA$327:$AA$515,'Cắt lồng'!$AA113,'Cắt lồng'!$AE$327:$AE$515,'Cắt lồng'!CE$4:CE$4)</f>
        <v>0</v>
      </c>
      <c r="CF113" s="78" t="e">
        <f t="shared" si="260"/>
        <v>#DIV/0!</v>
      </c>
      <c r="CG113" s="79">
        <f t="array" ref="CG113">SUMIFS('Cắt lồng'!$AC$327:$AC$515,'Cắt lồng'!$AA$327:$AA$515,'Cắt lồng'!$AA113,'Cắt lồng'!$AE$327:$AE$515,'Cắt lồng'!CG$4:CG$4)</f>
        <v>0</v>
      </c>
      <c r="CH113" s="79">
        <f t="array" ref="CH113">SUMIFS('Cắt lồng'!$AH$327:$AH$515,'Cắt lồng'!$AA$327:$AA$515,'Cắt lồng'!$AA113,'Cắt lồng'!$AE$327:$AE$515,'Cắt lồng'!CH$4:CH$4)</f>
        <v>0</v>
      </c>
      <c r="CI113" s="78" t="e">
        <f t="shared" si="261"/>
        <v>#DIV/0!</v>
      </c>
      <c r="CJ113" s="79">
        <f t="array" ref="CJ113">SUMIFS('Cắt lồng'!$AC$327:$AC$515,'Cắt lồng'!$AA$327:$AA$515,'Cắt lồng'!$AA113,'Cắt lồng'!$AE$327:$AE$515,'Cắt lồng'!CJ$4:CJ$4)</f>
        <v>0</v>
      </c>
      <c r="CK113" s="79">
        <f t="array" ref="CK113">SUMIFS('Cắt lồng'!$AH$327:$AH$515,'Cắt lồng'!$AA$327:$AA$515,'Cắt lồng'!$AA113,'Cắt lồng'!$AE$327:$AE$515,'Cắt lồng'!CK$4:CK$4)</f>
        <v>0</v>
      </c>
      <c r="CL113" s="78" t="e">
        <f t="shared" si="262"/>
        <v>#DIV/0!</v>
      </c>
      <c r="CM113" s="79">
        <f t="array" ref="CM113">SUMIFS('Cắt lồng'!$AC$327:$AC$515,'Cắt lồng'!$AA$327:$AA$515,'Cắt lồng'!$AA113,'Cắt lồng'!$AE$327:$AE$515,'Cắt lồng'!CM$4:CM$4)</f>
        <v>0</v>
      </c>
      <c r="CN113" s="79">
        <f t="array" ref="CN113">SUMIFS('Cắt lồng'!$AH$327:$AH$515,'Cắt lồng'!$AA$327:$AA$515,'Cắt lồng'!$AA113,'Cắt lồng'!$AE$327:$AE$515,'Cắt lồng'!CN$4:CN$4)</f>
        <v>0</v>
      </c>
      <c r="CO113" s="78" t="e">
        <f t="shared" si="263"/>
        <v>#DIV/0!</v>
      </c>
      <c r="CP113" s="79">
        <f t="array" ref="CP113">SUMIFS('Cắt lồng'!$AC$327:$AC$515,'Cắt lồng'!$AA$327:$AA$515,'Cắt lồng'!$AA113,'Cắt lồng'!$AE$327:$AE$515,'Cắt lồng'!CP$4:CP$4)</f>
        <v>0</v>
      </c>
      <c r="CQ113" s="79">
        <f t="array" ref="CQ113">SUMIFS('Cắt lồng'!$AH$327:$AH$515,'Cắt lồng'!$AA$327:$AA$515,'Cắt lồng'!$AA113,'Cắt lồng'!$AE$327:$AE$515,'Cắt lồng'!CQ$4:CQ$4)</f>
        <v>0</v>
      </c>
      <c r="CR113" s="78" t="e">
        <f t="shared" si="264"/>
        <v>#DIV/0!</v>
      </c>
      <c r="CS113" s="79">
        <f t="array" ref="CS113">SUMIFS('Cắt lồng'!$AC$327:$AC$515,'Cắt lồng'!$AA$327:$AA$515,'Cắt lồng'!$AA113,'Cắt lồng'!$AE$327:$AE$515,'Cắt lồng'!CS$4:CS$4)</f>
        <v>0</v>
      </c>
      <c r="CT113" s="79">
        <f t="array" ref="CT113">SUMIFS('Cắt lồng'!$AH$327:$AH$515,'Cắt lồng'!$AA$327:$AA$515,'Cắt lồng'!$AA113,'Cắt lồng'!$AE$327:$AE$515,'Cắt lồng'!CT$4:CT$4)</f>
        <v>0</v>
      </c>
      <c r="CU113" s="78" t="e">
        <f t="shared" si="265"/>
        <v>#DIV/0!</v>
      </c>
      <c r="CV113" s="79">
        <f t="array" ref="CV113">SUMIFS('Cắt lồng'!$AC$327:$AC$515,'Cắt lồng'!$AA$327:$AA$515,'Cắt lồng'!$AA113,'Cắt lồng'!$AE$327:$AE$515,'Cắt lồng'!CV$4:CV$4)</f>
        <v>0</v>
      </c>
      <c r="CW113" s="79">
        <f t="array" ref="CW113">SUMIFS('Cắt lồng'!$AH$327:$AH$515,'Cắt lồng'!$AA$327:$AA$515,'Cắt lồng'!$AA113,'Cắt lồng'!$AE$327:$AE$515,'Cắt lồng'!CW$4:CW$4)</f>
        <v>0</v>
      </c>
      <c r="CX113" s="78" t="e">
        <f t="shared" si="266"/>
        <v>#DIV/0!</v>
      </c>
      <c r="CY113" s="79">
        <f t="array" ref="CY113">SUMIFS('Cắt lồng'!$AC$327:$AC$515,'Cắt lồng'!$AA$327:$AA$515,'Cắt lồng'!$AA113,'Cắt lồng'!$AE$327:$AE$515,'Cắt lồng'!CY$4:CY$4)</f>
        <v>0</v>
      </c>
      <c r="CZ113" s="79">
        <f t="array" ref="CZ113">SUMIFS('Cắt lồng'!$AH$327:$AH$515,'Cắt lồng'!$AA$327:$AA$515,'Cắt lồng'!$AA113,'Cắt lồng'!$AE$327:$AE$515,'Cắt lồng'!CZ$4:CZ$4)</f>
        <v>0</v>
      </c>
      <c r="DA113" s="78" t="e">
        <f t="shared" si="267"/>
        <v>#DIV/0!</v>
      </c>
      <c r="DB113" s="79">
        <f t="array" ref="DB113">SUMIFS('Cắt lồng'!$AC$327:$AC$515,'Cắt lồng'!$AA$327:$AA$515,'Cắt lồng'!$AA113,'Cắt lồng'!$AE$327:$AE$515,'Cắt lồng'!DB$4:DB$4)</f>
        <v>0</v>
      </c>
      <c r="DC113" s="79">
        <f t="array" ref="DC113">SUMIFS('Cắt lồng'!$AH$327:$AH$515,'Cắt lồng'!$AA$327:$AA$515,'Cắt lồng'!$AA113,'Cắt lồng'!$AE$327:$AE$515,'Cắt lồng'!DC$4:DC$4)</f>
        <v>0</v>
      </c>
      <c r="DD113" s="78" t="e">
        <f t="shared" si="268"/>
        <v>#DIV/0!</v>
      </c>
      <c r="DE113" s="79">
        <f t="array" ref="DE113">SUMIFS('Cắt lồng'!$AC$327:$AC$515,'Cắt lồng'!$AA$327:$AA$515,'Cắt lồng'!$AA113,'Cắt lồng'!$AE$327:$AE$515,'Cắt lồng'!DE$4:DE$4)</f>
        <v>0</v>
      </c>
      <c r="DF113" s="79">
        <f t="array" ref="DF113">SUMIFS('Cắt lồng'!$AH$327:$AH$515,'Cắt lồng'!$AA$327:$AA$515,'Cắt lồng'!$AA113,'Cắt lồng'!$AE$327:$AE$515,'Cắt lồng'!DF$4:DF$4)</f>
        <v>0</v>
      </c>
      <c r="DG113" s="78" t="e">
        <f t="shared" si="269"/>
        <v>#DIV/0!</v>
      </c>
      <c r="DH113" s="79">
        <f t="array" ref="DH113">SUMIFS('Cắt lồng'!$AC$327:$AC$515,'Cắt lồng'!$AA$327:$AA$515,'Cắt lồng'!$AA113,'Cắt lồng'!$AE$327:$AE$515,'Cắt lồng'!DH$4:DH$4)</f>
        <v>0</v>
      </c>
      <c r="DI113" s="79">
        <f t="array" ref="DI113">SUMIFS('Cắt lồng'!$AH$327:$AH$515,'Cắt lồng'!$AA$327:$AA$515,'Cắt lồng'!$AA113,'Cắt lồng'!$AE$327:$AE$515,'Cắt lồng'!DI$4:DI$4)</f>
        <v>0</v>
      </c>
      <c r="DJ113" s="78" t="e">
        <f t="shared" si="270"/>
        <v>#DIV/0!</v>
      </c>
      <c r="DK113" s="79">
        <f t="array" ref="DK113">SUMIFS('Cắt lồng'!$AC$327:$AC$515,'Cắt lồng'!$AA$327:$AA$515,'Cắt lồng'!$AA113,'Cắt lồng'!$AE$327:$AE$515,'Cắt lồng'!DK$4:DK$4)</f>
        <v>0</v>
      </c>
      <c r="DL113" s="79">
        <f t="array" ref="DL113">SUMIFS('Cắt lồng'!$AH$327:$AH$515,'Cắt lồng'!$AA$327:$AA$515,'Cắt lồng'!$AA113,'Cắt lồng'!$AE$327:$AE$515,'Cắt lồng'!DL$4:DL$4)</f>
        <v>0</v>
      </c>
      <c r="DM113" s="78" t="e">
        <f t="shared" si="271"/>
        <v>#DIV/0!</v>
      </c>
      <c r="DN113" s="79">
        <f t="array" ref="DN113">SUMIFS('Cắt lồng'!$AC$327:$AC$515,'Cắt lồng'!$AA$327:$AA$515,'Cắt lồng'!$AA113,'Cắt lồng'!$AE$327:$AE$515,'Cắt lồng'!DN$4:DN$4)</f>
        <v>0</v>
      </c>
      <c r="DO113" s="79">
        <f t="array" ref="DO113">SUMIFS('Cắt lồng'!$AH$327:$AH$515,'Cắt lồng'!$AA$327:$AA$515,'Cắt lồng'!$AA113,'Cắt lồng'!$AE$327:$AE$515,'Cắt lồng'!DO$4:DO$4)</f>
        <v>0</v>
      </c>
      <c r="DP113" s="78" t="e">
        <f t="shared" si="272"/>
        <v>#DIV/0!</v>
      </c>
      <c r="DQ113" s="79">
        <f t="array" ref="DQ113">SUMIFS('Cắt lồng'!$AC$327:$AC$515,'Cắt lồng'!$AA$327:$AA$515,'Cắt lồng'!$AA113,'Cắt lồng'!$AE$327:$AE$515,'Cắt lồng'!DQ$4:DQ$4)</f>
        <v>0</v>
      </c>
      <c r="DR113" s="79">
        <f t="array" ref="DR113">SUMIFS('Cắt lồng'!$AH$327:$AH$515,'Cắt lồng'!$AA$327:$AA$515,'Cắt lồng'!$AA113,'Cắt lồng'!$AE$327:$AE$515,'Cắt lồng'!DR$4:DR$4)</f>
        <v>0</v>
      </c>
      <c r="DS113" s="78" t="e">
        <f t="shared" si="273"/>
        <v>#DIV/0!</v>
      </c>
      <c r="DT113" s="79">
        <f t="array" ref="DT113">SUMIFS('Cắt lồng'!$AC$327:$AC$515,'Cắt lồng'!$AA$327:$AA$515,'Cắt lồng'!$AA113,'Cắt lồng'!$AE$327:$AE$515,'Cắt lồng'!DT$4:DT$4)</f>
        <v>0</v>
      </c>
      <c r="DU113" s="79">
        <f t="array" ref="DU113">SUMIFS('Cắt lồng'!$AH$327:$AH$515,'Cắt lồng'!$AA$327:$AA$515,'Cắt lồng'!$AA113,'Cắt lồng'!$AE$327:$AE$515,'Cắt lồng'!DU$4:DU$4)</f>
        <v>0</v>
      </c>
      <c r="DV113" s="78" t="e">
        <f t="shared" si="274"/>
        <v>#DIV/0!</v>
      </c>
      <c r="DW113" s="79">
        <f t="array" ref="DW113">SUMIFS('Cắt lồng'!$AC$327:$AC$515,'Cắt lồng'!$AA$327:$AA$515,'Cắt lồng'!$AA113,'Cắt lồng'!$AE$327:$AE$515,'Cắt lồng'!DW$4:DW$4)</f>
        <v>0</v>
      </c>
      <c r="DX113" s="79">
        <f t="array" ref="DX113">SUMIFS('Cắt lồng'!$AH$327:$AH$515,'Cắt lồng'!$AA$327:$AA$515,'Cắt lồng'!$AA113,'Cắt lồng'!$AE$327:$AE$515,'Cắt lồng'!DX$4:DX$4)</f>
        <v>0</v>
      </c>
      <c r="DY113" s="78" t="e">
        <f t="shared" si="275"/>
        <v>#DIV/0!</v>
      </c>
      <c r="DZ113" s="79">
        <f t="array" ref="DZ113">SUMIFS('Cắt lồng'!$AC$327:$AC$515,'Cắt lồng'!$AA$327:$AA$515,'Cắt lồng'!$AA113,'Cắt lồng'!$AE$327:$AE$515,'Cắt lồng'!DZ$4:DZ$4)</f>
        <v>0</v>
      </c>
      <c r="EA113" s="79">
        <f t="array" ref="EA113">SUMIFS('Cắt lồng'!$AH$327:$AH$515,'Cắt lồng'!$AA$327:$AA$515,'Cắt lồng'!$AA113,'Cắt lồng'!$AE$327:$AE$515,'Cắt lồng'!EA$4:EA$4)</f>
        <v>0</v>
      </c>
      <c r="EB113" s="78" t="e">
        <f t="shared" si="276"/>
        <v>#DIV/0!</v>
      </c>
      <c r="EC113" s="79">
        <f t="array" ref="EC113">SUMIFS('Cắt lồng'!$AC$327:$AC$515,'Cắt lồng'!$AA$327:$AA$515,'Cắt lồng'!$AA113,'Cắt lồng'!$AE$327:$AE$515,'Cắt lồng'!EC$4:EC$4)</f>
        <v>0</v>
      </c>
      <c r="ED113" s="79">
        <f t="array" ref="ED113">SUMIFS('Cắt lồng'!$AH$327:$AH$515,'Cắt lồng'!$AA$327:$AA$515,'Cắt lồng'!$AA113,'Cắt lồng'!$AE$327:$AE$515,'Cắt lồng'!ED$4:ED$4)</f>
        <v>0</v>
      </c>
      <c r="EE113" s="78" t="e">
        <f t="shared" si="277"/>
        <v>#DIV/0!</v>
      </c>
      <c r="EF113" s="79">
        <f t="array" ref="EF113">SUMIFS('Cắt lồng'!$AC$327:$AC$515,'Cắt lồng'!$AA$327:$AA$515,'Cắt lồng'!$AA113,'Cắt lồng'!$AE$327:$AE$515,'Cắt lồng'!EF$4:EF$4)</f>
        <v>0</v>
      </c>
      <c r="EG113" s="79">
        <f t="array" ref="EG113">SUMIFS('Cắt lồng'!$AH$327:$AH$515,'Cắt lồng'!$AA$327:$AA$515,'Cắt lồng'!$AA113,'Cắt lồng'!$AE$327:$AE$515,'Cắt lồng'!EG$4:EG$4)</f>
        <v>0</v>
      </c>
      <c r="EH113" s="78" t="e">
        <f t="shared" si="278"/>
        <v>#DIV/0!</v>
      </c>
      <c r="EI113" s="79">
        <f t="array" ref="EI113">SUMIFS('Cắt lồng'!$AC$327:$AC$515,'Cắt lồng'!$AA$327:$AA$515,'Cắt lồng'!$AA113,'Cắt lồng'!$AE$327:$AE$515,'Cắt lồng'!EI$4:EI$4)</f>
        <v>0</v>
      </c>
      <c r="EJ113" s="79">
        <f t="array" ref="EJ113">SUMIFS('Cắt lồng'!$AH$327:$AH$515,'Cắt lồng'!$AA$327:$AA$515,'Cắt lồng'!$AA113,'Cắt lồng'!$AE$327:$AE$515,'Cắt lồng'!EJ$4:EJ$4)</f>
        <v>0</v>
      </c>
      <c r="EK113" s="78" t="e">
        <f t="shared" si="279"/>
        <v>#DIV/0!</v>
      </c>
    </row>
    <row r="114" spans="1:141" s="12" customFormat="1" ht="14.25" hidden="1" customHeight="1">
      <c r="A114" s="30">
        <v>81</v>
      </c>
      <c r="B114" s="26"/>
      <c r="C114" s="25"/>
      <c r="D114" s="24"/>
      <c r="E114" s="60"/>
      <c r="F114" s="59"/>
      <c r="G114" s="82">
        <f t="shared" si="212"/>
        <v>0</v>
      </c>
      <c r="H114" s="81">
        <f t="shared" si="213"/>
        <v>1.17</v>
      </c>
      <c r="I114" s="19">
        <f t="shared" si="214"/>
        <v>0</v>
      </c>
      <c r="J114" s="11">
        <f t="shared" si="215"/>
        <v>0.5</v>
      </c>
      <c r="K114" s="19">
        <f t="shared" si="216"/>
        <v>0</v>
      </c>
      <c r="L114" s="19">
        <f t="shared" si="217"/>
        <v>0</v>
      </c>
      <c r="M114" s="19">
        <f t="shared" si="218"/>
        <v>0.17</v>
      </c>
      <c r="N114" s="19">
        <f t="shared" si="219"/>
        <v>0</v>
      </c>
      <c r="O114" s="19">
        <f t="shared" si="220"/>
        <v>0</v>
      </c>
      <c r="P114" s="19">
        <f t="shared" si="221"/>
        <v>0</v>
      </c>
      <c r="Q114" s="19">
        <f t="shared" si="222"/>
        <v>0</v>
      </c>
      <c r="R114" s="19">
        <f t="shared" si="223"/>
        <v>0</v>
      </c>
      <c r="S114" s="19">
        <f t="shared" si="224"/>
        <v>0</v>
      </c>
      <c r="T114" s="19">
        <f t="shared" si="225"/>
        <v>0</v>
      </c>
      <c r="U114" s="19">
        <f t="shared" si="226"/>
        <v>0</v>
      </c>
      <c r="V114" s="19">
        <f t="shared" si="227"/>
        <v>0</v>
      </c>
      <c r="W114" s="19">
        <f t="shared" si="228"/>
        <v>0.33</v>
      </c>
      <c r="X114" s="19">
        <f t="shared" si="229"/>
        <v>0</v>
      </c>
      <c r="Y114" s="19">
        <f t="shared" si="230"/>
        <v>0</v>
      </c>
      <c r="Z114" s="19">
        <f t="shared" si="231"/>
        <v>0</v>
      </c>
      <c r="AA114" s="154">
        <v>9149</v>
      </c>
      <c r="AB114" s="17" t="e">
        <f>+H114*SUMIF('[1]KẾ HOẠCH'!$B$5:$CK$5,'Cắt lồng'!AA114,'[1]KẾ HOẠCH'!$B$6:$CK$6)+H114*SUMIF('[1]KẾ HOẠCH'!$B$7:$CK$7,'Cắt lồng'!AA114,'[1]KẾ HOẠCH'!$B$8:$CK$8)+H114*SUMIF('[1]KẾ HOẠCH'!$B$15:$CK$15,'Cắt lồng'!AA114,'[1]KẾ HOẠCH'!$B$16:$CK$16)</f>
        <v>#VALUE!</v>
      </c>
      <c r="AC114" s="16">
        <f t="shared" si="232"/>
        <v>382</v>
      </c>
      <c r="AD114" s="15" t="e">
        <f t="shared" si="233"/>
        <v>#VALUE!</v>
      </c>
      <c r="AE114" s="42"/>
      <c r="AF114" s="10">
        <f t="shared" si="234"/>
        <v>326.4957264957265</v>
      </c>
      <c r="AG114" s="10"/>
      <c r="AH114" s="152">
        <f t="shared" si="235"/>
        <v>98</v>
      </c>
      <c r="AI114" s="54">
        <f t="shared" si="236"/>
        <v>0.25654450261780104</v>
      </c>
      <c r="AJ114" s="25">
        <f t="shared" si="237"/>
        <v>98</v>
      </c>
      <c r="AK114" s="25">
        <f t="shared" si="238"/>
        <v>0</v>
      </c>
      <c r="AL114" s="25">
        <f t="shared" si="239"/>
        <v>0</v>
      </c>
      <c r="AM114" s="30">
        <f t="shared" si="240"/>
        <v>0</v>
      </c>
      <c r="AN114" s="25">
        <f t="shared" si="241"/>
        <v>0</v>
      </c>
      <c r="AO114" s="25">
        <f t="shared" si="242"/>
        <v>0</v>
      </c>
      <c r="AP114" s="25">
        <f t="shared" si="243"/>
        <v>0</v>
      </c>
      <c r="AQ114" s="25">
        <f t="shared" si="244"/>
        <v>0</v>
      </c>
      <c r="AR114" s="25">
        <f t="shared" si="245"/>
        <v>0</v>
      </c>
      <c r="AS114" s="25">
        <f t="shared" si="246"/>
        <v>0</v>
      </c>
      <c r="AT114" s="25">
        <f t="shared" si="247"/>
        <v>0</v>
      </c>
      <c r="AV114" s="79">
        <f t="shared" si="248"/>
        <v>1.17</v>
      </c>
      <c r="AW114" s="79">
        <f t="array" ref="AW114">SUMIFS('Cắt lồng'!$AC$327:$AC$515,'Cắt lồng'!$AA$327:$AA$515,'Cắt lồng'!$AA114,'Cắt lồng'!$AE$327:$AE$515,'Cắt lồng'!AW$4:AW$4)</f>
        <v>382</v>
      </c>
      <c r="AX114" s="79">
        <f t="array" ref="AX114">SUMIFS('Cắt lồng'!$AH$327:$AH$515,'Cắt lồng'!$AA$327:$AA$515,'Cắt lồng'!$AA114,'Cắt lồng'!$AE$327:$AE$515,'Cắt lồng'!AX$4:AX$4)</f>
        <v>0</v>
      </c>
      <c r="AY114" s="78">
        <f t="shared" si="249"/>
        <v>0</v>
      </c>
      <c r="AZ114" s="79">
        <f t="array" ref="AZ114">SUMIFS('Cắt lồng'!$AC$327:$AC$515,'Cắt lồng'!$AA$327:$AA$515,'Cắt lồng'!$AA114,'Cắt lồng'!$AE$327:$AE$515,'Cắt lồng'!AZ$4:AZ$4)</f>
        <v>0</v>
      </c>
      <c r="BA114" s="79">
        <f t="array" ref="BA114">SUMIFS('Cắt lồng'!$AH$327:$AH$515,'Cắt lồng'!$AA$327:$AA$515,'Cắt lồng'!$AA114,'Cắt lồng'!$AE$327:$AE$515,'Cắt lồng'!BA$4:BA$4)</f>
        <v>0</v>
      </c>
      <c r="BB114" s="78" t="e">
        <f t="shared" si="250"/>
        <v>#DIV/0!</v>
      </c>
      <c r="BC114" s="79">
        <f t="array" ref="BC114">SUMIFS('Cắt lồng'!$AC$327:$AC$515,'Cắt lồng'!$AA$327:$AA$515,'Cắt lồng'!$AA114,'Cắt lồng'!$AE$327:$AE$515,'Cắt lồng'!BC$4:BC$4)</f>
        <v>0</v>
      </c>
      <c r="BD114" s="79">
        <f t="array" ref="BD114">SUMIFS('Cắt lồng'!$AH$327:$AH$515,'Cắt lồng'!$AA$327:$AA$515,'Cắt lồng'!$AA114,'Cắt lồng'!$AE$327:$AE$515,'Cắt lồng'!BD$4:BD$4)</f>
        <v>0</v>
      </c>
      <c r="BE114" s="78" t="e">
        <f t="shared" si="251"/>
        <v>#DIV/0!</v>
      </c>
      <c r="BF114" s="79">
        <f t="array" ref="BF114">SUMIFS('Cắt lồng'!$AC$327:$AC$515,'Cắt lồng'!$AA$327:$AA$515,'Cắt lồng'!$AA114,'Cắt lồng'!$AE$327:$AE$515,'Cắt lồng'!BF$4:BF$4)</f>
        <v>0</v>
      </c>
      <c r="BG114" s="79">
        <f t="array" ref="BG114">SUMIFS('Cắt lồng'!$AH$327:$AH$515,'Cắt lồng'!$AA$327:$AA$515,'Cắt lồng'!$AA114,'Cắt lồng'!$AE$327:$AE$515,'Cắt lồng'!BG$4:BG$4)</f>
        <v>0</v>
      </c>
      <c r="BH114" s="78" t="e">
        <f t="shared" si="252"/>
        <v>#DIV/0!</v>
      </c>
      <c r="BI114" s="79">
        <f t="array" ref="BI114">SUMIFS('Cắt lồng'!$AC$327:$AC$515,'Cắt lồng'!$AA$327:$AA$515,'Cắt lồng'!$AA114,'Cắt lồng'!$AE$327:$AE$515,'Cắt lồng'!BI$4:BI$4)</f>
        <v>0</v>
      </c>
      <c r="BJ114" s="79">
        <f t="array" ref="BJ114">SUMIFS('Cắt lồng'!$AH$327:$AH$515,'Cắt lồng'!$AA$327:$AA$515,'Cắt lồng'!$AA114,'Cắt lồng'!$AE$327:$AE$515,'Cắt lồng'!BJ$4:BJ$4)</f>
        <v>0</v>
      </c>
      <c r="BK114" s="78" t="e">
        <f t="shared" si="253"/>
        <v>#DIV/0!</v>
      </c>
      <c r="BL114" s="79">
        <f t="array" ref="BL114">SUMIFS('Cắt lồng'!$AC$327:$AC$515,'Cắt lồng'!$AA$327:$AA$515,'Cắt lồng'!$AA114,'Cắt lồng'!$AE$327:$AE$515,'Cắt lồng'!BL$4:BL$4)</f>
        <v>0</v>
      </c>
      <c r="BM114" s="79">
        <f t="array" ref="BM114">SUMIFS('Cắt lồng'!$AH$327:$AH$515,'Cắt lồng'!$AA$327:$AA$515,'Cắt lồng'!$AA114,'Cắt lồng'!$AE$327:$AE$515,'Cắt lồng'!BM$4:BM$4)</f>
        <v>0</v>
      </c>
      <c r="BN114" s="78" t="e">
        <f t="shared" si="254"/>
        <v>#DIV/0!</v>
      </c>
      <c r="BO114" s="79">
        <f t="array" ref="BO114">SUMIFS('Cắt lồng'!$AC$327:$AC$515,'Cắt lồng'!$AA$327:$AA$515,'Cắt lồng'!$AA114,'Cắt lồng'!$AE$327:$AE$515,'Cắt lồng'!BO$4:BO$4)</f>
        <v>0</v>
      </c>
      <c r="BP114" s="79">
        <f t="array" ref="BP114">SUMIFS('Cắt lồng'!$AH$327:$AH$515,'Cắt lồng'!$AA$327:$AA$515,'Cắt lồng'!$AA114,'Cắt lồng'!$AE$327:$AE$515,'Cắt lồng'!BP$4:BP$4)</f>
        <v>0</v>
      </c>
      <c r="BQ114" s="78" t="e">
        <f t="shared" si="255"/>
        <v>#DIV/0!</v>
      </c>
      <c r="BR114" s="79">
        <f t="array" ref="BR114">SUMIFS('Cắt lồng'!$AC$327:$AC$515,'Cắt lồng'!$AA$327:$AA$515,'Cắt lồng'!$AA114,'Cắt lồng'!$AE$327:$AE$515,'Cắt lồng'!BR$4:BR$4)</f>
        <v>0</v>
      </c>
      <c r="BS114" s="79">
        <f t="array" ref="BS114">SUMIFS('Cắt lồng'!$AH$327:$AH$515,'Cắt lồng'!$AA$327:$AA$515,'Cắt lồng'!$AA114,'Cắt lồng'!$AE$327:$AE$515,'Cắt lồng'!BS$4:BS$4)</f>
        <v>0</v>
      </c>
      <c r="BT114" s="78" t="e">
        <f t="shared" si="256"/>
        <v>#DIV/0!</v>
      </c>
      <c r="BU114" s="79">
        <f t="array" ref="BU114">SUMIFS('Cắt lồng'!$AC$327:$AC$515,'Cắt lồng'!$AA$327:$AA$515,'Cắt lồng'!$AA114,'Cắt lồng'!$AE$327:$AE$515,'Cắt lồng'!BU$4:BU$4)</f>
        <v>0</v>
      </c>
      <c r="BV114" s="79">
        <f t="array" ref="BV114">SUMIFS('Cắt lồng'!$AH$327:$AH$515,'Cắt lồng'!$AA$327:$AA$515,'Cắt lồng'!$AA114,'Cắt lồng'!$AE$327:$AE$515,'Cắt lồng'!BV$4:BV$4)</f>
        <v>0</v>
      </c>
      <c r="BW114" s="78" t="e">
        <f t="shared" si="257"/>
        <v>#DIV/0!</v>
      </c>
      <c r="BX114" s="79">
        <f t="array" ref="BX114">SUMIFS('Cắt lồng'!$AC$327:$AC$515,'Cắt lồng'!$AA$327:$AA$515,'Cắt lồng'!$AA114,'Cắt lồng'!$AE$327:$AE$515,'Cắt lồng'!BX$4:BX$4)</f>
        <v>0</v>
      </c>
      <c r="BY114" s="79">
        <f t="array" ref="BY114">SUMIFS('Cắt lồng'!$AH$327:$AH$515,'Cắt lồng'!$AA$327:$AA$515,'Cắt lồng'!$AA114,'Cắt lồng'!$AE$327:$AE$515,'Cắt lồng'!BY$4:BY$4)</f>
        <v>0</v>
      </c>
      <c r="BZ114" s="78" t="e">
        <f t="shared" si="258"/>
        <v>#DIV/0!</v>
      </c>
      <c r="CA114" s="79">
        <f t="array" ref="CA114">SUMIFS('Cắt lồng'!$AC$327:$AC$515,'Cắt lồng'!$AA$327:$AA$515,'Cắt lồng'!$AA114,'Cắt lồng'!$AE$327:$AE$515,'Cắt lồng'!CA$4:CA$4)</f>
        <v>0</v>
      </c>
      <c r="CB114" s="79">
        <f t="array" ref="CB114">SUMIFS('Cắt lồng'!$AH$327:$AH$515,'Cắt lồng'!$AA$327:$AA$515,'Cắt lồng'!$AA114,'Cắt lồng'!$AE$327:$AE$515,'Cắt lồng'!CB$4:CB$4)</f>
        <v>0</v>
      </c>
      <c r="CC114" s="78" t="e">
        <f t="shared" si="259"/>
        <v>#DIV/0!</v>
      </c>
      <c r="CD114" s="79">
        <f t="array" ref="CD114">SUMIFS('Cắt lồng'!$AC$327:$AC$515,'Cắt lồng'!$AA$327:$AA$515,'Cắt lồng'!$AA114,'Cắt lồng'!$AE$327:$AE$515,'Cắt lồng'!CD$4:CD$4)</f>
        <v>0</v>
      </c>
      <c r="CE114" s="79">
        <f t="array" ref="CE114">SUMIFS('Cắt lồng'!$AH$327:$AH$515,'Cắt lồng'!$AA$327:$AA$515,'Cắt lồng'!$AA114,'Cắt lồng'!$AE$327:$AE$515,'Cắt lồng'!CE$4:CE$4)</f>
        <v>0</v>
      </c>
      <c r="CF114" s="78" t="e">
        <f t="shared" si="260"/>
        <v>#DIV/0!</v>
      </c>
      <c r="CG114" s="79">
        <f t="array" ref="CG114">SUMIFS('Cắt lồng'!$AC$327:$AC$515,'Cắt lồng'!$AA$327:$AA$515,'Cắt lồng'!$AA114,'Cắt lồng'!$AE$327:$AE$515,'Cắt lồng'!CG$4:CG$4)</f>
        <v>0</v>
      </c>
      <c r="CH114" s="79">
        <f t="array" ref="CH114">SUMIFS('Cắt lồng'!$AH$327:$AH$515,'Cắt lồng'!$AA$327:$AA$515,'Cắt lồng'!$AA114,'Cắt lồng'!$AE$327:$AE$515,'Cắt lồng'!CH$4:CH$4)</f>
        <v>0</v>
      </c>
      <c r="CI114" s="78" t="e">
        <f t="shared" si="261"/>
        <v>#DIV/0!</v>
      </c>
      <c r="CJ114" s="79">
        <f t="array" ref="CJ114">SUMIFS('Cắt lồng'!$AC$327:$AC$515,'Cắt lồng'!$AA$327:$AA$515,'Cắt lồng'!$AA114,'Cắt lồng'!$AE$327:$AE$515,'Cắt lồng'!CJ$4:CJ$4)</f>
        <v>0</v>
      </c>
      <c r="CK114" s="79">
        <f t="array" ref="CK114">SUMIFS('Cắt lồng'!$AH$327:$AH$515,'Cắt lồng'!$AA$327:$AA$515,'Cắt lồng'!$AA114,'Cắt lồng'!$AE$327:$AE$515,'Cắt lồng'!CK$4:CK$4)</f>
        <v>0</v>
      </c>
      <c r="CL114" s="78" t="e">
        <f t="shared" si="262"/>
        <v>#DIV/0!</v>
      </c>
      <c r="CM114" s="79">
        <f t="array" ref="CM114">SUMIFS('Cắt lồng'!$AC$327:$AC$515,'Cắt lồng'!$AA$327:$AA$515,'Cắt lồng'!$AA114,'Cắt lồng'!$AE$327:$AE$515,'Cắt lồng'!CM$4:CM$4)</f>
        <v>0</v>
      </c>
      <c r="CN114" s="79">
        <f t="array" ref="CN114">SUMIFS('Cắt lồng'!$AH$327:$AH$515,'Cắt lồng'!$AA$327:$AA$515,'Cắt lồng'!$AA114,'Cắt lồng'!$AE$327:$AE$515,'Cắt lồng'!CN$4:CN$4)</f>
        <v>0</v>
      </c>
      <c r="CO114" s="78" t="e">
        <f t="shared" si="263"/>
        <v>#DIV/0!</v>
      </c>
      <c r="CP114" s="79">
        <f t="array" ref="CP114">SUMIFS('Cắt lồng'!$AC$327:$AC$515,'Cắt lồng'!$AA$327:$AA$515,'Cắt lồng'!$AA114,'Cắt lồng'!$AE$327:$AE$515,'Cắt lồng'!CP$4:CP$4)</f>
        <v>0</v>
      </c>
      <c r="CQ114" s="79">
        <f t="array" ref="CQ114">SUMIFS('Cắt lồng'!$AH$327:$AH$515,'Cắt lồng'!$AA$327:$AA$515,'Cắt lồng'!$AA114,'Cắt lồng'!$AE$327:$AE$515,'Cắt lồng'!CQ$4:CQ$4)</f>
        <v>0</v>
      </c>
      <c r="CR114" s="78" t="e">
        <f t="shared" si="264"/>
        <v>#DIV/0!</v>
      </c>
      <c r="CS114" s="79">
        <f t="array" ref="CS114">SUMIFS('Cắt lồng'!$AC$327:$AC$515,'Cắt lồng'!$AA$327:$AA$515,'Cắt lồng'!$AA114,'Cắt lồng'!$AE$327:$AE$515,'Cắt lồng'!CS$4:CS$4)</f>
        <v>0</v>
      </c>
      <c r="CT114" s="79">
        <f t="array" ref="CT114">SUMIFS('Cắt lồng'!$AH$327:$AH$515,'Cắt lồng'!$AA$327:$AA$515,'Cắt lồng'!$AA114,'Cắt lồng'!$AE$327:$AE$515,'Cắt lồng'!CT$4:CT$4)</f>
        <v>0</v>
      </c>
      <c r="CU114" s="78" t="e">
        <f t="shared" si="265"/>
        <v>#DIV/0!</v>
      </c>
      <c r="CV114" s="79">
        <f t="array" ref="CV114">SUMIFS('Cắt lồng'!$AC$327:$AC$515,'Cắt lồng'!$AA$327:$AA$515,'Cắt lồng'!$AA114,'Cắt lồng'!$AE$327:$AE$515,'Cắt lồng'!CV$4:CV$4)</f>
        <v>0</v>
      </c>
      <c r="CW114" s="79">
        <f t="array" ref="CW114">SUMIFS('Cắt lồng'!$AH$327:$AH$515,'Cắt lồng'!$AA$327:$AA$515,'Cắt lồng'!$AA114,'Cắt lồng'!$AE$327:$AE$515,'Cắt lồng'!CW$4:CW$4)</f>
        <v>0</v>
      </c>
      <c r="CX114" s="78" t="e">
        <f t="shared" si="266"/>
        <v>#DIV/0!</v>
      </c>
      <c r="CY114" s="79">
        <f t="array" ref="CY114">SUMIFS('Cắt lồng'!$AC$327:$AC$515,'Cắt lồng'!$AA$327:$AA$515,'Cắt lồng'!$AA114,'Cắt lồng'!$AE$327:$AE$515,'Cắt lồng'!CY$4:CY$4)</f>
        <v>0</v>
      </c>
      <c r="CZ114" s="79">
        <f t="array" ref="CZ114">SUMIFS('Cắt lồng'!$AH$327:$AH$515,'Cắt lồng'!$AA$327:$AA$515,'Cắt lồng'!$AA114,'Cắt lồng'!$AE$327:$AE$515,'Cắt lồng'!CZ$4:CZ$4)</f>
        <v>0</v>
      </c>
      <c r="DA114" s="78" t="e">
        <f t="shared" si="267"/>
        <v>#DIV/0!</v>
      </c>
      <c r="DB114" s="79">
        <f t="array" ref="DB114">SUMIFS('Cắt lồng'!$AC$327:$AC$515,'Cắt lồng'!$AA$327:$AA$515,'Cắt lồng'!$AA114,'Cắt lồng'!$AE$327:$AE$515,'Cắt lồng'!DB$4:DB$4)</f>
        <v>0</v>
      </c>
      <c r="DC114" s="79">
        <f t="array" ref="DC114">SUMIFS('Cắt lồng'!$AH$327:$AH$515,'Cắt lồng'!$AA$327:$AA$515,'Cắt lồng'!$AA114,'Cắt lồng'!$AE$327:$AE$515,'Cắt lồng'!DC$4:DC$4)</f>
        <v>0</v>
      </c>
      <c r="DD114" s="78" t="e">
        <f t="shared" si="268"/>
        <v>#DIV/0!</v>
      </c>
      <c r="DE114" s="79">
        <f t="array" ref="DE114">SUMIFS('Cắt lồng'!$AC$327:$AC$515,'Cắt lồng'!$AA$327:$AA$515,'Cắt lồng'!$AA114,'Cắt lồng'!$AE$327:$AE$515,'Cắt lồng'!DE$4:DE$4)</f>
        <v>0</v>
      </c>
      <c r="DF114" s="79">
        <f t="array" ref="DF114">SUMIFS('Cắt lồng'!$AH$327:$AH$515,'Cắt lồng'!$AA$327:$AA$515,'Cắt lồng'!$AA114,'Cắt lồng'!$AE$327:$AE$515,'Cắt lồng'!DF$4:DF$4)</f>
        <v>0</v>
      </c>
      <c r="DG114" s="78" t="e">
        <f t="shared" si="269"/>
        <v>#DIV/0!</v>
      </c>
      <c r="DH114" s="79">
        <f t="array" ref="DH114">SUMIFS('Cắt lồng'!$AC$327:$AC$515,'Cắt lồng'!$AA$327:$AA$515,'Cắt lồng'!$AA114,'Cắt lồng'!$AE$327:$AE$515,'Cắt lồng'!DH$4:DH$4)</f>
        <v>0</v>
      </c>
      <c r="DI114" s="79">
        <f t="array" ref="DI114">SUMIFS('Cắt lồng'!$AH$327:$AH$515,'Cắt lồng'!$AA$327:$AA$515,'Cắt lồng'!$AA114,'Cắt lồng'!$AE$327:$AE$515,'Cắt lồng'!DI$4:DI$4)</f>
        <v>0</v>
      </c>
      <c r="DJ114" s="78" t="e">
        <f t="shared" si="270"/>
        <v>#DIV/0!</v>
      </c>
      <c r="DK114" s="79">
        <f t="array" ref="DK114">SUMIFS('Cắt lồng'!$AC$327:$AC$515,'Cắt lồng'!$AA$327:$AA$515,'Cắt lồng'!$AA114,'Cắt lồng'!$AE$327:$AE$515,'Cắt lồng'!DK$4:DK$4)</f>
        <v>0</v>
      </c>
      <c r="DL114" s="79">
        <f t="array" ref="DL114">SUMIFS('Cắt lồng'!$AH$327:$AH$515,'Cắt lồng'!$AA$327:$AA$515,'Cắt lồng'!$AA114,'Cắt lồng'!$AE$327:$AE$515,'Cắt lồng'!DL$4:DL$4)</f>
        <v>0</v>
      </c>
      <c r="DM114" s="78" t="e">
        <f t="shared" si="271"/>
        <v>#DIV/0!</v>
      </c>
      <c r="DN114" s="79">
        <f t="array" ref="DN114">SUMIFS('Cắt lồng'!$AC$327:$AC$515,'Cắt lồng'!$AA$327:$AA$515,'Cắt lồng'!$AA114,'Cắt lồng'!$AE$327:$AE$515,'Cắt lồng'!DN$4:DN$4)</f>
        <v>0</v>
      </c>
      <c r="DO114" s="79">
        <f t="array" ref="DO114">SUMIFS('Cắt lồng'!$AH$327:$AH$515,'Cắt lồng'!$AA$327:$AA$515,'Cắt lồng'!$AA114,'Cắt lồng'!$AE$327:$AE$515,'Cắt lồng'!DO$4:DO$4)</f>
        <v>0</v>
      </c>
      <c r="DP114" s="78" t="e">
        <f t="shared" si="272"/>
        <v>#DIV/0!</v>
      </c>
      <c r="DQ114" s="79">
        <f t="array" ref="DQ114">SUMIFS('Cắt lồng'!$AC$327:$AC$515,'Cắt lồng'!$AA$327:$AA$515,'Cắt lồng'!$AA114,'Cắt lồng'!$AE$327:$AE$515,'Cắt lồng'!DQ$4:DQ$4)</f>
        <v>0</v>
      </c>
      <c r="DR114" s="79">
        <f t="array" ref="DR114">SUMIFS('Cắt lồng'!$AH$327:$AH$515,'Cắt lồng'!$AA$327:$AA$515,'Cắt lồng'!$AA114,'Cắt lồng'!$AE$327:$AE$515,'Cắt lồng'!DR$4:DR$4)</f>
        <v>0</v>
      </c>
      <c r="DS114" s="78" t="e">
        <f t="shared" si="273"/>
        <v>#DIV/0!</v>
      </c>
      <c r="DT114" s="79">
        <f t="array" ref="DT114">SUMIFS('Cắt lồng'!$AC$327:$AC$515,'Cắt lồng'!$AA$327:$AA$515,'Cắt lồng'!$AA114,'Cắt lồng'!$AE$327:$AE$515,'Cắt lồng'!DT$4:DT$4)</f>
        <v>0</v>
      </c>
      <c r="DU114" s="79">
        <f t="array" ref="DU114">SUMIFS('Cắt lồng'!$AH$327:$AH$515,'Cắt lồng'!$AA$327:$AA$515,'Cắt lồng'!$AA114,'Cắt lồng'!$AE$327:$AE$515,'Cắt lồng'!DU$4:DU$4)</f>
        <v>0</v>
      </c>
      <c r="DV114" s="78" t="e">
        <f t="shared" si="274"/>
        <v>#DIV/0!</v>
      </c>
      <c r="DW114" s="79">
        <f t="array" ref="DW114">SUMIFS('Cắt lồng'!$AC$327:$AC$515,'Cắt lồng'!$AA$327:$AA$515,'Cắt lồng'!$AA114,'Cắt lồng'!$AE$327:$AE$515,'Cắt lồng'!DW$4:DW$4)</f>
        <v>0</v>
      </c>
      <c r="DX114" s="79">
        <f t="array" ref="DX114">SUMIFS('Cắt lồng'!$AH$327:$AH$515,'Cắt lồng'!$AA$327:$AA$515,'Cắt lồng'!$AA114,'Cắt lồng'!$AE$327:$AE$515,'Cắt lồng'!DX$4:DX$4)</f>
        <v>0</v>
      </c>
      <c r="DY114" s="78" t="e">
        <f t="shared" si="275"/>
        <v>#DIV/0!</v>
      </c>
      <c r="DZ114" s="79">
        <f t="array" ref="DZ114">SUMIFS('Cắt lồng'!$AC$327:$AC$515,'Cắt lồng'!$AA$327:$AA$515,'Cắt lồng'!$AA114,'Cắt lồng'!$AE$327:$AE$515,'Cắt lồng'!DZ$4:DZ$4)</f>
        <v>0</v>
      </c>
      <c r="EA114" s="79">
        <f t="array" ref="EA114">SUMIFS('Cắt lồng'!$AH$327:$AH$515,'Cắt lồng'!$AA$327:$AA$515,'Cắt lồng'!$AA114,'Cắt lồng'!$AE$327:$AE$515,'Cắt lồng'!EA$4:EA$4)</f>
        <v>0</v>
      </c>
      <c r="EB114" s="78" t="e">
        <f t="shared" si="276"/>
        <v>#DIV/0!</v>
      </c>
      <c r="EC114" s="79">
        <f t="array" ref="EC114">SUMIFS('Cắt lồng'!$AC$327:$AC$515,'Cắt lồng'!$AA$327:$AA$515,'Cắt lồng'!$AA114,'Cắt lồng'!$AE$327:$AE$515,'Cắt lồng'!EC$4:EC$4)</f>
        <v>0</v>
      </c>
      <c r="ED114" s="79">
        <f t="array" ref="ED114">SUMIFS('Cắt lồng'!$AH$327:$AH$515,'Cắt lồng'!$AA$327:$AA$515,'Cắt lồng'!$AA114,'Cắt lồng'!$AE$327:$AE$515,'Cắt lồng'!ED$4:ED$4)</f>
        <v>0</v>
      </c>
      <c r="EE114" s="78" t="e">
        <f t="shared" si="277"/>
        <v>#DIV/0!</v>
      </c>
      <c r="EF114" s="79">
        <f t="array" ref="EF114">SUMIFS('Cắt lồng'!$AC$327:$AC$515,'Cắt lồng'!$AA$327:$AA$515,'Cắt lồng'!$AA114,'Cắt lồng'!$AE$327:$AE$515,'Cắt lồng'!EF$4:EF$4)</f>
        <v>0</v>
      </c>
      <c r="EG114" s="79">
        <f t="array" ref="EG114">SUMIFS('Cắt lồng'!$AH$327:$AH$515,'Cắt lồng'!$AA$327:$AA$515,'Cắt lồng'!$AA114,'Cắt lồng'!$AE$327:$AE$515,'Cắt lồng'!EG$4:EG$4)</f>
        <v>0</v>
      </c>
      <c r="EH114" s="78" t="e">
        <f t="shared" si="278"/>
        <v>#DIV/0!</v>
      </c>
      <c r="EI114" s="79">
        <f t="array" ref="EI114">SUMIFS('Cắt lồng'!$AC$327:$AC$515,'Cắt lồng'!$AA$327:$AA$515,'Cắt lồng'!$AA114,'Cắt lồng'!$AE$327:$AE$515,'Cắt lồng'!EI$4:EI$4)</f>
        <v>0</v>
      </c>
      <c r="EJ114" s="79">
        <f t="array" ref="EJ114">SUMIFS('Cắt lồng'!$AH$327:$AH$515,'Cắt lồng'!$AA$327:$AA$515,'Cắt lồng'!$AA114,'Cắt lồng'!$AE$327:$AE$515,'Cắt lồng'!EJ$4:EJ$4)</f>
        <v>0</v>
      </c>
      <c r="EK114" s="78" t="e">
        <f t="shared" si="279"/>
        <v>#DIV/0!</v>
      </c>
    </row>
    <row r="115" spans="1:141" s="12" customFormat="1" ht="14.25" hidden="1" customHeight="1">
      <c r="A115" s="30">
        <v>82</v>
      </c>
      <c r="B115" s="26"/>
      <c r="C115" s="25"/>
      <c r="D115" s="24"/>
      <c r="E115" s="60"/>
      <c r="F115" s="59"/>
      <c r="G115" s="82">
        <f t="shared" si="212"/>
        <v>0</v>
      </c>
      <c r="H115" s="81">
        <f t="shared" si="213"/>
        <v>0</v>
      </c>
      <c r="I115" s="19">
        <f t="shared" si="214"/>
        <v>0</v>
      </c>
      <c r="J115" s="11">
        <f t="shared" si="215"/>
        <v>0</v>
      </c>
      <c r="K115" s="19">
        <f t="shared" si="216"/>
        <v>0</v>
      </c>
      <c r="L115" s="19">
        <f t="shared" si="217"/>
        <v>0</v>
      </c>
      <c r="M115" s="19">
        <f t="shared" si="218"/>
        <v>0</v>
      </c>
      <c r="N115" s="19">
        <f t="shared" si="219"/>
        <v>0</v>
      </c>
      <c r="O115" s="19">
        <f t="shared" si="220"/>
        <v>0</v>
      </c>
      <c r="P115" s="19">
        <f t="shared" si="221"/>
        <v>0</v>
      </c>
      <c r="Q115" s="19">
        <f t="shared" si="222"/>
        <v>0</v>
      </c>
      <c r="R115" s="19">
        <f t="shared" si="223"/>
        <v>0</v>
      </c>
      <c r="S115" s="19">
        <f t="shared" si="224"/>
        <v>0</v>
      </c>
      <c r="T115" s="19">
        <f t="shared" si="225"/>
        <v>0</v>
      </c>
      <c r="U115" s="19">
        <f t="shared" si="226"/>
        <v>0</v>
      </c>
      <c r="V115" s="19">
        <f t="shared" si="227"/>
        <v>0</v>
      </c>
      <c r="W115" s="19">
        <f t="shared" si="228"/>
        <v>0</v>
      </c>
      <c r="X115" s="19">
        <f t="shared" si="229"/>
        <v>0</v>
      </c>
      <c r="Y115" s="19">
        <f t="shared" si="230"/>
        <v>0</v>
      </c>
      <c r="Z115" s="19">
        <f t="shared" si="231"/>
        <v>0</v>
      </c>
      <c r="AA115" s="154">
        <v>598</v>
      </c>
      <c r="AB115" s="17" t="e">
        <f>+H115*SUMIF('[1]KẾ HOẠCH'!$B$5:$CK$5,'Cắt lồng'!AA115,'[1]KẾ HOẠCH'!$B$6:$CK$6)+H115*SUMIF('[1]KẾ HOẠCH'!$B$7:$CK$7,'Cắt lồng'!AA115,'[1]KẾ HOẠCH'!$B$8:$CK$8)+H115*SUMIF('[1]KẾ HOẠCH'!$B$15:$CK$15,'Cắt lồng'!AA115,'[1]KẾ HOẠCH'!$B$16:$CK$16)</f>
        <v>#VALUE!</v>
      </c>
      <c r="AC115" s="16">
        <f t="shared" si="232"/>
        <v>0</v>
      </c>
      <c r="AD115" s="15" t="e">
        <f t="shared" si="233"/>
        <v>#VALUE!</v>
      </c>
      <c r="AE115" s="42"/>
      <c r="AF115" s="10" t="e">
        <f t="shared" si="234"/>
        <v>#DIV/0!</v>
      </c>
      <c r="AG115" s="10"/>
      <c r="AH115" s="152">
        <f t="shared" si="235"/>
        <v>0</v>
      </c>
      <c r="AI115" s="54" t="e">
        <f t="shared" si="236"/>
        <v>#DIV/0!</v>
      </c>
      <c r="AJ115" s="25">
        <f t="shared" si="237"/>
        <v>0</v>
      </c>
      <c r="AK115" s="25">
        <f t="shared" si="238"/>
        <v>0</v>
      </c>
      <c r="AL115" s="25">
        <f t="shared" si="239"/>
        <v>0</v>
      </c>
      <c r="AM115" s="30">
        <f t="shared" si="240"/>
        <v>0</v>
      </c>
      <c r="AN115" s="25">
        <f t="shared" si="241"/>
        <v>0</v>
      </c>
      <c r="AO115" s="25">
        <f t="shared" si="242"/>
        <v>0</v>
      </c>
      <c r="AP115" s="25">
        <f t="shared" si="243"/>
        <v>0</v>
      </c>
      <c r="AQ115" s="25">
        <f t="shared" si="244"/>
        <v>0</v>
      </c>
      <c r="AR115" s="25">
        <f t="shared" si="245"/>
        <v>0</v>
      </c>
      <c r="AS115" s="25">
        <f t="shared" si="246"/>
        <v>0</v>
      </c>
      <c r="AT115" s="25">
        <f t="shared" si="247"/>
        <v>0</v>
      </c>
      <c r="AV115" s="79">
        <f t="shared" si="248"/>
        <v>0</v>
      </c>
      <c r="AW115" s="79">
        <f t="array" ref="AW115">SUMIFS('Cắt lồng'!$AC$327:$AC$515,'Cắt lồng'!$AA$327:$AA$515,'Cắt lồng'!$AA115,'Cắt lồng'!$AE$327:$AE$515,'Cắt lồng'!AW$4:AW$4)</f>
        <v>0</v>
      </c>
      <c r="AX115" s="79">
        <f t="array" ref="AX115">SUMIFS('Cắt lồng'!$AH$327:$AH$515,'Cắt lồng'!$AA$327:$AA$515,'Cắt lồng'!$AA115,'Cắt lồng'!$AE$327:$AE$515,'Cắt lồng'!AX$4:AX$4)</f>
        <v>0</v>
      </c>
      <c r="AY115" s="78" t="e">
        <f t="shared" si="249"/>
        <v>#DIV/0!</v>
      </c>
      <c r="AZ115" s="79">
        <f t="array" ref="AZ115">SUMIFS('Cắt lồng'!$AC$327:$AC$515,'Cắt lồng'!$AA$327:$AA$515,'Cắt lồng'!$AA115,'Cắt lồng'!$AE$327:$AE$515,'Cắt lồng'!AZ$4:AZ$4)</f>
        <v>0</v>
      </c>
      <c r="BA115" s="79">
        <f t="array" ref="BA115">SUMIFS('Cắt lồng'!$AH$327:$AH$515,'Cắt lồng'!$AA$327:$AA$515,'Cắt lồng'!$AA115,'Cắt lồng'!$AE$327:$AE$515,'Cắt lồng'!BA$4:BA$4)</f>
        <v>0</v>
      </c>
      <c r="BB115" s="78" t="e">
        <f t="shared" si="250"/>
        <v>#DIV/0!</v>
      </c>
      <c r="BC115" s="79">
        <f t="array" ref="BC115">SUMIFS('Cắt lồng'!$AC$327:$AC$515,'Cắt lồng'!$AA$327:$AA$515,'Cắt lồng'!$AA115,'Cắt lồng'!$AE$327:$AE$515,'Cắt lồng'!BC$4:BC$4)</f>
        <v>0</v>
      </c>
      <c r="BD115" s="79">
        <f t="array" ref="BD115">SUMIFS('Cắt lồng'!$AH$327:$AH$515,'Cắt lồng'!$AA$327:$AA$515,'Cắt lồng'!$AA115,'Cắt lồng'!$AE$327:$AE$515,'Cắt lồng'!BD$4:BD$4)</f>
        <v>0</v>
      </c>
      <c r="BE115" s="78" t="e">
        <f t="shared" si="251"/>
        <v>#DIV/0!</v>
      </c>
      <c r="BF115" s="79">
        <f t="array" ref="BF115">SUMIFS('Cắt lồng'!$AC$327:$AC$515,'Cắt lồng'!$AA$327:$AA$515,'Cắt lồng'!$AA115,'Cắt lồng'!$AE$327:$AE$515,'Cắt lồng'!BF$4:BF$4)</f>
        <v>0</v>
      </c>
      <c r="BG115" s="79">
        <f t="array" ref="BG115">SUMIFS('Cắt lồng'!$AH$327:$AH$515,'Cắt lồng'!$AA$327:$AA$515,'Cắt lồng'!$AA115,'Cắt lồng'!$AE$327:$AE$515,'Cắt lồng'!BG$4:BG$4)</f>
        <v>0</v>
      </c>
      <c r="BH115" s="78" t="e">
        <f t="shared" si="252"/>
        <v>#DIV/0!</v>
      </c>
      <c r="BI115" s="79">
        <f t="array" ref="BI115">SUMIFS('Cắt lồng'!$AC$327:$AC$515,'Cắt lồng'!$AA$327:$AA$515,'Cắt lồng'!$AA115,'Cắt lồng'!$AE$327:$AE$515,'Cắt lồng'!BI$4:BI$4)</f>
        <v>0</v>
      </c>
      <c r="BJ115" s="79">
        <f t="array" ref="BJ115">SUMIFS('Cắt lồng'!$AH$327:$AH$515,'Cắt lồng'!$AA$327:$AA$515,'Cắt lồng'!$AA115,'Cắt lồng'!$AE$327:$AE$515,'Cắt lồng'!BJ$4:BJ$4)</f>
        <v>0</v>
      </c>
      <c r="BK115" s="78" t="e">
        <f t="shared" si="253"/>
        <v>#DIV/0!</v>
      </c>
      <c r="BL115" s="79">
        <f t="array" ref="BL115">SUMIFS('Cắt lồng'!$AC$327:$AC$515,'Cắt lồng'!$AA$327:$AA$515,'Cắt lồng'!$AA115,'Cắt lồng'!$AE$327:$AE$515,'Cắt lồng'!BL$4:BL$4)</f>
        <v>0</v>
      </c>
      <c r="BM115" s="79">
        <f t="array" ref="BM115">SUMIFS('Cắt lồng'!$AH$327:$AH$515,'Cắt lồng'!$AA$327:$AA$515,'Cắt lồng'!$AA115,'Cắt lồng'!$AE$327:$AE$515,'Cắt lồng'!BM$4:BM$4)</f>
        <v>0</v>
      </c>
      <c r="BN115" s="78" t="e">
        <f t="shared" si="254"/>
        <v>#DIV/0!</v>
      </c>
      <c r="BO115" s="79">
        <f t="array" ref="BO115">SUMIFS('Cắt lồng'!$AC$327:$AC$515,'Cắt lồng'!$AA$327:$AA$515,'Cắt lồng'!$AA115,'Cắt lồng'!$AE$327:$AE$515,'Cắt lồng'!BO$4:BO$4)</f>
        <v>0</v>
      </c>
      <c r="BP115" s="79">
        <f t="array" ref="BP115">SUMIFS('Cắt lồng'!$AH$327:$AH$515,'Cắt lồng'!$AA$327:$AA$515,'Cắt lồng'!$AA115,'Cắt lồng'!$AE$327:$AE$515,'Cắt lồng'!BP$4:BP$4)</f>
        <v>0</v>
      </c>
      <c r="BQ115" s="78" t="e">
        <f t="shared" si="255"/>
        <v>#DIV/0!</v>
      </c>
      <c r="BR115" s="79">
        <f t="array" ref="BR115">SUMIFS('Cắt lồng'!$AC$327:$AC$515,'Cắt lồng'!$AA$327:$AA$515,'Cắt lồng'!$AA115,'Cắt lồng'!$AE$327:$AE$515,'Cắt lồng'!BR$4:BR$4)</f>
        <v>0</v>
      </c>
      <c r="BS115" s="79">
        <f t="array" ref="BS115">SUMIFS('Cắt lồng'!$AH$327:$AH$515,'Cắt lồng'!$AA$327:$AA$515,'Cắt lồng'!$AA115,'Cắt lồng'!$AE$327:$AE$515,'Cắt lồng'!BS$4:BS$4)</f>
        <v>0</v>
      </c>
      <c r="BT115" s="78" t="e">
        <f t="shared" si="256"/>
        <v>#DIV/0!</v>
      </c>
      <c r="BU115" s="79">
        <f t="array" ref="BU115">SUMIFS('Cắt lồng'!$AC$327:$AC$515,'Cắt lồng'!$AA$327:$AA$515,'Cắt lồng'!$AA115,'Cắt lồng'!$AE$327:$AE$515,'Cắt lồng'!BU$4:BU$4)</f>
        <v>0</v>
      </c>
      <c r="BV115" s="79">
        <f t="array" ref="BV115">SUMIFS('Cắt lồng'!$AH$327:$AH$515,'Cắt lồng'!$AA$327:$AA$515,'Cắt lồng'!$AA115,'Cắt lồng'!$AE$327:$AE$515,'Cắt lồng'!BV$4:BV$4)</f>
        <v>0</v>
      </c>
      <c r="BW115" s="78" t="e">
        <f t="shared" si="257"/>
        <v>#DIV/0!</v>
      </c>
      <c r="BX115" s="79">
        <f t="array" ref="BX115">SUMIFS('Cắt lồng'!$AC$327:$AC$515,'Cắt lồng'!$AA$327:$AA$515,'Cắt lồng'!$AA115,'Cắt lồng'!$AE$327:$AE$515,'Cắt lồng'!BX$4:BX$4)</f>
        <v>0</v>
      </c>
      <c r="BY115" s="79">
        <f t="array" ref="BY115">SUMIFS('Cắt lồng'!$AH$327:$AH$515,'Cắt lồng'!$AA$327:$AA$515,'Cắt lồng'!$AA115,'Cắt lồng'!$AE$327:$AE$515,'Cắt lồng'!BY$4:BY$4)</f>
        <v>0</v>
      </c>
      <c r="BZ115" s="78" t="e">
        <f t="shared" si="258"/>
        <v>#DIV/0!</v>
      </c>
      <c r="CA115" s="79">
        <f t="array" ref="CA115">SUMIFS('Cắt lồng'!$AC$327:$AC$515,'Cắt lồng'!$AA$327:$AA$515,'Cắt lồng'!$AA115,'Cắt lồng'!$AE$327:$AE$515,'Cắt lồng'!CA$4:CA$4)</f>
        <v>0</v>
      </c>
      <c r="CB115" s="79">
        <f t="array" ref="CB115">SUMIFS('Cắt lồng'!$AH$327:$AH$515,'Cắt lồng'!$AA$327:$AA$515,'Cắt lồng'!$AA115,'Cắt lồng'!$AE$327:$AE$515,'Cắt lồng'!CB$4:CB$4)</f>
        <v>0</v>
      </c>
      <c r="CC115" s="78" t="e">
        <f t="shared" si="259"/>
        <v>#DIV/0!</v>
      </c>
      <c r="CD115" s="79">
        <f t="array" ref="CD115">SUMIFS('Cắt lồng'!$AC$327:$AC$515,'Cắt lồng'!$AA$327:$AA$515,'Cắt lồng'!$AA115,'Cắt lồng'!$AE$327:$AE$515,'Cắt lồng'!CD$4:CD$4)</f>
        <v>0</v>
      </c>
      <c r="CE115" s="79">
        <f t="array" ref="CE115">SUMIFS('Cắt lồng'!$AH$327:$AH$515,'Cắt lồng'!$AA$327:$AA$515,'Cắt lồng'!$AA115,'Cắt lồng'!$AE$327:$AE$515,'Cắt lồng'!CE$4:CE$4)</f>
        <v>0</v>
      </c>
      <c r="CF115" s="78" t="e">
        <f t="shared" si="260"/>
        <v>#DIV/0!</v>
      </c>
      <c r="CG115" s="79">
        <f t="array" ref="CG115">SUMIFS('Cắt lồng'!$AC$327:$AC$515,'Cắt lồng'!$AA$327:$AA$515,'Cắt lồng'!$AA115,'Cắt lồng'!$AE$327:$AE$515,'Cắt lồng'!CG$4:CG$4)</f>
        <v>0</v>
      </c>
      <c r="CH115" s="79">
        <f t="array" ref="CH115">SUMIFS('Cắt lồng'!$AH$327:$AH$515,'Cắt lồng'!$AA$327:$AA$515,'Cắt lồng'!$AA115,'Cắt lồng'!$AE$327:$AE$515,'Cắt lồng'!CH$4:CH$4)</f>
        <v>0</v>
      </c>
      <c r="CI115" s="78" t="e">
        <f t="shared" si="261"/>
        <v>#DIV/0!</v>
      </c>
      <c r="CJ115" s="79">
        <f t="array" ref="CJ115">SUMIFS('Cắt lồng'!$AC$327:$AC$515,'Cắt lồng'!$AA$327:$AA$515,'Cắt lồng'!$AA115,'Cắt lồng'!$AE$327:$AE$515,'Cắt lồng'!CJ$4:CJ$4)</f>
        <v>0</v>
      </c>
      <c r="CK115" s="79">
        <f t="array" ref="CK115">SUMIFS('Cắt lồng'!$AH$327:$AH$515,'Cắt lồng'!$AA$327:$AA$515,'Cắt lồng'!$AA115,'Cắt lồng'!$AE$327:$AE$515,'Cắt lồng'!CK$4:CK$4)</f>
        <v>0</v>
      </c>
      <c r="CL115" s="78" t="e">
        <f t="shared" si="262"/>
        <v>#DIV/0!</v>
      </c>
      <c r="CM115" s="79">
        <f t="array" ref="CM115">SUMIFS('Cắt lồng'!$AC$327:$AC$515,'Cắt lồng'!$AA$327:$AA$515,'Cắt lồng'!$AA115,'Cắt lồng'!$AE$327:$AE$515,'Cắt lồng'!CM$4:CM$4)</f>
        <v>0</v>
      </c>
      <c r="CN115" s="79">
        <f t="array" ref="CN115">SUMIFS('Cắt lồng'!$AH$327:$AH$515,'Cắt lồng'!$AA$327:$AA$515,'Cắt lồng'!$AA115,'Cắt lồng'!$AE$327:$AE$515,'Cắt lồng'!CN$4:CN$4)</f>
        <v>0</v>
      </c>
      <c r="CO115" s="78" t="e">
        <f t="shared" si="263"/>
        <v>#DIV/0!</v>
      </c>
      <c r="CP115" s="79">
        <f t="array" ref="CP115">SUMIFS('Cắt lồng'!$AC$327:$AC$515,'Cắt lồng'!$AA$327:$AA$515,'Cắt lồng'!$AA115,'Cắt lồng'!$AE$327:$AE$515,'Cắt lồng'!CP$4:CP$4)</f>
        <v>0</v>
      </c>
      <c r="CQ115" s="79">
        <f t="array" ref="CQ115">SUMIFS('Cắt lồng'!$AH$327:$AH$515,'Cắt lồng'!$AA$327:$AA$515,'Cắt lồng'!$AA115,'Cắt lồng'!$AE$327:$AE$515,'Cắt lồng'!CQ$4:CQ$4)</f>
        <v>0</v>
      </c>
      <c r="CR115" s="78" t="e">
        <f t="shared" si="264"/>
        <v>#DIV/0!</v>
      </c>
      <c r="CS115" s="79">
        <f t="array" ref="CS115">SUMIFS('Cắt lồng'!$AC$327:$AC$515,'Cắt lồng'!$AA$327:$AA$515,'Cắt lồng'!$AA115,'Cắt lồng'!$AE$327:$AE$515,'Cắt lồng'!CS$4:CS$4)</f>
        <v>0</v>
      </c>
      <c r="CT115" s="79">
        <f t="array" ref="CT115">SUMIFS('Cắt lồng'!$AH$327:$AH$515,'Cắt lồng'!$AA$327:$AA$515,'Cắt lồng'!$AA115,'Cắt lồng'!$AE$327:$AE$515,'Cắt lồng'!CT$4:CT$4)</f>
        <v>0</v>
      </c>
      <c r="CU115" s="78" t="e">
        <f t="shared" si="265"/>
        <v>#DIV/0!</v>
      </c>
      <c r="CV115" s="79">
        <f t="array" ref="CV115">SUMIFS('Cắt lồng'!$AC$327:$AC$515,'Cắt lồng'!$AA$327:$AA$515,'Cắt lồng'!$AA115,'Cắt lồng'!$AE$327:$AE$515,'Cắt lồng'!CV$4:CV$4)</f>
        <v>0</v>
      </c>
      <c r="CW115" s="79">
        <f t="array" ref="CW115">SUMIFS('Cắt lồng'!$AH$327:$AH$515,'Cắt lồng'!$AA$327:$AA$515,'Cắt lồng'!$AA115,'Cắt lồng'!$AE$327:$AE$515,'Cắt lồng'!CW$4:CW$4)</f>
        <v>0</v>
      </c>
      <c r="CX115" s="78" t="e">
        <f t="shared" si="266"/>
        <v>#DIV/0!</v>
      </c>
      <c r="CY115" s="79">
        <f t="array" ref="CY115">SUMIFS('Cắt lồng'!$AC$327:$AC$515,'Cắt lồng'!$AA$327:$AA$515,'Cắt lồng'!$AA115,'Cắt lồng'!$AE$327:$AE$515,'Cắt lồng'!CY$4:CY$4)</f>
        <v>0</v>
      </c>
      <c r="CZ115" s="79">
        <f t="array" ref="CZ115">SUMIFS('Cắt lồng'!$AH$327:$AH$515,'Cắt lồng'!$AA$327:$AA$515,'Cắt lồng'!$AA115,'Cắt lồng'!$AE$327:$AE$515,'Cắt lồng'!CZ$4:CZ$4)</f>
        <v>0</v>
      </c>
      <c r="DA115" s="78" t="e">
        <f t="shared" si="267"/>
        <v>#DIV/0!</v>
      </c>
      <c r="DB115" s="79">
        <f t="array" ref="DB115">SUMIFS('Cắt lồng'!$AC$327:$AC$515,'Cắt lồng'!$AA$327:$AA$515,'Cắt lồng'!$AA115,'Cắt lồng'!$AE$327:$AE$515,'Cắt lồng'!DB$4:DB$4)</f>
        <v>0</v>
      </c>
      <c r="DC115" s="79">
        <f t="array" ref="DC115">SUMIFS('Cắt lồng'!$AH$327:$AH$515,'Cắt lồng'!$AA$327:$AA$515,'Cắt lồng'!$AA115,'Cắt lồng'!$AE$327:$AE$515,'Cắt lồng'!DC$4:DC$4)</f>
        <v>0</v>
      </c>
      <c r="DD115" s="78" t="e">
        <f t="shared" si="268"/>
        <v>#DIV/0!</v>
      </c>
      <c r="DE115" s="79">
        <f t="array" ref="DE115">SUMIFS('Cắt lồng'!$AC$327:$AC$515,'Cắt lồng'!$AA$327:$AA$515,'Cắt lồng'!$AA115,'Cắt lồng'!$AE$327:$AE$515,'Cắt lồng'!DE$4:DE$4)</f>
        <v>0</v>
      </c>
      <c r="DF115" s="79">
        <f t="array" ref="DF115">SUMIFS('Cắt lồng'!$AH$327:$AH$515,'Cắt lồng'!$AA$327:$AA$515,'Cắt lồng'!$AA115,'Cắt lồng'!$AE$327:$AE$515,'Cắt lồng'!DF$4:DF$4)</f>
        <v>0</v>
      </c>
      <c r="DG115" s="78" t="e">
        <f t="shared" si="269"/>
        <v>#DIV/0!</v>
      </c>
      <c r="DH115" s="79">
        <f t="array" ref="DH115">SUMIFS('Cắt lồng'!$AC$327:$AC$515,'Cắt lồng'!$AA$327:$AA$515,'Cắt lồng'!$AA115,'Cắt lồng'!$AE$327:$AE$515,'Cắt lồng'!DH$4:DH$4)</f>
        <v>0</v>
      </c>
      <c r="DI115" s="79">
        <f t="array" ref="DI115">SUMIFS('Cắt lồng'!$AH$327:$AH$515,'Cắt lồng'!$AA$327:$AA$515,'Cắt lồng'!$AA115,'Cắt lồng'!$AE$327:$AE$515,'Cắt lồng'!DI$4:DI$4)</f>
        <v>0</v>
      </c>
      <c r="DJ115" s="78" t="e">
        <f t="shared" si="270"/>
        <v>#DIV/0!</v>
      </c>
      <c r="DK115" s="79">
        <f t="array" ref="DK115">SUMIFS('Cắt lồng'!$AC$327:$AC$515,'Cắt lồng'!$AA$327:$AA$515,'Cắt lồng'!$AA115,'Cắt lồng'!$AE$327:$AE$515,'Cắt lồng'!DK$4:DK$4)</f>
        <v>0</v>
      </c>
      <c r="DL115" s="79">
        <f t="array" ref="DL115">SUMIFS('Cắt lồng'!$AH$327:$AH$515,'Cắt lồng'!$AA$327:$AA$515,'Cắt lồng'!$AA115,'Cắt lồng'!$AE$327:$AE$515,'Cắt lồng'!DL$4:DL$4)</f>
        <v>0</v>
      </c>
      <c r="DM115" s="78" t="e">
        <f t="shared" si="271"/>
        <v>#DIV/0!</v>
      </c>
      <c r="DN115" s="79">
        <f t="array" ref="DN115">SUMIFS('Cắt lồng'!$AC$327:$AC$515,'Cắt lồng'!$AA$327:$AA$515,'Cắt lồng'!$AA115,'Cắt lồng'!$AE$327:$AE$515,'Cắt lồng'!DN$4:DN$4)</f>
        <v>0</v>
      </c>
      <c r="DO115" s="79">
        <f t="array" ref="DO115">SUMIFS('Cắt lồng'!$AH$327:$AH$515,'Cắt lồng'!$AA$327:$AA$515,'Cắt lồng'!$AA115,'Cắt lồng'!$AE$327:$AE$515,'Cắt lồng'!DO$4:DO$4)</f>
        <v>0</v>
      </c>
      <c r="DP115" s="78" t="e">
        <f t="shared" si="272"/>
        <v>#DIV/0!</v>
      </c>
      <c r="DQ115" s="79">
        <f t="array" ref="DQ115">SUMIFS('Cắt lồng'!$AC$327:$AC$515,'Cắt lồng'!$AA$327:$AA$515,'Cắt lồng'!$AA115,'Cắt lồng'!$AE$327:$AE$515,'Cắt lồng'!DQ$4:DQ$4)</f>
        <v>0</v>
      </c>
      <c r="DR115" s="79">
        <f t="array" ref="DR115">SUMIFS('Cắt lồng'!$AH$327:$AH$515,'Cắt lồng'!$AA$327:$AA$515,'Cắt lồng'!$AA115,'Cắt lồng'!$AE$327:$AE$515,'Cắt lồng'!DR$4:DR$4)</f>
        <v>0</v>
      </c>
      <c r="DS115" s="78" t="e">
        <f t="shared" si="273"/>
        <v>#DIV/0!</v>
      </c>
      <c r="DT115" s="79">
        <f t="array" ref="DT115">SUMIFS('Cắt lồng'!$AC$327:$AC$515,'Cắt lồng'!$AA$327:$AA$515,'Cắt lồng'!$AA115,'Cắt lồng'!$AE$327:$AE$515,'Cắt lồng'!DT$4:DT$4)</f>
        <v>0</v>
      </c>
      <c r="DU115" s="79">
        <f t="array" ref="DU115">SUMIFS('Cắt lồng'!$AH$327:$AH$515,'Cắt lồng'!$AA$327:$AA$515,'Cắt lồng'!$AA115,'Cắt lồng'!$AE$327:$AE$515,'Cắt lồng'!DU$4:DU$4)</f>
        <v>0</v>
      </c>
      <c r="DV115" s="78" t="e">
        <f t="shared" si="274"/>
        <v>#DIV/0!</v>
      </c>
      <c r="DW115" s="79">
        <f t="array" ref="DW115">SUMIFS('Cắt lồng'!$AC$327:$AC$515,'Cắt lồng'!$AA$327:$AA$515,'Cắt lồng'!$AA115,'Cắt lồng'!$AE$327:$AE$515,'Cắt lồng'!DW$4:DW$4)</f>
        <v>0</v>
      </c>
      <c r="DX115" s="79">
        <f t="array" ref="DX115">SUMIFS('Cắt lồng'!$AH$327:$AH$515,'Cắt lồng'!$AA$327:$AA$515,'Cắt lồng'!$AA115,'Cắt lồng'!$AE$327:$AE$515,'Cắt lồng'!DX$4:DX$4)</f>
        <v>0</v>
      </c>
      <c r="DY115" s="78" t="e">
        <f t="shared" si="275"/>
        <v>#DIV/0!</v>
      </c>
      <c r="DZ115" s="79">
        <f t="array" ref="DZ115">SUMIFS('Cắt lồng'!$AC$327:$AC$515,'Cắt lồng'!$AA$327:$AA$515,'Cắt lồng'!$AA115,'Cắt lồng'!$AE$327:$AE$515,'Cắt lồng'!DZ$4:DZ$4)</f>
        <v>0</v>
      </c>
      <c r="EA115" s="79">
        <f t="array" ref="EA115">SUMIFS('Cắt lồng'!$AH$327:$AH$515,'Cắt lồng'!$AA$327:$AA$515,'Cắt lồng'!$AA115,'Cắt lồng'!$AE$327:$AE$515,'Cắt lồng'!EA$4:EA$4)</f>
        <v>0</v>
      </c>
      <c r="EB115" s="78" t="e">
        <f t="shared" si="276"/>
        <v>#DIV/0!</v>
      </c>
      <c r="EC115" s="79">
        <f t="array" ref="EC115">SUMIFS('Cắt lồng'!$AC$327:$AC$515,'Cắt lồng'!$AA$327:$AA$515,'Cắt lồng'!$AA115,'Cắt lồng'!$AE$327:$AE$515,'Cắt lồng'!EC$4:EC$4)</f>
        <v>0</v>
      </c>
      <c r="ED115" s="79">
        <f t="array" ref="ED115">SUMIFS('Cắt lồng'!$AH$327:$AH$515,'Cắt lồng'!$AA$327:$AA$515,'Cắt lồng'!$AA115,'Cắt lồng'!$AE$327:$AE$515,'Cắt lồng'!ED$4:ED$4)</f>
        <v>0</v>
      </c>
      <c r="EE115" s="78" t="e">
        <f t="shared" si="277"/>
        <v>#DIV/0!</v>
      </c>
      <c r="EF115" s="79">
        <f t="array" ref="EF115">SUMIFS('Cắt lồng'!$AC$327:$AC$515,'Cắt lồng'!$AA$327:$AA$515,'Cắt lồng'!$AA115,'Cắt lồng'!$AE$327:$AE$515,'Cắt lồng'!EF$4:EF$4)</f>
        <v>0</v>
      </c>
      <c r="EG115" s="79">
        <f t="array" ref="EG115">SUMIFS('Cắt lồng'!$AH$327:$AH$515,'Cắt lồng'!$AA$327:$AA$515,'Cắt lồng'!$AA115,'Cắt lồng'!$AE$327:$AE$515,'Cắt lồng'!EG$4:EG$4)</f>
        <v>0</v>
      </c>
      <c r="EH115" s="78" t="e">
        <f t="shared" si="278"/>
        <v>#DIV/0!</v>
      </c>
      <c r="EI115" s="79">
        <f t="array" ref="EI115">SUMIFS('Cắt lồng'!$AC$327:$AC$515,'Cắt lồng'!$AA$327:$AA$515,'Cắt lồng'!$AA115,'Cắt lồng'!$AE$327:$AE$515,'Cắt lồng'!EI$4:EI$4)</f>
        <v>0</v>
      </c>
      <c r="EJ115" s="79">
        <f t="array" ref="EJ115">SUMIFS('Cắt lồng'!$AH$327:$AH$515,'Cắt lồng'!$AA$327:$AA$515,'Cắt lồng'!$AA115,'Cắt lồng'!$AE$327:$AE$515,'Cắt lồng'!EJ$4:EJ$4)</f>
        <v>0</v>
      </c>
      <c r="EK115" s="78" t="e">
        <f t="shared" si="279"/>
        <v>#DIV/0!</v>
      </c>
    </row>
    <row r="116" spans="1:141" s="12" customFormat="1" ht="14.25" hidden="1" customHeight="1">
      <c r="A116" s="30">
        <v>83</v>
      </c>
      <c r="B116" s="26"/>
      <c r="C116" s="25"/>
      <c r="D116" s="24"/>
      <c r="E116" s="60"/>
      <c r="F116" s="59"/>
      <c r="G116" s="82">
        <f t="shared" si="212"/>
        <v>0</v>
      </c>
      <c r="H116" s="81">
        <f t="shared" si="213"/>
        <v>0</v>
      </c>
      <c r="I116" s="19">
        <f t="shared" si="214"/>
        <v>0</v>
      </c>
      <c r="J116" s="11">
        <f t="shared" si="215"/>
        <v>0</v>
      </c>
      <c r="K116" s="19">
        <f t="shared" si="216"/>
        <v>0</v>
      </c>
      <c r="L116" s="19">
        <f t="shared" si="217"/>
        <v>0</v>
      </c>
      <c r="M116" s="19">
        <f t="shared" si="218"/>
        <v>0</v>
      </c>
      <c r="N116" s="19">
        <f t="shared" si="219"/>
        <v>0</v>
      </c>
      <c r="O116" s="19">
        <f t="shared" si="220"/>
        <v>0</v>
      </c>
      <c r="P116" s="19">
        <f t="shared" si="221"/>
        <v>0</v>
      </c>
      <c r="Q116" s="19">
        <f t="shared" si="222"/>
        <v>0</v>
      </c>
      <c r="R116" s="19">
        <f t="shared" si="223"/>
        <v>0</v>
      </c>
      <c r="S116" s="19">
        <f t="shared" si="224"/>
        <v>0</v>
      </c>
      <c r="T116" s="19">
        <f t="shared" si="225"/>
        <v>0</v>
      </c>
      <c r="U116" s="19">
        <f t="shared" si="226"/>
        <v>0</v>
      </c>
      <c r="V116" s="19">
        <f t="shared" si="227"/>
        <v>0</v>
      </c>
      <c r="W116" s="19">
        <f t="shared" si="228"/>
        <v>0</v>
      </c>
      <c r="X116" s="19">
        <f t="shared" si="229"/>
        <v>0</v>
      </c>
      <c r="Y116" s="19">
        <f t="shared" si="230"/>
        <v>0</v>
      </c>
      <c r="Z116" s="19">
        <f t="shared" si="231"/>
        <v>0</v>
      </c>
      <c r="AA116" s="154">
        <v>7630</v>
      </c>
      <c r="AB116" s="17" t="e">
        <f>+H116*SUMIF('[1]KẾ HOẠCH'!$B$5:$CK$5,'Cắt lồng'!AA116,'[1]KẾ HOẠCH'!$B$6:$CK$6)+H116*SUMIF('[1]KẾ HOẠCH'!$B$7:$CK$7,'Cắt lồng'!AA116,'[1]KẾ HOẠCH'!$B$8:$CK$8)+H116*SUMIF('[1]KẾ HOẠCH'!$B$15:$CK$15,'Cắt lồng'!AA116,'[1]KẾ HOẠCH'!$B$16:$CK$16)</f>
        <v>#VALUE!</v>
      </c>
      <c r="AC116" s="16">
        <f t="shared" si="232"/>
        <v>0</v>
      </c>
      <c r="AD116" s="15" t="e">
        <f t="shared" si="233"/>
        <v>#VALUE!</v>
      </c>
      <c r="AE116" s="42"/>
      <c r="AF116" s="10" t="e">
        <f t="shared" si="234"/>
        <v>#DIV/0!</v>
      </c>
      <c r="AG116" s="10"/>
      <c r="AH116" s="152">
        <f t="shared" si="235"/>
        <v>0</v>
      </c>
      <c r="AI116" s="54" t="e">
        <f t="shared" si="236"/>
        <v>#DIV/0!</v>
      </c>
      <c r="AJ116" s="25">
        <f t="shared" si="237"/>
        <v>0</v>
      </c>
      <c r="AK116" s="25">
        <f t="shared" si="238"/>
        <v>0</v>
      </c>
      <c r="AL116" s="25">
        <f t="shared" si="239"/>
        <v>0</v>
      </c>
      <c r="AM116" s="30">
        <f t="shared" si="240"/>
        <v>0</v>
      </c>
      <c r="AN116" s="25">
        <f t="shared" si="241"/>
        <v>0</v>
      </c>
      <c r="AO116" s="25">
        <f t="shared" si="242"/>
        <v>0</v>
      </c>
      <c r="AP116" s="25">
        <f t="shared" si="243"/>
        <v>0</v>
      </c>
      <c r="AQ116" s="25">
        <f t="shared" si="244"/>
        <v>0</v>
      </c>
      <c r="AR116" s="25">
        <f t="shared" si="245"/>
        <v>0</v>
      </c>
      <c r="AS116" s="25">
        <f t="shared" si="246"/>
        <v>0</v>
      </c>
      <c r="AT116" s="25">
        <f t="shared" si="247"/>
        <v>0</v>
      </c>
      <c r="AV116" s="79">
        <f t="shared" si="248"/>
        <v>0</v>
      </c>
      <c r="AW116" s="79">
        <f t="array" ref="AW116">SUMIFS('Cắt lồng'!$AC$327:$AC$515,'Cắt lồng'!$AA$327:$AA$515,'Cắt lồng'!$AA116,'Cắt lồng'!$AE$327:$AE$515,'Cắt lồng'!AW$4:AW$4)</f>
        <v>0</v>
      </c>
      <c r="AX116" s="79">
        <f t="array" ref="AX116">SUMIFS('Cắt lồng'!$AH$327:$AH$515,'Cắt lồng'!$AA$327:$AA$515,'Cắt lồng'!$AA116,'Cắt lồng'!$AE$327:$AE$515,'Cắt lồng'!AX$4:AX$4)</f>
        <v>0</v>
      </c>
      <c r="AY116" s="78" t="e">
        <f t="shared" si="249"/>
        <v>#DIV/0!</v>
      </c>
      <c r="AZ116" s="79">
        <f t="array" ref="AZ116">SUMIFS('Cắt lồng'!$AC$327:$AC$515,'Cắt lồng'!$AA$327:$AA$515,'Cắt lồng'!$AA116,'Cắt lồng'!$AE$327:$AE$515,'Cắt lồng'!AZ$4:AZ$4)</f>
        <v>0</v>
      </c>
      <c r="BA116" s="79">
        <f t="array" ref="BA116">SUMIFS('Cắt lồng'!$AH$327:$AH$515,'Cắt lồng'!$AA$327:$AA$515,'Cắt lồng'!$AA116,'Cắt lồng'!$AE$327:$AE$515,'Cắt lồng'!BA$4:BA$4)</f>
        <v>0</v>
      </c>
      <c r="BB116" s="78" t="e">
        <f t="shared" si="250"/>
        <v>#DIV/0!</v>
      </c>
      <c r="BC116" s="79">
        <f t="array" ref="BC116">SUMIFS('Cắt lồng'!$AC$327:$AC$515,'Cắt lồng'!$AA$327:$AA$515,'Cắt lồng'!$AA116,'Cắt lồng'!$AE$327:$AE$515,'Cắt lồng'!BC$4:BC$4)</f>
        <v>0</v>
      </c>
      <c r="BD116" s="79">
        <f t="array" ref="BD116">SUMIFS('Cắt lồng'!$AH$327:$AH$515,'Cắt lồng'!$AA$327:$AA$515,'Cắt lồng'!$AA116,'Cắt lồng'!$AE$327:$AE$515,'Cắt lồng'!BD$4:BD$4)</f>
        <v>0</v>
      </c>
      <c r="BE116" s="78" t="e">
        <f t="shared" si="251"/>
        <v>#DIV/0!</v>
      </c>
      <c r="BF116" s="79">
        <f t="array" ref="BF116">SUMIFS('Cắt lồng'!$AC$327:$AC$515,'Cắt lồng'!$AA$327:$AA$515,'Cắt lồng'!$AA116,'Cắt lồng'!$AE$327:$AE$515,'Cắt lồng'!BF$4:BF$4)</f>
        <v>0</v>
      </c>
      <c r="BG116" s="79">
        <f t="array" ref="BG116">SUMIFS('Cắt lồng'!$AH$327:$AH$515,'Cắt lồng'!$AA$327:$AA$515,'Cắt lồng'!$AA116,'Cắt lồng'!$AE$327:$AE$515,'Cắt lồng'!BG$4:BG$4)</f>
        <v>0</v>
      </c>
      <c r="BH116" s="78" t="e">
        <f t="shared" si="252"/>
        <v>#DIV/0!</v>
      </c>
      <c r="BI116" s="79">
        <f t="array" ref="BI116">SUMIFS('Cắt lồng'!$AC$327:$AC$515,'Cắt lồng'!$AA$327:$AA$515,'Cắt lồng'!$AA116,'Cắt lồng'!$AE$327:$AE$515,'Cắt lồng'!BI$4:BI$4)</f>
        <v>0</v>
      </c>
      <c r="BJ116" s="79">
        <f t="array" ref="BJ116">SUMIFS('Cắt lồng'!$AH$327:$AH$515,'Cắt lồng'!$AA$327:$AA$515,'Cắt lồng'!$AA116,'Cắt lồng'!$AE$327:$AE$515,'Cắt lồng'!BJ$4:BJ$4)</f>
        <v>0</v>
      </c>
      <c r="BK116" s="78" t="e">
        <f t="shared" si="253"/>
        <v>#DIV/0!</v>
      </c>
      <c r="BL116" s="79">
        <f t="array" ref="BL116">SUMIFS('Cắt lồng'!$AC$327:$AC$515,'Cắt lồng'!$AA$327:$AA$515,'Cắt lồng'!$AA116,'Cắt lồng'!$AE$327:$AE$515,'Cắt lồng'!BL$4:BL$4)</f>
        <v>0</v>
      </c>
      <c r="BM116" s="79">
        <f t="array" ref="BM116">SUMIFS('Cắt lồng'!$AH$327:$AH$515,'Cắt lồng'!$AA$327:$AA$515,'Cắt lồng'!$AA116,'Cắt lồng'!$AE$327:$AE$515,'Cắt lồng'!BM$4:BM$4)</f>
        <v>0</v>
      </c>
      <c r="BN116" s="78" t="e">
        <f t="shared" si="254"/>
        <v>#DIV/0!</v>
      </c>
      <c r="BO116" s="79">
        <f t="array" ref="BO116">SUMIFS('Cắt lồng'!$AC$327:$AC$515,'Cắt lồng'!$AA$327:$AA$515,'Cắt lồng'!$AA116,'Cắt lồng'!$AE$327:$AE$515,'Cắt lồng'!BO$4:BO$4)</f>
        <v>0</v>
      </c>
      <c r="BP116" s="79">
        <f t="array" ref="BP116">SUMIFS('Cắt lồng'!$AH$327:$AH$515,'Cắt lồng'!$AA$327:$AA$515,'Cắt lồng'!$AA116,'Cắt lồng'!$AE$327:$AE$515,'Cắt lồng'!BP$4:BP$4)</f>
        <v>0</v>
      </c>
      <c r="BQ116" s="78" t="e">
        <f t="shared" si="255"/>
        <v>#DIV/0!</v>
      </c>
      <c r="BR116" s="79">
        <f t="array" ref="BR116">SUMIFS('Cắt lồng'!$AC$327:$AC$515,'Cắt lồng'!$AA$327:$AA$515,'Cắt lồng'!$AA116,'Cắt lồng'!$AE$327:$AE$515,'Cắt lồng'!BR$4:BR$4)</f>
        <v>0</v>
      </c>
      <c r="BS116" s="79">
        <f t="array" ref="BS116">SUMIFS('Cắt lồng'!$AH$327:$AH$515,'Cắt lồng'!$AA$327:$AA$515,'Cắt lồng'!$AA116,'Cắt lồng'!$AE$327:$AE$515,'Cắt lồng'!BS$4:BS$4)</f>
        <v>0</v>
      </c>
      <c r="BT116" s="78" t="e">
        <f t="shared" si="256"/>
        <v>#DIV/0!</v>
      </c>
      <c r="BU116" s="79">
        <f t="array" ref="BU116">SUMIFS('Cắt lồng'!$AC$327:$AC$515,'Cắt lồng'!$AA$327:$AA$515,'Cắt lồng'!$AA116,'Cắt lồng'!$AE$327:$AE$515,'Cắt lồng'!BU$4:BU$4)</f>
        <v>0</v>
      </c>
      <c r="BV116" s="79">
        <f t="array" ref="BV116">SUMIFS('Cắt lồng'!$AH$327:$AH$515,'Cắt lồng'!$AA$327:$AA$515,'Cắt lồng'!$AA116,'Cắt lồng'!$AE$327:$AE$515,'Cắt lồng'!BV$4:BV$4)</f>
        <v>0</v>
      </c>
      <c r="BW116" s="78" t="e">
        <f t="shared" si="257"/>
        <v>#DIV/0!</v>
      </c>
      <c r="BX116" s="79">
        <f t="array" ref="BX116">SUMIFS('Cắt lồng'!$AC$327:$AC$515,'Cắt lồng'!$AA$327:$AA$515,'Cắt lồng'!$AA116,'Cắt lồng'!$AE$327:$AE$515,'Cắt lồng'!BX$4:BX$4)</f>
        <v>0</v>
      </c>
      <c r="BY116" s="79">
        <f t="array" ref="BY116">SUMIFS('Cắt lồng'!$AH$327:$AH$515,'Cắt lồng'!$AA$327:$AA$515,'Cắt lồng'!$AA116,'Cắt lồng'!$AE$327:$AE$515,'Cắt lồng'!BY$4:BY$4)</f>
        <v>0</v>
      </c>
      <c r="BZ116" s="78" t="e">
        <f t="shared" si="258"/>
        <v>#DIV/0!</v>
      </c>
      <c r="CA116" s="79">
        <f t="array" ref="CA116">SUMIFS('Cắt lồng'!$AC$327:$AC$515,'Cắt lồng'!$AA$327:$AA$515,'Cắt lồng'!$AA116,'Cắt lồng'!$AE$327:$AE$515,'Cắt lồng'!CA$4:CA$4)</f>
        <v>0</v>
      </c>
      <c r="CB116" s="79">
        <f t="array" ref="CB116">SUMIFS('Cắt lồng'!$AH$327:$AH$515,'Cắt lồng'!$AA$327:$AA$515,'Cắt lồng'!$AA116,'Cắt lồng'!$AE$327:$AE$515,'Cắt lồng'!CB$4:CB$4)</f>
        <v>0</v>
      </c>
      <c r="CC116" s="78" t="e">
        <f t="shared" si="259"/>
        <v>#DIV/0!</v>
      </c>
      <c r="CD116" s="79">
        <f t="array" ref="CD116">SUMIFS('Cắt lồng'!$AC$327:$AC$515,'Cắt lồng'!$AA$327:$AA$515,'Cắt lồng'!$AA116,'Cắt lồng'!$AE$327:$AE$515,'Cắt lồng'!CD$4:CD$4)</f>
        <v>0</v>
      </c>
      <c r="CE116" s="79">
        <f t="array" ref="CE116">SUMIFS('Cắt lồng'!$AH$327:$AH$515,'Cắt lồng'!$AA$327:$AA$515,'Cắt lồng'!$AA116,'Cắt lồng'!$AE$327:$AE$515,'Cắt lồng'!CE$4:CE$4)</f>
        <v>0</v>
      </c>
      <c r="CF116" s="78" t="e">
        <f t="shared" si="260"/>
        <v>#DIV/0!</v>
      </c>
      <c r="CG116" s="79">
        <f t="array" ref="CG116">SUMIFS('Cắt lồng'!$AC$327:$AC$515,'Cắt lồng'!$AA$327:$AA$515,'Cắt lồng'!$AA116,'Cắt lồng'!$AE$327:$AE$515,'Cắt lồng'!CG$4:CG$4)</f>
        <v>0</v>
      </c>
      <c r="CH116" s="79">
        <f t="array" ref="CH116">SUMIFS('Cắt lồng'!$AH$327:$AH$515,'Cắt lồng'!$AA$327:$AA$515,'Cắt lồng'!$AA116,'Cắt lồng'!$AE$327:$AE$515,'Cắt lồng'!CH$4:CH$4)</f>
        <v>0</v>
      </c>
      <c r="CI116" s="78" t="e">
        <f t="shared" si="261"/>
        <v>#DIV/0!</v>
      </c>
      <c r="CJ116" s="79">
        <f t="array" ref="CJ116">SUMIFS('Cắt lồng'!$AC$327:$AC$515,'Cắt lồng'!$AA$327:$AA$515,'Cắt lồng'!$AA116,'Cắt lồng'!$AE$327:$AE$515,'Cắt lồng'!CJ$4:CJ$4)</f>
        <v>0</v>
      </c>
      <c r="CK116" s="79">
        <f t="array" ref="CK116">SUMIFS('Cắt lồng'!$AH$327:$AH$515,'Cắt lồng'!$AA$327:$AA$515,'Cắt lồng'!$AA116,'Cắt lồng'!$AE$327:$AE$515,'Cắt lồng'!CK$4:CK$4)</f>
        <v>0</v>
      </c>
      <c r="CL116" s="78" t="e">
        <f t="shared" si="262"/>
        <v>#DIV/0!</v>
      </c>
      <c r="CM116" s="79">
        <f t="array" ref="CM116">SUMIFS('Cắt lồng'!$AC$327:$AC$515,'Cắt lồng'!$AA$327:$AA$515,'Cắt lồng'!$AA116,'Cắt lồng'!$AE$327:$AE$515,'Cắt lồng'!CM$4:CM$4)</f>
        <v>0</v>
      </c>
      <c r="CN116" s="79">
        <f t="array" ref="CN116">SUMIFS('Cắt lồng'!$AH$327:$AH$515,'Cắt lồng'!$AA$327:$AA$515,'Cắt lồng'!$AA116,'Cắt lồng'!$AE$327:$AE$515,'Cắt lồng'!CN$4:CN$4)</f>
        <v>0</v>
      </c>
      <c r="CO116" s="78" t="e">
        <f t="shared" si="263"/>
        <v>#DIV/0!</v>
      </c>
      <c r="CP116" s="79">
        <f t="array" ref="CP116">SUMIFS('Cắt lồng'!$AC$327:$AC$515,'Cắt lồng'!$AA$327:$AA$515,'Cắt lồng'!$AA116,'Cắt lồng'!$AE$327:$AE$515,'Cắt lồng'!CP$4:CP$4)</f>
        <v>0</v>
      </c>
      <c r="CQ116" s="79">
        <f t="array" ref="CQ116">SUMIFS('Cắt lồng'!$AH$327:$AH$515,'Cắt lồng'!$AA$327:$AA$515,'Cắt lồng'!$AA116,'Cắt lồng'!$AE$327:$AE$515,'Cắt lồng'!CQ$4:CQ$4)</f>
        <v>0</v>
      </c>
      <c r="CR116" s="78" t="e">
        <f t="shared" si="264"/>
        <v>#DIV/0!</v>
      </c>
      <c r="CS116" s="79">
        <f t="array" ref="CS116">SUMIFS('Cắt lồng'!$AC$327:$AC$515,'Cắt lồng'!$AA$327:$AA$515,'Cắt lồng'!$AA116,'Cắt lồng'!$AE$327:$AE$515,'Cắt lồng'!CS$4:CS$4)</f>
        <v>0</v>
      </c>
      <c r="CT116" s="79">
        <f t="array" ref="CT116">SUMIFS('Cắt lồng'!$AH$327:$AH$515,'Cắt lồng'!$AA$327:$AA$515,'Cắt lồng'!$AA116,'Cắt lồng'!$AE$327:$AE$515,'Cắt lồng'!CT$4:CT$4)</f>
        <v>0</v>
      </c>
      <c r="CU116" s="78" t="e">
        <f t="shared" si="265"/>
        <v>#DIV/0!</v>
      </c>
      <c r="CV116" s="79">
        <f t="array" ref="CV116">SUMIFS('Cắt lồng'!$AC$327:$AC$515,'Cắt lồng'!$AA$327:$AA$515,'Cắt lồng'!$AA116,'Cắt lồng'!$AE$327:$AE$515,'Cắt lồng'!CV$4:CV$4)</f>
        <v>0</v>
      </c>
      <c r="CW116" s="79">
        <f t="array" ref="CW116">SUMIFS('Cắt lồng'!$AH$327:$AH$515,'Cắt lồng'!$AA$327:$AA$515,'Cắt lồng'!$AA116,'Cắt lồng'!$AE$327:$AE$515,'Cắt lồng'!CW$4:CW$4)</f>
        <v>0</v>
      </c>
      <c r="CX116" s="78" t="e">
        <f t="shared" si="266"/>
        <v>#DIV/0!</v>
      </c>
      <c r="CY116" s="79">
        <f t="array" ref="CY116">SUMIFS('Cắt lồng'!$AC$327:$AC$515,'Cắt lồng'!$AA$327:$AA$515,'Cắt lồng'!$AA116,'Cắt lồng'!$AE$327:$AE$515,'Cắt lồng'!CY$4:CY$4)</f>
        <v>0</v>
      </c>
      <c r="CZ116" s="79">
        <f t="array" ref="CZ116">SUMIFS('Cắt lồng'!$AH$327:$AH$515,'Cắt lồng'!$AA$327:$AA$515,'Cắt lồng'!$AA116,'Cắt lồng'!$AE$327:$AE$515,'Cắt lồng'!CZ$4:CZ$4)</f>
        <v>0</v>
      </c>
      <c r="DA116" s="78" t="e">
        <f t="shared" si="267"/>
        <v>#DIV/0!</v>
      </c>
      <c r="DB116" s="79">
        <f t="array" ref="DB116">SUMIFS('Cắt lồng'!$AC$327:$AC$515,'Cắt lồng'!$AA$327:$AA$515,'Cắt lồng'!$AA116,'Cắt lồng'!$AE$327:$AE$515,'Cắt lồng'!DB$4:DB$4)</f>
        <v>0</v>
      </c>
      <c r="DC116" s="79">
        <f t="array" ref="DC116">SUMIFS('Cắt lồng'!$AH$327:$AH$515,'Cắt lồng'!$AA$327:$AA$515,'Cắt lồng'!$AA116,'Cắt lồng'!$AE$327:$AE$515,'Cắt lồng'!DC$4:DC$4)</f>
        <v>0</v>
      </c>
      <c r="DD116" s="78" t="e">
        <f t="shared" si="268"/>
        <v>#DIV/0!</v>
      </c>
      <c r="DE116" s="79">
        <f t="array" ref="DE116">SUMIFS('Cắt lồng'!$AC$327:$AC$515,'Cắt lồng'!$AA$327:$AA$515,'Cắt lồng'!$AA116,'Cắt lồng'!$AE$327:$AE$515,'Cắt lồng'!DE$4:DE$4)</f>
        <v>0</v>
      </c>
      <c r="DF116" s="79">
        <f t="array" ref="DF116">SUMIFS('Cắt lồng'!$AH$327:$AH$515,'Cắt lồng'!$AA$327:$AA$515,'Cắt lồng'!$AA116,'Cắt lồng'!$AE$327:$AE$515,'Cắt lồng'!DF$4:DF$4)</f>
        <v>0</v>
      </c>
      <c r="DG116" s="78" t="e">
        <f t="shared" si="269"/>
        <v>#DIV/0!</v>
      </c>
      <c r="DH116" s="79">
        <f t="array" ref="DH116">SUMIFS('Cắt lồng'!$AC$327:$AC$515,'Cắt lồng'!$AA$327:$AA$515,'Cắt lồng'!$AA116,'Cắt lồng'!$AE$327:$AE$515,'Cắt lồng'!DH$4:DH$4)</f>
        <v>0</v>
      </c>
      <c r="DI116" s="79">
        <f t="array" ref="DI116">SUMIFS('Cắt lồng'!$AH$327:$AH$515,'Cắt lồng'!$AA$327:$AA$515,'Cắt lồng'!$AA116,'Cắt lồng'!$AE$327:$AE$515,'Cắt lồng'!DI$4:DI$4)</f>
        <v>0</v>
      </c>
      <c r="DJ116" s="78" t="e">
        <f t="shared" si="270"/>
        <v>#DIV/0!</v>
      </c>
      <c r="DK116" s="79">
        <f t="array" ref="DK116">SUMIFS('Cắt lồng'!$AC$327:$AC$515,'Cắt lồng'!$AA$327:$AA$515,'Cắt lồng'!$AA116,'Cắt lồng'!$AE$327:$AE$515,'Cắt lồng'!DK$4:DK$4)</f>
        <v>0</v>
      </c>
      <c r="DL116" s="79">
        <f t="array" ref="DL116">SUMIFS('Cắt lồng'!$AH$327:$AH$515,'Cắt lồng'!$AA$327:$AA$515,'Cắt lồng'!$AA116,'Cắt lồng'!$AE$327:$AE$515,'Cắt lồng'!DL$4:DL$4)</f>
        <v>0</v>
      </c>
      <c r="DM116" s="78" t="e">
        <f t="shared" si="271"/>
        <v>#DIV/0!</v>
      </c>
      <c r="DN116" s="79">
        <f t="array" ref="DN116">SUMIFS('Cắt lồng'!$AC$327:$AC$515,'Cắt lồng'!$AA$327:$AA$515,'Cắt lồng'!$AA116,'Cắt lồng'!$AE$327:$AE$515,'Cắt lồng'!DN$4:DN$4)</f>
        <v>0</v>
      </c>
      <c r="DO116" s="79">
        <f t="array" ref="DO116">SUMIFS('Cắt lồng'!$AH$327:$AH$515,'Cắt lồng'!$AA$327:$AA$515,'Cắt lồng'!$AA116,'Cắt lồng'!$AE$327:$AE$515,'Cắt lồng'!DO$4:DO$4)</f>
        <v>0</v>
      </c>
      <c r="DP116" s="78" t="e">
        <f t="shared" si="272"/>
        <v>#DIV/0!</v>
      </c>
      <c r="DQ116" s="79">
        <f t="array" ref="DQ116">SUMIFS('Cắt lồng'!$AC$327:$AC$515,'Cắt lồng'!$AA$327:$AA$515,'Cắt lồng'!$AA116,'Cắt lồng'!$AE$327:$AE$515,'Cắt lồng'!DQ$4:DQ$4)</f>
        <v>0</v>
      </c>
      <c r="DR116" s="79">
        <f t="array" ref="DR116">SUMIFS('Cắt lồng'!$AH$327:$AH$515,'Cắt lồng'!$AA$327:$AA$515,'Cắt lồng'!$AA116,'Cắt lồng'!$AE$327:$AE$515,'Cắt lồng'!DR$4:DR$4)</f>
        <v>0</v>
      </c>
      <c r="DS116" s="78" t="e">
        <f t="shared" si="273"/>
        <v>#DIV/0!</v>
      </c>
      <c r="DT116" s="79">
        <f t="array" ref="DT116">SUMIFS('Cắt lồng'!$AC$327:$AC$515,'Cắt lồng'!$AA$327:$AA$515,'Cắt lồng'!$AA116,'Cắt lồng'!$AE$327:$AE$515,'Cắt lồng'!DT$4:DT$4)</f>
        <v>0</v>
      </c>
      <c r="DU116" s="79">
        <f t="array" ref="DU116">SUMIFS('Cắt lồng'!$AH$327:$AH$515,'Cắt lồng'!$AA$327:$AA$515,'Cắt lồng'!$AA116,'Cắt lồng'!$AE$327:$AE$515,'Cắt lồng'!DU$4:DU$4)</f>
        <v>0</v>
      </c>
      <c r="DV116" s="78" t="e">
        <f t="shared" si="274"/>
        <v>#DIV/0!</v>
      </c>
      <c r="DW116" s="79">
        <f t="array" ref="DW116">SUMIFS('Cắt lồng'!$AC$327:$AC$515,'Cắt lồng'!$AA$327:$AA$515,'Cắt lồng'!$AA116,'Cắt lồng'!$AE$327:$AE$515,'Cắt lồng'!DW$4:DW$4)</f>
        <v>0</v>
      </c>
      <c r="DX116" s="79">
        <f t="array" ref="DX116">SUMIFS('Cắt lồng'!$AH$327:$AH$515,'Cắt lồng'!$AA$327:$AA$515,'Cắt lồng'!$AA116,'Cắt lồng'!$AE$327:$AE$515,'Cắt lồng'!DX$4:DX$4)</f>
        <v>0</v>
      </c>
      <c r="DY116" s="78" t="e">
        <f t="shared" si="275"/>
        <v>#DIV/0!</v>
      </c>
      <c r="DZ116" s="79">
        <f t="array" ref="DZ116">SUMIFS('Cắt lồng'!$AC$327:$AC$515,'Cắt lồng'!$AA$327:$AA$515,'Cắt lồng'!$AA116,'Cắt lồng'!$AE$327:$AE$515,'Cắt lồng'!DZ$4:DZ$4)</f>
        <v>0</v>
      </c>
      <c r="EA116" s="79">
        <f t="array" ref="EA116">SUMIFS('Cắt lồng'!$AH$327:$AH$515,'Cắt lồng'!$AA$327:$AA$515,'Cắt lồng'!$AA116,'Cắt lồng'!$AE$327:$AE$515,'Cắt lồng'!EA$4:EA$4)</f>
        <v>0</v>
      </c>
      <c r="EB116" s="78" t="e">
        <f t="shared" si="276"/>
        <v>#DIV/0!</v>
      </c>
      <c r="EC116" s="79">
        <f t="array" ref="EC116">SUMIFS('Cắt lồng'!$AC$327:$AC$515,'Cắt lồng'!$AA$327:$AA$515,'Cắt lồng'!$AA116,'Cắt lồng'!$AE$327:$AE$515,'Cắt lồng'!EC$4:EC$4)</f>
        <v>0</v>
      </c>
      <c r="ED116" s="79">
        <f t="array" ref="ED116">SUMIFS('Cắt lồng'!$AH$327:$AH$515,'Cắt lồng'!$AA$327:$AA$515,'Cắt lồng'!$AA116,'Cắt lồng'!$AE$327:$AE$515,'Cắt lồng'!ED$4:ED$4)</f>
        <v>0</v>
      </c>
      <c r="EE116" s="78" t="e">
        <f t="shared" si="277"/>
        <v>#DIV/0!</v>
      </c>
      <c r="EF116" s="79">
        <f t="array" ref="EF116">SUMIFS('Cắt lồng'!$AC$327:$AC$515,'Cắt lồng'!$AA$327:$AA$515,'Cắt lồng'!$AA116,'Cắt lồng'!$AE$327:$AE$515,'Cắt lồng'!EF$4:EF$4)</f>
        <v>0</v>
      </c>
      <c r="EG116" s="79">
        <f t="array" ref="EG116">SUMIFS('Cắt lồng'!$AH$327:$AH$515,'Cắt lồng'!$AA$327:$AA$515,'Cắt lồng'!$AA116,'Cắt lồng'!$AE$327:$AE$515,'Cắt lồng'!EG$4:EG$4)</f>
        <v>0</v>
      </c>
      <c r="EH116" s="78" t="e">
        <f t="shared" si="278"/>
        <v>#DIV/0!</v>
      </c>
      <c r="EI116" s="79">
        <f t="array" ref="EI116">SUMIFS('Cắt lồng'!$AC$327:$AC$515,'Cắt lồng'!$AA$327:$AA$515,'Cắt lồng'!$AA116,'Cắt lồng'!$AE$327:$AE$515,'Cắt lồng'!EI$4:EI$4)</f>
        <v>0</v>
      </c>
      <c r="EJ116" s="79">
        <f t="array" ref="EJ116">SUMIFS('Cắt lồng'!$AH$327:$AH$515,'Cắt lồng'!$AA$327:$AA$515,'Cắt lồng'!$AA116,'Cắt lồng'!$AE$327:$AE$515,'Cắt lồng'!EJ$4:EJ$4)</f>
        <v>0</v>
      </c>
      <c r="EK116" s="78" t="e">
        <f t="shared" si="279"/>
        <v>#DIV/0!</v>
      </c>
    </row>
    <row r="117" spans="1:141" s="12" customFormat="1" ht="14.25" hidden="1" customHeight="1">
      <c r="A117" s="30">
        <v>84</v>
      </c>
      <c r="B117" s="26"/>
      <c r="C117" s="25"/>
      <c r="D117" s="24"/>
      <c r="E117" s="60"/>
      <c r="F117" s="59"/>
      <c r="G117" s="82">
        <f t="shared" si="212"/>
        <v>0</v>
      </c>
      <c r="H117" s="81">
        <f t="shared" si="213"/>
        <v>0</v>
      </c>
      <c r="I117" s="19">
        <f t="shared" si="214"/>
        <v>0</v>
      </c>
      <c r="J117" s="11">
        <f t="shared" si="215"/>
        <v>0</v>
      </c>
      <c r="K117" s="19">
        <f t="shared" si="216"/>
        <v>0</v>
      </c>
      <c r="L117" s="19">
        <f t="shared" si="217"/>
        <v>0</v>
      </c>
      <c r="M117" s="19">
        <f t="shared" si="218"/>
        <v>0</v>
      </c>
      <c r="N117" s="19">
        <f t="shared" si="219"/>
        <v>0</v>
      </c>
      <c r="O117" s="19">
        <f t="shared" si="220"/>
        <v>0</v>
      </c>
      <c r="P117" s="19">
        <f t="shared" si="221"/>
        <v>0</v>
      </c>
      <c r="Q117" s="19">
        <f t="shared" si="222"/>
        <v>0</v>
      </c>
      <c r="R117" s="19">
        <f t="shared" si="223"/>
        <v>0</v>
      </c>
      <c r="S117" s="19">
        <f t="shared" si="224"/>
        <v>0</v>
      </c>
      <c r="T117" s="19">
        <f t="shared" si="225"/>
        <v>0</v>
      </c>
      <c r="U117" s="19">
        <f t="shared" si="226"/>
        <v>0</v>
      </c>
      <c r="V117" s="19">
        <f t="shared" si="227"/>
        <v>0</v>
      </c>
      <c r="W117" s="19">
        <f t="shared" si="228"/>
        <v>0</v>
      </c>
      <c r="X117" s="19">
        <f t="shared" si="229"/>
        <v>0</v>
      </c>
      <c r="Y117" s="19">
        <f t="shared" si="230"/>
        <v>0</v>
      </c>
      <c r="Z117" s="19">
        <f t="shared" si="231"/>
        <v>0</v>
      </c>
      <c r="AA117" s="154">
        <v>4563</v>
      </c>
      <c r="AB117" s="17" t="e">
        <f>+H117*SUMIF('[1]KẾ HOẠCH'!$B$5:$CK$5,'Cắt lồng'!AA117,'[1]KẾ HOẠCH'!$B$6:$CK$6)+H117*SUMIF('[1]KẾ HOẠCH'!$B$7:$CK$7,'Cắt lồng'!AA117,'[1]KẾ HOẠCH'!$B$8:$CK$8)+H117*SUMIF('[1]KẾ HOẠCH'!$B$15:$CK$15,'Cắt lồng'!AA117,'[1]KẾ HOẠCH'!$B$16:$CK$16)</f>
        <v>#VALUE!</v>
      </c>
      <c r="AC117" s="16">
        <f t="shared" si="232"/>
        <v>0</v>
      </c>
      <c r="AD117" s="15" t="e">
        <f t="shared" si="233"/>
        <v>#VALUE!</v>
      </c>
      <c r="AE117" s="42"/>
      <c r="AF117" s="10" t="e">
        <f t="shared" si="234"/>
        <v>#DIV/0!</v>
      </c>
      <c r="AG117" s="10"/>
      <c r="AH117" s="152">
        <f t="shared" si="235"/>
        <v>0</v>
      </c>
      <c r="AI117" s="54" t="e">
        <f t="shared" si="236"/>
        <v>#DIV/0!</v>
      </c>
      <c r="AJ117" s="25">
        <f t="shared" si="237"/>
        <v>0</v>
      </c>
      <c r="AK117" s="25">
        <f t="shared" si="238"/>
        <v>0</v>
      </c>
      <c r="AL117" s="25">
        <f t="shared" si="239"/>
        <v>0</v>
      </c>
      <c r="AM117" s="30">
        <f t="shared" si="240"/>
        <v>0</v>
      </c>
      <c r="AN117" s="25">
        <f t="shared" si="241"/>
        <v>0</v>
      </c>
      <c r="AO117" s="25">
        <f t="shared" si="242"/>
        <v>0</v>
      </c>
      <c r="AP117" s="25">
        <f t="shared" si="243"/>
        <v>0</v>
      </c>
      <c r="AQ117" s="25">
        <f t="shared" si="244"/>
        <v>0</v>
      </c>
      <c r="AR117" s="25">
        <f t="shared" si="245"/>
        <v>0</v>
      </c>
      <c r="AS117" s="25">
        <f t="shared" si="246"/>
        <v>0</v>
      </c>
      <c r="AT117" s="25">
        <f t="shared" si="247"/>
        <v>0</v>
      </c>
      <c r="AV117" s="79">
        <f t="shared" si="248"/>
        <v>0</v>
      </c>
      <c r="AW117" s="79">
        <f t="array" ref="AW117">SUMIFS('Cắt lồng'!$AC$327:$AC$515,'Cắt lồng'!$AA$327:$AA$515,'Cắt lồng'!$AA117,'Cắt lồng'!$AE$327:$AE$515,'Cắt lồng'!AW$4:AW$4)</f>
        <v>0</v>
      </c>
      <c r="AX117" s="79">
        <f t="array" ref="AX117">SUMIFS('Cắt lồng'!$AH$327:$AH$515,'Cắt lồng'!$AA$327:$AA$515,'Cắt lồng'!$AA117,'Cắt lồng'!$AE$327:$AE$515,'Cắt lồng'!AX$4:AX$4)</f>
        <v>0</v>
      </c>
      <c r="AY117" s="78" t="e">
        <f t="shared" si="249"/>
        <v>#DIV/0!</v>
      </c>
      <c r="AZ117" s="79">
        <f t="array" ref="AZ117">SUMIFS('Cắt lồng'!$AC$327:$AC$515,'Cắt lồng'!$AA$327:$AA$515,'Cắt lồng'!$AA117,'Cắt lồng'!$AE$327:$AE$515,'Cắt lồng'!AZ$4:AZ$4)</f>
        <v>0</v>
      </c>
      <c r="BA117" s="79">
        <f t="array" ref="BA117">SUMIFS('Cắt lồng'!$AH$327:$AH$515,'Cắt lồng'!$AA$327:$AA$515,'Cắt lồng'!$AA117,'Cắt lồng'!$AE$327:$AE$515,'Cắt lồng'!BA$4:BA$4)</f>
        <v>0</v>
      </c>
      <c r="BB117" s="78" t="e">
        <f t="shared" si="250"/>
        <v>#DIV/0!</v>
      </c>
      <c r="BC117" s="79">
        <f t="array" ref="BC117">SUMIFS('Cắt lồng'!$AC$327:$AC$515,'Cắt lồng'!$AA$327:$AA$515,'Cắt lồng'!$AA117,'Cắt lồng'!$AE$327:$AE$515,'Cắt lồng'!BC$4:BC$4)</f>
        <v>0</v>
      </c>
      <c r="BD117" s="79">
        <f t="array" ref="BD117">SUMIFS('Cắt lồng'!$AH$327:$AH$515,'Cắt lồng'!$AA$327:$AA$515,'Cắt lồng'!$AA117,'Cắt lồng'!$AE$327:$AE$515,'Cắt lồng'!BD$4:BD$4)</f>
        <v>0</v>
      </c>
      <c r="BE117" s="78" t="e">
        <f t="shared" si="251"/>
        <v>#DIV/0!</v>
      </c>
      <c r="BF117" s="79">
        <f t="array" ref="BF117">SUMIFS('Cắt lồng'!$AC$327:$AC$515,'Cắt lồng'!$AA$327:$AA$515,'Cắt lồng'!$AA117,'Cắt lồng'!$AE$327:$AE$515,'Cắt lồng'!BF$4:BF$4)</f>
        <v>0</v>
      </c>
      <c r="BG117" s="79">
        <f t="array" ref="BG117">SUMIFS('Cắt lồng'!$AH$327:$AH$515,'Cắt lồng'!$AA$327:$AA$515,'Cắt lồng'!$AA117,'Cắt lồng'!$AE$327:$AE$515,'Cắt lồng'!BG$4:BG$4)</f>
        <v>0</v>
      </c>
      <c r="BH117" s="78" t="e">
        <f t="shared" si="252"/>
        <v>#DIV/0!</v>
      </c>
      <c r="BI117" s="79">
        <f t="array" ref="BI117">SUMIFS('Cắt lồng'!$AC$327:$AC$515,'Cắt lồng'!$AA$327:$AA$515,'Cắt lồng'!$AA117,'Cắt lồng'!$AE$327:$AE$515,'Cắt lồng'!BI$4:BI$4)</f>
        <v>0</v>
      </c>
      <c r="BJ117" s="79">
        <f t="array" ref="BJ117">SUMIFS('Cắt lồng'!$AH$327:$AH$515,'Cắt lồng'!$AA$327:$AA$515,'Cắt lồng'!$AA117,'Cắt lồng'!$AE$327:$AE$515,'Cắt lồng'!BJ$4:BJ$4)</f>
        <v>0</v>
      </c>
      <c r="BK117" s="78" t="e">
        <f t="shared" si="253"/>
        <v>#DIV/0!</v>
      </c>
      <c r="BL117" s="79">
        <f t="array" ref="BL117">SUMIFS('Cắt lồng'!$AC$327:$AC$515,'Cắt lồng'!$AA$327:$AA$515,'Cắt lồng'!$AA117,'Cắt lồng'!$AE$327:$AE$515,'Cắt lồng'!BL$4:BL$4)</f>
        <v>0</v>
      </c>
      <c r="BM117" s="79">
        <f t="array" ref="BM117">SUMIFS('Cắt lồng'!$AH$327:$AH$515,'Cắt lồng'!$AA$327:$AA$515,'Cắt lồng'!$AA117,'Cắt lồng'!$AE$327:$AE$515,'Cắt lồng'!BM$4:BM$4)</f>
        <v>0</v>
      </c>
      <c r="BN117" s="78" t="e">
        <f t="shared" si="254"/>
        <v>#DIV/0!</v>
      </c>
      <c r="BO117" s="79">
        <f t="array" ref="BO117">SUMIFS('Cắt lồng'!$AC$327:$AC$515,'Cắt lồng'!$AA$327:$AA$515,'Cắt lồng'!$AA117,'Cắt lồng'!$AE$327:$AE$515,'Cắt lồng'!BO$4:BO$4)</f>
        <v>0</v>
      </c>
      <c r="BP117" s="79">
        <f t="array" ref="BP117">SUMIFS('Cắt lồng'!$AH$327:$AH$515,'Cắt lồng'!$AA$327:$AA$515,'Cắt lồng'!$AA117,'Cắt lồng'!$AE$327:$AE$515,'Cắt lồng'!BP$4:BP$4)</f>
        <v>0</v>
      </c>
      <c r="BQ117" s="78" t="e">
        <f t="shared" si="255"/>
        <v>#DIV/0!</v>
      </c>
      <c r="BR117" s="79">
        <f t="array" ref="BR117">SUMIFS('Cắt lồng'!$AC$327:$AC$515,'Cắt lồng'!$AA$327:$AA$515,'Cắt lồng'!$AA117,'Cắt lồng'!$AE$327:$AE$515,'Cắt lồng'!BR$4:BR$4)</f>
        <v>0</v>
      </c>
      <c r="BS117" s="79">
        <f t="array" ref="BS117">SUMIFS('Cắt lồng'!$AH$327:$AH$515,'Cắt lồng'!$AA$327:$AA$515,'Cắt lồng'!$AA117,'Cắt lồng'!$AE$327:$AE$515,'Cắt lồng'!BS$4:BS$4)</f>
        <v>0</v>
      </c>
      <c r="BT117" s="78" t="e">
        <f t="shared" si="256"/>
        <v>#DIV/0!</v>
      </c>
      <c r="BU117" s="79">
        <f t="array" ref="BU117">SUMIFS('Cắt lồng'!$AC$327:$AC$515,'Cắt lồng'!$AA$327:$AA$515,'Cắt lồng'!$AA117,'Cắt lồng'!$AE$327:$AE$515,'Cắt lồng'!BU$4:BU$4)</f>
        <v>0</v>
      </c>
      <c r="BV117" s="79">
        <f t="array" ref="BV117">SUMIFS('Cắt lồng'!$AH$327:$AH$515,'Cắt lồng'!$AA$327:$AA$515,'Cắt lồng'!$AA117,'Cắt lồng'!$AE$327:$AE$515,'Cắt lồng'!BV$4:BV$4)</f>
        <v>0</v>
      </c>
      <c r="BW117" s="78" t="e">
        <f t="shared" si="257"/>
        <v>#DIV/0!</v>
      </c>
      <c r="BX117" s="79">
        <f t="array" ref="BX117">SUMIFS('Cắt lồng'!$AC$327:$AC$515,'Cắt lồng'!$AA$327:$AA$515,'Cắt lồng'!$AA117,'Cắt lồng'!$AE$327:$AE$515,'Cắt lồng'!BX$4:BX$4)</f>
        <v>0</v>
      </c>
      <c r="BY117" s="79">
        <f t="array" ref="BY117">SUMIFS('Cắt lồng'!$AH$327:$AH$515,'Cắt lồng'!$AA$327:$AA$515,'Cắt lồng'!$AA117,'Cắt lồng'!$AE$327:$AE$515,'Cắt lồng'!BY$4:BY$4)</f>
        <v>0</v>
      </c>
      <c r="BZ117" s="78" t="e">
        <f t="shared" si="258"/>
        <v>#DIV/0!</v>
      </c>
      <c r="CA117" s="79">
        <f t="array" ref="CA117">SUMIFS('Cắt lồng'!$AC$327:$AC$515,'Cắt lồng'!$AA$327:$AA$515,'Cắt lồng'!$AA117,'Cắt lồng'!$AE$327:$AE$515,'Cắt lồng'!CA$4:CA$4)</f>
        <v>0</v>
      </c>
      <c r="CB117" s="79">
        <f t="array" ref="CB117">SUMIFS('Cắt lồng'!$AH$327:$AH$515,'Cắt lồng'!$AA$327:$AA$515,'Cắt lồng'!$AA117,'Cắt lồng'!$AE$327:$AE$515,'Cắt lồng'!CB$4:CB$4)</f>
        <v>0</v>
      </c>
      <c r="CC117" s="78" t="e">
        <f t="shared" si="259"/>
        <v>#DIV/0!</v>
      </c>
      <c r="CD117" s="79">
        <f t="array" ref="CD117">SUMIFS('Cắt lồng'!$AC$327:$AC$515,'Cắt lồng'!$AA$327:$AA$515,'Cắt lồng'!$AA117,'Cắt lồng'!$AE$327:$AE$515,'Cắt lồng'!CD$4:CD$4)</f>
        <v>0</v>
      </c>
      <c r="CE117" s="79">
        <f t="array" ref="CE117">SUMIFS('Cắt lồng'!$AH$327:$AH$515,'Cắt lồng'!$AA$327:$AA$515,'Cắt lồng'!$AA117,'Cắt lồng'!$AE$327:$AE$515,'Cắt lồng'!CE$4:CE$4)</f>
        <v>0</v>
      </c>
      <c r="CF117" s="78" t="e">
        <f t="shared" si="260"/>
        <v>#DIV/0!</v>
      </c>
      <c r="CG117" s="79">
        <f t="array" ref="CG117">SUMIFS('Cắt lồng'!$AC$327:$AC$515,'Cắt lồng'!$AA$327:$AA$515,'Cắt lồng'!$AA117,'Cắt lồng'!$AE$327:$AE$515,'Cắt lồng'!CG$4:CG$4)</f>
        <v>0</v>
      </c>
      <c r="CH117" s="79">
        <f t="array" ref="CH117">SUMIFS('Cắt lồng'!$AH$327:$AH$515,'Cắt lồng'!$AA$327:$AA$515,'Cắt lồng'!$AA117,'Cắt lồng'!$AE$327:$AE$515,'Cắt lồng'!CH$4:CH$4)</f>
        <v>0</v>
      </c>
      <c r="CI117" s="78" t="e">
        <f t="shared" si="261"/>
        <v>#DIV/0!</v>
      </c>
      <c r="CJ117" s="79">
        <f t="array" ref="CJ117">SUMIFS('Cắt lồng'!$AC$327:$AC$515,'Cắt lồng'!$AA$327:$AA$515,'Cắt lồng'!$AA117,'Cắt lồng'!$AE$327:$AE$515,'Cắt lồng'!CJ$4:CJ$4)</f>
        <v>0</v>
      </c>
      <c r="CK117" s="79">
        <f t="array" ref="CK117">SUMIFS('Cắt lồng'!$AH$327:$AH$515,'Cắt lồng'!$AA$327:$AA$515,'Cắt lồng'!$AA117,'Cắt lồng'!$AE$327:$AE$515,'Cắt lồng'!CK$4:CK$4)</f>
        <v>0</v>
      </c>
      <c r="CL117" s="78" t="e">
        <f t="shared" si="262"/>
        <v>#DIV/0!</v>
      </c>
      <c r="CM117" s="79">
        <f t="array" ref="CM117">SUMIFS('Cắt lồng'!$AC$327:$AC$515,'Cắt lồng'!$AA$327:$AA$515,'Cắt lồng'!$AA117,'Cắt lồng'!$AE$327:$AE$515,'Cắt lồng'!CM$4:CM$4)</f>
        <v>0</v>
      </c>
      <c r="CN117" s="79">
        <f t="array" ref="CN117">SUMIFS('Cắt lồng'!$AH$327:$AH$515,'Cắt lồng'!$AA$327:$AA$515,'Cắt lồng'!$AA117,'Cắt lồng'!$AE$327:$AE$515,'Cắt lồng'!CN$4:CN$4)</f>
        <v>0</v>
      </c>
      <c r="CO117" s="78" t="e">
        <f t="shared" si="263"/>
        <v>#DIV/0!</v>
      </c>
      <c r="CP117" s="79">
        <f t="array" ref="CP117">SUMIFS('Cắt lồng'!$AC$327:$AC$515,'Cắt lồng'!$AA$327:$AA$515,'Cắt lồng'!$AA117,'Cắt lồng'!$AE$327:$AE$515,'Cắt lồng'!CP$4:CP$4)</f>
        <v>0</v>
      </c>
      <c r="CQ117" s="79">
        <f t="array" ref="CQ117">SUMIFS('Cắt lồng'!$AH$327:$AH$515,'Cắt lồng'!$AA$327:$AA$515,'Cắt lồng'!$AA117,'Cắt lồng'!$AE$327:$AE$515,'Cắt lồng'!CQ$4:CQ$4)</f>
        <v>0</v>
      </c>
      <c r="CR117" s="78" t="e">
        <f t="shared" si="264"/>
        <v>#DIV/0!</v>
      </c>
      <c r="CS117" s="79">
        <f t="array" ref="CS117">SUMIFS('Cắt lồng'!$AC$327:$AC$515,'Cắt lồng'!$AA$327:$AA$515,'Cắt lồng'!$AA117,'Cắt lồng'!$AE$327:$AE$515,'Cắt lồng'!CS$4:CS$4)</f>
        <v>0</v>
      </c>
      <c r="CT117" s="79">
        <f t="array" ref="CT117">SUMIFS('Cắt lồng'!$AH$327:$AH$515,'Cắt lồng'!$AA$327:$AA$515,'Cắt lồng'!$AA117,'Cắt lồng'!$AE$327:$AE$515,'Cắt lồng'!CT$4:CT$4)</f>
        <v>0</v>
      </c>
      <c r="CU117" s="78" t="e">
        <f t="shared" si="265"/>
        <v>#DIV/0!</v>
      </c>
      <c r="CV117" s="79">
        <f t="array" ref="CV117">SUMIFS('Cắt lồng'!$AC$327:$AC$515,'Cắt lồng'!$AA$327:$AA$515,'Cắt lồng'!$AA117,'Cắt lồng'!$AE$327:$AE$515,'Cắt lồng'!CV$4:CV$4)</f>
        <v>0</v>
      </c>
      <c r="CW117" s="79">
        <f t="array" ref="CW117">SUMIFS('Cắt lồng'!$AH$327:$AH$515,'Cắt lồng'!$AA$327:$AA$515,'Cắt lồng'!$AA117,'Cắt lồng'!$AE$327:$AE$515,'Cắt lồng'!CW$4:CW$4)</f>
        <v>0</v>
      </c>
      <c r="CX117" s="78" t="e">
        <f t="shared" si="266"/>
        <v>#DIV/0!</v>
      </c>
      <c r="CY117" s="79">
        <f t="array" ref="CY117">SUMIFS('Cắt lồng'!$AC$327:$AC$515,'Cắt lồng'!$AA$327:$AA$515,'Cắt lồng'!$AA117,'Cắt lồng'!$AE$327:$AE$515,'Cắt lồng'!CY$4:CY$4)</f>
        <v>0</v>
      </c>
      <c r="CZ117" s="79">
        <f t="array" ref="CZ117">SUMIFS('Cắt lồng'!$AH$327:$AH$515,'Cắt lồng'!$AA$327:$AA$515,'Cắt lồng'!$AA117,'Cắt lồng'!$AE$327:$AE$515,'Cắt lồng'!CZ$4:CZ$4)</f>
        <v>0</v>
      </c>
      <c r="DA117" s="78" t="e">
        <f t="shared" si="267"/>
        <v>#DIV/0!</v>
      </c>
      <c r="DB117" s="79">
        <f t="array" ref="DB117">SUMIFS('Cắt lồng'!$AC$327:$AC$515,'Cắt lồng'!$AA$327:$AA$515,'Cắt lồng'!$AA117,'Cắt lồng'!$AE$327:$AE$515,'Cắt lồng'!DB$4:DB$4)</f>
        <v>0</v>
      </c>
      <c r="DC117" s="79">
        <f t="array" ref="DC117">SUMIFS('Cắt lồng'!$AH$327:$AH$515,'Cắt lồng'!$AA$327:$AA$515,'Cắt lồng'!$AA117,'Cắt lồng'!$AE$327:$AE$515,'Cắt lồng'!DC$4:DC$4)</f>
        <v>0</v>
      </c>
      <c r="DD117" s="78" t="e">
        <f t="shared" si="268"/>
        <v>#DIV/0!</v>
      </c>
      <c r="DE117" s="79">
        <f t="array" ref="DE117">SUMIFS('Cắt lồng'!$AC$327:$AC$515,'Cắt lồng'!$AA$327:$AA$515,'Cắt lồng'!$AA117,'Cắt lồng'!$AE$327:$AE$515,'Cắt lồng'!DE$4:DE$4)</f>
        <v>0</v>
      </c>
      <c r="DF117" s="79">
        <f t="array" ref="DF117">SUMIFS('Cắt lồng'!$AH$327:$AH$515,'Cắt lồng'!$AA$327:$AA$515,'Cắt lồng'!$AA117,'Cắt lồng'!$AE$327:$AE$515,'Cắt lồng'!DF$4:DF$4)</f>
        <v>0</v>
      </c>
      <c r="DG117" s="78" t="e">
        <f t="shared" si="269"/>
        <v>#DIV/0!</v>
      </c>
      <c r="DH117" s="79">
        <f t="array" ref="DH117">SUMIFS('Cắt lồng'!$AC$327:$AC$515,'Cắt lồng'!$AA$327:$AA$515,'Cắt lồng'!$AA117,'Cắt lồng'!$AE$327:$AE$515,'Cắt lồng'!DH$4:DH$4)</f>
        <v>0</v>
      </c>
      <c r="DI117" s="79">
        <f t="array" ref="DI117">SUMIFS('Cắt lồng'!$AH$327:$AH$515,'Cắt lồng'!$AA$327:$AA$515,'Cắt lồng'!$AA117,'Cắt lồng'!$AE$327:$AE$515,'Cắt lồng'!DI$4:DI$4)</f>
        <v>0</v>
      </c>
      <c r="DJ117" s="78" t="e">
        <f t="shared" si="270"/>
        <v>#DIV/0!</v>
      </c>
      <c r="DK117" s="79">
        <f t="array" ref="DK117">SUMIFS('Cắt lồng'!$AC$327:$AC$515,'Cắt lồng'!$AA$327:$AA$515,'Cắt lồng'!$AA117,'Cắt lồng'!$AE$327:$AE$515,'Cắt lồng'!DK$4:DK$4)</f>
        <v>0</v>
      </c>
      <c r="DL117" s="79">
        <f t="array" ref="DL117">SUMIFS('Cắt lồng'!$AH$327:$AH$515,'Cắt lồng'!$AA$327:$AA$515,'Cắt lồng'!$AA117,'Cắt lồng'!$AE$327:$AE$515,'Cắt lồng'!DL$4:DL$4)</f>
        <v>0</v>
      </c>
      <c r="DM117" s="78" t="e">
        <f t="shared" si="271"/>
        <v>#DIV/0!</v>
      </c>
      <c r="DN117" s="79">
        <f t="array" ref="DN117">SUMIFS('Cắt lồng'!$AC$327:$AC$515,'Cắt lồng'!$AA$327:$AA$515,'Cắt lồng'!$AA117,'Cắt lồng'!$AE$327:$AE$515,'Cắt lồng'!DN$4:DN$4)</f>
        <v>0</v>
      </c>
      <c r="DO117" s="79">
        <f t="array" ref="DO117">SUMIFS('Cắt lồng'!$AH$327:$AH$515,'Cắt lồng'!$AA$327:$AA$515,'Cắt lồng'!$AA117,'Cắt lồng'!$AE$327:$AE$515,'Cắt lồng'!DO$4:DO$4)</f>
        <v>0</v>
      </c>
      <c r="DP117" s="78" t="e">
        <f t="shared" si="272"/>
        <v>#DIV/0!</v>
      </c>
      <c r="DQ117" s="79">
        <f t="array" ref="DQ117">SUMIFS('Cắt lồng'!$AC$327:$AC$515,'Cắt lồng'!$AA$327:$AA$515,'Cắt lồng'!$AA117,'Cắt lồng'!$AE$327:$AE$515,'Cắt lồng'!DQ$4:DQ$4)</f>
        <v>0</v>
      </c>
      <c r="DR117" s="79">
        <f t="array" ref="DR117">SUMIFS('Cắt lồng'!$AH$327:$AH$515,'Cắt lồng'!$AA$327:$AA$515,'Cắt lồng'!$AA117,'Cắt lồng'!$AE$327:$AE$515,'Cắt lồng'!DR$4:DR$4)</f>
        <v>0</v>
      </c>
      <c r="DS117" s="78" t="e">
        <f t="shared" si="273"/>
        <v>#DIV/0!</v>
      </c>
      <c r="DT117" s="79">
        <f t="array" ref="DT117">SUMIFS('Cắt lồng'!$AC$327:$AC$515,'Cắt lồng'!$AA$327:$AA$515,'Cắt lồng'!$AA117,'Cắt lồng'!$AE$327:$AE$515,'Cắt lồng'!DT$4:DT$4)</f>
        <v>0</v>
      </c>
      <c r="DU117" s="79">
        <f t="array" ref="DU117">SUMIFS('Cắt lồng'!$AH$327:$AH$515,'Cắt lồng'!$AA$327:$AA$515,'Cắt lồng'!$AA117,'Cắt lồng'!$AE$327:$AE$515,'Cắt lồng'!DU$4:DU$4)</f>
        <v>0</v>
      </c>
      <c r="DV117" s="78" t="e">
        <f t="shared" si="274"/>
        <v>#DIV/0!</v>
      </c>
      <c r="DW117" s="79">
        <f t="array" ref="DW117">SUMIFS('Cắt lồng'!$AC$327:$AC$515,'Cắt lồng'!$AA$327:$AA$515,'Cắt lồng'!$AA117,'Cắt lồng'!$AE$327:$AE$515,'Cắt lồng'!DW$4:DW$4)</f>
        <v>0</v>
      </c>
      <c r="DX117" s="79">
        <f t="array" ref="DX117">SUMIFS('Cắt lồng'!$AH$327:$AH$515,'Cắt lồng'!$AA$327:$AA$515,'Cắt lồng'!$AA117,'Cắt lồng'!$AE$327:$AE$515,'Cắt lồng'!DX$4:DX$4)</f>
        <v>0</v>
      </c>
      <c r="DY117" s="78" t="e">
        <f t="shared" si="275"/>
        <v>#DIV/0!</v>
      </c>
      <c r="DZ117" s="79">
        <f t="array" ref="DZ117">SUMIFS('Cắt lồng'!$AC$327:$AC$515,'Cắt lồng'!$AA$327:$AA$515,'Cắt lồng'!$AA117,'Cắt lồng'!$AE$327:$AE$515,'Cắt lồng'!DZ$4:DZ$4)</f>
        <v>0</v>
      </c>
      <c r="EA117" s="79">
        <f t="array" ref="EA117">SUMIFS('Cắt lồng'!$AH$327:$AH$515,'Cắt lồng'!$AA$327:$AA$515,'Cắt lồng'!$AA117,'Cắt lồng'!$AE$327:$AE$515,'Cắt lồng'!EA$4:EA$4)</f>
        <v>0</v>
      </c>
      <c r="EB117" s="78" t="e">
        <f t="shared" si="276"/>
        <v>#DIV/0!</v>
      </c>
      <c r="EC117" s="79">
        <f t="array" ref="EC117">SUMIFS('Cắt lồng'!$AC$327:$AC$515,'Cắt lồng'!$AA$327:$AA$515,'Cắt lồng'!$AA117,'Cắt lồng'!$AE$327:$AE$515,'Cắt lồng'!EC$4:EC$4)</f>
        <v>0</v>
      </c>
      <c r="ED117" s="79">
        <f t="array" ref="ED117">SUMIFS('Cắt lồng'!$AH$327:$AH$515,'Cắt lồng'!$AA$327:$AA$515,'Cắt lồng'!$AA117,'Cắt lồng'!$AE$327:$AE$515,'Cắt lồng'!ED$4:ED$4)</f>
        <v>0</v>
      </c>
      <c r="EE117" s="78" t="e">
        <f t="shared" si="277"/>
        <v>#DIV/0!</v>
      </c>
      <c r="EF117" s="79">
        <f t="array" ref="EF117">SUMIFS('Cắt lồng'!$AC$327:$AC$515,'Cắt lồng'!$AA$327:$AA$515,'Cắt lồng'!$AA117,'Cắt lồng'!$AE$327:$AE$515,'Cắt lồng'!EF$4:EF$4)</f>
        <v>0</v>
      </c>
      <c r="EG117" s="79">
        <f t="array" ref="EG117">SUMIFS('Cắt lồng'!$AH$327:$AH$515,'Cắt lồng'!$AA$327:$AA$515,'Cắt lồng'!$AA117,'Cắt lồng'!$AE$327:$AE$515,'Cắt lồng'!EG$4:EG$4)</f>
        <v>0</v>
      </c>
      <c r="EH117" s="78" t="e">
        <f t="shared" si="278"/>
        <v>#DIV/0!</v>
      </c>
      <c r="EI117" s="79">
        <f t="array" ref="EI117">SUMIFS('Cắt lồng'!$AC$327:$AC$515,'Cắt lồng'!$AA$327:$AA$515,'Cắt lồng'!$AA117,'Cắt lồng'!$AE$327:$AE$515,'Cắt lồng'!EI$4:EI$4)</f>
        <v>0</v>
      </c>
      <c r="EJ117" s="79">
        <f t="array" ref="EJ117">SUMIFS('Cắt lồng'!$AH$327:$AH$515,'Cắt lồng'!$AA$327:$AA$515,'Cắt lồng'!$AA117,'Cắt lồng'!$AE$327:$AE$515,'Cắt lồng'!EJ$4:EJ$4)</f>
        <v>0</v>
      </c>
      <c r="EK117" s="78" t="e">
        <f t="shared" si="279"/>
        <v>#DIV/0!</v>
      </c>
    </row>
    <row r="118" spans="1:141" s="12" customFormat="1" ht="14.25" hidden="1" customHeight="1">
      <c r="A118" s="30">
        <v>85</v>
      </c>
      <c r="B118" s="26"/>
      <c r="C118" s="25"/>
      <c r="D118" s="24"/>
      <c r="E118" s="60"/>
      <c r="F118" s="59"/>
      <c r="G118" s="82">
        <f t="shared" si="212"/>
        <v>0</v>
      </c>
      <c r="H118" s="81">
        <f t="shared" si="213"/>
        <v>0</v>
      </c>
      <c r="I118" s="19">
        <f t="shared" si="214"/>
        <v>0</v>
      </c>
      <c r="J118" s="11">
        <f t="shared" si="215"/>
        <v>0</v>
      </c>
      <c r="K118" s="19">
        <f t="shared" si="216"/>
        <v>0</v>
      </c>
      <c r="L118" s="19">
        <f t="shared" si="217"/>
        <v>0</v>
      </c>
      <c r="M118" s="19">
        <f t="shared" si="218"/>
        <v>0</v>
      </c>
      <c r="N118" s="19">
        <f t="shared" si="219"/>
        <v>0</v>
      </c>
      <c r="O118" s="19">
        <f t="shared" si="220"/>
        <v>0</v>
      </c>
      <c r="P118" s="19">
        <f t="shared" si="221"/>
        <v>0</v>
      </c>
      <c r="Q118" s="19">
        <f t="shared" si="222"/>
        <v>0</v>
      </c>
      <c r="R118" s="19">
        <f t="shared" si="223"/>
        <v>0</v>
      </c>
      <c r="S118" s="19">
        <f t="shared" si="224"/>
        <v>0</v>
      </c>
      <c r="T118" s="19">
        <f t="shared" si="225"/>
        <v>0</v>
      </c>
      <c r="U118" s="19">
        <f t="shared" si="226"/>
        <v>0</v>
      </c>
      <c r="V118" s="19">
        <f t="shared" si="227"/>
        <v>0</v>
      </c>
      <c r="W118" s="19">
        <f t="shared" si="228"/>
        <v>0</v>
      </c>
      <c r="X118" s="19">
        <f t="shared" si="229"/>
        <v>0</v>
      </c>
      <c r="Y118" s="19">
        <f t="shared" si="230"/>
        <v>0</v>
      </c>
      <c r="Z118" s="19">
        <f t="shared" si="231"/>
        <v>0</v>
      </c>
      <c r="AA118" s="154">
        <v>8484</v>
      </c>
      <c r="AB118" s="17" t="e">
        <f>+H118*SUMIF('[1]KẾ HOẠCH'!$B$5:$CK$5,'Cắt lồng'!AA118,'[1]KẾ HOẠCH'!$B$6:$CK$6)+H118*SUMIF('[1]KẾ HOẠCH'!$B$7:$CK$7,'Cắt lồng'!AA118,'[1]KẾ HOẠCH'!$B$8:$CK$8)+H118*SUMIF('[1]KẾ HOẠCH'!$B$15:$CK$15,'Cắt lồng'!AA118,'[1]KẾ HOẠCH'!$B$16:$CK$16)</f>
        <v>#VALUE!</v>
      </c>
      <c r="AC118" s="16">
        <f t="shared" si="232"/>
        <v>0</v>
      </c>
      <c r="AD118" s="15" t="e">
        <f t="shared" si="233"/>
        <v>#VALUE!</v>
      </c>
      <c r="AE118" s="42"/>
      <c r="AF118" s="10" t="e">
        <f t="shared" si="234"/>
        <v>#DIV/0!</v>
      </c>
      <c r="AG118" s="10"/>
      <c r="AH118" s="152">
        <f t="shared" si="235"/>
        <v>0</v>
      </c>
      <c r="AI118" s="54" t="e">
        <f t="shared" si="236"/>
        <v>#DIV/0!</v>
      </c>
      <c r="AJ118" s="25">
        <f t="shared" si="237"/>
        <v>0</v>
      </c>
      <c r="AK118" s="25">
        <f t="shared" si="238"/>
        <v>0</v>
      </c>
      <c r="AL118" s="25">
        <f t="shared" si="239"/>
        <v>0</v>
      </c>
      <c r="AM118" s="30">
        <f t="shared" si="240"/>
        <v>0</v>
      </c>
      <c r="AN118" s="25">
        <f t="shared" si="241"/>
        <v>0</v>
      </c>
      <c r="AO118" s="25">
        <f t="shared" si="242"/>
        <v>0</v>
      </c>
      <c r="AP118" s="25">
        <f t="shared" si="243"/>
        <v>0</v>
      </c>
      <c r="AQ118" s="25">
        <f t="shared" si="244"/>
        <v>0</v>
      </c>
      <c r="AR118" s="25">
        <f t="shared" si="245"/>
        <v>0</v>
      </c>
      <c r="AS118" s="25">
        <f t="shared" si="246"/>
        <v>0</v>
      </c>
      <c r="AT118" s="25">
        <f t="shared" si="247"/>
        <v>0</v>
      </c>
      <c r="AV118" s="79">
        <f t="shared" si="248"/>
        <v>0</v>
      </c>
      <c r="AW118" s="79">
        <f t="array" ref="AW118">SUMIFS('Cắt lồng'!$AC$327:$AC$515,'Cắt lồng'!$AA$327:$AA$515,'Cắt lồng'!$AA118,'Cắt lồng'!$AE$327:$AE$515,'Cắt lồng'!AW$4:AW$4)</f>
        <v>0</v>
      </c>
      <c r="AX118" s="79">
        <f t="array" ref="AX118">SUMIFS('Cắt lồng'!$AH$327:$AH$515,'Cắt lồng'!$AA$327:$AA$515,'Cắt lồng'!$AA118,'Cắt lồng'!$AE$327:$AE$515,'Cắt lồng'!AX$4:AX$4)</f>
        <v>0</v>
      </c>
      <c r="AY118" s="78" t="e">
        <f t="shared" si="249"/>
        <v>#DIV/0!</v>
      </c>
      <c r="AZ118" s="79">
        <f t="array" ref="AZ118">SUMIFS('Cắt lồng'!$AC$327:$AC$515,'Cắt lồng'!$AA$327:$AA$515,'Cắt lồng'!$AA118,'Cắt lồng'!$AE$327:$AE$515,'Cắt lồng'!AZ$4:AZ$4)</f>
        <v>0</v>
      </c>
      <c r="BA118" s="79">
        <f t="array" ref="BA118">SUMIFS('Cắt lồng'!$AH$327:$AH$515,'Cắt lồng'!$AA$327:$AA$515,'Cắt lồng'!$AA118,'Cắt lồng'!$AE$327:$AE$515,'Cắt lồng'!BA$4:BA$4)</f>
        <v>0</v>
      </c>
      <c r="BB118" s="78" t="e">
        <f t="shared" si="250"/>
        <v>#DIV/0!</v>
      </c>
      <c r="BC118" s="79">
        <f t="array" ref="BC118">SUMIFS('Cắt lồng'!$AC$327:$AC$515,'Cắt lồng'!$AA$327:$AA$515,'Cắt lồng'!$AA118,'Cắt lồng'!$AE$327:$AE$515,'Cắt lồng'!BC$4:BC$4)</f>
        <v>0</v>
      </c>
      <c r="BD118" s="79">
        <f t="array" ref="BD118">SUMIFS('Cắt lồng'!$AH$327:$AH$515,'Cắt lồng'!$AA$327:$AA$515,'Cắt lồng'!$AA118,'Cắt lồng'!$AE$327:$AE$515,'Cắt lồng'!BD$4:BD$4)</f>
        <v>0</v>
      </c>
      <c r="BE118" s="78" t="e">
        <f t="shared" si="251"/>
        <v>#DIV/0!</v>
      </c>
      <c r="BF118" s="79">
        <f t="array" ref="BF118">SUMIFS('Cắt lồng'!$AC$327:$AC$515,'Cắt lồng'!$AA$327:$AA$515,'Cắt lồng'!$AA118,'Cắt lồng'!$AE$327:$AE$515,'Cắt lồng'!BF$4:BF$4)</f>
        <v>0</v>
      </c>
      <c r="BG118" s="79">
        <f t="array" ref="BG118">SUMIFS('Cắt lồng'!$AH$327:$AH$515,'Cắt lồng'!$AA$327:$AA$515,'Cắt lồng'!$AA118,'Cắt lồng'!$AE$327:$AE$515,'Cắt lồng'!BG$4:BG$4)</f>
        <v>0</v>
      </c>
      <c r="BH118" s="78" t="e">
        <f t="shared" si="252"/>
        <v>#DIV/0!</v>
      </c>
      <c r="BI118" s="79">
        <f t="array" ref="BI118">SUMIFS('Cắt lồng'!$AC$327:$AC$515,'Cắt lồng'!$AA$327:$AA$515,'Cắt lồng'!$AA118,'Cắt lồng'!$AE$327:$AE$515,'Cắt lồng'!BI$4:BI$4)</f>
        <v>0</v>
      </c>
      <c r="BJ118" s="79">
        <f t="array" ref="BJ118">SUMIFS('Cắt lồng'!$AH$327:$AH$515,'Cắt lồng'!$AA$327:$AA$515,'Cắt lồng'!$AA118,'Cắt lồng'!$AE$327:$AE$515,'Cắt lồng'!BJ$4:BJ$4)</f>
        <v>0</v>
      </c>
      <c r="BK118" s="78" t="e">
        <f t="shared" si="253"/>
        <v>#DIV/0!</v>
      </c>
      <c r="BL118" s="79">
        <f t="array" ref="BL118">SUMIFS('Cắt lồng'!$AC$327:$AC$515,'Cắt lồng'!$AA$327:$AA$515,'Cắt lồng'!$AA118,'Cắt lồng'!$AE$327:$AE$515,'Cắt lồng'!BL$4:BL$4)</f>
        <v>0</v>
      </c>
      <c r="BM118" s="79">
        <f t="array" ref="BM118">SUMIFS('Cắt lồng'!$AH$327:$AH$515,'Cắt lồng'!$AA$327:$AA$515,'Cắt lồng'!$AA118,'Cắt lồng'!$AE$327:$AE$515,'Cắt lồng'!BM$4:BM$4)</f>
        <v>0</v>
      </c>
      <c r="BN118" s="78" t="e">
        <f t="shared" si="254"/>
        <v>#DIV/0!</v>
      </c>
      <c r="BO118" s="79">
        <f t="array" ref="BO118">SUMIFS('Cắt lồng'!$AC$327:$AC$515,'Cắt lồng'!$AA$327:$AA$515,'Cắt lồng'!$AA118,'Cắt lồng'!$AE$327:$AE$515,'Cắt lồng'!BO$4:BO$4)</f>
        <v>0</v>
      </c>
      <c r="BP118" s="79">
        <f t="array" ref="BP118">SUMIFS('Cắt lồng'!$AH$327:$AH$515,'Cắt lồng'!$AA$327:$AA$515,'Cắt lồng'!$AA118,'Cắt lồng'!$AE$327:$AE$515,'Cắt lồng'!BP$4:BP$4)</f>
        <v>0</v>
      </c>
      <c r="BQ118" s="78" t="e">
        <f t="shared" si="255"/>
        <v>#DIV/0!</v>
      </c>
      <c r="BR118" s="79">
        <f t="array" ref="BR118">SUMIFS('Cắt lồng'!$AC$327:$AC$515,'Cắt lồng'!$AA$327:$AA$515,'Cắt lồng'!$AA118,'Cắt lồng'!$AE$327:$AE$515,'Cắt lồng'!BR$4:BR$4)</f>
        <v>0</v>
      </c>
      <c r="BS118" s="79">
        <f t="array" ref="BS118">SUMIFS('Cắt lồng'!$AH$327:$AH$515,'Cắt lồng'!$AA$327:$AA$515,'Cắt lồng'!$AA118,'Cắt lồng'!$AE$327:$AE$515,'Cắt lồng'!BS$4:BS$4)</f>
        <v>0</v>
      </c>
      <c r="BT118" s="78" t="e">
        <f t="shared" si="256"/>
        <v>#DIV/0!</v>
      </c>
      <c r="BU118" s="79">
        <f t="array" ref="BU118">SUMIFS('Cắt lồng'!$AC$327:$AC$515,'Cắt lồng'!$AA$327:$AA$515,'Cắt lồng'!$AA118,'Cắt lồng'!$AE$327:$AE$515,'Cắt lồng'!BU$4:BU$4)</f>
        <v>0</v>
      </c>
      <c r="BV118" s="79">
        <f t="array" ref="BV118">SUMIFS('Cắt lồng'!$AH$327:$AH$515,'Cắt lồng'!$AA$327:$AA$515,'Cắt lồng'!$AA118,'Cắt lồng'!$AE$327:$AE$515,'Cắt lồng'!BV$4:BV$4)</f>
        <v>0</v>
      </c>
      <c r="BW118" s="78" t="e">
        <f t="shared" si="257"/>
        <v>#DIV/0!</v>
      </c>
      <c r="BX118" s="79">
        <f t="array" ref="BX118">SUMIFS('Cắt lồng'!$AC$327:$AC$515,'Cắt lồng'!$AA$327:$AA$515,'Cắt lồng'!$AA118,'Cắt lồng'!$AE$327:$AE$515,'Cắt lồng'!BX$4:BX$4)</f>
        <v>0</v>
      </c>
      <c r="BY118" s="79">
        <f t="array" ref="BY118">SUMIFS('Cắt lồng'!$AH$327:$AH$515,'Cắt lồng'!$AA$327:$AA$515,'Cắt lồng'!$AA118,'Cắt lồng'!$AE$327:$AE$515,'Cắt lồng'!BY$4:BY$4)</f>
        <v>0</v>
      </c>
      <c r="BZ118" s="78" t="e">
        <f t="shared" si="258"/>
        <v>#DIV/0!</v>
      </c>
      <c r="CA118" s="79">
        <f t="array" ref="CA118">SUMIFS('Cắt lồng'!$AC$327:$AC$515,'Cắt lồng'!$AA$327:$AA$515,'Cắt lồng'!$AA118,'Cắt lồng'!$AE$327:$AE$515,'Cắt lồng'!CA$4:CA$4)</f>
        <v>0</v>
      </c>
      <c r="CB118" s="79">
        <f t="array" ref="CB118">SUMIFS('Cắt lồng'!$AH$327:$AH$515,'Cắt lồng'!$AA$327:$AA$515,'Cắt lồng'!$AA118,'Cắt lồng'!$AE$327:$AE$515,'Cắt lồng'!CB$4:CB$4)</f>
        <v>0</v>
      </c>
      <c r="CC118" s="78" t="e">
        <f t="shared" si="259"/>
        <v>#DIV/0!</v>
      </c>
      <c r="CD118" s="79">
        <f t="array" ref="CD118">SUMIFS('Cắt lồng'!$AC$327:$AC$515,'Cắt lồng'!$AA$327:$AA$515,'Cắt lồng'!$AA118,'Cắt lồng'!$AE$327:$AE$515,'Cắt lồng'!CD$4:CD$4)</f>
        <v>0</v>
      </c>
      <c r="CE118" s="79">
        <f t="array" ref="CE118">SUMIFS('Cắt lồng'!$AH$327:$AH$515,'Cắt lồng'!$AA$327:$AA$515,'Cắt lồng'!$AA118,'Cắt lồng'!$AE$327:$AE$515,'Cắt lồng'!CE$4:CE$4)</f>
        <v>0</v>
      </c>
      <c r="CF118" s="78" t="e">
        <f t="shared" si="260"/>
        <v>#DIV/0!</v>
      </c>
      <c r="CG118" s="79">
        <f t="array" ref="CG118">SUMIFS('Cắt lồng'!$AC$327:$AC$515,'Cắt lồng'!$AA$327:$AA$515,'Cắt lồng'!$AA118,'Cắt lồng'!$AE$327:$AE$515,'Cắt lồng'!CG$4:CG$4)</f>
        <v>0</v>
      </c>
      <c r="CH118" s="79">
        <f t="array" ref="CH118">SUMIFS('Cắt lồng'!$AH$327:$AH$515,'Cắt lồng'!$AA$327:$AA$515,'Cắt lồng'!$AA118,'Cắt lồng'!$AE$327:$AE$515,'Cắt lồng'!CH$4:CH$4)</f>
        <v>0</v>
      </c>
      <c r="CI118" s="78" t="e">
        <f t="shared" si="261"/>
        <v>#DIV/0!</v>
      </c>
      <c r="CJ118" s="79">
        <f t="array" ref="CJ118">SUMIFS('Cắt lồng'!$AC$327:$AC$515,'Cắt lồng'!$AA$327:$AA$515,'Cắt lồng'!$AA118,'Cắt lồng'!$AE$327:$AE$515,'Cắt lồng'!CJ$4:CJ$4)</f>
        <v>0</v>
      </c>
      <c r="CK118" s="79">
        <f t="array" ref="CK118">SUMIFS('Cắt lồng'!$AH$327:$AH$515,'Cắt lồng'!$AA$327:$AA$515,'Cắt lồng'!$AA118,'Cắt lồng'!$AE$327:$AE$515,'Cắt lồng'!CK$4:CK$4)</f>
        <v>0</v>
      </c>
      <c r="CL118" s="78" t="e">
        <f t="shared" si="262"/>
        <v>#DIV/0!</v>
      </c>
      <c r="CM118" s="79">
        <f t="array" ref="CM118">SUMIFS('Cắt lồng'!$AC$327:$AC$515,'Cắt lồng'!$AA$327:$AA$515,'Cắt lồng'!$AA118,'Cắt lồng'!$AE$327:$AE$515,'Cắt lồng'!CM$4:CM$4)</f>
        <v>0</v>
      </c>
      <c r="CN118" s="79">
        <f t="array" ref="CN118">SUMIFS('Cắt lồng'!$AH$327:$AH$515,'Cắt lồng'!$AA$327:$AA$515,'Cắt lồng'!$AA118,'Cắt lồng'!$AE$327:$AE$515,'Cắt lồng'!CN$4:CN$4)</f>
        <v>0</v>
      </c>
      <c r="CO118" s="78" t="e">
        <f t="shared" si="263"/>
        <v>#DIV/0!</v>
      </c>
      <c r="CP118" s="79">
        <f t="array" ref="CP118">SUMIFS('Cắt lồng'!$AC$327:$AC$515,'Cắt lồng'!$AA$327:$AA$515,'Cắt lồng'!$AA118,'Cắt lồng'!$AE$327:$AE$515,'Cắt lồng'!CP$4:CP$4)</f>
        <v>0</v>
      </c>
      <c r="CQ118" s="79">
        <f t="array" ref="CQ118">SUMIFS('Cắt lồng'!$AH$327:$AH$515,'Cắt lồng'!$AA$327:$AA$515,'Cắt lồng'!$AA118,'Cắt lồng'!$AE$327:$AE$515,'Cắt lồng'!CQ$4:CQ$4)</f>
        <v>0</v>
      </c>
      <c r="CR118" s="78" t="e">
        <f t="shared" si="264"/>
        <v>#DIV/0!</v>
      </c>
      <c r="CS118" s="79">
        <f t="array" ref="CS118">SUMIFS('Cắt lồng'!$AC$327:$AC$515,'Cắt lồng'!$AA$327:$AA$515,'Cắt lồng'!$AA118,'Cắt lồng'!$AE$327:$AE$515,'Cắt lồng'!CS$4:CS$4)</f>
        <v>0</v>
      </c>
      <c r="CT118" s="79">
        <f t="array" ref="CT118">SUMIFS('Cắt lồng'!$AH$327:$AH$515,'Cắt lồng'!$AA$327:$AA$515,'Cắt lồng'!$AA118,'Cắt lồng'!$AE$327:$AE$515,'Cắt lồng'!CT$4:CT$4)</f>
        <v>0</v>
      </c>
      <c r="CU118" s="78" t="e">
        <f t="shared" si="265"/>
        <v>#DIV/0!</v>
      </c>
      <c r="CV118" s="79">
        <f t="array" ref="CV118">SUMIFS('Cắt lồng'!$AC$327:$AC$515,'Cắt lồng'!$AA$327:$AA$515,'Cắt lồng'!$AA118,'Cắt lồng'!$AE$327:$AE$515,'Cắt lồng'!CV$4:CV$4)</f>
        <v>0</v>
      </c>
      <c r="CW118" s="79">
        <f t="array" ref="CW118">SUMIFS('Cắt lồng'!$AH$327:$AH$515,'Cắt lồng'!$AA$327:$AA$515,'Cắt lồng'!$AA118,'Cắt lồng'!$AE$327:$AE$515,'Cắt lồng'!CW$4:CW$4)</f>
        <v>0</v>
      </c>
      <c r="CX118" s="78" t="e">
        <f t="shared" si="266"/>
        <v>#DIV/0!</v>
      </c>
      <c r="CY118" s="79">
        <f t="array" ref="CY118">SUMIFS('Cắt lồng'!$AC$327:$AC$515,'Cắt lồng'!$AA$327:$AA$515,'Cắt lồng'!$AA118,'Cắt lồng'!$AE$327:$AE$515,'Cắt lồng'!CY$4:CY$4)</f>
        <v>0</v>
      </c>
      <c r="CZ118" s="79">
        <f t="array" ref="CZ118">SUMIFS('Cắt lồng'!$AH$327:$AH$515,'Cắt lồng'!$AA$327:$AA$515,'Cắt lồng'!$AA118,'Cắt lồng'!$AE$327:$AE$515,'Cắt lồng'!CZ$4:CZ$4)</f>
        <v>0</v>
      </c>
      <c r="DA118" s="78" t="e">
        <f t="shared" si="267"/>
        <v>#DIV/0!</v>
      </c>
      <c r="DB118" s="79">
        <f t="array" ref="DB118">SUMIFS('Cắt lồng'!$AC$327:$AC$515,'Cắt lồng'!$AA$327:$AA$515,'Cắt lồng'!$AA118,'Cắt lồng'!$AE$327:$AE$515,'Cắt lồng'!DB$4:DB$4)</f>
        <v>0</v>
      </c>
      <c r="DC118" s="79">
        <f t="array" ref="DC118">SUMIFS('Cắt lồng'!$AH$327:$AH$515,'Cắt lồng'!$AA$327:$AA$515,'Cắt lồng'!$AA118,'Cắt lồng'!$AE$327:$AE$515,'Cắt lồng'!DC$4:DC$4)</f>
        <v>0</v>
      </c>
      <c r="DD118" s="78" t="e">
        <f t="shared" si="268"/>
        <v>#DIV/0!</v>
      </c>
      <c r="DE118" s="79">
        <f t="array" ref="DE118">SUMIFS('Cắt lồng'!$AC$327:$AC$515,'Cắt lồng'!$AA$327:$AA$515,'Cắt lồng'!$AA118,'Cắt lồng'!$AE$327:$AE$515,'Cắt lồng'!DE$4:DE$4)</f>
        <v>0</v>
      </c>
      <c r="DF118" s="79">
        <f t="array" ref="DF118">SUMIFS('Cắt lồng'!$AH$327:$AH$515,'Cắt lồng'!$AA$327:$AA$515,'Cắt lồng'!$AA118,'Cắt lồng'!$AE$327:$AE$515,'Cắt lồng'!DF$4:DF$4)</f>
        <v>0</v>
      </c>
      <c r="DG118" s="78" t="e">
        <f t="shared" si="269"/>
        <v>#DIV/0!</v>
      </c>
      <c r="DH118" s="79">
        <f t="array" ref="DH118">SUMIFS('Cắt lồng'!$AC$327:$AC$515,'Cắt lồng'!$AA$327:$AA$515,'Cắt lồng'!$AA118,'Cắt lồng'!$AE$327:$AE$515,'Cắt lồng'!DH$4:DH$4)</f>
        <v>0</v>
      </c>
      <c r="DI118" s="79">
        <f t="array" ref="DI118">SUMIFS('Cắt lồng'!$AH$327:$AH$515,'Cắt lồng'!$AA$327:$AA$515,'Cắt lồng'!$AA118,'Cắt lồng'!$AE$327:$AE$515,'Cắt lồng'!DI$4:DI$4)</f>
        <v>0</v>
      </c>
      <c r="DJ118" s="78" t="e">
        <f t="shared" si="270"/>
        <v>#DIV/0!</v>
      </c>
      <c r="DK118" s="79">
        <f t="array" ref="DK118">SUMIFS('Cắt lồng'!$AC$327:$AC$515,'Cắt lồng'!$AA$327:$AA$515,'Cắt lồng'!$AA118,'Cắt lồng'!$AE$327:$AE$515,'Cắt lồng'!DK$4:DK$4)</f>
        <v>0</v>
      </c>
      <c r="DL118" s="79">
        <f t="array" ref="DL118">SUMIFS('Cắt lồng'!$AH$327:$AH$515,'Cắt lồng'!$AA$327:$AA$515,'Cắt lồng'!$AA118,'Cắt lồng'!$AE$327:$AE$515,'Cắt lồng'!DL$4:DL$4)</f>
        <v>0</v>
      </c>
      <c r="DM118" s="78" t="e">
        <f t="shared" si="271"/>
        <v>#DIV/0!</v>
      </c>
      <c r="DN118" s="79">
        <f t="array" ref="DN118">SUMIFS('Cắt lồng'!$AC$327:$AC$515,'Cắt lồng'!$AA$327:$AA$515,'Cắt lồng'!$AA118,'Cắt lồng'!$AE$327:$AE$515,'Cắt lồng'!DN$4:DN$4)</f>
        <v>0</v>
      </c>
      <c r="DO118" s="79">
        <f t="array" ref="DO118">SUMIFS('Cắt lồng'!$AH$327:$AH$515,'Cắt lồng'!$AA$327:$AA$515,'Cắt lồng'!$AA118,'Cắt lồng'!$AE$327:$AE$515,'Cắt lồng'!DO$4:DO$4)</f>
        <v>0</v>
      </c>
      <c r="DP118" s="78" t="e">
        <f t="shared" si="272"/>
        <v>#DIV/0!</v>
      </c>
      <c r="DQ118" s="79">
        <f t="array" ref="DQ118">SUMIFS('Cắt lồng'!$AC$327:$AC$515,'Cắt lồng'!$AA$327:$AA$515,'Cắt lồng'!$AA118,'Cắt lồng'!$AE$327:$AE$515,'Cắt lồng'!DQ$4:DQ$4)</f>
        <v>0</v>
      </c>
      <c r="DR118" s="79">
        <f t="array" ref="DR118">SUMIFS('Cắt lồng'!$AH$327:$AH$515,'Cắt lồng'!$AA$327:$AA$515,'Cắt lồng'!$AA118,'Cắt lồng'!$AE$327:$AE$515,'Cắt lồng'!DR$4:DR$4)</f>
        <v>0</v>
      </c>
      <c r="DS118" s="78" t="e">
        <f t="shared" si="273"/>
        <v>#DIV/0!</v>
      </c>
      <c r="DT118" s="79">
        <f t="array" ref="DT118">SUMIFS('Cắt lồng'!$AC$327:$AC$515,'Cắt lồng'!$AA$327:$AA$515,'Cắt lồng'!$AA118,'Cắt lồng'!$AE$327:$AE$515,'Cắt lồng'!DT$4:DT$4)</f>
        <v>0</v>
      </c>
      <c r="DU118" s="79">
        <f t="array" ref="DU118">SUMIFS('Cắt lồng'!$AH$327:$AH$515,'Cắt lồng'!$AA$327:$AA$515,'Cắt lồng'!$AA118,'Cắt lồng'!$AE$327:$AE$515,'Cắt lồng'!DU$4:DU$4)</f>
        <v>0</v>
      </c>
      <c r="DV118" s="78" t="e">
        <f t="shared" si="274"/>
        <v>#DIV/0!</v>
      </c>
      <c r="DW118" s="79">
        <f t="array" ref="DW118">SUMIFS('Cắt lồng'!$AC$327:$AC$515,'Cắt lồng'!$AA$327:$AA$515,'Cắt lồng'!$AA118,'Cắt lồng'!$AE$327:$AE$515,'Cắt lồng'!DW$4:DW$4)</f>
        <v>0</v>
      </c>
      <c r="DX118" s="79">
        <f t="array" ref="DX118">SUMIFS('Cắt lồng'!$AH$327:$AH$515,'Cắt lồng'!$AA$327:$AA$515,'Cắt lồng'!$AA118,'Cắt lồng'!$AE$327:$AE$515,'Cắt lồng'!DX$4:DX$4)</f>
        <v>0</v>
      </c>
      <c r="DY118" s="78" t="e">
        <f t="shared" si="275"/>
        <v>#DIV/0!</v>
      </c>
      <c r="DZ118" s="79">
        <f t="array" ref="DZ118">SUMIFS('Cắt lồng'!$AC$327:$AC$515,'Cắt lồng'!$AA$327:$AA$515,'Cắt lồng'!$AA118,'Cắt lồng'!$AE$327:$AE$515,'Cắt lồng'!DZ$4:DZ$4)</f>
        <v>0</v>
      </c>
      <c r="EA118" s="79">
        <f t="array" ref="EA118">SUMIFS('Cắt lồng'!$AH$327:$AH$515,'Cắt lồng'!$AA$327:$AA$515,'Cắt lồng'!$AA118,'Cắt lồng'!$AE$327:$AE$515,'Cắt lồng'!EA$4:EA$4)</f>
        <v>0</v>
      </c>
      <c r="EB118" s="78" t="e">
        <f t="shared" si="276"/>
        <v>#DIV/0!</v>
      </c>
      <c r="EC118" s="79">
        <f t="array" ref="EC118">SUMIFS('Cắt lồng'!$AC$327:$AC$515,'Cắt lồng'!$AA$327:$AA$515,'Cắt lồng'!$AA118,'Cắt lồng'!$AE$327:$AE$515,'Cắt lồng'!EC$4:EC$4)</f>
        <v>0</v>
      </c>
      <c r="ED118" s="79">
        <f t="array" ref="ED118">SUMIFS('Cắt lồng'!$AH$327:$AH$515,'Cắt lồng'!$AA$327:$AA$515,'Cắt lồng'!$AA118,'Cắt lồng'!$AE$327:$AE$515,'Cắt lồng'!ED$4:ED$4)</f>
        <v>0</v>
      </c>
      <c r="EE118" s="78" t="e">
        <f t="shared" si="277"/>
        <v>#DIV/0!</v>
      </c>
      <c r="EF118" s="79">
        <f t="array" ref="EF118">SUMIFS('Cắt lồng'!$AC$327:$AC$515,'Cắt lồng'!$AA$327:$AA$515,'Cắt lồng'!$AA118,'Cắt lồng'!$AE$327:$AE$515,'Cắt lồng'!EF$4:EF$4)</f>
        <v>0</v>
      </c>
      <c r="EG118" s="79">
        <f t="array" ref="EG118">SUMIFS('Cắt lồng'!$AH$327:$AH$515,'Cắt lồng'!$AA$327:$AA$515,'Cắt lồng'!$AA118,'Cắt lồng'!$AE$327:$AE$515,'Cắt lồng'!EG$4:EG$4)</f>
        <v>0</v>
      </c>
      <c r="EH118" s="78" t="e">
        <f t="shared" si="278"/>
        <v>#DIV/0!</v>
      </c>
      <c r="EI118" s="79">
        <f t="array" ref="EI118">SUMIFS('Cắt lồng'!$AC$327:$AC$515,'Cắt lồng'!$AA$327:$AA$515,'Cắt lồng'!$AA118,'Cắt lồng'!$AE$327:$AE$515,'Cắt lồng'!EI$4:EI$4)</f>
        <v>0</v>
      </c>
      <c r="EJ118" s="79">
        <f t="array" ref="EJ118">SUMIFS('Cắt lồng'!$AH$327:$AH$515,'Cắt lồng'!$AA$327:$AA$515,'Cắt lồng'!$AA118,'Cắt lồng'!$AE$327:$AE$515,'Cắt lồng'!EJ$4:EJ$4)</f>
        <v>0</v>
      </c>
      <c r="EK118" s="78" t="e">
        <f t="shared" si="279"/>
        <v>#DIV/0!</v>
      </c>
    </row>
    <row r="119" spans="1:141" s="12" customFormat="1" ht="14.25" hidden="1" customHeight="1">
      <c r="A119" s="30">
        <v>86</v>
      </c>
      <c r="B119" s="26"/>
      <c r="C119" s="25"/>
      <c r="D119" s="24"/>
      <c r="E119" s="60"/>
      <c r="F119" s="59"/>
      <c r="G119" s="82">
        <f t="shared" si="212"/>
        <v>0</v>
      </c>
      <c r="H119" s="81">
        <f t="shared" si="213"/>
        <v>0</v>
      </c>
      <c r="I119" s="19">
        <f t="shared" si="214"/>
        <v>0</v>
      </c>
      <c r="J119" s="11">
        <f t="shared" si="215"/>
        <v>0</v>
      </c>
      <c r="K119" s="19">
        <f t="shared" si="216"/>
        <v>0</v>
      </c>
      <c r="L119" s="19">
        <f t="shared" si="217"/>
        <v>0</v>
      </c>
      <c r="M119" s="19">
        <f t="shared" si="218"/>
        <v>0</v>
      </c>
      <c r="N119" s="19">
        <f t="shared" si="219"/>
        <v>0</v>
      </c>
      <c r="O119" s="19">
        <f t="shared" si="220"/>
        <v>0</v>
      </c>
      <c r="P119" s="19">
        <f t="shared" si="221"/>
        <v>0</v>
      </c>
      <c r="Q119" s="19">
        <f t="shared" si="222"/>
        <v>0</v>
      </c>
      <c r="R119" s="19">
        <f t="shared" si="223"/>
        <v>0</v>
      </c>
      <c r="S119" s="19">
        <f t="shared" si="224"/>
        <v>0</v>
      </c>
      <c r="T119" s="19">
        <f t="shared" si="225"/>
        <v>0</v>
      </c>
      <c r="U119" s="19">
        <f t="shared" si="226"/>
        <v>0</v>
      </c>
      <c r="V119" s="19">
        <f t="shared" si="227"/>
        <v>0</v>
      </c>
      <c r="W119" s="19">
        <f t="shared" si="228"/>
        <v>0</v>
      </c>
      <c r="X119" s="19">
        <f t="shared" si="229"/>
        <v>0</v>
      </c>
      <c r="Y119" s="19">
        <f t="shared" si="230"/>
        <v>0</v>
      </c>
      <c r="Z119" s="19">
        <f t="shared" si="231"/>
        <v>0</v>
      </c>
      <c r="AA119" s="154">
        <v>8485</v>
      </c>
      <c r="AB119" s="17" t="e">
        <f>+H119*SUMIF('[1]KẾ HOẠCH'!$B$5:$CK$5,'Cắt lồng'!AA119,'[1]KẾ HOẠCH'!$B$6:$CK$6)+H119*SUMIF('[1]KẾ HOẠCH'!$B$7:$CK$7,'Cắt lồng'!AA119,'[1]KẾ HOẠCH'!$B$8:$CK$8)+H119*SUMIF('[1]KẾ HOẠCH'!$B$15:$CK$15,'Cắt lồng'!AA119,'[1]KẾ HOẠCH'!$B$16:$CK$16)</f>
        <v>#VALUE!</v>
      </c>
      <c r="AC119" s="16">
        <f t="shared" si="232"/>
        <v>0</v>
      </c>
      <c r="AD119" s="15" t="e">
        <f t="shared" si="233"/>
        <v>#VALUE!</v>
      </c>
      <c r="AE119" s="42"/>
      <c r="AF119" s="10" t="e">
        <f t="shared" si="234"/>
        <v>#DIV/0!</v>
      </c>
      <c r="AG119" s="10"/>
      <c r="AH119" s="152">
        <f t="shared" si="235"/>
        <v>0</v>
      </c>
      <c r="AI119" s="54" t="e">
        <f t="shared" si="236"/>
        <v>#DIV/0!</v>
      </c>
      <c r="AJ119" s="25">
        <f t="shared" si="237"/>
        <v>0</v>
      </c>
      <c r="AK119" s="25">
        <f t="shared" si="238"/>
        <v>0</v>
      </c>
      <c r="AL119" s="25">
        <f t="shared" si="239"/>
        <v>0</v>
      </c>
      <c r="AM119" s="30">
        <f t="shared" si="240"/>
        <v>0</v>
      </c>
      <c r="AN119" s="25">
        <f t="shared" si="241"/>
        <v>0</v>
      </c>
      <c r="AO119" s="25">
        <f t="shared" si="242"/>
        <v>0</v>
      </c>
      <c r="AP119" s="25">
        <f t="shared" si="243"/>
        <v>0</v>
      </c>
      <c r="AQ119" s="25">
        <f t="shared" si="244"/>
        <v>0</v>
      </c>
      <c r="AR119" s="25">
        <f t="shared" si="245"/>
        <v>0</v>
      </c>
      <c r="AS119" s="25">
        <f t="shared" si="246"/>
        <v>0</v>
      </c>
      <c r="AT119" s="25">
        <f t="shared" si="247"/>
        <v>0</v>
      </c>
      <c r="AV119" s="79">
        <f t="shared" si="248"/>
        <v>0</v>
      </c>
      <c r="AW119" s="79">
        <f t="array" ref="AW119">SUMIFS('Cắt lồng'!$AC$327:$AC$515,'Cắt lồng'!$AA$327:$AA$515,'Cắt lồng'!$AA119,'Cắt lồng'!$AE$327:$AE$515,'Cắt lồng'!AW$4:AW$4)</f>
        <v>0</v>
      </c>
      <c r="AX119" s="79">
        <f t="array" ref="AX119">SUMIFS('Cắt lồng'!$AH$327:$AH$515,'Cắt lồng'!$AA$327:$AA$515,'Cắt lồng'!$AA119,'Cắt lồng'!$AE$327:$AE$515,'Cắt lồng'!AX$4:AX$4)</f>
        <v>0</v>
      </c>
      <c r="AY119" s="78" t="e">
        <f t="shared" si="249"/>
        <v>#DIV/0!</v>
      </c>
      <c r="AZ119" s="79">
        <f t="array" ref="AZ119">SUMIFS('Cắt lồng'!$AC$327:$AC$515,'Cắt lồng'!$AA$327:$AA$515,'Cắt lồng'!$AA119,'Cắt lồng'!$AE$327:$AE$515,'Cắt lồng'!AZ$4:AZ$4)</f>
        <v>0</v>
      </c>
      <c r="BA119" s="79">
        <f t="array" ref="BA119">SUMIFS('Cắt lồng'!$AH$327:$AH$515,'Cắt lồng'!$AA$327:$AA$515,'Cắt lồng'!$AA119,'Cắt lồng'!$AE$327:$AE$515,'Cắt lồng'!BA$4:BA$4)</f>
        <v>0</v>
      </c>
      <c r="BB119" s="78" t="e">
        <f t="shared" si="250"/>
        <v>#DIV/0!</v>
      </c>
      <c r="BC119" s="79">
        <f t="array" ref="BC119">SUMIFS('Cắt lồng'!$AC$327:$AC$515,'Cắt lồng'!$AA$327:$AA$515,'Cắt lồng'!$AA119,'Cắt lồng'!$AE$327:$AE$515,'Cắt lồng'!BC$4:BC$4)</f>
        <v>0</v>
      </c>
      <c r="BD119" s="79">
        <f t="array" ref="BD119">SUMIFS('Cắt lồng'!$AH$327:$AH$515,'Cắt lồng'!$AA$327:$AA$515,'Cắt lồng'!$AA119,'Cắt lồng'!$AE$327:$AE$515,'Cắt lồng'!BD$4:BD$4)</f>
        <v>0</v>
      </c>
      <c r="BE119" s="78" t="e">
        <f t="shared" si="251"/>
        <v>#DIV/0!</v>
      </c>
      <c r="BF119" s="79">
        <f t="array" ref="BF119">SUMIFS('Cắt lồng'!$AC$327:$AC$515,'Cắt lồng'!$AA$327:$AA$515,'Cắt lồng'!$AA119,'Cắt lồng'!$AE$327:$AE$515,'Cắt lồng'!BF$4:BF$4)</f>
        <v>0</v>
      </c>
      <c r="BG119" s="79">
        <f t="array" ref="BG119">SUMIFS('Cắt lồng'!$AH$327:$AH$515,'Cắt lồng'!$AA$327:$AA$515,'Cắt lồng'!$AA119,'Cắt lồng'!$AE$327:$AE$515,'Cắt lồng'!BG$4:BG$4)</f>
        <v>0</v>
      </c>
      <c r="BH119" s="78" t="e">
        <f t="shared" si="252"/>
        <v>#DIV/0!</v>
      </c>
      <c r="BI119" s="79">
        <f t="array" ref="BI119">SUMIFS('Cắt lồng'!$AC$327:$AC$515,'Cắt lồng'!$AA$327:$AA$515,'Cắt lồng'!$AA119,'Cắt lồng'!$AE$327:$AE$515,'Cắt lồng'!BI$4:BI$4)</f>
        <v>0</v>
      </c>
      <c r="BJ119" s="79">
        <f t="array" ref="BJ119">SUMIFS('Cắt lồng'!$AH$327:$AH$515,'Cắt lồng'!$AA$327:$AA$515,'Cắt lồng'!$AA119,'Cắt lồng'!$AE$327:$AE$515,'Cắt lồng'!BJ$4:BJ$4)</f>
        <v>0</v>
      </c>
      <c r="BK119" s="78" t="e">
        <f t="shared" si="253"/>
        <v>#DIV/0!</v>
      </c>
      <c r="BL119" s="79">
        <f t="array" ref="BL119">SUMIFS('Cắt lồng'!$AC$327:$AC$515,'Cắt lồng'!$AA$327:$AA$515,'Cắt lồng'!$AA119,'Cắt lồng'!$AE$327:$AE$515,'Cắt lồng'!BL$4:BL$4)</f>
        <v>0</v>
      </c>
      <c r="BM119" s="79">
        <f t="array" ref="BM119">SUMIFS('Cắt lồng'!$AH$327:$AH$515,'Cắt lồng'!$AA$327:$AA$515,'Cắt lồng'!$AA119,'Cắt lồng'!$AE$327:$AE$515,'Cắt lồng'!BM$4:BM$4)</f>
        <v>0</v>
      </c>
      <c r="BN119" s="78" t="e">
        <f t="shared" si="254"/>
        <v>#DIV/0!</v>
      </c>
      <c r="BO119" s="79">
        <f t="array" ref="BO119">SUMIFS('Cắt lồng'!$AC$327:$AC$515,'Cắt lồng'!$AA$327:$AA$515,'Cắt lồng'!$AA119,'Cắt lồng'!$AE$327:$AE$515,'Cắt lồng'!BO$4:BO$4)</f>
        <v>0</v>
      </c>
      <c r="BP119" s="79">
        <f t="array" ref="BP119">SUMIFS('Cắt lồng'!$AH$327:$AH$515,'Cắt lồng'!$AA$327:$AA$515,'Cắt lồng'!$AA119,'Cắt lồng'!$AE$327:$AE$515,'Cắt lồng'!BP$4:BP$4)</f>
        <v>0</v>
      </c>
      <c r="BQ119" s="78" t="e">
        <f t="shared" si="255"/>
        <v>#DIV/0!</v>
      </c>
      <c r="BR119" s="79">
        <f t="array" ref="BR119">SUMIFS('Cắt lồng'!$AC$327:$AC$515,'Cắt lồng'!$AA$327:$AA$515,'Cắt lồng'!$AA119,'Cắt lồng'!$AE$327:$AE$515,'Cắt lồng'!BR$4:BR$4)</f>
        <v>0</v>
      </c>
      <c r="BS119" s="79">
        <f t="array" ref="BS119">SUMIFS('Cắt lồng'!$AH$327:$AH$515,'Cắt lồng'!$AA$327:$AA$515,'Cắt lồng'!$AA119,'Cắt lồng'!$AE$327:$AE$515,'Cắt lồng'!BS$4:BS$4)</f>
        <v>0</v>
      </c>
      <c r="BT119" s="78" t="e">
        <f t="shared" si="256"/>
        <v>#DIV/0!</v>
      </c>
      <c r="BU119" s="79">
        <f t="array" ref="BU119">SUMIFS('Cắt lồng'!$AC$327:$AC$515,'Cắt lồng'!$AA$327:$AA$515,'Cắt lồng'!$AA119,'Cắt lồng'!$AE$327:$AE$515,'Cắt lồng'!BU$4:BU$4)</f>
        <v>0</v>
      </c>
      <c r="BV119" s="79">
        <f t="array" ref="BV119">SUMIFS('Cắt lồng'!$AH$327:$AH$515,'Cắt lồng'!$AA$327:$AA$515,'Cắt lồng'!$AA119,'Cắt lồng'!$AE$327:$AE$515,'Cắt lồng'!BV$4:BV$4)</f>
        <v>0</v>
      </c>
      <c r="BW119" s="78" t="e">
        <f t="shared" si="257"/>
        <v>#DIV/0!</v>
      </c>
      <c r="BX119" s="79">
        <f t="array" ref="BX119">SUMIFS('Cắt lồng'!$AC$327:$AC$515,'Cắt lồng'!$AA$327:$AA$515,'Cắt lồng'!$AA119,'Cắt lồng'!$AE$327:$AE$515,'Cắt lồng'!BX$4:BX$4)</f>
        <v>0</v>
      </c>
      <c r="BY119" s="79">
        <f t="array" ref="BY119">SUMIFS('Cắt lồng'!$AH$327:$AH$515,'Cắt lồng'!$AA$327:$AA$515,'Cắt lồng'!$AA119,'Cắt lồng'!$AE$327:$AE$515,'Cắt lồng'!BY$4:BY$4)</f>
        <v>0</v>
      </c>
      <c r="BZ119" s="78" t="e">
        <f t="shared" si="258"/>
        <v>#DIV/0!</v>
      </c>
      <c r="CA119" s="79">
        <f t="array" ref="CA119">SUMIFS('Cắt lồng'!$AC$327:$AC$515,'Cắt lồng'!$AA$327:$AA$515,'Cắt lồng'!$AA119,'Cắt lồng'!$AE$327:$AE$515,'Cắt lồng'!CA$4:CA$4)</f>
        <v>0</v>
      </c>
      <c r="CB119" s="79">
        <f t="array" ref="CB119">SUMIFS('Cắt lồng'!$AH$327:$AH$515,'Cắt lồng'!$AA$327:$AA$515,'Cắt lồng'!$AA119,'Cắt lồng'!$AE$327:$AE$515,'Cắt lồng'!CB$4:CB$4)</f>
        <v>0</v>
      </c>
      <c r="CC119" s="78" t="e">
        <f t="shared" si="259"/>
        <v>#DIV/0!</v>
      </c>
      <c r="CD119" s="79">
        <f t="array" ref="CD119">SUMIFS('Cắt lồng'!$AC$327:$AC$515,'Cắt lồng'!$AA$327:$AA$515,'Cắt lồng'!$AA119,'Cắt lồng'!$AE$327:$AE$515,'Cắt lồng'!CD$4:CD$4)</f>
        <v>0</v>
      </c>
      <c r="CE119" s="79">
        <f t="array" ref="CE119">SUMIFS('Cắt lồng'!$AH$327:$AH$515,'Cắt lồng'!$AA$327:$AA$515,'Cắt lồng'!$AA119,'Cắt lồng'!$AE$327:$AE$515,'Cắt lồng'!CE$4:CE$4)</f>
        <v>0</v>
      </c>
      <c r="CF119" s="78" t="e">
        <f t="shared" si="260"/>
        <v>#DIV/0!</v>
      </c>
      <c r="CG119" s="79">
        <f t="array" ref="CG119">SUMIFS('Cắt lồng'!$AC$327:$AC$515,'Cắt lồng'!$AA$327:$AA$515,'Cắt lồng'!$AA119,'Cắt lồng'!$AE$327:$AE$515,'Cắt lồng'!CG$4:CG$4)</f>
        <v>0</v>
      </c>
      <c r="CH119" s="79">
        <f t="array" ref="CH119">SUMIFS('Cắt lồng'!$AH$327:$AH$515,'Cắt lồng'!$AA$327:$AA$515,'Cắt lồng'!$AA119,'Cắt lồng'!$AE$327:$AE$515,'Cắt lồng'!CH$4:CH$4)</f>
        <v>0</v>
      </c>
      <c r="CI119" s="78" t="e">
        <f t="shared" si="261"/>
        <v>#DIV/0!</v>
      </c>
      <c r="CJ119" s="79">
        <f t="array" ref="CJ119">SUMIFS('Cắt lồng'!$AC$327:$AC$515,'Cắt lồng'!$AA$327:$AA$515,'Cắt lồng'!$AA119,'Cắt lồng'!$AE$327:$AE$515,'Cắt lồng'!CJ$4:CJ$4)</f>
        <v>0</v>
      </c>
      <c r="CK119" s="79">
        <f t="array" ref="CK119">SUMIFS('Cắt lồng'!$AH$327:$AH$515,'Cắt lồng'!$AA$327:$AA$515,'Cắt lồng'!$AA119,'Cắt lồng'!$AE$327:$AE$515,'Cắt lồng'!CK$4:CK$4)</f>
        <v>0</v>
      </c>
      <c r="CL119" s="78" t="e">
        <f t="shared" si="262"/>
        <v>#DIV/0!</v>
      </c>
      <c r="CM119" s="79">
        <f t="array" ref="CM119">SUMIFS('Cắt lồng'!$AC$327:$AC$515,'Cắt lồng'!$AA$327:$AA$515,'Cắt lồng'!$AA119,'Cắt lồng'!$AE$327:$AE$515,'Cắt lồng'!CM$4:CM$4)</f>
        <v>0</v>
      </c>
      <c r="CN119" s="79">
        <f t="array" ref="CN119">SUMIFS('Cắt lồng'!$AH$327:$AH$515,'Cắt lồng'!$AA$327:$AA$515,'Cắt lồng'!$AA119,'Cắt lồng'!$AE$327:$AE$515,'Cắt lồng'!CN$4:CN$4)</f>
        <v>0</v>
      </c>
      <c r="CO119" s="78" t="e">
        <f t="shared" si="263"/>
        <v>#DIV/0!</v>
      </c>
      <c r="CP119" s="79">
        <f t="array" ref="CP119">SUMIFS('Cắt lồng'!$AC$327:$AC$515,'Cắt lồng'!$AA$327:$AA$515,'Cắt lồng'!$AA119,'Cắt lồng'!$AE$327:$AE$515,'Cắt lồng'!CP$4:CP$4)</f>
        <v>0</v>
      </c>
      <c r="CQ119" s="79">
        <f t="array" ref="CQ119">SUMIFS('Cắt lồng'!$AH$327:$AH$515,'Cắt lồng'!$AA$327:$AA$515,'Cắt lồng'!$AA119,'Cắt lồng'!$AE$327:$AE$515,'Cắt lồng'!CQ$4:CQ$4)</f>
        <v>0</v>
      </c>
      <c r="CR119" s="78" t="e">
        <f t="shared" si="264"/>
        <v>#DIV/0!</v>
      </c>
      <c r="CS119" s="79">
        <f t="array" ref="CS119">SUMIFS('Cắt lồng'!$AC$327:$AC$515,'Cắt lồng'!$AA$327:$AA$515,'Cắt lồng'!$AA119,'Cắt lồng'!$AE$327:$AE$515,'Cắt lồng'!CS$4:CS$4)</f>
        <v>0</v>
      </c>
      <c r="CT119" s="79">
        <f t="array" ref="CT119">SUMIFS('Cắt lồng'!$AH$327:$AH$515,'Cắt lồng'!$AA$327:$AA$515,'Cắt lồng'!$AA119,'Cắt lồng'!$AE$327:$AE$515,'Cắt lồng'!CT$4:CT$4)</f>
        <v>0</v>
      </c>
      <c r="CU119" s="78" t="e">
        <f t="shared" si="265"/>
        <v>#DIV/0!</v>
      </c>
      <c r="CV119" s="79">
        <f t="array" ref="CV119">SUMIFS('Cắt lồng'!$AC$327:$AC$515,'Cắt lồng'!$AA$327:$AA$515,'Cắt lồng'!$AA119,'Cắt lồng'!$AE$327:$AE$515,'Cắt lồng'!CV$4:CV$4)</f>
        <v>0</v>
      </c>
      <c r="CW119" s="79">
        <f t="array" ref="CW119">SUMIFS('Cắt lồng'!$AH$327:$AH$515,'Cắt lồng'!$AA$327:$AA$515,'Cắt lồng'!$AA119,'Cắt lồng'!$AE$327:$AE$515,'Cắt lồng'!CW$4:CW$4)</f>
        <v>0</v>
      </c>
      <c r="CX119" s="78" t="e">
        <f t="shared" si="266"/>
        <v>#DIV/0!</v>
      </c>
      <c r="CY119" s="79">
        <f t="array" ref="CY119">SUMIFS('Cắt lồng'!$AC$327:$AC$515,'Cắt lồng'!$AA$327:$AA$515,'Cắt lồng'!$AA119,'Cắt lồng'!$AE$327:$AE$515,'Cắt lồng'!CY$4:CY$4)</f>
        <v>0</v>
      </c>
      <c r="CZ119" s="79">
        <f t="array" ref="CZ119">SUMIFS('Cắt lồng'!$AH$327:$AH$515,'Cắt lồng'!$AA$327:$AA$515,'Cắt lồng'!$AA119,'Cắt lồng'!$AE$327:$AE$515,'Cắt lồng'!CZ$4:CZ$4)</f>
        <v>0</v>
      </c>
      <c r="DA119" s="78" t="e">
        <f t="shared" si="267"/>
        <v>#DIV/0!</v>
      </c>
      <c r="DB119" s="79">
        <f t="array" ref="DB119">SUMIFS('Cắt lồng'!$AC$327:$AC$515,'Cắt lồng'!$AA$327:$AA$515,'Cắt lồng'!$AA119,'Cắt lồng'!$AE$327:$AE$515,'Cắt lồng'!DB$4:DB$4)</f>
        <v>0</v>
      </c>
      <c r="DC119" s="79">
        <f t="array" ref="DC119">SUMIFS('Cắt lồng'!$AH$327:$AH$515,'Cắt lồng'!$AA$327:$AA$515,'Cắt lồng'!$AA119,'Cắt lồng'!$AE$327:$AE$515,'Cắt lồng'!DC$4:DC$4)</f>
        <v>0</v>
      </c>
      <c r="DD119" s="78" t="e">
        <f t="shared" si="268"/>
        <v>#DIV/0!</v>
      </c>
      <c r="DE119" s="79">
        <f t="array" ref="DE119">SUMIFS('Cắt lồng'!$AC$327:$AC$515,'Cắt lồng'!$AA$327:$AA$515,'Cắt lồng'!$AA119,'Cắt lồng'!$AE$327:$AE$515,'Cắt lồng'!DE$4:DE$4)</f>
        <v>0</v>
      </c>
      <c r="DF119" s="79">
        <f t="array" ref="DF119">SUMIFS('Cắt lồng'!$AH$327:$AH$515,'Cắt lồng'!$AA$327:$AA$515,'Cắt lồng'!$AA119,'Cắt lồng'!$AE$327:$AE$515,'Cắt lồng'!DF$4:DF$4)</f>
        <v>0</v>
      </c>
      <c r="DG119" s="78" t="e">
        <f t="shared" si="269"/>
        <v>#DIV/0!</v>
      </c>
      <c r="DH119" s="79">
        <f t="array" ref="DH119">SUMIFS('Cắt lồng'!$AC$327:$AC$515,'Cắt lồng'!$AA$327:$AA$515,'Cắt lồng'!$AA119,'Cắt lồng'!$AE$327:$AE$515,'Cắt lồng'!DH$4:DH$4)</f>
        <v>0</v>
      </c>
      <c r="DI119" s="79">
        <f t="array" ref="DI119">SUMIFS('Cắt lồng'!$AH$327:$AH$515,'Cắt lồng'!$AA$327:$AA$515,'Cắt lồng'!$AA119,'Cắt lồng'!$AE$327:$AE$515,'Cắt lồng'!DI$4:DI$4)</f>
        <v>0</v>
      </c>
      <c r="DJ119" s="78" t="e">
        <f t="shared" si="270"/>
        <v>#DIV/0!</v>
      </c>
      <c r="DK119" s="79">
        <f t="array" ref="DK119">SUMIFS('Cắt lồng'!$AC$327:$AC$515,'Cắt lồng'!$AA$327:$AA$515,'Cắt lồng'!$AA119,'Cắt lồng'!$AE$327:$AE$515,'Cắt lồng'!DK$4:DK$4)</f>
        <v>0</v>
      </c>
      <c r="DL119" s="79">
        <f t="array" ref="DL119">SUMIFS('Cắt lồng'!$AH$327:$AH$515,'Cắt lồng'!$AA$327:$AA$515,'Cắt lồng'!$AA119,'Cắt lồng'!$AE$327:$AE$515,'Cắt lồng'!DL$4:DL$4)</f>
        <v>0</v>
      </c>
      <c r="DM119" s="78" t="e">
        <f t="shared" si="271"/>
        <v>#DIV/0!</v>
      </c>
      <c r="DN119" s="79">
        <f t="array" ref="DN119">SUMIFS('Cắt lồng'!$AC$327:$AC$515,'Cắt lồng'!$AA$327:$AA$515,'Cắt lồng'!$AA119,'Cắt lồng'!$AE$327:$AE$515,'Cắt lồng'!DN$4:DN$4)</f>
        <v>0</v>
      </c>
      <c r="DO119" s="79">
        <f t="array" ref="DO119">SUMIFS('Cắt lồng'!$AH$327:$AH$515,'Cắt lồng'!$AA$327:$AA$515,'Cắt lồng'!$AA119,'Cắt lồng'!$AE$327:$AE$515,'Cắt lồng'!DO$4:DO$4)</f>
        <v>0</v>
      </c>
      <c r="DP119" s="78" t="e">
        <f t="shared" si="272"/>
        <v>#DIV/0!</v>
      </c>
      <c r="DQ119" s="79">
        <f t="array" ref="DQ119">SUMIFS('Cắt lồng'!$AC$327:$AC$515,'Cắt lồng'!$AA$327:$AA$515,'Cắt lồng'!$AA119,'Cắt lồng'!$AE$327:$AE$515,'Cắt lồng'!DQ$4:DQ$4)</f>
        <v>0</v>
      </c>
      <c r="DR119" s="79">
        <f t="array" ref="DR119">SUMIFS('Cắt lồng'!$AH$327:$AH$515,'Cắt lồng'!$AA$327:$AA$515,'Cắt lồng'!$AA119,'Cắt lồng'!$AE$327:$AE$515,'Cắt lồng'!DR$4:DR$4)</f>
        <v>0</v>
      </c>
      <c r="DS119" s="78" t="e">
        <f t="shared" si="273"/>
        <v>#DIV/0!</v>
      </c>
      <c r="DT119" s="79">
        <f t="array" ref="DT119">SUMIFS('Cắt lồng'!$AC$327:$AC$515,'Cắt lồng'!$AA$327:$AA$515,'Cắt lồng'!$AA119,'Cắt lồng'!$AE$327:$AE$515,'Cắt lồng'!DT$4:DT$4)</f>
        <v>0</v>
      </c>
      <c r="DU119" s="79">
        <f t="array" ref="DU119">SUMIFS('Cắt lồng'!$AH$327:$AH$515,'Cắt lồng'!$AA$327:$AA$515,'Cắt lồng'!$AA119,'Cắt lồng'!$AE$327:$AE$515,'Cắt lồng'!DU$4:DU$4)</f>
        <v>0</v>
      </c>
      <c r="DV119" s="78" t="e">
        <f t="shared" si="274"/>
        <v>#DIV/0!</v>
      </c>
      <c r="DW119" s="79">
        <f t="array" ref="DW119">SUMIFS('Cắt lồng'!$AC$327:$AC$515,'Cắt lồng'!$AA$327:$AA$515,'Cắt lồng'!$AA119,'Cắt lồng'!$AE$327:$AE$515,'Cắt lồng'!DW$4:DW$4)</f>
        <v>0</v>
      </c>
      <c r="DX119" s="79">
        <f t="array" ref="DX119">SUMIFS('Cắt lồng'!$AH$327:$AH$515,'Cắt lồng'!$AA$327:$AA$515,'Cắt lồng'!$AA119,'Cắt lồng'!$AE$327:$AE$515,'Cắt lồng'!DX$4:DX$4)</f>
        <v>0</v>
      </c>
      <c r="DY119" s="78" t="e">
        <f t="shared" si="275"/>
        <v>#DIV/0!</v>
      </c>
      <c r="DZ119" s="79">
        <f t="array" ref="DZ119">SUMIFS('Cắt lồng'!$AC$327:$AC$515,'Cắt lồng'!$AA$327:$AA$515,'Cắt lồng'!$AA119,'Cắt lồng'!$AE$327:$AE$515,'Cắt lồng'!DZ$4:DZ$4)</f>
        <v>0</v>
      </c>
      <c r="EA119" s="79">
        <f t="array" ref="EA119">SUMIFS('Cắt lồng'!$AH$327:$AH$515,'Cắt lồng'!$AA$327:$AA$515,'Cắt lồng'!$AA119,'Cắt lồng'!$AE$327:$AE$515,'Cắt lồng'!EA$4:EA$4)</f>
        <v>0</v>
      </c>
      <c r="EB119" s="78" t="e">
        <f t="shared" si="276"/>
        <v>#DIV/0!</v>
      </c>
      <c r="EC119" s="79">
        <f t="array" ref="EC119">SUMIFS('Cắt lồng'!$AC$327:$AC$515,'Cắt lồng'!$AA$327:$AA$515,'Cắt lồng'!$AA119,'Cắt lồng'!$AE$327:$AE$515,'Cắt lồng'!EC$4:EC$4)</f>
        <v>0</v>
      </c>
      <c r="ED119" s="79">
        <f t="array" ref="ED119">SUMIFS('Cắt lồng'!$AH$327:$AH$515,'Cắt lồng'!$AA$327:$AA$515,'Cắt lồng'!$AA119,'Cắt lồng'!$AE$327:$AE$515,'Cắt lồng'!ED$4:ED$4)</f>
        <v>0</v>
      </c>
      <c r="EE119" s="78" t="e">
        <f t="shared" si="277"/>
        <v>#DIV/0!</v>
      </c>
      <c r="EF119" s="79">
        <f t="array" ref="EF119">SUMIFS('Cắt lồng'!$AC$327:$AC$515,'Cắt lồng'!$AA$327:$AA$515,'Cắt lồng'!$AA119,'Cắt lồng'!$AE$327:$AE$515,'Cắt lồng'!EF$4:EF$4)</f>
        <v>0</v>
      </c>
      <c r="EG119" s="79">
        <f t="array" ref="EG119">SUMIFS('Cắt lồng'!$AH$327:$AH$515,'Cắt lồng'!$AA$327:$AA$515,'Cắt lồng'!$AA119,'Cắt lồng'!$AE$327:$AE$515,'Cắt lồng'!EG$4:EG$4)</f>
        <v>0</v>
      </c>
      <c r="EH119" s="78" t="e">
        <f t="shared" si="278"/>
        <v>#DIV/0!</v>
      </c>
      <c r="EI119" s="79">
        <f t="array" ref="EI119">SUMIFS('Cắt lồng'!$AC$327:$AC$515,'Cắt lồng'!$AA$327:$AA$515,'Cắt lồng'!$AA119,'Cắt lồng'!$AE$327:$AE$515,'Cắt lồng'!EI$4:EI$4)</f>
        <v>0</v>
      </c>
      <c r="EJ119" s="79">
        <f t="array" ref="EJ119">SUMIFS('Cắt lồng'!$AH$327:$AH$515,'Cắt lồng'!$AA$327:$AA$515,'Cắt lồng'!$AA119,'Cắt lồng'!$AE$327:$AE$515,'Cắt lồng'!EJ$4:EJ$4)</f>
        <v>0</v>
      </c>
      <c r="EK119" s="78" t="e">
        <f t="shared" si="279"/>
        <v>#DIV/0!</v>
      </c>
    </row>
    <row r="120" spans="1:141" s="12" customFormat="1" ht="14.25" hidden="1" customHeight="1">
      <c r="A120" s="30">
        <v>87</v>
      </c>
      <c r="B120" s="26"/>
      <c r="C120" s="25"/>
      <c r="D120" s="24"/>
      <c r="E120" s="60"/>
      <c r="F120" s="59"/>
      <c r="G120" s="82">
        <f t="shared" si="212"/>
        <v>0</v>
      </c>
      <c r="H120" s="81">
        <f t="shared" si="213"/>
        <v>0</v>
      </c>
      <c r="I120" s="19">
        <f t="shared" si="214"/>
        <v>0</v>
      </c>
      <c r="J120" s="11">
        <f t="shared" si="215"/>
        <v>0</v>
      </c>
      <c r="K120" s="19">
        <f t="shared" si="216"/>
        <v>0</v>
      </c>
      <c r="L120" s="19">
        <f t="shared" si="217"/>
        <v>0</v>
      </c>
      <c r="M120" s="19">
        <f t="shared" si="218"/>
        <v>0</v>
      </c>
      <c r="N120" s="19">
        <f t="shared" si="219"/>
        <v>0</v>
      </c>
      <c r="O120" s="19">
        <f t="shared" si="220"/>
        <v>0</v>
      </c>
      <c r="P120" s="19">
        <f t="shared" si="221"/>
        <v>0</v>
      </c>
      <c r="Q120" s="19">
        <f t="shared" si="222"/>
        <v>0</v>
      </c>
      <c r="R120" s="19">
        <f t="shared" si="223"/>
        <v>0</v>
      </c>
      <c r="S120" s="19">
        <f t="shared" si="224"/>
        <v>0</v>
      </c>
      <c r="T120" s="19">
        <f t="shared" si="225"/>
        <v>0</v>
      </c>
      <c r="U120" s="19">
        <f t="shared" si="226"/>
        <v>0</v>
      </c>
      <c r="V120" s="19">
        <f t="shared" si="227"/>
        <v>0</v>
      </c>
      <c r="W120" s="19">
        <f t="shared" si="228"/>
        <v>0</v>
      </c>
      <c r="X120" s="19">
        <f t="shared" si="229"/>
        <v>0</v>
      </c>
      <c r="Y120" s="19">
        <f t="shared" si="230"/>
        <v>0</v>
      </c>
      <c r="Z120" s="19">
        <f t="shared" si="231"/>
        <v>0</v>
      </c>
      <c r="AA120" s="154">
        <v>1657</v>
      </c>
      <c r="AB120" s="17" t="e">
        <f>+H120*SUMIF('[1]KẾ HOẠCH'!$B$5:$CK$5,'Cắt lồng'!AA120,'[1]KẾ HOẠCH'!$B$6:$CK$6)+H120*SUMIF('[1]KẾ HOẠCH'!$B$7:$CK$7,'Cắt lồng'!AA120,'[1]KẾ HOẠCH'!$B$8:$CK$8)+H120*SUMIF('[1]KẾ HOẠCH'!$B$15:$CK$15,'Cắt lồng'!AA120,'[1]KẾ HOẠCH'!$B$16:$CK$16)</f>
        <v>#VALUE!</v>
      </c>
      <c r="AC120" s="16">
        <f t="shared" si="232"/>
        <v>0</v>
      </c>
      <c r="AD120" s="15" t="e">
        <f t="shared" si="233"/>
        <v>#VALUE!</v>
      </c>
      <c r="AE120" s="42"/>
      <c r="AF120" s="10" t="e">
        <f t="shared" si="234"/>
        <v>#DIV/0!</v>
      </c>
      <c r="AG120" s="10"/>
      <c r="AH120" s="152">
        <f t="shared" si="235"/>
        <v>0</v>
      </c>
      <c r="AI120" s="54" t="e">
        <f t="shared" si="236"/>
        <v>#DIV/0!</v>
      </c>
      <c r="AJ120" s="25">
        <f t="shared" si="237"/>
        <v>0</v>
      </c>
      <c r="AK120" s="25">
        <f t="shared" si="238"/>
        <v>0</v>
      </c>
      <c r="AL120" s="25">
        <f t="shared" si="239"/>
        <v>0</v>
      </c>
      <c r="AM120" s="30">
        <f t="shared" si="240"/>
        <v>0</v>
      </c>
      <c r="AN120" s="25">
        <f t="shared" si="241"/>
        <v>0</v>
      </c>
      <c r="AO120" s="25">
        <f t="shared" si="242"/>
        <v>0</v>
      </c>
      <c r="AP120" s="25">
        <f t="shared" si="243"/>
        <v>0</v>
      </c>
      <c r="AQ120" s="25">
        <f t="shared" si="244"/>
        <v>0</v>
      </c>
      <c r="AR120" s="25">
        <f t="shared" si="245"/>
        <v>0</v>
      </c>
      <c r="AS120" s="25">
        <f t="shared" si="246"/>
        <v>0</v>
      </c>
      <c r="AT120" s="25">
        <f t="shared" si="247"/>
        <v>0</v>
      </c>
      <c r="AV120" s="79">
        <f t="shared" si="248"/>
        <v>0</v>
      </c>
      <c r="AW120" s="79">
        <f t="array" ref="AW120">SUMIFS('Cắt lồng'!$AC$327:$AC$515,'Cắt lồng'!$AA$327:$AA$515,'Cắt lồng'!$AA120,'Cắt lồng'!$AE$327:$AE$515,'Cắt lồng'!AW$4:AW$4)</f>
        <v>0</v>
      </c>
      <c r="AX120" s="79">
        <f t="array" ref="AX120">SUMIFS('Cắt lồng'!$AH$327:$AH$515,'Cắt lồng'!$AA$327:$AA$515,'Cắt lồng'!$AA120,'Cắt lồng'!$AE$327:$AE$515,'Cắt lồng'!AX$4:AX$4)</f>
        <v>0</v>
      </c>
      <c r="AY120" s="78" t="e">
        <f t="shared" si="249"/>
        <v>#DIV/0!</v>
      </c>
      <c r="AZ120" s="79">
        <f t="array" ref="AZ120">SUMIFS('Cắt lồng'!$AC$327:$AC$515,'Cắt lồng'!$AA$327:$AA$515,'Cắt lồng'!$AA120,'Cắt lồng'!$AE$327:$AE$515,'Cắt lồng'!AZ$4:AZ$4)</f>
        <v>0</v>
      </c>
      <c r="BA120" s="79">
        <f t="array" ref="BA120">SUMIFS('Cắt lồng'!$AH$327:$AH$515,'Cắt lồng'!$AA$327:$AA$515,'Cắt lồng'!$AA120,'Cắt lồng'!$AE$327:$AE$515,'Cắt lồng'!BA$4:BA$4)</f>
        <v>0</v>
      </c>
      <c r="BB120" s="78" t="e">
        <f t="shared" si="250"/>
        <v>#DIV/0!</v>
      </c>
      <c r="BC120" s="79">
        <f t="array" ref="BC120">SUMIFS('Cắt lồng'!$AC$327:$AC$515,'Cắt lồng'!$AA$327:$AA$515,'Cắt lồng'!$AA120,'Cắt lồng'!$AE$327:$AE$515,'Cắt lồng'!BC$4:BC$4)</f>
        <v>0</v>
      </c>
      <c r="BD120" s="79">
        <f t="array" ref="BD120">SUMIFS('Cắt lồng'!$AH$327:$AH$515,'Cắt lồng'!$AA$327:$AA$515,'Cắt lồng'!$AA120,'Cắt lồng'!$AE$327:$AE$515,'Cắt lồng'!BD$4:BD$4)</f>
        <v>0</v>
      </c>
      <c r="BE120" s="78" t="e">
        <f t="shared" si="251"/>
        <v>#DIV/0!</v>
      </c>
      <c r="BF120" s="79">
        <f t="array" ref="BF120">SUMIFS('Cắt lồng'!$AC$327:$AC$515,'Cắt lồng'!$AA$327:$AA$515,'Cắt lồng'!$AA120,'Cắt lồng'!$AE$327:$AE$515,'Cắt lồng'!BF$4:BF$4)</f>
        <v>0</v>
      </c>
      <c r="BG120" s="79">
        <f t="array" ref="BG120">SUMIFS('Cắt lồng'!$AH$327:$AH$515,'Cắt lồng'!$AA$327:$AA$515,'Cắt lồng'!$AA120,'Cắt lồng'!$AE$327:$AE$515,'Cắt lồng'!BG$4:BG$4)</f>
        <v>0</v>
      </c>
      <c r="BH120" s="78" t="e">
        <f t="shared" si="252"/>
        <v>#DIV/0!</v>
      </c>
      <c r="BI120" s="79">
        <f t="array" ref="BI120">SUMIFS('Cắt lồng'!$AC$327:$AC$515,'Cắt lồng'!$AA$327:$AA$515,'Cắt lồng'!$AA120,'Cắt lồng'!$AE$327:$AE$515,'Cắt lồng'!BI$4:BI$4)</f>
        <v>0</v>
      </c>
      <c r="BJ120" s="79">
        <f t="array" ref="BJ120">SUMIFS('Cắt lồng'!$AH$327:$AH$515,'Cắt lồng'!$AA$327:$AA$515,'Cắt lồng'!$AA120,'Cắt lồng'!$AE$327:$AE$515,'Cắt lồng'!BJ$4:BJ$4)</f>
        <v>0</v>
      </c>
      <c r="BK120" s="78" t="e">
        <f t="shared" si="253"/>
        <v>#DIV/0!</v>
      </c>
      <c r="BL120" s="79">
        <f t="array" ref="BL120">SUMIFS('Cắt lồng'!$AC$327:$AC$515,'Cắt lồng'!$AA$327:$AA$515,'Cắt lồng'!$AA120,'Cắt lồng'!$AE$327:$AE$515,'Cắt lồng'!BL$4:BL$4)</f>
        <v>0</v>
      </c>
      <c r="BM120" s="79">
        <f t="array" ref="BM120">SUMIFS('Cắt lồng'!$AH$327:$AH$515,'Cắt lồng'!$AA$327:$AA$515,'Cắt lồng'!$AA120,'Cắt lồng'!$AE$327:$AE$515,'Cắt lồng'!BM$4:BM$4)</f>
        <v>0</v>
      </c>
      <c r="BN120" s="78" t="e">
        <f t="shared" si="254"/>
        <v>#DIV/0!</v>
      </c>
      <c r="BO120" s="79">
        <f t="array" ref="BO120">SUMIFS('Cắt lồng'!$AC$327:$AC$515,'Cắt lồng'!$AA$327:$AA$515,'Cắt lồng'!$AA120,'Cắt lồng'!$AE$327:$AE$515,'Cắt lồng'!BO$4:BO$4)</f>
        <v>0</v>
      </c>
      <c r="BP120" s="79">
        <f t="array" ref="BP120">SUMIFS('Cắt lồng'!$AH$327:$AH$515,'Cắt lồng'!$AA$327:$AA$515,'Cắt lồng'!$AA120,'Cắt lồng'!$AE$327:$AE$515,'Cắt lồng'!BP$4:BP$4)</f>
        <v>0</v>
      </c>
      <c r="BQ120" s="78" t="e">
        <f t="shared" si="255"/>
        <v>#DIV/0!</v>
      </c>
      <c r="BR120" s="79">
        <f t="array" ref="BR120">SUMIFS('Cắt lồng'!$AC$327:$AC$515,'Cắt lồng'!$AA$327:$AA$515,'Cắt lồng'!$AA120,'Cắt lồng'!$AE$327:$AE$515,'Cắt lồng'!BR$4:BR$4)</f>
        <v>0</v>
      </c>
      <c r="BS120" s="79">
        <f t="array" ref="BS120">SUMIFS('Cắt lồng'!$AH$327:$AH$515,'Cắt lồng'!$AA$327:$AA$515,'Cắt lồng'!$AA120,'Cắt lồng'!$AE$327:$AE$515,'Cắt lồng'!BS$4:BS$4)</f>
        <v>0</v>
      </c>
      <c r="BT120" s="78" t="e">
        <f t="shared" si="256"/>
        <v>#DIV/0!</v>
      </c>
      <c r="BU120" s="79">
        <f t="array" ref="BU120">SUMIFS('Cắt lồng'!$AC$327:$AC$515,'Cắt lồng'!$AA$327:$AA$515,'Cắt lồng'!$AA120,'Cắt lồng'!$AE$327:$AE$515,'Cắt lồng'!BU$4:BU$4)</f>
        <v>0</v>
      </c>
      <c r="BV120" s="79">
        <f t="array" ref="BV120">SUMIFS('Cắt lồng'!$AH$327:$AH$515,'Cắt lồng'!$AA$327:$AA$515,'Cắt lồng'!$AA120,'Cắt lồng'!$AE$327:$AE$515,'Cắt lồng'!BV$4:BV$4)</f>
        <v>0</v>
      </c>
      <c r="BW120" s="78" t="e">
        <f t="shared" si="257"/>
        <v>#DIV/0!</v>
      </c>
      <c r="BX120" s="79">
        <f t="array" ref="BX120">SUMIFS('Cắt lồng'!$AC$327:$AC$515,'Cắt lồng'!$AA$327:$AA$515,'Cắt lồng'!$AA120,'Cắt lồng'!$AE$327:$AE$515,'Cắt lồng'!BX$4:BX$4)</f>
        <v>0</v>
      </c>
      <c r="BY120" s="79">
        <f t="array" ref="BY120">SUMIFS('Cắt lồng'!$AH$327:$AH$515,'Cắt lồng'!$AA$327:$AA$515,'Cắt lồng'!$AA120,'Cắt lồng'!$AE$327:$AE$515,'Cắt lồng'!BY$4:BY$4)</f>
        <v>0</v>
      </c>
      <c r="BZ120" s="78" t="e">
        <f t="shared" si="258"/>
        <v>#DIV/0!</v>
      </c>
      <c r="CA120" s="79">
        <f t="array" ref="CA120">SUMIFS('Cắt lồng'!$AC$327:$AC$515,'Cắt lồng'!$AA$327:$AA$515,'Cắt lồng'!$AA120,'Cắt lồng'!$AE$327:$AE$515,'Cắt lồng'!CA$4:CA$4)</f>
        <v>0</v>
      </c>
      <c r="CB120" s="79">
        <f t="array" ref="CB120">SUMIFS('Cắt lồng'!$AH$327:$AH$515,'Cắt lồng'!$AA$327:$AA$515,'Cắt lồng'!$AA120,'Cắt lồng'!$AE$327:$AE$515,'Cắt lồng'!CB$4:CB$4)</f>
        <v>0</v>
      </c>
      <c r="CC120" s="78" t="e">
        <f t="shared" si="259"/>
        <v>#DIV/0!</v>
      </c>
      <c r="CD120" s="79">
        <f t="array" ref="CD120">SUMIFS('Cắt lồng'!$AC$327:$AC$515,'Cắt lồng'!$AA$327:$AA$515,'Cắt lồng'!$AA120,'Cắt lồng'!$AE$327:$AE$515,'Cắt lồng'!CD$4:CD$4)</f>
        <v>0</v>
      </c>
      <c r="CE120" s="79">
        <f t="array" ref="CE120">SUMIFS('Cắt lồng'!$AH$327:$AH$515,'Cắt lồng'!$AA$327:$AA$515,'Cắt lồng'!$AA120,'Cắt lồng'!$AE$327:$AE$515,'Cắt lồng'!CE$4:CE$4)</f>
        <v>0</v>
      </c>
      <c r="CF120" s="78" t="e">
        <f t="shared" si="260"/>
        <v>#DIV/0!</v>
      </c>
      <c r="CG120" s="79">
        <f t="array" ref="CG120">SUMIFS('Cắt lồng'!$AC$327:$AC$515,'Cắt lồng'!$AA$327:$AA$515,'Cắt lồng'!$AA120,'Cắt lồng'!$AE$327:$AE$515,'Cắt lồng'!CG$4:CG$4)</f>
        <v>0</v>
      </c>
      <c r="CH120" s="79">
        <f t="array" ref="CH120">SUMIFS('Cắt lồng'!$AH$327:$AH$515,'Cắt lồng'!$AA$327:$AA$515,'Cắt lồng'!$AA120,'Cắt lồng'!$AE$327:$AE$515,'Cắt lồng'!CH$4:CH$4)</f>
        <v>0</v>
      </c>
      <c r="CI120" s="78" t="e">
        <f t="shared" si="261"/>
        <v>#DIV/0!</v>
      </c>
      <c r="CJ120" s="79">
        <f t="array" ref="CJ120">SUMIFS('Cắt lồng'!$AC$327:$AC$515,'Cắt lồng'!$AA$327:$AA$515,'Cắt lồng'!$AA120,'Cắt lồng'!$AE$327:$AE$515,'Cắt lồng'!CJ$4:CJ$4)</f>
        <v>0</v>
      </c>
      <c r="CK120" s="79">
        <f t="array" ref="CK120">SUMIFS('Cắt lồng'!$AH$327:$AH$515,'Cắt lồng'!$AA$327:$AA$515,'Cắt lồng'!$AA120,'Cắt lồng'!$AE$327:$AE$515,'Cắt lồng'!CK$4:CK$4)</f>
        <v>0</v>
      </c>
      <c r="CL120" s="78" t="e">
        <f t="shared" si="262"/>
        <v>#DIV/0!</v>
      </c>
      <c r="CM120" s="79">
        <f t="array" ref="CM120">SUMIFS('Cắt lồng'!$AC$327:$AC$515,'Cắt lồng'!$AA$327:$AA$515,'Cắt lồng'!$AA120,'Cắt lồng'!$AE$327:$AE$515,'Cắt lồng'!CM$4:CM$4)</f>
        <v>0</v>
      </c>
      <c r="CN120" s="79">
        <f t="array" ref="CN120">SUMIFS('Cắt lồng'!$AH$327:$AH$515,'Cắt lồng'!$AA$327:$AA$515,'Cắt lồng'!$AA120,'Cắt lồng'!$AE$327:$AE$515,'Cắt lồng'!CN$4:CN$4)</f>
        <v>0</v>
      </c>
      <c r="CO120" s="78" t="e">
        <f t="shared" si="263"/>
        <v>#DIV/0!</v>
      </c>
      <c r="CP120" s="79">
        <f t="array" ref="CP120">SUMIFS('Cắt lồng'!$AC$327:$AC$515,'Cắt lồng'!$AA$327:$AA$515,'Cắt lồng'!$AA120,'Cắt lồng'!$AE$327:$AE$515,'Cắt lồng'!CP$4:CP$4)</f>
        <v>0</v>
      </c>
      <c r="CQ120" s="79">
        <f t="array" ref="CQ120">SUMIFS('Cắt lồng'!$AH$327:$AH$515,'Cắt lồng'!$AA$327:$AA$515,'Cắt lồng'!$AA120,'Cắt lồng'!$AE$327:$AE$515,'Cắt lồng'!CQ$4:CQ$4)</f>
        <v>0</v>
      </c>
      <c r="CR120" s="78" t="e">
        <f t="shared" si="264"/>
        <v>#DIV/0!</v>
      </c>
      <c r="CS120" s="79">
        <f t="array" ref="CS120">SUMIFS('Cắt lồng'!$AC$327:$AC$515,'Cắt lồng'!$AA$327:$AA$515,'Cắt lồng'!$AA120,'Cắt lồng'!$AE$327:$AE$515,'Cắt lồng'!CS$4:CS$4)</f>
        <v>0</v>
      </c>
      <c r="CT120" s="79">
        <f t="array" ref="CT120">SUMIFS('Cắt lồng'!$AH$327:$AH$515,'Cắt lồng'!$AA$327:$AA$515,'Cắt lồng'!$AA120,'Cắt lồng'!$AE$327:$AE$515,'Cắt lồng'!CT$4:CT$4)</f>
        <v>0</v>
      </c>
      <c r="CU120" s="78" t="e">
        <f t="shared" si="265"/>
        <v>#DIV/0!</v>
      </c>
      <c r="CV120" s="79">
        <f t="array" ref="CV120">SUMIFS('Cắt lồng'!$AC$327:$AC$515,'Cắt lồng'!$AA$327:$AA$515,'Cắt lồng'!$AA120,'Cắt lồng'!$AE$327:$AE$515,'Cắt lồng'!CV$4:CV$4)</f>
        <v>0</v>
      </c>
      <c r="CW120" s="79">
        <f t="array" ref="CW120">SUMIFS('Cắt lồng'!$AH$327:$AH$515,'Cắt lồng'!$AA$327:$AA$515,'Cắt lồng'!$AA120,'Cắt lồng'!$AE$327:$AE$515,'Cắt lồng'!CW$4:CW$4)</f>
        <v>0</v>
      </c>
      <c r="CX120" s="78" t="e">
        <f t="shared" si="266"/>
        <v>#DIV/0!</v>
      </c>
      <c r="CY120" s="79">
        <f t="array" ref="CY120">SUMIFS('Cắt lồng'!$AC$327:$AC$515,'Cắt lồng'!$AA$327:$AA$515,'Cắt lồng'!$AA120,'Cắt lồng'!$AE$327:$AE$515,'Cắt lồng'!CY$4:CY$4)</f>
        <v>0</v>
      </c>
      <c r="CZ120" s="79">
        <f t="array" ref="CZ120">SUMIFS('Cắt lồng'!$AH$327:$AH$515,'Cắt lồng'!$AA$327:$AA$515,'Cắt lồng'!$AA120,'Cắt lồng'!$AE$327:$AE$515,'Cắt lồng'!CZ$4:CZ$4)</f>
        <v>0</v>
      </c>
      <c r="DA120" s="78" t="e">
        <f t="shared" si="267"/>
        <v>#DIV/0!</v>
      </c>
      <c r="DB120" s="79">
        <f t="array" ref="DB120">SUMIFS('Cắt lồng'!$AC$327:$AC$515,'Cắt lồng'!$AA$327:$AA$515,'Cắt lồng'!$AA120,'Cắt lồng'!$AE$327:$AE$515,'Cắt lồng'!DB$4:DB$4)</f>
        <v>0</v>
      </c>
      <c r="DC120" s="79">
        <f t="array" ref="DC120">SUMIFS('Cắt lồng'!$AH$327:$AH$515,'Cắt lồng'!$AA$327:$AA$515,'Cắt lồng'!$AA120,'Cắt lồng'!$AE$327:$AE$515,'Cắt lồng'!DC$4:DC$4)</f>
        <v>0</v>
      </c>
      <c r="DD120" s="78" t="e">
        <f t="shared" si="268"/>
        <v>#DIV/0!</v>
      </c>
      <c r="DE120" s="79">
        <f t="array" ref="DE120">SUMIFS('Cắt lồng'!$AC$327:$AC$515,'Cắt lồng'!$AA$327:$AA$515,'Cắt lồng'!$AA120,'Cắt lồng'!$AE$327:$AE$515,'Cắt lồng'!DE$4:DE$4)</f>
        <v>0</v>
      </c>
      <c r="DF120" s="79">
        <f t="array" ref="DF120">SUMIFS('Cắt lồng'!$AH$327:$AH$515,'Cắt lồng'!$AA$327:$AA$515,'Cắt lồng'!$AA120,'Cắt lồng'!$AE$327:$AE$515,'Cắt lồng'!DF$4:DF$4)</f>
        <v>0</v>
      </c>
      <c r="DG120" s="78" t="e">
        <f t="shared" si="269"/>
        <v>#DIV/0!</v>
      </c>
      <c r="DH120" s="79">
        <f t="array" ref="DH120">SUMIFS('Cắt lồng'!$AC$327:$AC$515,'Cắt lồng'!$AA$327:$AA$515,'Cắt lồng'!$AA120,'Cắt lồng'!$AE$327:$AE$515,'Cắt lồng'!DH$4:DH$4)</f>
        <v>0</v>
      </c>
      <c r="DI120" s="79">
        <f t="array" ref="DI120">SUMIFS('Cắt lồng'!$AH$327:$AH$515,'Cắt lồng'!$AA$327:$AA$515,'Cắt lồng'!$AA120,'Cắt lồng'!$AE$327:$AE$515,'Cắt lồng'!DI$4:DI$4)</f>
        <v>0</v>
      </c>
      <c r="DJ120" s="78" t="e">
        <f t="shared" si="270"/>
        <v>#DIV/0!</v>
      </c>
      <c r="DK120" s="79">
        <f t="array" ref="DK120">SUMIFS('Cắt lồng'!$AC$327:$AC$515,'Cắt lồng'!$AA$327:$AA$515,'Cắt lồng'!$AA120,'Cắt lồng'!$AE$327:$AE$515,'Cắt lồng'!DK$4:DK$4)</f>
        <v>0</v>
      </c>
      <c r="DL120" s="79">
        <f t="array" ref="DL120">SUMIFS('Cắt lồng'!$AH$327:$AH$515,'Cắt lồng'!$AA$327:$AA$515,'Cắt lồng'!$AA120,'Cắt lồng'!$AE$327:$AE$515,'Cắt lồng'!DL$4:DL$4)</f>
        <v>0</v>
      </c>
      <c r="DM120" s="78" t="e">
        <f t="shared" si="271"/>
        <v>#DIV/0!</v>
      </c>
      <c r="DN120" s="79">
        <f t="array" ref="DN120">SUMIFS('Cắt lồng'!$AC$327:$AC$515,'Cắt lồng'!$AA$327:$AA$515,'Cắt lồng'!$AA120,'Cắt lồng'!$AE$327:$AE$515,'Cắt lồng'!DN$4:DN$4)</f>
        <v>0</v>
      </c>
      <c r="DO120" s="79">
        <f t="array" ref="DO120">SUMIFS('Cắt lồng'!$AH$327:$AH$515,'Cắt lồng'!$AA$327:$AA$515,'Cắt lồng'!$AA120,'Cắt lồng'!$AE$327:$AE$515,'Cắt lồng'!DO$4:DO$4)</f>
        <v>0</v>
      </c>
      <c r="DP120" s="78" t="e">
        <f t="shared" si="272"/>
        <v>#DIV/0!</v>
      </c>
      <c r="DQ120" s="79">
        <f t="array" ref="DQ120">SUMIFS('Cắt lồng'!$AC$327:$AC$515,'Cắt lồng'!$AA$327:$AA$515,'Cắt lồng'!$AA120,'Cắt lồng'!$AE$327:$AE$515,'Cắt lồng'!DQ$4:DQ$4)</f>
        <v>0</v>
      </c>
      <c r="DR120" s="79">
        <f t="array" ref="DR120">SUMIFS('Cắt lồng'!$AH$327:$AH$515,'Cắt lồng'!$AA$327:$AA$515,'Cắt lồng'!$AA120,'Cắt lồng'!$AE$327:$AE$515,'Cắt lồng'!DR$4:DR$4)</f>
        <v>0</v>
      </c>
      <c r="DS120" s="78" t="e">
        <f t="shared" si="273"/>
        <v>#DIV/0!</v>
      </c>
      <c r="DT120" s="79">
        <f t="array" ref="DT120">SUMIFS('Cắt lồng'!$AC$327:$AC$515,'Cắt lồng'!$AA$327:$AA$515,'Cắt lồng'!$AA120,'Cắt lồng'!$AE$327:$AE$515,'Cắt lồng'!DT$4:DT$4)</f>
        <v>0</v>
      </c>
      <c r="DU120" s="79">
        <f t="array" ref="DU120">SUMIFS('Cắt lồng'!$AH$327:$AH$515,'Cắt lồng'!$AA$327:$AA$515,'Cắt lồng'!$AA120,'Cắt lồng'!$AE$327:$AE$515,'Cắt lồng'!DU$4:DU$4)</f>
        <v>0</v>
      </c>
      <c r="DV120" s="78" t="e">
        <f t="shared" si="274"/>
        <v>#DIV/0!</v>
      </c>
      <c r="DW120" s="79">
        <f t="array" ref="DW120">SUMIFS('Cắt lồng'!$AC$327:$AC$515,'Cắt lồng'!$AA$327:$AA$515,'Cắt lồng'!$AA120,'Cắt lồng'!$AE$327:$AE$515,'Cắt lồng'!DW$4:DW$4)</f>
        <v>0</v>
      </c>
      <c r="DX120" s="79">
        <f t="array" ref="DX120">SUMIFS('Cắt lồng'!$AH$327:$AH$515,'Cắt lồng'!$AA$327:$AA$515,'Cắt lồng'!$AA120,'Cắt lồng'!$AE$327:$AE$515,'Cắt lồng'!DX$4:DX$4)</f>
        <v>0</v>
      </c>
      <c r="DY120" s="78" t="e">
        <f t="shared" si="275"/>
        <v>#DIV/0!</v>
      </c>
      <c r="DZ120" s="79">
        <f t="array" ref="DZ120">SUMIFS('Cắt lồng'!$AC$327:$AC$515,'Cắt lồng'!$AA$327:$AA$515,'Cắt lồng'!$AA120,'Cắt lồng'!$AE$327:$AE$515,'Cắt lồng'!DZ$4:DZ$4)</f>
        <v>0</v>
      </c>
      <c r="EA120" s="79">
        <f t="array" ref="EA120">SUMIFS('Cắt lồng'!$AH$327:$AH$515,'Cắt lồng'!$AA$327:$AA$515,'Cắt lồng'!$AA120,'Cắt lồng'!$AE$327:$AE$515,'Cắt lồng'!EA$4:EA$4)</f>
        <v>0</v>
      </c>
      <c r="EB120" s="78" t="e">
        <f t="shared" si="276"/>
        <v>#DIV/0!</v>
      </c>
      <c r="EC120" s="79">
        <f t="array" ref="EC120">SUMIFS('Cắt lồng'!$AC$327:$AC$515,'Cắt lồng'!$AA$327:$AA$515,'Cắt lồng'!$AA120,'Cắt lồng'!$AE$327:$AE$515,'Cắt lồng'!EC$4:EC$4)</f>
        <v>0</v>
      </c>
      <c r="ED120" s="79">
        <f t="array" ref="ED120">SUMIFS('Cắt lồng'!$AH$327:$AH$515,'Cắt lồng'!$AA$327:$AA$515,'Cắt lồng'!$AA120,'Cắt lồng'!$AE$327:$AE$515,'Cắt lồng'!ED$4:ED$4)</f>
        <v>0</v>
      </c>
      <c r="EE120" s="78" t="e">
        <f t="shared" si="277"/>
        <v>#DIV/0!</v>
      </c>
      <c r="EF120" s="79">
        <f t="array" ref="EF120">SUMIFS('Cắt lồng'!$AC$327:$AC$515,'Cắt lồng'!$AA$327:$AA$515,'Cắt lồng'!$AA120,'Cắt lồng'!$AE$327:$AE$515,'Cắt lồng'!EF$4:EF$4)</f>
        <v>0</v>
      </c>
      <c r="EG120" s="79">
        <f t="array" ref="EG120">SUMIFS('Cắt lồng'!$AH$327:$AH$515,'Cắt lồng'!$AA$327:$AA$515,'Cắt lồng'!$AA120,'Cắt lồng'!$AE$327:$AE$515,'Cắt lồng'!EG$4:EG$4)</f>
        <v>0</v>
      </c>
      <c r="EH120" s="78" t="e">
        <f t="shared" si="278"/>
        <v>#DIV/0!</v>
      </c>
      <c r="EI120" s="79">
        <f t="array" ref="EI120">SUMIFS('Cắt lồng'!$AC$327:$AC$515,'Cắt lồng'!$AA$327:$AA$515,'Cắt lồng'!$AA120,'Cắt lồng'!$AE$327:$AE$515,'Cắt lồng'!EI$4:EI$4)</f>
        <v>0</v>
      </c>
      <c r="EJ120" s="79">
        <f t="array" ref="EJ120">SUMIFS('Cắt lồng'!$AH$327:$AH$515,'Cắt lồng'!$AA$327:$AA$515,'Cắt lồng'!$AA120,'Cắt lồng'!$AE$327:$AE$515,'Cắt lồng'!EJ$4:EJ$4)</f>
        <v>0</v>
      </c>
      <c r="EK120" s="78" t="e">
        <f t="shared" si="279"/>
        <v>#DIV/0!</v>
      </c>
    </row>
    <row r="121" spans="1:141" s="12" customFormat="1" ht="14.25" hidden="1" customHeight="1">
      <c r="A121" s="30">
        <v>88</v>
      </c>
      <c r="B121" s="26"/>
      <c r="C121" s="25"/>
      <c r="D121" s="24"/>
      <c r="E121" s="60"/>
      <c r="F121" s="59"/>
      <c r="G121" s="82">
        <f t="shared" si="212"/>
        <v>0</v>
      </c>
      <c r="H121" s="81">
        <f t="shared" si="213"/>
        <v>0</v>
      </c>
      <c r="I121" s="19">
        <f t="shared" si="214"/>
        <v>0</v>
      </c>
      <c r="J121" s="11">
        <f t="shared" si="215"/>
        <v>0</v>
      </c>
      <c r="K121" s="19">
        <f t="shared" si="216"/>
        <v>0</v>
      </c>
      <c r="L121" s="19">
        <f t="shared" si="217"/>
        <v>0</v>
      </c>
      <c r="M121" s="19">
        <f t="shared" si="218"/>
        <v>0</v>
      </c>
      <c r="N121" s="19">
        <f t="shared" si="219"/>
        <v>0</v>
      </c>
      <c r="O121" s="19">
        <f t="shared" si="220"/>
        <v>0</v>
      </c>
      <c r="P121" s="19">
        <f t="shared" si="221"/>
        <v>0</v>
      </c>
      <c r="Q121" s="19">
        <f t="shared" si="222"/>
        <v>0</v>
      </c>
      <c r="R121" s="19">
        <f t="shared" si="223"/>
        <v>0</v>
      </c>
      <c r="S121" s="19">
        <f t="shared" si="224"/>
        <v>0</v>
      </c>
      <c r="T121" s="19">
        <f t="shared" si="225"/>
        <v>0</v>
      </c>
      <c r="U121" s="19">
        <f t="shared" si="226"/>
        <v>0</v>
      </c>
      <c r="V121" s="19">
        <f t="shared" si="227"/>
        <v>0</v>
      </c>
      <c r="W121" s="19">
        <f t="shared" si="228"/>
        <v>0</v>
      </c>
      <c r="X121" s="19">
        <f t="shared" si="229"/>
        <v>0</v>
      </c>
      <c r="Y121" s="19">
        <f t="shared" si="230"/>
        <v>0</v>
      </c>
      <c r="Z121" s="19">
        <f t="shared" si="231"/>
        <v>0</v>
      </c>
      <c r="AA121" s="154">
        <v>1660</v>
      </c>
      <c r="AB121" s="17" t="e">
        <f>+H121*SUMIF('[1]KẾ HOẠCH'!$B$5:$CK$5,'Cắt lồng'!AA121,'[1]KẾ HOẠCH'!$B$6:$CK$6)+H121*SUMIF('[1]KẾ HOẠCH'!$B$7:$CK$7,'Cắt lồng'!AA121,'[1]KẾ HOẠCH'!$B$8:$CK$8)+H121*SUMIF('[1]KẾ HOẠCH'!$B$15:$CK$15,'Cắt lồng'!AA121,'[1]KẾ HOẠCH'!$B$16:$CK$16)</f>
        <v>#VALUE!</v>
      </c>
      <c r="AC121" s="16">
        <f t="shared" si="232"/>
        <v>0</v>
      </c>
      <c r="AD121" s="15" t="e">
        <f t="shared" si="233"/>
        <v>#VALUE!</v>
      </c>
      <c r="AE121" s="42"/>
      <c r="AF121" s="10" t="e">
        <f t="shared" si="234"/>
        <v>#DIV/0!</v>
      </c>
      <c r="AG121" s="10"/>
      <c r="AH121" s="152">
        <f t="shared" si="235"/>
        <v>0</v>
      </c>
      <c r="AI121" s="54" t="e">
        <f t="shared" si="236"/>
        <v>#DIV/0!</v>
      </c>
      <c r="AJ121" s="25">
        <f t="shared" si="237"/>
        <v>0</v>
      </c>
      <c r="AK121" s="25">
        <f t="shared" si="238"/>
        <v>0</v>
      </c>
      <c r="AL121" s="25">
        <f t="shared" si="239"/>
        <v>0</v>
      </c>
      <c r="AM121" s="30">
        <f t="shared" si="240"/>
        <v>0</v>
      </c>
      <c r="AN121" s="25">
        <f t="shared" si="241"/>
        <v>0</v>
      </c>
      <c r="AO121" s="25">
        <f t="shared" si="242"/>
        <v>0</v>
      </c>
      <c r="AP121" s="25">
        <f t="shared" si="243"/>
        <v>0</v>
      </c>
      <c r="AQ121" s="25">
        <f t="shared" si="244"/>
        <v>0</v>
      </c>
      <c r="AR121" s="25">
        <f t="shared" si="245"/>
        <v>0</v>
      </c>
      <c r="AS121" s="25">
        <f t="shared" si="246"/>
        <v>0</v>
      </c>
      <c r="AT121" s="25">
        <f t="shared" si="247"/>
        <v>0</v>
      </c>
      <c r="AV121" s="79">
        <f t="shared" si="248"/>
        <v>0</v>
      </c>
      <c r="AW121" s="79">
        <f t="array" ref="AW121">SUMIFS('Cắt lồng'!$AC$327:$AC$515,'Cắt lồng'!$AA$327:$AA$515,'Cắt lồng'!$AA121,'Cắt lồng'!$AE$327:$AE$515,'Cắt lồng'!AW$4:AW$4)</f>
        <v>0</v>
      </c>
      <c r="AX121" s="79">
        <f t="array" ref="AX121">SUMIFS('Cắt lồng'!$AH$327:$AH$515,'Cắt lồng'!$AA$327:$AA$515,'Cắt lồng'!$AA121,'Cắt lồng'!$AE$327:$AE$515,'Cắt lồng'!AX$4:AX$4)</f>
        <v>0</v>
      </c>
      <c r="AY121" s="78" t="e">
        <f t="shared" si="249"/>
        <v>#DIV/0!</v>
      </c>
      <c r="AZ121" s="79">
        <f t="array" ref="AZ121">SUMIFS('Cắt lồng'!$AC$327:$AC$515,'Cắt lồng'!$AA$327:$AA$515,'Cắt lồng'!$AA121,'Cắt lồng'!$AE$327:$AE$515,'Cắt lồng'!AZ$4:AZ$4)</f>
        <v>0</v>
      </c>
      <c r="BA121" s="79">
        <f t="array" ref="BA121">SUMIFS('Cắt lồng'!$AH$327:$AH$515,'Cắt lồng'!$AA$327:$AA$515,'Cắt lồng'!$AA121,'Cắt lồng'!$AE$327:$AE$515,'Cắt lồng'!BA$4:BA$4)</f>
        <v>0</v>
      </c>
      <c r="BB121" s="78" t="e">
        <f t="shared" si="250"/>
        <v>#DIV/0!</v>
      </c>
      <c r="BC121" s="79">
        <f t="array" ref="BC121">SUMIFS('Cắt lồng'!$AC$327:$AC$515,'Cắt lồng'!$AA$327:$AA$515,'Cắt lồng'!$AA121,'Cắt lồng'!$AE$327:$AE$515,'Cắt lồng'!BC$4:BC$4)</f>
        <v>0</v>
      </c>
      <c r="BD121" s="79">
        <f t="array" ref="BD121">SUMIFS('Cắt lồng'!$AH$327:$AH$515,'Cắt lồng'!$AA$327:$AA$515,'Cắt lồng'!$AA121,'Cắt lồng'!$AE$327:$AE$515,'Cắt lồng'!BD$4:BD$4)</f>
        <v>0</v>
      </c>
      <c r="BE121" s="78" t="e">
        <f t="shared" si="251"/>
        <v>#DIV/0!</v>
      </c>
      <c r="BF121" s="79">
        <f t="array" ref="BF121">SUMIFS('Cắt lồng'!$AC$327:$AC$515,'Cắt lồng'!$AA$327:$AA$515,'Cắt lồng'!$AA121,'Cắt lồng'!$AE$327:$AE$515,'Cắt lồng'!BF$4:BF$4)</f>
        <v>0</v>
      </c>
      <c r="BG121" s="79">
        <f t="array" ref="BG121">SUMIFS('Cắt lồng'!$AH$327:$AH$515,'Cắt lồng'!$AA$327:$AA$515,'Cắt lồng'!$AA121,'Cắt lồng'!$AE$327:$AE$515,'Cắt lồng'!BG$4:BG$4)</f>
        <v>0</v>
      </c>
      <c r="BH121" s="78" t="e">
        <f t="shared" si="252"/>
        <v>#DIV/0!</v>
      </c>
      <c r="BI121" s="79">
        <f t="array" ref="BI121">SUMIFS('Cắt lồng'!$AC$327:$AC$515,'Cắt lồng'!$AA$327:$AA$515,'Cắt lồng'!$AA121,'Cắt lồng'!$AE$327:$AE$515,'Cắt lồng'!BI$4:BI$4)</f>
        <v>0</v>
      </c>
      <c r="BJ121" s="79">
        <f t="array" ref="BJ121">SUMIFS('Cắt lồng'!$AH$327:$AH$515,'Cắt lồng'!$AA$327:$AA$515,'Cắt lồng'!$AA121,'Cắt lồng'!$AE$327:$AE$515,'Cắt lồng'!BJ$4:BJ$4)</f>
        <v>0</v>
      </c>
      <c r="BK121" s="78" t="e">
        <f t="shared" si="253"/>
        <v>#DIV/0!</v>
      </c>
      <c r="BL121" s="79">
        <f t="array" ref="BL121">SUMIFS('Cắt lồng'!$AC$327:$AC$515,'Cắt lồng'!$AA$327:$AA$515,'Cắt lồng'!$AA121,'Cắt lồng'!$AE$327:$AE$515,'Cắt lồng'!BL$4:BL$4)</f>
        <v>0</v>
      </c>
      <c r="BM121" s="79">
        <f t="array" ref="BM121">SUMIFS('Cắt lồng'!$AH$327:$AH$515,'Cắt lồng'!$AA$327:$AA$515,'Cắt lồng'!$AA121,'Cắt lồng'!$AE$327:$AE$515,'Cắt lồng'!BM$4:BM$4)</f>
        <v>0</v>
      </c>
      <c r="BN121" s="78" t="e">
        <f t="shared" si="254"/>
        <v>#DIV/0!</v>
      </c>
      <c r="BO121" s="79">
        <f t="array" ref="BO121">SUMIFS('Cắt lồng'!$AC$327:$AC$515,'Cắt lồng'!$AA$327:$AA$515,'Cắt lồng'!$AA121,'Cắt lồng'!$AE$327:$AE$515,'Cắt lồng'!BO$4:BO$4)</f>
        <v>0</v>
      </c>
      <c r="BP121" s="79">
        <f t="array" ref="BP121">SUMIFS('Cắt lồng'!$AH$327:$AH$515,'Cắt lồng'!$AA$327:$AA$515,'Cắt lồng'!$AA121,'Cắt lồng'!$AE$327:$AE$515,'Cắt lồng'!BP$4:BP$4)</f>
        <v>0</v>
      </c>
      <c r="BQ121" s="78" t="e">
        <f t="shared" si="255"/>
        <v>#DIV/0!</v>
      </c>
      <c r="BR121" s="79">
        <f t="array" ref="BR121">SUMIFS('Cắt lồng'!$AC$327:$AC$515,'Cắt lồng'!$AA$327:$AA$515,'Cắt lồng'!$AA121,'Cắt lồng'!$AE$327:$AE$515,'Cắt lồng'!BR$4:BR$4)</f>
        <v>0</v>
      </c>
      <c r="BS121" s="79">
        <f t="array" ref="BS121">SUMIFS('Cắt lồng'!$AH$327:$AH$515,'Cắt lồng'!$AA$327:$AA$515,'Cắt lồng'!$AA121,'Cắt lồng'!$AE$327:$AE$515,'Cắt lồng'!BS$4:BS$4)</f>
        <v>0</v>
      </c>
      <c r="BT121" s="78" t="e">
        <f t="shared" si="256"/>
        <v>#DIV/0!</v>
      </c>
      <c r="BU121" s="79">
        <f t="array" ref="BU121">SUMIFS('Cắt lồng'!$AC$327:$AC$515,'Cắt lồng'!$AA$327:$AA$515,'Cắt lồng'!$AA121,'Cắt lồng'!$AE$327:$AE$515,'Cắt lồng'!BU$4:BU$4)</f>
        <v>0</v>
      </c>
      <c r="BV121" s="79">
        <f t="array" ref="BV121">SUMIFS('Cắt lồng'!$AH$327:$AH$515,'Cắt lồng'!$AA$327:$AA$515,'Cắt lồng'!$AA121,'Cắt lồng'!$AE$327:$AE$515,'Cắt lồng'!BV$4:BV$4)</f>
        <v>0</v>
      </c>
      <c r="BW121" s="78" t="e">
        <f t="shared" si="257"/>
        <v>#DIV/0!</v>
      </c>
      <c r="BX121" s="79">
        <f t="array" ref="BX121">SUMIFS('Cắt lồng'!$AC$327:$AC$515,'Cắt lồng'!$AA$327:$AA$515,'Cắt lồng'!$AA121,'Cắt lồng'!$AE$327:$AE$515,'Cắt lồng'!BX$4:BX$4)</f>
        <v>0</v>
      </c>
      <c r="BY121" s="79">
        <f t="array" ref="BY121">SUMIFS('Cắt lồng'!$AH$327:$AH$515,'Cắt lồng'!$AA$327:$AA$515,'Cắt lồng'!$AA121,'Cắt lồng'!$AE$327:$AE$515,'Cắt lồng'!BY$4:BY$4)</f>
        <v>0</v>
      </c>
      <c r="BZ121" s="78" t="e">
        <f t="shared" si="258"/>
        <v>#DIV/0!</v>
      </c>
      <c r="CA121" s="79">
        <f t="array" ref="CA121">SUMIFS('Cắt lồng'!$AC$327:$AC$515,'Cắt lồng'!$AA$327:$AA$515,'Cắt lồng'!$AA121,'Cắt lồng'!$AE$327:$AE$515,'Cắt lồng'!CA$4:CA$4)</f>
        <v>0</v>
      </c>
      <c r="CB121" s="79">
        <f t="array" ref="CB121">SUMIFS('Cắt lồng'!$AH$327:$AH$515,'Cắt lồng'!$AA$327:$AA$515,'Cắt lồng'!$AA121,'Cắt lồng'!$AE$327:$AE$515,'Cắt lồng'!CB$4:CB$4)</f>
        <v>0</v>
      </c>
      <c r="CC121" s="78" t="e">
        <f t="shared" si="259"/>
        <v>#DIV/0!</v>
      </c>
      <c r="CD121" s="79">
        <f t="array" ref="CD121">SUMIFS('Cắt lồng'!$AC$327:$AC$515,'Cắt lồng'!$AA$327:$AA$515,'Cắt lồng'!$AA121,'Cắt lồng'!$AE$327:$AE$515,'Cắt lồng'!CD$4:CD$4)</f>
        <v>0</v>
      </c>
      <c r="CE121" s="79">
        <f t="array" ref="CE121">SUMIFS('Cắt lồng'!$AH$327:$AH$515,'Cắt lồng'!$AA$327:$AA$515,'Cắt lồng'!$AA121,'Cắt lồng'!$AE$327:$AE$515,'Cắt lồng'!CE$4:CE$4)</f>
        <v>0</v>
      </c>
      <c r="CF121" s="78" t="e">
        <f t="shared" si="260"/>
        <v>#DIV/0!</v>
      </c>
      <c r="CG121" s="79">
        <f t="array" ref="CG121">SUMIFS('Cắt lồng'!$AC$327:$AC$515,'Cắt lồng'!$AA$327:$AA$515,'Cắt lồng'!$AA121,'Cắt lồng'!$AE$327:$AE$515,'Cắt lồng'!CG$4:CG$4)</f>
        <v>0</v>
      </c>
      <c r="CH121" s="79">
        <f t="array" ref="CH121">SUMIFS('Cắt lồng'!$AH$327:$AH$515,'Cắt lồng'!$AA$327:$AA$515,'Cắt lồng'!$AA121,'Cắt lồng'!$AE$327:$AE$515,'Cắt lồng'!CH$4:CH$4)</f>
        <v>0</v>
      </c>
      <c r="CI121" s="78" t="e">
        <f t="shared" si="261"/>
        <v>#DIV/0!</v>
      </c>
      <c r="CJ121" s="79">
        <f t="array" ref="CJ121">SUMIFS('Cắt lồng'!$AC$327:$AC$515,'Cắt lồng'!$AA$327:$AA$515,'Cắt lồng'!$AA121,'Cắt lồng'!$AE$327:$AE$515,'Cắt lồng'!CJ$4:CJ$4)</f>
        <v>0</v>
      </c>
      <c r="CK121" s="79">
        <f t="array" ref="CK121">SUMIFS('Cắt lồng'!$AH$327:$AH$515,'Cắt lồng'!$AA$327:$AA$515,'Cắt lồng'!$AA121,'Cắt lồng'!$AE$327:$AE$515,'Cắt lồng'!CK$4:CK$4)</f>
        <v>0</v>
      </c>
      <c r="CL121" s="78" t="e">
        <f t="shared" si="262"/>
        <v>#DIV/0!</v>
      </c>
      <c r="CM121" s="79">
        <f t="array" ref="CM121">SUMIFS('Cắt lồng'!$AC$327:$AC$515,'Cắt lồng'!$AA$327:$AA$515,'Cắt lồng'!$AA121,'Cắt lồng'!$AE$327:$AE$515,'Cắt lồng'!CM$4:CM$4)</f>
        <v>0</v>
      </c>
      <c r="CN121" s="79">
        <f t="array" ref="CN121">SUMIFS('Cắt lồng'!$AH$327:$AH$515,'Cắt lồng'!$AA$327:$AA$515,'Cắt lồng'!$AA121,'Cắt lồng'!$AE$327:$AE$515,'Cắt lồng'!CN$4:CN$4)</f>
        <v>0</v>
      </c>
      <c r="CO121" s="78" t="e">
        <f t="shared" si="263"/>
        <v>#DIV/0!</v>
      </c>
      <c r="CP121" s="79">
        <f t="array" ref="CP121">SUMIFS('Cắt lồng'!$AC$327:$AC$515,'Cắt lồng'!$AA$327:$AA$515,'Cắt lồng'!$AA121,'Cắt lồng'!$AE$327:$AE$515,'Cắt lồng'!CP$4:CP$4)</f>
        <v>0</v>
      </c>
      <c r="CQ121" s="79">
        <f t="array" ref="CQ121">SUMIFS('Cắt lồng'!$AH$327:$AH$515,'Cắt lồng'!$AA$327:$AA$515,'Cắt lồng'!$AA121,'Cắt lồng'!$AE$327:$AE$515,'Cắt lồng'!CQ$4:CQ$4)</f>
        <v>0</v>
      </c>
      <c r="CR121" s="78" t="e">
        <f t="shared" si="264"/>
        <v>#DIV/0!</v>
      </c>
      <c r="CS121" s="79">
        <f t="array" ref="CS121">SUMIFS('Cắt lồng'!$AC$327:$AC$515,'Cắt lồng'!$AA$327:$AA$515,'Cắt lồng'!$AA121,'Cắt lồng'!$AE$327:$AE$515,'Cắt lồng'!CS$4:CS$4)</f>
        <v>0</v>
      </c>
      <c r="CT121" s="79">
        <f t="array" ref="CT121">SUMIFS('Cắt lồng'!$AH$327:$AH$515,'Cắt lồng'!$AA$327:$AA$515,'Cắt lồng'!$AA121,'Cắt lồng'!$AE$327:$AE$515,'Cắt lồng'!CT$4:CT$4)</f>
        <v>0</v>
      </c>
      <c r="CU121" s="78" t="e">
        <f t="shared" si="265"/>
        <v>#DIV/0!</v>
      </c>
      <c r="CV121" s="79">
        <f t="array" ref="CV121">SUMIFS('Cắt lồng'!$AC$327:$AC$515,'Cắt lồng'!$AA$327:$AA$515,'Cắt lồng'!$AA121,'Cắt lồng'!$AE$327:$AE$515,'Cắt lồng'!CV$4:CV$4)</f>
        <v>0</v>
      </c>
      <c r="CW121" s="79">
        <f t="array" ref="CW121">SUMIFS('Cắt lồng'!$AH$327:$AH$515,'Cắt lồng'!$AA$327:$AA$515,'Cắt lồng'!$AA121,'Cắt lồng'!$AE$327:$AE$515,'Cắt lồng'!CW$4:CW$4)</f>
        <v>0</v>
      </c>
      <c r="CX121" s="78" t="e">
        <f t="shared" si="266"/>
        <v>#DIV/0!</v>
      </c>
      <c r="CY121" s="79">
        <f t="array" ref="CY121">SUMIFS('Cắt lồng'!$AC$327:$AC$515,'Cắt lồng'!$AA$327:$AA$515,'Cắt lồng'!$AA121,'Cắt lồng'!$AE$327:$AE$515,'Cắt lồng'!CY$4:CY$4)</f>
        <v>0</v>
      </c>
      <c r="CZ121" s="79">
        <f t="array" ref="CZ121">SUMIFS('Cắt lồng'!$AH$327:$AH$515,'Cắt lồng'!$AA$327:$AA$515,'Cắt lồng'!$AA121,'Cắt lồng'!$AE$327:$AE$515,'Cắt lồng'!CZ$4:CZ$4)</f>
        <v>0</v>
      </c>
      <c r="DA121" s="78" t="e">
        <f t="shared" si="267"/>
        <v>#DIV/0!</v>
      </c>
      <c r="DB121" s="79">
        <f t="array" ref="DB121">SUMIFS('Cắt lồng'!$AC$327:$AC$515,'Cắt lồng'!$AA$327:$AA$515,'Cắt lồng'!$AA121,'Cắt lồng'!$AE$327:$AE$515,'Cắt lồng'!DB$4:DB$4)</f>
        <v>0</v>
      </c>
      <c r="DC121" s="79">
        <f t="array" ref="DC121">SUMIFS('Cắt lồng'!$AH$327:$AH$515,'Cắt lồng'!$AA$327:$AA$515,'Cắt lồng'!$AA121,'Cắt lồng'!$AE$327:$AE$515,'Cắt lồng'!DC$4:DC$4)</f>
        <v>0</v>
      </c>
      <c r="DD121" s="78" t="e">
        <f t="shared" si="268"/>
        <v>#DIV/0!</v>
      </c>
      <c r="DE121" s="79">
        <f t="array" ref="DE121">SUMIFS('Cắt lồng'!$AC$327:$AC$515,'Cắt lồng'!$AA$327:$AA$515,'Cắt lồng'!$AA121,'Cắt lồng'!$AE$327:$AE$515,'Cắt lồng'!DE$4:DE$4)</f>
        <v>0</v>
      </c>
      <c r="DF121" s="79">
        <f t="array" ref="DF121">SUMIFS('Cắt lồng'!$AH$327:$AH$515,'Cắt lồng'!$AA$327:$AA$515,'Cắt lồng'!$AA121,'Cắt lồng'!$AE$327:$AE$515,'Cắt lồng'!DF$4:DF$4)</f>
        <v>0</v>
      </c>
      <c r="DG121" s="78" t="e">
        <f t="shared" si="269"/>
        <v>#DIV/0!</v>
      </c>
      <c r="DH121" s="79">
        <f t="array" ref="DH121">SUMIFS('Cắt lồng'!$AC$327:$AC$515,'Cắt lồng'!$AA$327:$AA$515,'Cắt lồng'!$AA121,'Cắt lồng'!$AE$327:$AE$515,'Cắt lồng'!DH$4:DH$4)</f>
        <v>0</v>
      </c>
      <c r="DI121" s="79">
        <f t="array" ref="DI121">SUMIFS('Cắt lồng'!$AH$327:$AH$515,'Cắt lồng'!$AA$327:$AA$515,'Cắt lồng'!$AA121,'Cắt lồng'!$AE$327:$AE$515,'Cắt lồng'!DI$4:DI$4)</f>
        <v>0</v>
      </c>
      <c r="DJ121" s="78" t="e">
        <f t="shared" si="270"/>
        <v>#DIV/0!</v>
      </c>
      <c r="DK121" s="79">
        <f t="array" ref="DK121">SUMIFS('Cắt lồng'!$AC$327:$AC$515,'Cắt lồng'!$AA$327:$AA$515,'Cắt lồng'!$AA121,'Cắt lồng'!$AE$327:$AE$515,'Cắt lồng'!DK$4:DK$4)</f>
        <v>0</v>
      </c>
      <c r="DL121" s="79">
        <f t="array" ref="DL121">SUMIFS('Cắt lồng'!$AH$327:$AH$515,'Cắt lồng'!$AA$327:$AA$515,'Cắt lồng'!$AA121,'Cắt lồng'!$AE$327:$AE$515,'Cắt lồng'!DL$4:DL$4)</f>
        <v>0</v>
      </c>
      <c r="DM121" s="78" t="e">
        <f t="shared" si="271"/>
        <v>#DIV/0!</v>
      </c>
      <c r="DN121" s="79">
        <f t="array" ref="DN121">SUMIFS('Cắt lồng'!$AC$327:$AC$515,'Cắt lồng'!$AA$327:$AA$515,'Cắt lồng'!$AA121,'Cắt lồng'!$AE$327:$AE$515,'Cắt lồng'!DN$4:DN$4)</f>
        <v>0</v>
      </c>
      <c r="DO121" s="79">
        <f t="array" ref="DO121">SUMIFS('Cắt lồng'!$AH$327:$AH$515,'Cắt lồng'!$AA$327:$AA$515,'Cắt lồng'!$AA121,'Cắt lồng'!$AE$327:$AE$515,'Cắt lồng'!DO$4:DO$4)</f>
        <v>0</v>
      </c>
      <c r="DP121" s="78" t="e">
        <f t="shared" si="272"/>
        <v>#DIV/0!</v>
      </c>
      <c r="DQ121" s="79">
        <f t="array" ref="DQ121">SUMIFS('Cắt lồng'!$AC$327:$AC$515,'Cắt lồng'!$AA$327:$AA$515,'Cắt lồng'!$AA121,'Cắt lồng'!$AE$327:$AE$515,'Cắt lồng'!DQ$4:DQ$4)</f>
        <v>0</v>
      </c>
      <c r="DR121" s="79">
        <f t="array" ref="DR121">SUMIFS('Cắt lồng'!$AH$327:$AH$515,'Cắt lồng'!$AA$327:$AA$515,'Cắt lồng'!$AA121,'Cắt lồng'!$AE$327:$AE$515,'Cắt lồng'!DR$4:DR$4)</f>
        <v>0</v>
      </c>
      <c r="DS121" s="78" t="e">
        <f t="shared" si="273"/>
        <v>#DIV/0!</v>
      </c>
      <c r="DT121" s="79">
        <f t="array" ref="DT121">SUMIFS('Cắt lồng'!$AC$327:$AC$515,'Cắt lồng'!$AA$327:$AA$515,'Cắt lồng'!$AA121,'Cắt lồng'!$AE$327:$AE$515,'Cắt lồng'!DT$4:DT$4)</f>
        <v>0</v>
      </c>
      <c r="DU121" s="79">
        <f t="array" ref="DU121">SUMIFS('Cắt lồng'!$AH$327:$AH$515,'Cắt lồng'!$AA$327:$AA$515,'Cắt lồng'!$AA121,'Cắt lồng'!$AE$327:$AE$515,'Cắt lồng'!DU$4:DU$4)</f>
        <v>0</v>
      </c>
      <c r="DV121" s="78" t="e">
        <f t="shared" si="274"/>
        <v>#DIV/0!</v>
      </c>
      <c r="DW121" s="79">
        <f t="array" ref="DW121">SUMIFS('Cắt lồng'!$AC$327:$AC$515,'Cắt lồng'!$AA$327:$AA$515,'Cắt lồng'!$AA121,'Cắt lồng'!$AE$327:$AE$515,'Cắt lồng'!DW$4:DW$4)</f>
        <v>0</v>
      </c>
      <c r="DX121" s="79">
        <f t="array" ref="DX121">SUMIFS('Cắt lồng'!$AH$327:$AH$515,'Cắt lồng'!$AA$327:$AA$515,'Cắt lồng'!$AA121,'Cắt lồng'!$AE$327:$AE$515,'Cắt lồng'!DX$4:DX$4)</f>
        <v>0</v>
      </c>
      <c r="DY121" s="78" t="e">
        <f t="shared" si="275"/>
        <v>#DIV/0!</v>
      </c>
      <c r="DZ121" s="79">
        <f t="array" ref="DZ121">SUMIFS('Cắt lồng'!$AC$327:$AC$515,'Cắt lồng'!$AA$327:$AA$515,'Cắt lồng'!$AA121,'Cắt lồng'!$AE$327:$AE$515,'Cắt lồng'!DZ$4:DZ$4)</f>
        <v>0</v>
      </c>
      <c r="EA121" s="79">
        <f t="array" ref="EA121">SUMIFS('Cắt lồng'!$AH$327:$AH$515,'Cắt lồng'!$AA$327:$AA$515,'Cắt lồng'!$AA121,'Cắt lồng'!$AE$327:$AE$515,'Cắt lồng'!EA$4:EA$4)</f>
        <v>0</v>
      </c>
      <c r="EB121" s="78" t="e">
        <f t="shared" si="276"/>
        <v>#DIV/0!</v>
      </c>
      <c r="EC121" s="79">
        <f t="array" ref="EC121">SUMIFS('Cắt lồng'!$AC$327:$AC$515,'Cắt lồng'!$AA$327:$AA$515,'Cắt lồng'!$AA121,'Cắt lồng'!$AE$327:$AE$515,'Cắt lồng'!EC$4:EC$4)</f>
        <v>0</v>
      </c>
      <c r="ED121" s="79">
        <f t="array" ref="ED121">SUMIFS('Cắt lồng'!$AH$327:$AH$515,'Cắt lồng'!$AA$327:$AA$515,'Cắt lồng'!$AA121,'Cắt lồng'!$AE$327:$AE$515,'Cắt lồng'!ED$4:ED$4)</f>
        <v>0</v>
      </c>
      <c r="EE121" s="78" t="e">
        <f t="shared" si="277"/>
        <v>#DIV/0!</v>
      </c>
      <c r="EF121" s="79">
        <f t="array" ref="EF121">SUMIFS('Cắt lồng'!$AC$327:$AC$515,'Cắt lồng'!$AA$327:$AA$515,'Cắt lồng'!$AA121,'Cắt lồng'!$AE$327:$AE$515,'Cắt lồng'!EF$4:EF$4)</f>
        <v>0</v>
      </c>
      <c r="EG121" s="79">
        <f t="array" ref="EG121">SUMIFS('Cắt lồng'!$AH$327:$AH$515,'Cắt lồng'!$AA$327:$AA$515,'Cắt lồng'!$AA121,'Cắt lồng'!$AE$327:$AE$515,'Cắt lồng'!EG$4:EG$4)</f>
        <v>0</v>
      </c>
      <c r="EH121" s="78" t="e">
        <f t="shared" si="278"/>
        <v>#DIV/0!</v>
      </c>
      <c r="EI121" s="79">
        <f t="array" ref="EI121">SUMIFS('Cắt lồng'!$AC$327:$AC$515,'Cắt lồng'!$AA$327:$AA$515,'Cắt lồng'!$AA121,'Cắt lồng'!$AE$327:$AE$515,'Cắt lồng'!EI$4:EI$4)</f>
        <v>0</v>
      </c>
      <c r="EJ121" s="79">
        <f t="array" ref="EJ121">SUMIFS('Cắt lồng'!$AH$327:$AH$515,'Cắt lồng'!$AA$327:$AA$515,'Cắt lồng'!$AA121,'Cắt lồng'!$AE$327:$AE$515,'Cắt lồng'!EJ$4:EJ$4)</f>
        <v>0</v>
      </c>
      <c r="EK121" s="78" t="e">
        <f t="shared" si="279"/>
        <v>#DIV/0!</v>
      </c>
    </row>
    <row r="122" spans="1:141" s="12" customFormat="1" ht="14.25" hidden="1" customHeight="1">
      <c r="A122" s="30">
        <v>89</v>
      </c>
      <c r="B122" s="26"/>
      <c r="C122" s="25"/>
      <c r="D122" s="24"/>
      <c r="E122" s="60"/>
      <c r="F122" s="59"/>
      <c r="G122" s="82">
        <f t="shared" si="212"/>
        <v>0</v>
      </c>
      <c r="H122" s="81">
        <f t="shared" si="213"/>
        <v>0</v>
      </c>
      <c r="I122" s="19">
        <f t="shared" si="214"/>
        <v>0</v>
      </c>
      <c r="J122" s="11">
        <f t="shared" si="215"/>
        <v>0</v>
      </c>
      <c r="K122" s="19">
        <f t="shared" si="216"/>
        <v>0</v>
      </c>
      <c r="L122" s="19">
        <f t="shared" si="217"/>
        <v>0</v>
      </c>
      <c r="M122" s="19">
        <f t="shared" si="218"/>
        <v>0</v>
      </c>
      <c r="N122" s="19">
        <f t="shared" si="219"/>
        <v>0</v>
      </c>
      <c r="O122" s="19">
        <f t="shared" si="220"/>
        <v>0</v>
      </c>
      <c r="P122" s="19">
        <f t="shared" si="221"/>
        <v>0</v>
      </c>
      <c r="Q122" s="19">
        <f t="shared" si="222"/>
        <v>0</v>
      </c>
      <c r="R122" s="19">
        <f t="shared" si="223"/>
        <v>0</v>
      </c>
      <c r="S122" s="19">
        <f t="shared" si="224"/>
        <v>0</v>
      </c>
      <c r="T122" s="19">
        <f t="shared" si="225"/>
        <v>0</v>
      </c>
      <c r="U122" s="19">
        <f t="shared" si="226"/>
        <v>0</v>
      </c>
      <c r="V122" s="19">
        <f t="shared" si="227"/>
        <v>0</v>
      </c>
      <c r="W122" s="19">
        <f t="shared" si="228"/>
        <v>0</v>
      </c>
      <c r="X122" s="19">
        <f t="shared" si="229"/>
        <v>0</v>
      </c>
      <c r="Y122" s="19">
        <f t="shared" si="230"/>
        <v>0</v>
      </c>
      <c r="Z122" s="19">
        <f t="shared" si="231"/>
        <v>0</v>
      </c>
      <c r="AA122" s="154">
        <v>3438</v>
      </c>
      <c r="AB122" s="17" t="e">
        <f>+H122*SUMIF('[1]KẾ HOẠCH'!$B$5:$CK$5,'Cắt lồng'!AA122,'[1]KẾ HOẠCH'!$B$6:$CK$6)+H122*SUMIF('[1]KẾ HOẠCH'!$B$7:$CK$7,'Cắt lồng'!AA122,'[1]KẾ HOẠCH'!$B$8:$CK$8)+H122*SUMIF('[1]KẾ HOẠCH'!$B$15:$CK$15,'Cắt lồng'!AA122,'[1]KẾ HOẠCH'!$B$16:$CK$16)</f>
        <v>#VALUE!</v>
      </c>
      <c r="AC122" s="16">
        <f t="shared" si="232"/>
        <v>0</v>
      </c>
      <c r="AD122" s="15" t="e">
        <f t="shared" si="233"/>
        <v>#VALUE!</v>
      </c>
      <c r="AE122" s="42"/>
      <c r="AF122" s="10" t="e">
        <f t="shared" si="234"/>
        <v>#DIV/0!</v>
      </c>
      <c r="AG122" s="10"/>
      <c r="AH122" s="152">
        <f t="shared" si="235"/>
        <v>0</v>
      </c>
      <c r="AI122" s="54" t="e">
        <f t="shared" si="236"/>
        <v>#DIV/0!</v>
      </c>
      <c r="AJ122" s="25">
        <f t="shared" si="237"/>
        <v>0</v>
      </c>
      <c r="AK122" s="25">
        <f t="shared" si="238"/>
        <v>0</v>
      </c>
      <c r="AL122" s="25">
        <f t="shared" si="239"/>
        <v>0</v>
      </c>
      <c r="AM122" s="30">
        <f t="shared" si="240"/>
        <v>0</v>
      </c>
      <c r="AN122" s="25">
        <f t="shared" si="241"/>
        <v>0</v>
      </c>
      <c r="AO122" s="25">
        <f t="shared" si="242"/>
        <v>0</v>
      </c>
      <c r="AP122" s="25">
        <f t="shared" si="243"/>
        <v>0</v>
      </c>
      <c r="AQ122" s="25">
        <f t="shared" si="244"/>
        <v>0</v>
      </c>
      <c r="AR122" s="25">
        <f t="shared" si="245"/>
        <v>0</v>
      </c>
      <c r="AS122" s="25">
        <f t="shared" si="246"/>
        <v>0</v>
      </c>
      <c r="AT122" s="25">
        <f t="shared" si="247"/>
        <v>0</v>
      </c>
      <c r="AV122" s="79">
        <f t="shared" si="248"/>
        <v>0</v>
      </c>
      <c r="AW122" s="79">
        <f t="array" ref="AW122">SUMIFS('Cắt lồng'!$AC$327:$AC$515,'Cắt lồng'!$AA$327:$AA$515,'Cắt lồng'!$AA122,'Cắt lồng'!$AE$327:$AE$515,'Cắt lồng'!AW$4:AW$4)</f>
        <v>0</v>
      </c>
      <c r="AX122" s="79">
        <f t="array" ref="AX122">SUMIFS('Cắt lồng'!$AH$327:$AH$515,'Cắt lồng'!$AA$327:$AA$515,'Cắt lồng'!$AA122,'Cắt lồng'!$AE$327:$AE$515,'Cắt lồng'!AX$4:AX$4)</f>
        <v>0</v>
      </c>
      <c r="AY122" s="78" t="e">
        <f t="shared" si="249"/>
        <v>#DIV/0!</v>
      </c>
      <c r="AZ122" s="79">
        <f t="array" ref="AZ122">SUMIFS('Cắt lồng'!$AC$327:$AC$515,'Cắt lồng'!$AA$327:$AA$515,'Cắt lồng'!$AA122,'Cắt lồng'!$AE$327:$AE$515,'Cắt lồng'!AZ$4:AZ$4)</f>
        <v>0</v>
      </c>
      <c r="BA122" s="79">
        <f t="array" ref="BA122">SUMIFS('Cắt lồng'!$AH$327:$AH$515,'Cắt lồng'!$AA$327:$AA$515,'Cắt lồng'!$AA122,'Cắt lồng'!$AE$327:$AE$515,'Cắt lồng'!BA$4:BA$4)</f>
        <v>0</v>
      </c>
      <c r="BB122" s="78" t="e">
        <f t="shared" si="250"/>
        <v>#DIV/0!</v>
      </c>
      <c r="BC122" s="79">
        <f t="array" ref="BC122">SUMIFS('Cắt lồng'!$AC$327:$AC$515,'Cắt lồng'!$AA$327:$AA$515,'Cắt lồng'!$AA122,'Cắt lồng'!$AE$327:$AE$515,'Cắt lồng'!BC$4:BC$4)</f>
        <v>0</v>
      </c>
      <c r="BD122" s="79">
        <f t="array" ref="BD122">SUMIFS('Cắt lồng'!$AH$327:$AH$515,'Cắt lồng'!$AA$327:$AA$515,'Cắt lồng'!$AA122,'Cắt lồng'!$AE$327:$AE$515,'Cắt lồng'!BD$4:BD$4)</f>
        <v>0</v>
      </c>
      <c r="BE122" s="78" t="e">
        <f t="shared" si="251"/>
        <v>#DIV/0!</v>
      </c>
      <c r="BF122" s="79">
        <f t="array" ref="BF122">SUMIFS('Cắt lồng'!$AC$327:$AC$515,'Cắt lồng'!$AA$327:$AA$515,'Cắt lồng'!$AA122,'Cắt lồng'!$AE$327:$AE$515,'Cắt lồng'!BF$4:BF$4)</f>
        <v>0</v>
      </c>
      <c r="BG122" s="79">
        <f t="array" ref="BG122">SUMIFS('Cắt lồng'!$AH$327:$AH$515,'Cắt lồng'!$AA$327:$AA$515,'Cắt lồng'!$AA122,'Cắt lồng'!$AE$327:$AE$515,'Cắt lồng'!BG$4:BG$4)</f>
        <v>0</v>
      </c>
      <c r="BH122" s="78" t="e">
        <f t="shared" si="252"/>
        <v>#DIV/0!</v>
      </c>
      <c r="BI122" s="79">
        <f t="array" ref="BI122">SUMIFS('Cắt lồng'!$AC$327:$AC$515,'Cắt lồng'!$AA$327:$AA$515,'Cắt lồng'!$AA122,'Cắt lồng'!$AE$327:$AE$515,'Cắt lồng'!BI$4:BI$4)</f>
        <v>0</v>
      </c>
      <c r="BJ122" s="79">
        <f t="array" ref="BJ122">SUMIFS('Cắt lồng'!$AH$327:$AH$515,'Cắt lồng'!$AA$327:$AA$515,'Cắt lồng'!$AA122,'Cắt lồng'!$AE$327:$AE$515,'Cắt lồng'!BJ$4:BJ$4)</f>
        <v>0</v>
      </c>
      <c r="BK122" s="78" t="e">
        <f t="shared" si="253"/>
        <v>#DIV/0!</v>
      </c>
      <c r="BL122" s="79">
        <f t="array" ref="BL122">SUMIFS('Cắt lồng'!$AC$327:$AC$515,'Cắt lồng'!$AA$327:$AA$515,'Cắt lồng'!$AA122,'Cắt lồng'!$AE$327:$AE$515,'Cắt lồng'!BL$4:BL$4)</f>
        <v>0</v>
      </c>
      <c r="BM122" s="79">
        <f t="array" ref="BM122">SUMIFS('Cắt lồng'!$AH$327:$AH$515,'Cắt lồng'!$AA$327:$AA$515,'Cắt lồng'!$AA122,'Cắt lồng'!$AE$327:$AE$515,'Cắt lồng'!BM$4:BM$4)</f>
        <v>0</v>
      </c>
      <c r="BN122" s="78" t="e">
        <f t="shared" si="254"/>
        <v>#DIV/0!</v>
      </c>
      <c r="BO122" s="79">
        <f t="array" ref="BO122">SUMIFS('Cắt lồng'!$AC$327:$AC$515,'Cắt lồng'!$AA$327:$AA$515,'Cắt lồng'!$AA122,'Cắt lồng'!$AE$327:$AE$515,'Cắt lồng'!BO$4:BO$4)</f>
        <v>0</v>
      </c>
      <c r="BP122" s="79">
        <f t="array" ref="BP122">SUMIFS('Cắt lồng'!$AH$327:$AH$515,'Cắt lồng'!$AA$327:$AA$515,'Cắt lồng'!$AA122,'Cắt lồng'!$AE$327:$AE$515,'Cắt lồng'!BP$4:BP$4)</f>
        <v>0</v>
      </c>
      <c r="BQ122" s="78" t="e">
        <f t="shared" si="255"/>
        <v>#DIV/0!</v>
      </c>
      <c r="BR122" s="79">
        <f t="array" ref="BR122">SUMIFS('Cắt lồng'!$AC$327:$AC$515,'Cắt lồng'!$AA$327:$AA$515,'Cắt lồng'!$AA122,'Cắt lồng'!$AE$327:$AE$515,'Cắt lồng'!BR$4:BR$4)</f>
        <v>0</v>
      </c>
      <c r="BS122" s="79">
        <f t="array" ref="BS122">SUMIFS('Cắt lồng'!$AH$327:$AH$515,'Cắt lồng'!$AA$327:$AA$515,'Cắt lồng'!$AA122,'Cắt lồng'!$AE$327:$AE$515,'Cắt lồng'!BS$4:BS$4)</f>
        <v>0</v>
      </c>
      <c r="BT122" s="78" t="e">
        <f t="shared" si="256"/>
        <v>#DIV/0!</v>
      </c>
      <c r="BU122" s="79">
        <f t="array" ref="BU122">SUMIFS('Cắt lồng'!$AC$327:$AC$515,'Cắt lồng'!$AA$327:$AA$515,'Cắt lồng'!$AA122,'Cắt lồng'!$AE$327:$AE$515,'Cắt lồng'!BU$4:BU$4)</f>
        <v>0</v>
      </c>
      <c r="BV122" s="79">
        <f t="array" ref="BV122">SUMIFS('Cắt lồng'!$AH$327:$AH$515,'Cắt lồng'!$AA$327:$AA$515,'Cắt lồng'!$AA122,'Cắt lồng'!$AE$327:$AE$515,'Cắt lồng'!BV$4:BV$4)</f>
        <v>0</v>
      </c>
      <c r="BW122" s="78" t="e">
        <f t="shared" si="257"/>
        <v>#DIV/0!</v>
      </c>
      <c r="BX122" s="79">
        <f t="array" ref="BX122">SUMIFS('Cắt lồng'!$AC$327:$AC$515,'Cắt lồng'!$AA$327:$AA$515,'Cắt lồng'!$AA122,'Cắt lồng'!$AE$327:$AE$515,'Cắt lồng'!BX$4:BX$4)</f>
        <v>0</v>
      </c>
      <c r="BY122" s="79">
        <f t="array" ref="BY122">SUMIFS('Cắt lồng'!$AH$327:$AH$515,'Cắt lồng'!$AA$327:$AA$515,'Cắt lồng'!$AA122,'Cắt lồng'!$AE$327:$AE$515,'Cắt lồng'!BY$4:BY$4)</f>
        <v>0</v>
      </c>
      <c r="BZ122" s="78" t="e">
        <f t="shared" si="258"/>
        <v>#DIV/0!</v>
      </c>
      <c r="CA122" s="79">
        <f t="array" ref="CA122">SUMIFS('Cắt lồng'!$AC$327:$AC$515,'Cắt lồng'!$AA$327:$AA$515,'Cắt lồng'!$AA122,'Cắt lồng'!$AE$327:$AE$515,'Cắt lồng'!CA$4:CA$4)</f>
        <v>0</v>
      </c>
      <c r="CB122" s="79">
        <f t="array" ref="CB122">SUMIFS('Cắt lồng'!$AH$327:$AH$515,'Cắt lồng'!$AA$327:$AA$515,'Cắt lồng'!$AA122,'Cắt lồng'!$AE$327:$AE$515,'Cắt lồng'!CB$4:CB$4)</f>
        <v>0</v>
      </c>
      <c r="CC122" s="78" t="e">
        <f t="shared" si="259"/>
        <v>#DIV/0!</v>
      </c>
      <c r="CD122" s="79">
        <f t="array" ref="CD122">SUMIFS('Cắt lồng'!$AC$327:$AC$515,'Cắt lồng'!$AA$327:$AA$515,'Cắt lồng'!$AA122,'Cắt lồng'!$AE$327:$AE$515,'Cắt lồng'!CD$4:CD$4)</f>
        <v>0</v>
      </c>
      <c r="CE122" s="79">
        <f t="array" ref="CE122">SUMIFS('Cắt lồng'!$AH$327:$AH$515,'Cắt lồng'!$AA$327:$AA$515,'Cắt lồng'!$AA122,'Cắt lồng'!$AE$327:$AE$515,'Cắt lồng'!CE$4:CE$4)</f>
        <v>0</v>
      </c>
      <c r="CF122" s="78" t="e">
        <f t="shared" si="260"/>
        <v>#DIV/0!</v>
      </c>
      <c r="CG122" s="79">
        <f t="array" ref="CG122">SUMIFS('Cắt lồng'!$AC$327:$AC$515,'Cắt lồng'!$AA$327:$AA$515,'Cắt lồng'!$AA122,'Cắt lồng'!$AE$327:$AE$515,'Cắt lồng'!CG$4:CG$4)</f>
        <v>0</v>
      </c>
      <c r="CH122" s="79">
        <f t="array" ref="CH122">SUMIFS('Cắt lồng'!$AH$327:$AH$515,'Cắt lồng'!$AA$327:$AA$515,'Cắt lồng'!$AA122,'Cắt lồng'!$AE$327:$AE$515,'Cắt lồng'!CH$4:CH$4)</f>
        <v>0</v>
      </c>
      <c r="CI122" s="78" t="e">
        <f t="shared" si="261"/>
        <v>#DIV/0!</v>
      </c>
      <c r="CJ122" s="79">
        <f t="array" ref="CJ122">SUMIFS('Cắt lồng'!$AC$327:$AC$515,'Cắt lồng'!$AA$327:$AA$515,'Cắt lồng'!$AA122,'Cắt lồng'!$AE$327:$AE$515,'Cắt lồng'!CJ$4:CJ$4)</f>
        <v>0</v>
      </c>
      <c r="CK122" s="79">
        <f t="array" ref="CK122">SUMIFS('Cắt lồng'!$AH$327:$AH$515,'Cắt lồng'!$AA$327:$AA$515,'Cắt lồng'!$AA122,'Cắt lồng'!$AE$327:$AE$515,'Cắt lồng'!CK$4:CK$4)</f>
        <v>0</v>
      </c>
      <c r="CL122" s="78" t="e">
        <f t="shared" si="262"/>
        <v>#DIV/0!</v>
      </c>
      <c r="CM122" s="79">
        <f t="array" ref="CM122">SUMIFS('Cắt lồng'!$AC$327:$AC$515,'Cắt lồng'!$AA$327:$AA$515,'Cắt lồng'!$AA122,'Cắt lồng'!$AE$327:$AE$515,'Cắt lồng'!CM$4:CM$4)</f>
        <v>0</v>
      </c>
      <c r="CN122" s="79">
        <f t="array" ref="CN122">SUMIFS('Cắt lồng'!$AH$327:$AH$515,'Cắt lồng'!$AA$327:$AA$515,'Cắt lồng'!$AA122,'Cắt lồng'!$AE$327:$AE$515,'Cắt lồng'!CN$4:CN$4)</f>
        <v>0</v>
      </c>
      <c r="CO122" s="78" t="e">
        <f t="shared" si="263"/>
        <v>#DIV/0!</v>
      </c>
      <c r="CP122" s="79">
        <f t="array" ref="CP122">SUMIFS('Cắt lồng'!$AC$327:$AC$515,'Cắt lồng'!$AA$327:$AA$515,'Cắt lồng'!$AA122,'Cắt lồng'!$AE$327:$AE$515,'Cắt lồng'!CP$4:CP$4)</f>
        <v>0</v>
      </c>
      <c r="CQ122" s="79">
        <f t="array" ref="CQ122">SUMIFS('Cắt lồng'!$AH$327:$AH$515,'Cắt lồng'!$AA$327:$AA$515,'Cắt lồng'!$AA122,'Cắt lồng'!$AE$327:$AE$515,'Cắt lồng'!CQ$4:CQ$4)</f>
        <v>0</v>
      </c>
      <c r="CR122" s="78" t="e">
        <f t="shared" si="264"/>
        <v>#DIV/0!</v>
      </c>
      <c r="CS122" s="79">
        <f t="array" ref="CS122">SUMIFS('Cắt lồng'!$AC$327:$AC$515,'Cắt lồng'!$AA$327:$AA$515,'Cắt lồng'!$AA122,'Cắt lồng'!$AE$327:$AE$515,'Cắt lồng'!CS$4:CS$4)</f>
        <v>0</v>
      </c>
      <c r="CT122" s="79">
        <f t="array" ref="CT122">SUMIFS('Cắt lồng'!$AH$327:$AH$515,'Cắt lồng'!$AA$327:$AA$515,'Cắt lồng'!$AA122,'Cắt lồng'!$AE$327:$AE$515,'Cắt lồng'!CT$4:CT$4)</f>
        <v>0</v>
      </c>
      <c r="CU122" s="78" t="e">
        <f t="shared" si="265"/>
        <v>#DIV/0!</v>
      </c>
      <c r="CV122" s="79">
        <f t="array" ref="CV122">SUMIFS('Cắt lồng'!$AC$327:$AC$515,'Cắt lồng'!$AA$327:$AA$515,'Cắt lồng'!$AA122,'Cắt lồng'!$AE$327:$AE$515,'Cắt lồng'!CV$4:CV$4)</f>
        <v>0</v>
      </c>
      <c r="CW122" s="79">
        <f t="array" ref="CW122">SUMIFS('Cắt lồng'!$AH$327:$AH$515,'Cắt lồng'!$AA$327:$AA$515,'Cắt lồng'!$AA122,'Cắt lồng'!$AE$327:$AE$515,'Cắt lồng'!CW$4:CW$4)</f>
        <v>0</v>
      </c>
      <c r="CX122" s="78" t="e">
        <f t="shared" si="266"/>
        <v>#DIV/0!</v>
      </c>
      <c r="CY122" s="79">
        <f t="array" ref="CY122">SUMIFS('Cắt lồng'!$AC$327:$AC$515,'Cắt lồng'!$AA$327:$AA$515,'Cắt lồng'!$AA122,'Cắt lồng'!$AE$327:$AE$515,'Cắt lồng'!CY$4:CY$4)</f>
        <v>0</v>
      </c>
      <c r="CZ122" s="79">
        <f t="array" ref="CZ122">SUMIFS('Cắt lồng'!$AH$327:$AH$515,'Cắt lồng'!$AA$327:$AA$515,'Cắt lồng'!$AA122,'Cắt lồng'!$AE$327:$AE$515,'Cắt lồng'!CZ$4:CZ$4)</f>
        <v>0</v>
      </c>
      <c r="DA122" s="78" t="e">
        <f t="shared" si="267"/>
        <v>#DIV/0!</v>
      </c>
      <c r="DB122" s="79">
        <f t="array" ref="DB122">SUMIFS('Cắt lồng'!$AC$327:$AC$515,'Cắt lồng'!$AA$327:$AA$515,'Cắt lồng'!$AA122,'Cắt lồng'!$AE$327:$AE$515,'Cắt lồng'!DB$4:DB$4)</f>
        <v>0</v>
      </c>
      <c r="DC122" s="79">
        <f t="array" ref="DC122">SUMIFS('Cắt lồng'!$AH$327:$AH$515,'Cắt lồng'!$AA$327:$AA$515,'Cắt lồng'!$AA122,'Cắt lồng'!$AE$327:$AE$515,'Cắt lồng'!DC$4:DC$4)</f>
        <v>0</v>
      </c>
      <c r="DD122" s="78" t="e">
        <f t="shared" si="268"/>
        <v>#DIV/0!</v>
      </c>
      <c r="DE122" s="79">
        <f t="array" ref="DE122">SUMIFS('Cắt lồng'!$AC$327:$AC$515,'Cắt lồng'!$AA$327:$AA$515,'Cắt lồng'!$AA122,'Cắt lồng'!$AE$327:$AE$515,'Cắt lồng'!DE$4:DE$4)</f>
        <v>0</v>
      </c>
      <c r="DF122" s="79">
        <f t="array" ref="DF122">SUMIFS('Cắt lồng'!$AH$327:$AH$515,'Cắt lồng'!$AA$327:$AA$515,'Cắt lồng'!$AA122,'Cắt lồng'!$AE$327:$AE$515,'Cắt lồng'!DF$4:DF$4)</f>
        <v>0</v>
      </c>
      <c r="DG122" s="78" t="e">
        <f t="shared" si="269"/>
        <v>#DIV/0!</v>
      </c>
      <c r="DH122" s="79">
        <f t="array" ref="DH122">SUMIFS('Cắt lồng'!$AC$327:$AC$515,'Cắt lồng'!$AA$327:$AA$515,'Cắt lồng'!$AA122,'Cắt lồng'!$AE$327:$AE$515,'Cắt lồng'!DH$4:DH$4)</f>
        <v>0</v>
      </c>
      <c r="DI122" s="79">
        <f t="array" ref="DI122">SUMIFS('Cắt lồng'!$AH$327:$AH$515,'Cắt lồng'!$AA$327:$AA$515,'Cắt lồng'!$AA122,'Cắt lồng'!$AE$327:$AE$515,'Cắt lồng'!DI$4:DI$4)</f>
        <v>0</v>
      </c>
      <c r="DJ122" s="78" t="e">
        <f t="shared" si="270"/>
        <v>#DIV/0!</v>
      </c>
      <c r="DK122" s="79">
        <f t="array" ref="DK122">SUMIFS('Cắt lồng'!$AC$327:$AC$515,'Cắt lồng'!$AA$327:$AA$515,'Cắt lồng'!$AA122,'Cắt lồng'!$AE$327:$AE$515,'Cắt lồng'!DK$4:DK$4)</f>
        <v>0</v>
      </c>
      <c r="DL122" s="79">
        <f t="array" ref="DL122">SUMIFS('Cắt lồng'!$AH$327:$AH$515,'Cắt lồng'!$AA$327:$AA$515,'Cắt lồng'!$AA122,'Cắt lồng'!$AE$327:$AE$515,'Cắt lồng'!DL$4:DL$4)</f>
        <v>0</v>
      </c>
      <c r="DM122" s="78" t="e">
        <f t="shared" si="271"/>
        <v>#DIV/0!</v>
      </c>
      <c r="DN122" s="79">
        <f t="array" ref="DN122">SUMIFS('Cắt lồng'!$AC$327:$AC$515,'Cắt lồng'!$AA$327:$AA$515,'Cắt lồng'!$AA122,'Cắt lồng'!$AE$327:$AE$515,'Cắt lồng'!DN$4:DN$4)</f>
        <v>0</v>
      </c>
      <c r="DO122" s="79">
        <f t="array" ref="DO122">SUMIFS('Cắt lồng'!$AH$327:$AH$515,'Cắt lồng'!$AA$327:$AA$515,'Cắt lồng'!$AA122,'Cắt lồng'!$AE$327:$AE$515,'Cắt lồng'!DO$4:DO$4)</f>
        <v>0</v>
      </c>
      <c r="DP122" s="78" t="e">
        <f t="shared" si="272"/>
        <v>#DIV/0!</v>
      </c>
      <c r="DQ122" s="79">
        <f t="array" ref="DQ122">SUMIFS('Cắt lồng'!$AC$327:$AC$515,'Cắt lồng'!$AA$327:$AA$515,'Cắt lồng'!$AA122,'Cắt lồng'!$AE$327:$AE$515,'Cắt lồng'!DQ$4:DQ$4)</f>
        <v>0</v>
      </c>
      <c r="DR122" s="79">
        <f t="array" ref="DR122">SUMIFS('Cắt lồng'!$AH$327:$AH$515,'Cắt lồng'!$AA$327:$AA$515,'Cắt lồng'!$AA122,'Cắt lồng'!$AE$327:$AE$515,'Cắt lồng'!DR$4:DR$4)</f>
        <v>0</v>
      </c>
      <c r="DS122" s="78" t="e">
        <f t="shared" si="273"/>
        <v>#DIV/0!</v>
      </c>
      <c r="DT122" s="79">
        <f t="array" ref="DT122">SUMIFS('Cắt lồng'!$AC$327:$AC$515,'Cắt lồng'!$AA$327:$AA$515,'Cắt lồng'!$AA122,'Cắt lồng'!$AE$327:$AE$515,'Cắt lồng'!DT$4:DT$4)</f>
        <v>0</v>
      </c>
      <c r="DU122" s="79">
        <f t="array" ref="DU122">SUMIFS('Cắt lồng'!$AH$327:$AH$515,'Cắt lồng'!$AA$327:$AA$515,'Cắt lồng'!$AA122,'Cắt lồng'!$AE$327:$AE$515,'Cắt lồng'!DU$4:DU$4)</f>
        <v>0</v>
      </c>
      <c r="DV122" s="78" t="e">
        <f t="shared" si="274"/>
        <v>#DIV/0!</v>
      </c>
      <c r="DW122" s="79">
        <f t="array" ref="DW122">SUMIFS('Cắt lồng'!$AC$327:$AC$515,'Cắt lồng'!$AA$327:$AA$515,'Cắt lồng'!$AA122,'Cắt lồng'!$AE$327:$AE$515,'Cắt lồng'!DW$4:DW$4)</f>
        <v>0</v>
      </c>
      <c r="DX122" s="79">
        <f t="array" ref="DX122">SUMIFS('Cắt lồng'!$AH$327:$AH$515,'Cắt lồng'!$AA$327:$AA$515,'Cắt lồng'!$AA122,'Cắt lồng'!$AE$327:$AE$515,'Cắt lồng'!DX$4:DX$4)</f>
        <v>0</v>
      </c>
      <c r="DY122" s="78" t="e">
        <f t="shared" si="275"/>
        <v>#DIV/0!</v>
      </c>
      <c r="DZ122" s="79">
        <f t="array" ref="DZ122">SUMIFS('Cắt lồng'!$AC$327:$AC$515,'Cắt lồng'!$AA$327:$AA$515,'Cắt lồng'!$AA122,'Cắt lồng'!$AE$327:$AE$515,'Cắt lồng'!DZ$4:DZ$4)</f>
        <v>0</v>
      </c>
      <c r="EA122" s="79">
        <f t="array" ref="EA122">SUMIFS('Cắt lồng'!$AH$327:$AH$515,'Cắt lồng'!$AA$327:$AA$515,'Cắt lồng'!$AA122,'Cắt lồng'!$AE$327:$AE$515,'Cắt lồng'!EA$4:EA$4)</f>
        <v>0</v>
      </c>
      <c r="EB122" s="78" t="e">
        <f t="shared" si="276"/>
        <v>#DIV/0!</v>
      </c>
      <c r="EC122" s="79">
        <f t="array" ref="EC122">SUMIFS('Cắt lồng'!$AC$327:$AC$515,'Cắt lồng'!$AA$327:$AA$515,'Cắt lồng'!$AA122,'Cắt lồng'!$AE$327:$AE$515,'Cắt lồng'!EC$4:EC$4)</f>
        <v>0</v>
      </c>
      <c r="ED122" s="79">
        <f t="array" ref="ED122">SUMIFS('Cắt lồng'!$AH$327:$AH$515,'Cắt lồng'!$AA$327:$AA$515,'Cắt lồng'!$AA122,'Cắt lồng'!$AE$327:$AE$515,'Cắt lồng'!ED$4:ED$4)</f>
        <v>0</v>
      </c>
      <c r="EE122" s="78" t="e">
        <f t="shared" si="277"/>
        <v>#DIV/0!</v>
      </c>
      <c r="EF122" s="79">
        <f t="array" ref="EF122">SUMIFS('Cắt lồng'!$AC$327:$AC$515,'Cắt lồng'!$AA$327:$AA$515,'Cắt lồng'!$AA122,'Cắt lồng'!$AE$327:$AE$515,'Cắt lồng'!EF$4:EF$4)</f>
        <v>0</v>
      </c>
      <c r="EG122" s="79">
        <f t="array" ref="EG122">SUMIFS('Cắt lồng'!$AH$327:$AH$515,'Cắt lồng'!$AA$327:$AA$515,'Cắt lồng'!$AA122,'Cắt lồng'!$AE$327:$AE$515,'Cắt lồng'!EG$4:EG$4)</f>
        <v>0</v>
      </c>
      <c r="EH122" s="78" t="e">
        <f t="shared" si="278"/>
        <v>#DIV/0!</v>
      </c>
      <c r="EI122" s="79">
        <f t="array" ref="EI122">SUMIFS('Cắt lồng'!$AC$327:$AC$515,'Cắt lồng'!$AA$327:$AA$515,'Cắt lồng'!$AA122,'Cắt lồng'!$AE$327:$AE$515,'Cắt lồng'!EI$4:EI$4)</f>
        <v>0</v>
      </c>
      <c r="EJ122" s="79">
        <f t="array" ref="EJ122">SUMIFS('Cắt lồng'!$AH$327:$AH$515,'Cắt lồng'!$AA$327:$AA$515,'Cắt lồng'!$AA122,'Cắt lồng'!$AE$327:$AE$515,'Cắt lồng'!EJ$4:EJ$4)</f>
        <v>0</v>
      </c>
      <c r="EK122" s="78" t="e">
        <f t="shared" si="279"/>
        <v>#DIV/0!</v>
      </c>
    </row>
    <row r="123" spans="1:141" s="12" customFormat="1" ht="14.25" hidden="1" customHeight="1">
      <c r="A123" s="30">
        <v>90</v>
      </c>
      <c r="B123" s="26"/>
      <c r="C123" s="25"/>
      <c r="D123" s="24"/>
      <c r="E123" s="60"/>
      <c r="F123" s="59"/>
      <c r="G123" s="82">
        <f t="shared" si="212"/>
        <v>0</v>
      </c>
      <c r="H123" s="81">
        <f t="shared" si="213"/>
        <v>0</v>
      </c>
      <c r="I123" s="19">
        <f t="shared" si="214"/>
        <v>0</v>
      </c>
      <c r="J123" s="11">
        <f t="shared" si="215"/>
        <v>0</v>
      </c>
      <c r="K123" s="19">
        <f t="shared" si="216"/>
        <v>0</v>
      </c>
      <c r="L123" s="19">
        <f t="shared" si="217"/>
        <v>0</v>
      </c>
      <c r="M123" s="19">
        <f t="shared" si="218"/>
        <v>0</v>
      </c>
      <c r="N123" s="19">
        <f t="shared" si="219"/>
        <v>0</v>
      </c>
      <c r="O123" s="19">
        <f t="shared" si="220"/>
        <v>0</v>
      </c>
      <c r="P123" s="19">
        <f t="shared" si="221"/>
        <v>0</v>
      </c>
      <c r="Q123" s="19">
        <f t="shared" si="222"/>
        <v>0</v>
      </c>
      <c r="R123" s="19">
        <f t="shared" si="223"/>
        <v>0</v>
      </c>
      <c r="S123" s="19">
        <f t="shared" si="224"/>
        <v>0</v>
      </c>
      <c r="T123" s="19">
        <f t="shared" si="225"/>
        <v>0</v>
      </c>
      <c r="U123" s="19">
        <f t="shared" si="226"/>
        <v>0</v>
      </c>
      <c r="V123" s="19">
        <f t="shared" si="227"/>
        <v>0</v>
      </c>
      <c r="W123" s="19">
        <f t="shared" si="228"/>
        <v>0</v>
      </c>
      <c r="X123" s="19">
        <f t="shared" si="229"/>
        <v>0</v>
      </c>
      <c r="Y123" s="19">
        <f t="shared" si="230"/>
        <v>0</v>
      </c>
      <c r="Z123" s="19">
        <f t="shared" si="231"/>
        <v>0</v>
      </c>
      <c r="AA123" s="154">
        <v>3880</v>
      </c>
      <c r="AB123" s="17" t="e">
        <f>+H123*SUMIF('[1]KẾ HOẠCH'!$B$5:$CK$5,'Cắt lồng'!AA123,'[1]KẾ HOẠCH'!$B$6:$CK$6)+H123*SUMIF('[1]KẾ HOẠCH'!$B$7:$CK$7,'Cắt lồng'!AA123,'[1]KẾ HOẠCH'!$B$8:$CK$8)+H123*SUMIF('[1]KẾ HOẠCH'!$B$15:$CK$15,'Cắt lồng'!AA123,'[1]KẾ HOẠCH'!$B$16:$CK$16)</f>
        <v>#VALUE!</v>
      </c>
      <c r="AC123" s="16">
        <f t="shared" si="232"/>
        <v>0</v>
      </c>
      <c r="AD123" s="15" t="e">
        <f t="shared" si="233"/>
        <v>#VALUE!</v>
      </c>
      <c r="AE123" s="42"/>
      <c r="AF123" s="10" t="e">
        <f t="shared" si="234"/>
        <v>#DIV/0!</v>
      </c>
      <c r="AG123" s="10"/>
      <c r="AH123" s="152">
        <f t="shared" si="235"/>
        <v>0</v>
      </c>
      <c r="AI123" s="54" t="e">
        <f t="shared" si="236"/>
        <v>#DIV/0!</v>
      </c>
      <c r="AJ123" s="25">
        <f t="shared" si="237"/>
        <v>0</v>
      </c>
      <c r="AK123" s="25">
        <f t="shared" si="238"/>
        <v>0</v>
      </c>
      <c r="AL123" s="25">
        <f t="shared" si="239"/>
        <v>0</v>
      </c>
      <c r="AM123" s="30">
        <f t="shared" si="240"/>
        <v>0</v>
      </c>
      <c r="AN123" s="25">
        <f t="shared" si="241"/>
        <v>0</v>
      </c>
      <c r="AO123" s="25">
        <f t="shared" si="242"/>
        <v>0</v>
      </c>
      <c r="AP123" s="25">
        <f t="shared" si="243"/>
        <v>0</v>
      </c>
      <c r="AQ123" s="25">
        <f t="shared" si="244"/>
        <v>0</v>
      </c>
      <c r="AR123" s="25">
        <f t="shared" si="245"/>
        <v>0</v>
      </c>
      <c r="AS123" s="25">
        <f t="shared" si="246"/>
        <v>0</v>
      </c>
      <c r="AT123" s="25">
        <f t="shared" si="247"/>
        <v>0</v>
      </c>
      <c r="AV123" s="79">
        <f t="shared" si="248"/>
        <v>0</v>
      </c>
      <c r="AW123" s="79">
        <f t="array" ref="AW123">SUMIFS('Cắt lồng'!$AC$327:$AC$515,'Cắt lồng'!$AA$327:$AA$515,'Cắt lồng'!$AA123,'Cắt lồng'!$AE$327:$AE$515,'Cắt lồng'!AW$4:AW$4)</f>
        <v>0</v>
      </c>
      <c r="AX123" s="79">
        <f t="array" ref="AX123">SUMIFS('Cắt lồng'!$AH$327:$AH$515,'Cắt lồng'!$AA$327:$AA$515,'Cắt lồng'!$AA123,'Cắt lồng'!$AE$327:$AE$515,'Cắt lồng'!AX$4:AX$4)</f>
        <v>0</v>
      </c>
      <c r="AY123" s="78" t="e">
        <f t="shared" si="249"/>
        <v>#DIV/0!</v>
      </c>
      <c r="AZ123" s="79">
        <f t="array" ref="AZ123">SUMIFS('Cắt lồng'!$AC$327:$AC$515,'Cắt lồng'!$AA$327:$AA$515,'Cắt lồng'!$AA123,'Cắt lồng'!$AE$327:$AE$515,'Cắt lồng'!AZ$4:AZ$4)</f>
        <v>0</v>
      </c>
      <c r="BA123" s="79">
        <f t="array" ref="BA123">SUMIFS('Cắt lồng'!$AH$327:$AH$515,'Cắt lồng'!$AA$327:$AA$515,'Cắt lồng'!$AA123,'Cắt lồng'!$AE$327:$AE$515,'Cắt lồng'!BA$4:BA$4)</f>
        <v>0</v>
      </c>
      <c r="BB123" s="78" t="e">
        <f t="shared" si="250"/>
        <v>#DIV/0!</v>
      </c>
      <c r="BC123" s="79">
        <f t="array" ref="BC123">SUMIFS('Cắt lồng'!$AC$327:$AC$515,'Cắt lồng'!$AA$327:$AA$515,'Cắt lồng'!$AA123,'Cắt lồng'!$AE$327:$AE$515,'Cắt lồng'!BC$4:BC$4)</f>
        <v>0</v>
      </c>
      <c r="BD123" s="79">
        <f t="array" ref="BD123">SUMIFS('Cắt lồng'!$AH$327:$AH$515,'Cắt lồng'!$AA$327:$AA$515,'Cắt lồng'!$AA123,'Cắt lồng'!$AE$327:$AE$515,'Cắt lồng'!BD$4:BD$4)</f>
        <v>0</v>
      </c>
      <c r="BE123" s="78" t="e">
        <f t="shared" si="251"/>
        <v>#DIV/0!</v>
      </c>
      <c r="BF123" s="79">
        <f t="array" ref="BF123">SUMIFS('Cắt lồng'!$AC$327:$AC$515,'Cắt lồng'!$AA$327:$AA$515,'Cắt lồng'!$AA123,'Cắt lồng'!$AE$327:$AE$515,'Cắt lồng'!BF$4:BF$4)</f>
        <v>0</v>
      </c>
      <c r="BG123" s="79">
        <f t="array" ref="BG123">SUMIFS('Cắt lồng'!$AH$327:$AH$515,'Cắt lồng'!$AA$327:$AA$515,'Cắt lồng'!$AA123,'Cắt lồng'!$AE$327:$AE$515,'Cắt lồng'!BG$4:BG$4)</f>
        <v>0</v>
      </c>
      <c r="BH123" s="78" t="e">
        <f t="shared" si="252"/>
        <v>#DIV/0!</v>
      </c>
      <c r="BI123" s="79">
        <f t="array" ref="BI123">SUMIFS('Cắt lồng'!$AC$327:$AC$515,'Cắt lồng'!$AA$327:$AA$515,'Cắt lồng'!$AA123,'Cắt lồng'!$AE$327:$AE$515,'Cắt lồng'!BI$4:BI$4)</f>
        <v>0</v>
      </c>
      <c r="BJ123" s="79">
        <f t="array" ref="BJ123">SUMIFS('Cắt lồng'!$AH$327:$AH$515,'Cắt lồng'!$AA$327:$AA$515,'Cắt lồng'!$AA123,'Cắt lồng'!$AE$327:$AE$515,'Cắt lồng'!BJ$4:BJ$4)</f>
        <v>0</v>
      </c>
      <c r="BK123" s="78" t="e">
        <f t="shared" si="253"/>
        <v>#DIV/0!</v>
      </c>
      <c r="BL123" s="79">
        <f t="array" ref="BL123">SUMIFS('Cắt lồng'!$AC$327:$AC$515,'Cắt lồng'!$AA$327:$AA$515,'Cắt lồng'!$AA123,'Cắt lồng'!$AE$327:$AE$515,'Cắt lồng'!BL$4:BL$4)</f>
        <v>0</v>
      </c>
      <c r="BM123" s="79">
        <f t="array" ref="BM123">SUMIFS('Cắt lồng'!$AH$327:$AH$515,'Cắt lồng'!$AA$327:$AA$515,'Cắt lồng'!$AA123,'Cắt lồng'!$AE$327:$AE$515,'Cắt lồng'!BM$4:BM$4)</f>
        <v>0</v>
      </c>
      <c r="BN123" s="78" t="e">
        <f t="shared" si="254"/>
        <v>#DIV/0!</v>
      </c>
      <c r="BO123" s="79">
        <f t="array" ref="BO123">SUMIFS('Cắt lồng'!$AC$327:$AC$515,'Cắt lồng'!$AA$327:$AA$515,'Cắt lồng'!$AA123,'Cắt lồng'!$AE$327:$AE$515,'Cắt lồng'!BO$4:BO$4)</f>
        <v>0</v>
      </c>
      <c r="BP123" s="79">
        <f t="array" ref="BP123">SUMIFS('Cắt lồng'!$AH$327:$AH$515,'Cắt lồng'!$AA$327:$AA$515,'Cắt lồng'!$AA123,'Cắt lồng'!$AE$327:$AE$515,'Cắt lồng'!BP$4:BP$4)</f>
        <v>0</v>
      </c>
      <c r="BQ123" s="78" t="e">
        <f t="shared" si="255"/>
        <v>#DIV/0!</v>
      </c>
      <c r="BR123" s="79">
        <f t="array" ref="BR123">SUMIFS('Cắt lồng'!$AC$327:$AC$515,'Cắt lồng'!$AA$327:$AA$515,'Cắt lồng'!$AA123,'Cắt lồng'!$AE$327:$AE$515,'Cắt lồng'!BR$4:BR$4)</f>
        <v>0</v>
      </c>
      <c r="BS123" s="79">
        <f t="array" ref="BS123">SUMIFS('Cắt lồng'!$AH$327:$AH$515,'Cắt lồng'!$AA$327:$AA$515,'Cắt lồng'!$AA123,'Cắt lồng'!$AE$327:$AE$515,'Cắt lồng'!BS$4:BS$4)</f>
        <v>0</v>
      </c>
      <c r="BT123" s="78" t="e">
        <f t="shared" si="256"/>
        <v>#DIV/0!</v>
      </c>
      <c r="BU123" s="79">
        <f t="array" ref="BU123">SUMIFS('Cắt lồng'!$AC$327:$AC$515,'Cắt lồng'!$AA$327:$AA$515,'Cắt lồng'!$AA123,'Cắt lồng'!$AE$327:$AE$515,'Cắt lồng'!BU$4:BU$4)</f>
        <v>0</v>
      </c>
      <c r="BV123" s="79">
        <f t="array" ref="BV123">SUMIFS('Cắt lồng'!$AH$327:$AH$515,'Cắt lồng'!$AA$327:$AA$515,'Cắt lồng'!$AA123,'Cắt lồng'!$AE$327:$AE$515,'Cắt lồng'!BV$4:BV$4)</f>
        <v>0</v>
      </c>
      <c r="BW123" s="78" t="e">
        <f t="shared" si="257"/>
        <v>#DIV/0!</v>
      </c>
      <c r="BX123" s="79">
        <f t="array" ref="BX123">SUMIFS('Cắt lồng'!$AC$327:$AC$515,'Cắt lồng'!$AA$327:$AA$515,'Cắt lồng'!$AA123,'Cắt lồng'!$AE$327:$AE$515,'Cắt lồng'!BX$4:BX$4)</f>
        <v>0</v>
      </c>
      <c r="BY123" s="79">
        <f t="array" ref="BY123">SUMIFS('Cắt lồng'!$AH$327:$AH$515,'Cắt lồng'!$AA$327:$AA$515,'Cắt lồng'!$AA123,'Cắt lồng'!$AE$327:$AE$515,'Cắt lồng'!BY$4:BY$4)</f>
        <v>0</v>
      </c>
      <c r="BZ123" s="78" t="e">
        <f t="shared" si="258"/>
        <v>#DIV/0!</v>
      </c>
      <c r="CA123" s="79">
        <f t="array" ref="CA123">SUMIFS('Cắt lồng'!$AC$327:$AC$515,'Cắt lồng'!$AA$327:$AA$515,'Cắt lồng'!$AA123,'Cắt lồng'!$AE$327:$AE$515,'Cắt lồng'!CA$4:CA$4)</f>
        <v>0</v>
      </c>
      <c r="CB123" s="79">
        <f t="array" ref="CB123">SUMIFS('Cắt lồng'!$AH$327:$AH$515,'Cắt lồng'!$AA$327:$AA$515,'Cắt lồng'!$AA123,'Cắt lồng'!$AE$327:$AE$515,'Cắt lồng'!CB$4:CB$4)</f>
        <v>0</v>
      </c>
      <c r="CC123" s="78" t="e">
        <f t="shared" si="259"/>
        <v>#DIV/0!</v>
      </c>
      <c r="CD123" s="79">
        <f t="array" ref="CD123">SUMIFS('Cắt lồng'!$AC$327:$AC$515,'Cắt lồng'!$AA$327:$AA$515,'Cắt lồng'!$AA123,'Cắt lồng'!$AE$327:$AE$515,'Cắt lồng'!CD$4:CD$4)</f>
        <v>0</v>
      </c>
      <c r="CE123" s="79">
        <f t="array" ref="CE123">SUMIFS('Cắt lồng'!$AH$327:$AH$515,'Cắt lồng'!$AA$327:$AA$515,'Cắt lồng'!$AA123,'Cắt lồng'!$AE$327:$AE$515,'Cắt lồng'!CE$4:CE$4)</f>
        <v>0</v>
      </c>
      <c r="CF123" s="78" t="e">
        <f t="shared" si="260"/>
        <v>#DIV/0!</v>
      </c>
      <c r="CG123" s="79">
        <f t="array" ref="CG123">SUMIFS('Cắt lồng'!$AC$327:$AC$515,'Cắt lồng'!$AA$327:$AA$515,'Cắt lồng'!$AA123,'Cắt lồng'!$AE$327:$AE$515,'Cắt lồng'!CG$4:CG$4)</f>
        <v>0</v>
      </c>
      <c r="CH123" s="79">
        <f t="array" ref="CH123">SUMIFS('Cắt lồng'!$AH$327:$AH$515,'Cắt lồng'!$AA$327:$AA$515,'Cắt lồng'!$AA123,'Cắt lồng'!$AE$327:$AE$515,'Cắt lồng'!CH$4:CH$4)</f>
        <v>0</v>
      </c>
      <c r="CI123" s="78" t="e">
        <f t="shared" si="261"/>
        <v>#DIV/0!</v>
      </c>
      <c r="CJ123" s="79">
        <f t="array" ref="CJ123">SUMIFS('Cắt lồng'!$AC$327:$AC$515,'Cắt lồng'!$AA$327:$AA$515,'Cắt lồng'!$AA123,'Cắt lồng'!$AE$327:$AE$515,'Cắt lồng'!CJ$4:CJ$4)</f>
        <v>0</v>
      </c>
      <c r="CK123" s="79">
        <f t="array" ref="CK123">SUMIFS('Cắt lồng'!$AH$327:$AH$515,'Cắt lồng'!$AA$327:$AA$515,'Cắt lồng'!$AA123,'Cắt lồng'!$AE$327:$AE$515,'Cắt lồng'!CK$4:CK$4)</f>
        <v>0</v>
      </c>
      <c r="CL123" s="78" t="e">
        <f t="shared" si="262"/>
        <v>#DIV/0!</v>
      </c>
      <c r="CM123" s="79">
        <f t="array" ref="CM123">SUMIFS('Cắt lồng'!$AC$327:$AC$515,'Cắt lồng'!$AA$327:$AA$515,'Cắt lồng'!$AA123,'Cắt lồng'!$AE$327:$AE$515,'Cắt lồng'!CM$4:CM$4)</f>
        <v>0</v>
      </c>
      <c r="CN123" s="79">
        <f t="array" ref="CN123">SUMIFS('Cắt lồng'!$AH$327:$AH$515,'Cắt lồng'!$AA$327:$AA$515,'Cắt lồng'!$AA123,'Cắt lồng'!$AE$327:$AE$515,'Cắt lồng'!CN$4:CN$4)</f>
        <v>0</v>
      </c>
      <c r="CO123" s="78" t="e">
        <f t="shared" si="263"/>
        <v>#DIV/0!</v>
      </c>
      <c r="CP123" s="79">
        <f t="array" ref="CP123">SUMIFS('Cắt lồng'!$AC$327:$AC$515,'Cắt lồng'!$AA$327:$AA$515,'Cắt lồng'!$AA123,'Cắt lồng'!$AE$327:$AE$515,'Cắt lồng'!CP$4:CP$4)</f>
        <v>0</v>
      </c>
      <c r="CQ123" s="79">
        <f t="array" ref="CQ123">SUMIFS('Cắt lồng'!$AH$327:$AH$515,'Cắt lồng'!$AA$327:$AA$515,'Cắt lồng'!$AA123,'Cắt lồng'!$AE$327:$AE$515,'Cắt lồng'!CQ$4:CQ$4)</f>
        <v>0</v>
      </c>
      <c r="CR123" s="78" t="e">
        <f t="shared" si="264"/>
        <v>#DIV/0!</v>
      </c>
      <c r="CS123" s="79">
        <f t="array" ref="CS123">SUMIFS('Cắt lồng'!$AC$327:$AC$515,'Cắt lồng'!$AA$327:$AA$515,'Cắt lồng'!$AA123,'Cắt lồng'!$AE$327:$AE$515,'Cắt lồng'!CS$4:CS$4)</f>
        <v>0</v>
      </c>
      <c r="CT123" s="79">
        <f t="array" ref="CT123">SUMIFS('Cắt lồng'!$AH$327:$AH$515,'Cắt lồng'!$AA$327:$AA$515,'Cắt lồng'!$AA123,'Cắt lồng'!$AE$327:$AE$515,'Cắt lồng'!CT$4:CT$4)</f>
        <v>0</v>
      </c>
      <c r="CU123" s="78" t="e">
        <f t="shared" si="265"/>
        <v>#DIV/0!</v>
      </c>
      <c r="CV123" s="79">
        <f t="array" ref="CV123">SUMIFS('Cắt lồng'!$AC$327:$AC$515,'Cắt lồng'!$AA$327:$AA$515,'Cắt lồng'!$AA123,'Cắt lồng'!$AE$327:$AE$515,'Cắt lồng'!CV$4:CV$4)</f>
        <v>0</v>
      </c>
      <c r="CW123" s="79">
        <f t="array" ref="CW123">SUMIFS('Cắt lồng'!$AH$327:$AH$515,'Cắt lồng'!$AA$327:$AA$515,'Cắt lồng'!$AA123,'Cắt lồng'!$AE$327:$AE$515,'Cắt lồng'!CW$4:CW$4)</f>
        <v>0</v>
      </c>
      <c r="CX123" s="78" t="e">
        <f t="shared" si="266"/>
        <v>#DIV/0!</v>
      </c>
      <c r="CY123" s="79">
        <f t="array" ref="CY123">SUMIFS('Cắt lồng'!$AC$327:$AC$515,'Cắt lồng'!$AA$327:$AA$515,'Cắt lồng'!$AA123,'Cắt lồng'!$AE$327:$AE$515,'Cắt lồng'!CY$4:CY$4)</f>
        <v>0</v>
      </c>
      <c r="CZ123" s="79">
        <f t="array" ref="CZ123">SUMIFS('Cắt lồng'!$AH$327:$AH$515,'Cắt lồng'!$AA$327:$AA$515,'Cắt lồng'!$AA123,'Cắt lồng'!$AE$327:$AE$515,'Cắt lồng'!CZ$4:CZ$4)</f>
        <v>0</v>
      </c>
      <c r="DA123" s="78" t="e">
        <f t="shared" si="267"/>
        <v>#DIV/0!</v>
      </c>
      <c r="DB123" s="79">
        <f t="array" ref="DB123">SUMIFS('Cắt lồng'!$AC$327:$AC$515,'Cắt lồng'!$AA$327:$AA$515,'Cắt lồng'!$AA123,'Cắt lồng'!$AE$327:$AE$515,'Cắt lồng'!DB$4:DB$4)</f>
        <v>0</v>
      </c>
      <c r="DC123" s="79">
        <f t="array" ref="DC123">SUMIFS('Cắt lồng'!$AH$327:$AH$515,'Cắt lồng'!$AA$327:$AA$515,'Cắt lồng'!$AA123,'Cắt lồng'!$AE$327:$AE$515,'Cắt lồng'!DC$4:DC$4)</f>
        <v>0</v>
      </c>
      <c r="DD123" s="78" t="e">
        <f t="shared" si="268"/>
        <v>#DIV/0!</v>
      </c>
      <c r="DE123" s="79">
        <f t="array" ref="DE123">SUMIFS('Cắt lồng'!$AC$327:$AC$515,'Cắt lồng'!$AA$327:$AA$515,'Cắt lồng'!$AA123,'Cắt lồng'!$AE$327:$AE$515,'Cắt lồng'!DE$4:DE$4)</f>
        <v>0</v>
      </c>
      <c r="DF123" s="79">
        <f t="array" ref="DF123">SUMIFS('Cắt lồng'!$AH$327:$AH$515,'Cắt lồng'!$AA$327:$AA$515,'Cắt lồng'!$AA123,'Cắt lồng'!$AE$327:$AE$515,'Cắt lồng'!DF$4:DF$4)</f>
        <v>0</v>
      </c>
      <c r="DG123" s="78" t="e">
        <f t="shared" si="269"/>
        <v>#DIV/0!</v>
      </c>
      <c r="DH123" s="79">
        <f t="array" ref="DH123">SUMIFS('Cắt lồng'!$AC$327:$AC$515,'Cắt lồng'!$AA$327:$AA$515,'Cắt lồng'!$AA123,'Cắt lồng'!$AE$327:$AE$515,'Cắt lồng'!DH$4:DH$4)</f>
        <v>0</v>
      </c>
      <c r="DI123" s="79">
        <f t="array" ref="DI123">SUMIFS('Cắt lồng'!$AH$327:$AH$515,'Cắt lồng'!$AA$327:$AA$515,'Cắt lồng'!$AA123,'Cắt lồng'!$AE$327:$AE$515,'Cắt lồng'!DI$4:DI$4)</f>
        <v>0</v>
      </c>
      <c r="DJ123" s="78" t="e">
        <f t="shared" si="270"/>
        <v>#DIV/0!</v>
      </c>
      <c r="DK123" s="79">
        <f t="array" ref="DK123">SUMIFS('Cắt lồng'!$AC$327:$AC$515,'Cắt lồng'!$AA$327:$AA$515,'Cắt lồng'!$AA123,'Cắt lồng'!$AE$327:$AE$515,'Cắt lồng'!DK$4:DK$4)</f>
        <v>0</v>
      </c>
      <c r="DL123" s="79">
        <f t="array" ref="DL123">SUMIFS('Cắt lồng'!$AH$327:$AH$515,'Cắt lồng'!$AA$327:$AA$515,'Cắt lồng'!$AA123,'Cắt lồng'!$AE$327:$AE$515,'Cắt lồng'!DL$4:DL$4)</f>
        <v>0</v>
      </c>
      <c r="DM123" s="78" t="e">
        <f t="shared" si="271"/>
        <v>#DIV/0!</v>
      </c>
      <c r="DN123" s="79">
        <f t="array" ref="DN123">SUMIFS('Cắt lồng'!$AC$327:$AC$515,'Cắt lồng'!$AA$327:$AA$515,'Cắt lồng'!$AA123,'Cắt lồng'!$AE$327:$AE$515,'Cắt lồng'!DN$4:DN$4)</f>
        <v>0</v>
      </c>
      <c r="DO123" s="79">
        <f t="array" ref="DO123">SUMIFS('Cắt lồng'!$AH$327:$AH$515,'Cắt lồng'!$AA$327:$AA$515,'Cắt lồng'!$AA123,'Cắt lồng'!$AE$327:$AE$515,'Cắt lồng'!DO$4:DO$4)</f>
        <v>0</v>
      </c>
      <c r="DP123" s="78" t="e">
        <f t="shared" si="272"/>
        <v>#DIV/0!</v>
      </c>
      <c r="DQ123" s="79">
        <f t="array" ref="DQ123">SUMIFS('Cắt lồng'!$AC$327:$AC$515,'Cắt lồng'!$AA$327:$AA$515,'Cắt lồng'!$AA123,'Cắt lồng'!$AE$327:$AE$515,'Cắt lồng'!DQ$4:DQ$4)</f>
        <v>0</v>
      </c>
      <c r="DR123" s="79">
        <f t="array" ref="DR123">SUMIFS('Cắt lồng'!$AH$327:$AH$515,'Cắt lồng'!$AA$327:$AA$515,'Cắt lồng'!$AA123,'Cắt lồng'!$AE$327:$AE$515,'Cắt lồng'!DR$4:DR$4)</f>
        <v>0</v>
      </c>
      <c r="DS123" s="78" t="e">
        <f t="shared" si="273"/>
        <v>#DIV/0!</v>
      </c>
      <c r="DT123" s="79">
        <f t="array" ref="DT123">SUMIFS('Cắt lồng'!$AC$327:$AC$515,'Cắt lồng'!$AA$327:$AA$515,'Cắt lồng'!$AA123,'Cắt lồng'!$AE$327:$AE$515,'Cắt lồng'!DT$4:DT$4)</f>
        <v>0</v>
      </c>
      <c r="DU123" s="79">
        <f t="array" ref="DU123">SUMIFS('Cắt lồng'!$AH$327:$AH$515,'Cắt lồng'!$AA$327:$AA$515,'Cắt lồng'!$AA123,'Cắt lồng'!$AE$327:$AE$515,'Cắt lồng'!DU$4:DU$4)</f>
        <v>0</v>
      </c>
      <c r="DV123" s="78" t="e">
        <f t="shared" si="274"/>
        <v>#DIV/0!</v>
      </c>
      <c r="DW123" s="79">
        <f t="array" ref="DW123">SUMIFS('Cắt lồng'!$AC$327:$AC$515,'Cắt lồng'!$AA$327:$AA$515,'Cắt lồng'!$AA123,'Cắt lồng'!$AE$327:$AE$515,'Cắt lồng'!DW$4:DW$4)</f>
        <v>0</v>
      </c>
      <c r="DX123" s="79">
        <f t="array" ref="DX123">SUMIFS('Cắt lồng'!$AH$327:$AH$515,'Cắt lồng'!$AA$327:$AA$515,'Cắt lồng'!$AA123,'Cắt lồng'!$AE$327:$AE$515,'Cắt lồng'!DX$4:DX$4)</f>
        <v>0</v>
      </c>
      <c r="DY123" s="78" t="e">
        <f t="shared" si="275"/>
        <v>#DIV/0!</v>
      </c>
      <c r="DZ123" s="79">
        <f t="array" ref="DZ123">SUMIFS('Cắt lồng'!$AC$327:$AC$515,'Cắt lồng'!$AA$327:$AA$515,'Cắt lồng'!$AA123,'Cắt lồng'!$AE$327:$AE$515,'Cắt lồng'!DZ$4:DZ$4)</f>
        <v>0</v>
      </c>
      <c r="EA123" s="79">
        <f t="array" ref="EA123">SUMIFS('Cắt lồng'!$AH$327:$AH$515,'Cắt lồng'!$AA$327:$AA$515,'Cắt lồng'!$AA123,'Cắt lồng'!$AE$327:$AE$515,'Cắt lồng'!EA$4:EA$4)</f>
        <v>0</v>
      </c>
      <c r="EB123" s="78" t="e">
        <f t="shared" si="276"/>
        <v>#DIV/0!</v>
      </c>
      <c r="EC123" s="79">
        <f t="array" ref="EC123">SUMIFS('Cắt lồng'!$AC$327:$AC$515,'Cắt lồng'!$AA$327:$AA$515,'Cắt lồng'!$AA123,'Cắt lồng'!$AE$327:$AE$515,'Cắt lồng'!EC$4:EC$4)</f>
        <v>0</v>
      </c>
      <c r="ED123" s="79">
        <f t="array" ref="ED123">SUMIFS('Cắt lồng'!$AH$327:$AH$515,'Cắt lồng'!$AA$327:$AA$515,'Cắt lồng'!$AA123,'Cắt lồng'!$AE$327:$AE$515,'Cắt lồng'!ED$4:ED$4)</f>
        <v>0</v>
      </c>
      <c r="EE123" s="78" t="e">
        <f t="shared" si="277"/>
        <v>#DIV/0!</v>
      </c>
      <c r="EF123" s="79">
        <f t="array" ref="EF123">SUMIFS('Cắt lồng'!$AC$327:$AC$515,'Cắt lồng'!$AA$327:$AA$515,'Cắt lồng'!$AA123,'Cắt lồng'!$AE$327:$AE$515,'Cắt lồng'!EF$4:EF$4)</f>
        <v>0</v>
      </c>
      <c r="EG123" s="79">
        <f t="array" ref="EG123">SUMIFS('Cắt lồng'!$AH$327:$AH$515,'Cắt lồng'!$AA$327:$AA$515,'Cắt lồng'!$AA123,'Cắt lồng'!$AE$327:$AE$515,'Cắt lồng'!EG$4:EG$4)</f>
        <v>0</v>
      </c>
      <c r="EH123" s="78" t="e">
        <f t="shared" si="278"/>
        <v>#DIV/0!</v>
      </c>
      <c r="EI123" s="79">
        <f t="array" ref="EI123">SUMIFS('Cắt lồng'!$AC$327:$AC$515,'Cắt lồng'!$AA$327:$AA$515,'Cắt lồng'!$AA123,'Cắt lồng'!$AE$327:$AE$515,'Cắt lồng'!EI$4:EI$4)</f>
        <v>0</v>
      </c>
      <c r="EJ123" s="79">
        <f t="array" ref="EJ123">SUMIFS('Cắt lồng'!$AH$327:$AH$515,'Cắt lồng'!$AA$327:$AA$515,'Cắt lồng'!$AA123,'Cắt lồng'!$AE$327:$AE$515,'Cắt lồng'!EJ$4:EJ$4)</f>
        <v>0</v>
      </c>
      <c r="EK123" s="78" t="e">
        <f t="shared" si="279"/>
        <v>#DIV/0!</v>
      </c>
    </row>
    <row r="124" spans="1:141" s="12" customFormat="1" ht="14.25" hidden="1" customHeight="1">
      <c r="A124" s="30">
        <v>91</v>
      </c>
      <c r="B124" s="26"/>
      <c r="C124" s="25"/>
      <c r="D124" s="24"/>
      <c r="E124" s="60"/>
      <c r="F124" s="59"/>
      <c r="G124" s="82">
        <f t="shared" si="212"/>
        <v>0</v>
      </c>
      <c r="H124" s="81">
        <f t="shared" si="213"/>
        <v>12</v>
      </c>
      <c r="I124" s="19">
        <f t="shared" si="214"/>
        <v>0</v>
      </c>
      <c r="J124" s="11">
        <f t="shared" si="215"/>
        <v>4.5</v>
      </c>
      <c r="K124" s="19">
        <f t="shared" si="216"/>
        <v>0</v>
      </c>
      <c r="L124" s="19">
        <f t="shared" si="217"/>
        <v>0</v>
      </c>
      <c r="M124" s="19">
        <f t="shared" si="218"/>
        <v>0</v>
      </c>
      <c r="N124" s="19">
        <f t="shared" si="219"/>
        <v>0</v>
      </c>
      <c r="O124" s="19">
        <f t="shared" si="220"/>
        <v>0</v>
      </c>
      <c r="P124" s="19">
        <f t="shared" si="221"/>
        <v>0</v>
      </c>
      <c r="Q124" s="19">
        <f t="shared" si="222"/>
        <v>0</v>
      </c>
      <c r="R124" s="19">
        <f t="shared" si="223"/>
        <v>0</v>
      </c>
      <c r="S124" s="19">
        <f t="shared" si="224"/>
        <v>0</v>
      </c>
      <c r="T124" s="19">
        <f t="shared" si="225"/>
        <v>2.17</v>
      </c>
      <c r="U124" s="19">
        <f t="shared" si="226"/>
        <v>0</v>
      </c>
      <c r="V124" s="19">
        <f t="shared" si="227"/>
        <v>0</v>
      </c>
      <c r="W124" s="19">
        <f t="shared" si="228"/>
        <v>0.99</v>
      </c>
      <c r="X124" s="19">
        <f t="shared" si="229"/>
        <v>0.51</v>
      </c>
      <c r="Y124" s="19">
        <f t="shared" si="230"/>
        <v>0.83</v>
      </c>
      <c r="Z124" s="19">
        <f t="shared" si="231"/>
        <v>0</v>
      </c>
      <c r="AA124" s="154">
        <v>1080</v>
      </c>
      <c r="AB124" s="17" t="e">
        <f>+H124*SUMIF('[1]KẾ HOẠCH'!$B$5:$CK$5,'Cắt lồng'!AA124,'[1]KẾ HOẠCH'!$B$6:$CK$6)+H124*SUMIF('[1]KẾ HOẠCH'!$B$7:$CK$7,'Cắt lồng'!AA124,'[1]KẾ HOẠCH'!$B$8:$CK$8)+H124*SUMIF('[1]KẾ HOẠCH'!$B$15:$CK$15,'Cắt lồng'!AA124,'[1]KẾ HOẠCH'!$B$16:$CK$16)</f>
        <v>#VALUE!</v>
      </c>
      <c r="AC124" s="16">
        <f t="shared" si="232"/>
        <v>4962</v>
      </c>
      <c r="AD124" s="15" t="e">
        <f t="shared" si="233"/>
        <v>#VALUE!</v>
      </c>
      <c r="AE124" s="42"/>
      <c r="AF124" s="10">
        <f t="shared" si="234"/>
        <v>413.5</v>
      </c>
      <c r="AG124" s="10"/>
      <c r="AH124" s="152">
        <f t="shared" si="235"/>
        <v>0</v>
      </c>
      <c r="AI124" s="54">
        <f t="shared" si="236"/>
        <v>0</v>
      </c>
      <c r="AJ124" s="25">
        <f t="shared" si="237"/>
        <v>0</v>
      </c>
      <c r="AK124" s="25">
        <f t="shared" si="238"/>
        <v>0</v>
      </c>
      <c r="AL124" s="25">
        <f t="shared" si="239"/>
        <v>0</v>
      </c>
      <c r="AM124" s="30">
        <f t="shared" si="240"/>
        <v>0</v>
      </c>
      <c r="AN124" s="25">
        <f t="shared" si="241"/>
        <v>0</v>
      </c>
      <c r="AO124" s="25">
        <f t="shared" si="242"/>
        <v>0</v>
      </c>
      <c r="AP124" s="25">
        <f t="shared" si="243"/>
        <v>0</v>
      </c>
      <c r="AQ124" s="25">
        <f t="shared" si="244"/>
        <v>0</v>
      </c>
      <c r="AR124" s="25">
        <f t="shared" si="245"/>
        <v>0</v>
      </c>
      <c r="AS124" s="25">
        <f t="shared" si="246"/>
        <v>0</v>
      </c>
      <c r="AT124" s="25">
        <f t="shared" si="247"/>
        <v>0</v>
      </c>
      <c r="AV124" s="79">
        <f t="shared" si="248"/>
        <v>12</v>
      </c>
      <c r="AW124" s="79">
        <f t="array" ref="AW124">SUMIFS('Cắt lồng'!$AC$327:$AC$515,'Cắt lồng'!$AA$327:$AA$515,'Cắt lồng'!$AA124,'Cắt lồng'!$AE$327:$AE$515,'Cắt lồng'!AW$4:AW$4)</f>
        <v>4962</v>
      </c>
      <c r="AX124" s="79">
        <f t="array" ref="AX124">SUMIFS('Cắt lồng'!$AH$327:$AH$515,'Cắt lồng'!$AA$327:$AA$515,'Cắt lồng'!$AA124,'Cắt lồng'!$AE$327:$AE$515,'Cắt lồng'!AX$4:AX$4)</f>
        <v>0</v>
      </c>
      <c r="AY124" s="78">
        <f t="shared" si="249"/>
        <v>0</v>
      </c>
      <c r="AZ124" s="79">
        <f t="array" ref="AZ124">SUMIFS('Cắt lồng'!$AC$327:$AC$515,'Cắt lồng'!$AA$327:$AA$515,'Cắt lồng'!$AA124,'Cắt lồng'!$AE$327:$AE$515,'Cắt lồng'!AZ$4:AZ$4)</f>
        <v>0</v>
      </c>
      <c r="BA124" s="79">
        <f t="array" ref="BA124">SUMIFS('Cắt lồng'!$AH$327:$AH$515,'Cắt lồng'!$AA$327:$AA$515,'Cắt lồng'!$AA124,'Cắt lồng'!$AE$327:$AE$515,'Cắt lồng'!BA$4:BA$4)</f>
        <v>0</v>
      </c>
      <c r="BB124" s="78" t="e">
        <f t="shared" si="250"/>
        <v>#DIV/0!</v>
      </c>
      <c r="BC124" s="79">
        <f t="array" ref="BC124">SUMIFS('Cắt lồng'!$AC$327:$AC$515,'Cắt lồng'!$AA$327:$AA$515,'Cắt lồng'!$AA124,'Cắt lồng'!$AE$327:$AE$515,'Cắt lồng'!BC$4:BC$4)</f>
        <v>0</v>
      </c>
      <c r="BD124" s="79">
        <f t="array" ref="BD124">SUMIFS('Cắt lồng'!$AH$327:$AH$515,'Cắt lồng'!$AA$327:$AA$515,'Cắt lồng'!$AA124,'Cắt lồng'!$AE$327:$AE$515,'Cắt lồng'!BD$4:BD$4)</f>
        <v>0</v>
      </c>
      <c r="BE124" s="78" t="e">
        <f t="shared" si="251"/>
        <v>#DIV/0!</v>
      </c>
      <c r="BF124" s="79">
        <f t="array" ref="BF124">SUMIFS('Cắt lồng'!$AC$327:$AC$515,'Cắt lồng'!$AA$327:$AA$515,'Cắt lồng'!$AA124,'Cắt lồng'!$AE$327:$AE$515,'Cắt lồng'!BF$4:BF$4)</f>
        <v>0</v>
      </c>
      <c r="BG124" s="79">
        <f t="array" ref="BG124">SUMIFS('Cắt lồng'!$AH$327:$AH$515,'Cắt lồng'!$AA$327:$AA$515,'Cắt lồng'!$AA124,'Cắt lồng'!$AE$327:$AE$515,'Cắt lồng'!BG$4:BG$4)</f>
        <v>0</v>
      </c>
      <c r="BH124" s="78" t="e">
        <f t="shared" si="252"/>
        <v>#DIV/0!</v>
      </c>
      <c r="BI124" s="79">
        <f t="array" ref="BI124">SUMIFS('Cắt lồng'!$AC$327:$AC$515,'Cắt lồng'!$AA$327:$AA$515,'Cắt lồng'!$AA124,'Cắt lồng'!$AE$327:$AE$515,'Cắt lồng'!BI$4:BI$4)</f>
        <v>0</v>
      </c>
      <c r="BJ124" s="79">
        <f t="array" ref="BJ124">SUMIFS('Cắt lồng'!$AH$327:$AH$515,'Cắt lồng'!$AA$327:$AA$515,'Cắt lồng'!$AA124,'Cắt lồng'!$AE$327:$AE$515,'Cắt lồng'!BJ$4:BJ$4)</f>
        <v>0</v>
      </c>
      <c r="BK124" s="78" t="e">
        <f t="shared" si="253"/>
        <v>#DIV/0!</v>
      </c>
      <c r="BL124" s="79">
        <f t="array" ref="BL124">SUMIFS('Cắt lồng'!$AC$327:$AC$515,'Cắt lồng'!$AA$327:$AA$515,'Cắt lồng'!$AA124,'Cắt lồng'!$AE$327:$AE$515,'Cắt lồng'!BL$4:BL$4)</f>
        <v>0</v>
      </c>
      <c r="BM124" s="79">
        <f t="array" ref="BM124">SUMIFS('Cắt lồng'!$AH$327:$AH$515,'Cắt lồng'!$AA$327:$AA$515,'Cắt lồng'!$AA124,'Cắt lồng'!$AE$327:$AE$515,'Cắt lồng'!BM$4:BM$4)</f>
        <v>0</v>
      </c>
      <c r="BN124" s="78" t="e">
        <f t="shared" si="254"/>
        <v>#DIV/0!</v>
      </c>
      <c r="BO124" s="79">
        <f t="array" ref="BO124">SUMIFS('Cắt lồng'!$AC$327:$AC$515,'Cắt lồng'!$AA$327:$AA$515,'Cắt lồng'!$AA124,'Cắt lồng'!$AE$327:$AE$515,'Cắt lồng'!BO$4:BO$4)</f>
        <v>0</v>
      </c>
      <c r="BP124" s="79">
        <f t="array" ref="BP124">SUMIFS('Cắt lồng'!$AH$327:$AH$515,'Cắt lồng'!$AA$327:$AA$515,'Cắt lồng'!$AA124,'Cắt lồng'!$AE$327:$AE$515,'Cắt lồng'!BP$4:BP$4)</f>
        <v>0</v>
      </c>
      <c r="BQ124" s="78" t="e">
        <f t="shared" si="255"/>
        <v>#DIV/0!</v>
      </c>
      <c r="BR124" s="79">
        <f t="array" ref="BR124">SUMIFS('Cắt lồng'!$AC$327:$AC$515,'Cắt lồng'!$AA$327:$AA$515,'Cắt lồng'!$AA124,'Cắt lồng'!$AE$327:$AE$515,'Cắt lồng'!BR$4:BR$4)</f>
        <v>0</v>
      </c>
      <c r="BS124" s="79">
        <f t="array" ref="BS124">SUMIFS('Cắt lồng'!$AH$327:$AH$515,'Cắt lồng'!$AA$327:$AA$515,'Cắt lồng'!$AA124,'Cắt lồng'!$AE$327:$AE$515,'Cắt lồng'!BS$4:BS$4)</f>
        <v>0</v>
      </c>
      <c r="BT124" s="78" t="e">
        <f t="shared" si="256"/>
        <v>#DIV/0!</v>
      </c>
      <c r="BU124" s="79">
        <f t="array" ref="BU124">SUMIFS('Cắt lồng'!$AC$327:$AC$515,'Cắt lồng'!$AA$327:$AA$515,'Cắt lồng'!$AA124,'Cắt lồng'!$AE$327:$AE$515,'Cắt lồng'!BU$4:BU$4)</f>
        <v>0</v>
      </c>
      <c r="BV124" s="79">
        <f t="array" ref="BV124">SUMIFS('Cắt lồng'!$AH$327:$AH$515,'Cắt lồng'!$AA$327:$AA$515,'Cắt lồng'!$AA124,'Cắt lồng'!$AE$327:$AE$515,'Cắt lồng'!BV$4:BV$4)</f>
        <v>0</v>
      </c>
      <c r="BW124" s="78" t="e">
        <f t="shared" si="257"/>
        <v>#DIV/0!</v>
      </c>
      <c r="BX124" s="79">
        <f t="array" ref="BX124">SUMIFS('Cắt lồng'!$AC$327:$AC$515,'Cắt lồng'!$AA$327:$AA$515,'Cắt lồng'!$AA124,'Cắt lồng'!$AE$327:$AE$515,'Cắt lồng'!BX$4:BX$4)</f>
        <v>0</v>
      </c>
      <c r="BY124" s="79">
        <f t="array" ref="BY124">SUMIFS('Cắt lồng'!$AH$327:$AH$515,'Cắt lồng'!$AA$327:$AA$515,'Cắt lồng'!$AA124,'Cắt lồng'!$AE$327:$AE$515,'Cắt lồng'!BY$4:BY$4)</f>
        <v>0</v>
      </c>
      <c r="BZ124" s="78" t="e">
        <f t="shared" si="258"/>
        <v>#DIV/0!</v>
      </c>
      <c r="CA124" s="79">
        <f t="array" ref="CA124">SUMIFS('Cắt lồng'!$AC$327:$AC$515,'Cắt lồng'!$AA$327:$AA$515,'Cắt lồng'!$AA124,'Cắt lồng'!$AE$327:$AE$515,'Cắt lồng'!CA$4:CA$4)</f>
        <v>0</v>
      </c>
      <c r="CB124" s="79">
        <f t="array" ref="CB124">SUMIFS('Cắt lồng'!$AH$327:$AH$515,'Cắt lồng'!$AA$327:$AA$515,'Cắt lồng'!$AA124,'Cắt lồng'!$AE$327:$AE$515,'Cắt lồng'!CB$4:CB$4)</f>
        <v>0</v>
      </c>
      <c r="CC124" s="78" t="e">
        <f t="shared" si="259"/>
        <v>#DIV/0!</v>
      </c>
      <c r="CD124" s="79">
        <f t="array" ref="CD124">SUMIFS('Cắt lồng'!$AC$327:$AC$515,'Cắt lồng'!$AA$327:$AA$515,'Cắt lồng'!$AA124,'Cắt lồng'!$AE$327:$AE$515,'Cắt lồng'!CD$4:CD$4)</f>
        <v>0</v>
      </c>
      <c r="CE124" s="79">
        <f t="array" ref="CE124">SUMIFS('Cắt lồng'!$AH$327:$AH$515,'Cắt lồng'!$AA$327:$AA$515,'Cắt lồng'!$AA124,'Cắt lồng'!$AE$327:$AE$515,'Cắt lồng'!CE$4:CE$4)</f>
        <v>0</v>
      </c>
      <c r="CF124" s="78" t="e">
        <f t="shared" si="260"/>
        <v>#DIV/0!</v>
      </c>
      <c r="CG124" s="79">
        <f t="array" ref="CG124">SUMIFS('Cắt lồng'!$AC$327:$AC$515,'Cắt lồng'!$AA$327:$AA$515,'Cắt lồng'!$AA124,'Cắt lồng'!$AE$327:$AE$515,'Cắt lồng'!CG$4:CG$4)</f>
        <v>0</v>
      </c>
      <c r="CH124" s="79">
        <f t="array" ref="CH124">SUMIFS('Cắt lồng'!$AH$327:$AH$515,'Cắt lồng'!$AA$327:$AA$515,'Cắt lồng'!$AA124,'Cắt lồng'!$AE$327:$AE$515,'Cắt lồng'!CH$4:CH$4)</f>
        <v>0</v>
      </c>
      <c r="CI124" s="78" t="e">
        <f t="shared" si="261"/>
        <v>#DIV/0!</v>
      </c>
      <c r="CJ124" s="79">
        <f t="array" ref="CJ124">SUMIFS('Cắt lồng'!$AC$327:$AC$515,'Cắt lồng'!$AA$327:$AA$515,'Cắt lồng'!$AA124,'Cắt lồng'!$AE$327:$AE$515,'Cắt lồng'!CJ$4:CJ$4)</f>
        <v>0</v>
      </c>
      <c r="CK124" s="79">
        <f t="array" ref="CK124">SUMIFS('Cắt lồng'!$AH$327:$AH$515,'Cắt lồng'!$AA$327:$AA$515,'Cắt lồng'!$AA124,'Cắt lồng'!$AE$327:$AE$515,'Cắt lồng'!CK$4:CK$4)</f>
        <v>0</v>
      </c>
      <c r="CL124" s="78" t="e">
        <f t="shared" si="262"/>
        <v>#DIV/0!</v>
      </c>
      <c r="CM124" s="79">
        <f t="array" ref="CM124">SUMIFS('Cắt lồng'!$AC$327:$AC$515,'Cắt lồng'!$AA$327:$AA$515,'Cắt lồng'!$AA124,'Cắt lồng'!$AE$327:$AE$515,'Cắt lồng'!CM$4:CM$4)</f>
        <v>0</v>
      </c>
      <c r="CN124" s="79">
        <f t="array" ref="CN124">SUMIFS('Cắt lồng'!$AH$327:$AH$515,'Cắt lồng'!$AA$327:$AA$515,'Cắt lồng'!$AA124,'Cắt lồng'!$AE$327:$AE$515,'Cắt lồng'!CN$4:CN$4)</f>
        <v>0</v>
      </c>
      <c r="CO124" s="78" t="e">
        <f t="shared" si="263"/>
        <v>#DIV/0!</v>
      </c>
      <c r="CP124" s="79">
        <f t="array" ref="CP124">SUMIFS('Cắt lồng'!$AC$327:$AC$515,'Cắt lồng'!$AA$327:$AA$515,'Cắt lồng'!$AA124,'Cắt lồng'!$AE$327:$AE$515,'Cắt lồng'!CP$4:CP$4)</f>
        <v>0</v>
      </c>
      <c r="CQ124" s="79">
        <f t="array" ref="CQ124">SUMIFS('Cắt lồng'!$AH$327:$AH$515,'Cắt lồng'!$AA$327:$AA$515,'Cắt lồng'!$AA124,'Cắt lồng'!$AE$327:$AE$515,'Cắt lồng'!CQ$4:CQ$4)</f>
        <v>0</v>
      </c>
      <c r="CR124" s="78" t="e">
        <f t="shared" si="264"/>
        <v>#DIV/0!</v>
      </c>
      <c r="CS124" s="79">
        <f t="array" ref="CS124">SUMIFS('Cắt lồng'!$AC$327:$AC$515,'Cắt lồng'!$AA$327:$AA$515,'Cắt lồng'!$AA124,'Cắt lồng'!$AE$327:$AE$515,'Cắt lồng'!CS$4:CS$4)</f>
        <v>0</v>
      </c>
      <c r="CT124" s="79">
        <f t="array" ref="CT124">SUMIFS('Cắt lồng'!$AH$327:$AH$515,'Cắt lồng'!$AA$327:$AA$515,'Cắt lồng'!$AA124,'Cắt lồng'!$AE$327:$AE$515,'Cắt lồng'!CT$4:CT$4)</f>
        <v>0</v>
      </c>
      <c r="CU124" s="78" t="e">
        <f t="shared" si="265"/>
        <v>#DIV/0!</v>
      </c>
      <c r="CV124" s="79">
        <f t="array" ref="CV124">SUMIFS('Cắt lồng'!$AC$327:$AC$515,'Cắt lồng'!$AA$327:$AA$515,'Cắt lồng'!$AA124,'Cắt lồng'!$AE$327:$AE$515,'Cắt lồng'!CV$4:CV$4)</f>
        <v>0</v>
      </c>
      <c r="CW124" s="79">
        <f t="array" ref="CW124">SUMIFS('Cắt lồng'!$AH$327:$AH$515,'Cắt lồng'!$AA$327:$AA$515,'Cắt lồng'!$AA124,'Cắt lồng'!$AE$327:$AE$515,'Cắt lồng'!CW$4:CW$4)</f>
        <v>0</v>
      </c>
      <c r="CX124" s="78" t="e">
        <f t="shared" si="266"/>
        <v>#DIV/0!</v>
      </c>
      <c r="CY124" s="79">
        <f t="array" ref="CY124">SUMIFS('Cắt lồng'!$AC$327:$AC$515,'Cắt lồng'!$AA$327:$AA$515,'Cắt lồng'!$AA124,'Cắt lồng'!$AE$327:$AE$515,'Cắt lồng'!CY$4:CY$4)</f>
        <v>0</v>
      </c>
      <c r="CZ124" s="79">
        <f t="array" ref="CZ124">SUMIFS('Cắt lồng'!$AH$327:$AH$515,'Cắt lồng'!$AA$327:$AA$515,'Cắt lồng'!$AA124,'Cắt lồng'!$AE$327:$AE$515,'Cắt lồng'!CZ$4:CZ$4)</f>
        <v>0</v>
      </c>
      <c r="DA124" s="78" t="e">
        <f t="shared" si="267"/>
        <v>#DIV/0!</v>
      </c>
      <c r="DB124" s="79">
        <f t="array" ref="DB124">SUMIFS('Cắt lồng'!$AC$327:$AC$515,'Cắt lồng'!$AA$327:$AA$515,'Cắt lồng'!$AA124,'Cắt lồng'!$AE$327:$AE$515,'Cắt lồng'!DB$4:DB$4)</f>
        <v>0</v>
      </c>
      <c r="DC124" s="79">
        <f t="array" ref="DC124">SUMIFS('Cắt lồng'!$AH$327:$AH$515,'Cắt lồng'!$AA$327:$AA$515,'Cắt lồng'!$AA124,'Cắt lồng'!$AE$327:$AE$515,'Cắt lồng'!DC$4:DC$4)</f>
        <v>0</v>
      </c>
      <c r="DD124" s="78" t="e">
        <f t="shared" si="268"/>
        <v>#DIV/0!</v>
      </c>
      <c r="DE124" s="79">
        <f t="array" ref="DE124">SUMIFS('Cắt lồng'!$AC$327:$AC$515,'Cắt lồng'!$AA$327:$AA$515,'Cắt lồng'!$AA124,'Cắt lồng'!$AE$327:$AE$515,'Cắt lồng'!DE$4:DE$4)</f>
        <v>0</v>
      </c>
      <c r="DF124" s="79">
        <f t="array" ref="DF124">SUMIFS('Cắt lồng'!$AH$327:$AH$515,'Cắt lồng'!$AA$327:$AA$515,'Cắt lồng'!$AA124,'Cắt lồng'!$AE$327:$AE$515,'Cắt lồng'!DF$4:DF$4)</f>
        <v>0</v>
      </c>
      <c r="DG124" s="78" t="e">
        <f t="shared" si="269"/>
        <v>#DIV/0!</v>
      </c>
      <c r="DH124" s="79">
        <f t="array" ref="DH124">SUMIFS('Cắt lồng'!$AC$327:$AC$515,'Cắt lồng'!$AA$327:$AA$515,'Cắt lồng'!$AA124,'Cắt lồng'!$AE$327:$AE$515,'Cắt lồng'!DH$4:DH$4)</f>
        <v>0</v>
      </c>
      <c r="DI124" s="79">
        <f t="array" ref="DI124">SUMIFS('Cắt lồng'!$AH$327:$AH$515,'Cắt lồng'!$AA$327:$AA$515,'Cắt lồng'!$AA124,'Cắt lồng'!$AE$327:$AE$515,'Cắt lồng'!DI$4:DI$4)</f>
        <v>0</v>
      </c>
      <c r="DJ124" s="78" t="e">
        <f t="shared" si="270"/>
        <v>#DIV/0!</v>
      </c>
      <c r="DK124" s="79">
        <f t="array" ref="DK124">SUMIFS('Cắt lồng'!$AC$327:$AC$515,'Cắt lồng'!$AA$327:$AA$515,'Cắt lồng'!$AA124,'Cắt lồng'!$AE$327:$AE$515,'Cắt lồng'!DK$4:DK$4)</f>
        <v>0</v>
      </c>
      <c r="DL124" s="79">
        <f t="array" ref="DL124">SUMIFS('Cắt lồng'!$AH$327:$AH$515,'Cắt lồng'!$AA$327:$AA$515,'Cắt lồng'!$AA124,'Cắt lồng'!$AE$327:$AE$515,'Cắt lồng'!DL$4:DL$4)</f>
        <v>0</v>
      </c>
      <c r="DM124" s="78" t="e">
        <f t="shared" si="271"/>
        <v>#DIV/0!</v>
      </c>
      <c r="DN124" s="79">
        <f t="array" ref="DN124">SUMIFS('Cắt lồng'!$AC$327:$AC$515,'Cắt lồng'!$AA$327:$AA$515,'Cắt lồng'!$AA124,'Cắt lồng'!$AE$327:$AE$515,'Cắt lồng'!DN$4:DN$4)</f>
        <v>0</v>
      </c>
      <c r="DO124" s="79">
        <f t="array" ref="DO124">SUMIFS('Cắt lồng'!$AH$327:$AH$515,'Cắt lồng'!$AA$327:$AA$515,'Cắt lồng'!$AA124,'Cắt lồng'!$AE$327:$AE$515,'Cắt lồng'!DO$4:DO$4)</f>
        <v>0</v>
      </c>
      <c r="DP124" s="78" t="e">
        <f t="shared" si="272"/>
        <v>#DIV/0!</v>
      </c>
      <c r="DQ124" s="79">
        <f t="array" ref="DQ124">SUMIFS('Cắt lồng'!$AC$327:$AC$515,'Cắt lồng'!$AA$327:$AA$515,'Cắt lồng'!$AA124,'Cắt lồng'!$AE$327:$AE$515,'Cắt lồng'!DQ$4:DQ$4)</f>
        <v>0</v>
      </c>
      <c r="DR124" s="79">
        <f t="array" ref="DR124">SUMIFS('Cắt lồng'!$AH$327:$AH$515,'Cắt lồng'!$AA$327:$AA$515,'Cắt lồng'!$AA124,'Cắt lồng'!$AE$327:$AE$515,'Cắt lồng'!DR$4:DR$4)</f>
        <v>0</v>
      </c>
      <c r="DS124" s="78" t="e">
        <f t="shared" si="273"/>
        <v>#DIV/0!</v>
      </c>
      <c r="DT124" s="79">
        <f t="array" ref="DT124">SUMIFS('Cắt lồng'!$AC$327:$AC$515,'Cắt lồng'!$AA$327:$AA$515,'Cắt lồng'!$AA124,'Cắt lồng'!$AE$327:$AE$515,'Cắt lồng'!DT$4:DT$4)</f>
        <v>0</v>
      </c>
      <c r="DU124" s="79">
        <f t="array" ref="DU124">SUMIFS('Cắt lồng'!$AH$327:$AH$515,'Cắt lồng'!$AA$327:$AA$515,'Cắt lồng'!$AA124,'Cắt lồng'!$AE$327:$AE$515,'Cắt lồng'!DU$4:DU$4)</f>
        <v>0</v>
      </c>
      <c r="DV124" s="78" t="e">
        <f t="shared" si="274"/>
        <v>#DIV/0!</v>
      </c>
      <c r="DW124" s="79">
        <f t="array" ref="DW124">SUMIFS('Cắt lồng'!$AC$327:$AC$515,'Cắt lồng'!$AA$327:$AA$515,'Cắt lồng'!$AA124,'Cắt lồng'!$AE$327:$AE$515,'Cắt lồng'!DW$4:DW$4)</f>
        <v>0</v>
      </c>
      <c r="DX124" s="79">
        <f t="array" ref="DX124">SUMIFS('Cắt lồng'!$AH$327:$AH$515,'Cắt lồng'!$AA$327:$AA$515,'Cắt lồng'!$AA124,'Cắt lồng'!$AE$327:$AE$515,'Cắt lồng'!DX$4:DX$4)</f>
        <v>0</v>
      </c>
      <c r="DY124" s="78" t="e">
        <f t="shared" si="275"/>
        <v>#DIV/0!</v>
      </c>
      <c r="DZ124" s="79">
        <f t="array" ref="DZ124">SUMIFS('Cắt lồng'!$AC$327:$AC$515,'Cắt lồng'!$AA$327:$AA$515,'Cắt lồng'!$AA124,'Cắt lồng'!$AE$327:$AE$515,'Cắt lồng'!DZ$4:DZ$4)</f>
        <v>0</v>
      </c>
      <c r="EA124" s="79">
        <f t="array" ref="EA124">SUMIFS('Cắt lồng'!$AH$327:$AH$515,'Cắt lồng'!$AA$327:$AA$515,'Cắt lồng'!$AA124,'Cắt lồng'!$AE$327:$AE$515,'Cắt lồng'!EA$4:EA$4)</f>
        <v>0</v>
      </c>
      <c r="EB124" s="78" t="e">
        <f t="shared" si="276"/>
        <v>#DIV/0!</v>
      </c>
      <c r="EC124" s="79">
        <f t="array" ref="EC124">SUMIFS('Cắt lồng'!$AC$327:$AC$515,'Cắt lồng'!$AA$327:$AA$515,'Cắt lồng'!$AA124,'Cắt lồng'!$AE$327:$AE$515,'Cắt lồng'!EC$4:EC$4)</f>
        <v>0</v>
      </c>
      <c r="ED124" s="79">
        <f t="array" ref="ED124">SUMIFS('Cắt lồng'!$AH$327:$AH$515,'Cắt lồng'!$AA$327:$AA$515,'Cắt lồng'!$AA124,'Cắt lồng'!$AE$327:$AE$515,'Cắt lồng'!ED$4:ED$4)</f>
        <v>0</v>
      </c>
      <c r="EE124" s="78" t="e">
        <f t="shared" si="277"/>
        <v>#DIV/0!</v>
      </c>
      <c r="EF124" s="79">
        <f t="array" ref="EF124">SUMIFS('Cắt lồng'!$AC$327:$AC$515,'Cắt lồng'!$AA$327:$AA$515,'Cắt lồng'!$AA124,'Cắt lồng'!$AE$327:$AE$515,'Cắt lồng'!EF$4:EF$4)</f>
        <v>0</v>
      </c>
      <c r="EG124" s="79">
        <f t="array" ref="EG124">SUMIFS('Cắt lồng'!$AH$327:$AH$515,'Cắt lồng'!$AA$327:$AA$515,'Cắt lồng'!$AA124,'Cắt lồng'!$AE$327:$AE$515,'Cắt lồng'!EG$4:EG$4)</f>
        <v>0</v>
      </c>
      <c r="EH124" s="78" t="e">
        <f t="shared" si="278"/>
        <v>#DIV/0!</v>
      </c>
      <c r="EI124" s="79">
        <f t="array" ref="EI124">SUMIFS('Cắt lồng'!$AC$327:$AC$515,'Cắt lồng'!$AA$327:$AA$515,'Cắt lồng'!$AA124,'Cắt lồng'!$AE$327:$AE$515,'Cắt lồng'!EI$4:EI$4)</f>
        <v>0</v>
      </c>
      <c r="EJ124" s="79">
        <f t="array" ref="EJ124">SUMIFS('Cắt lồng'!$AH$327:$AH$515,'Cắt lồng'!$AA$327:$AA$515,'Cắt lồng'!$AA124,'Cắt lồng'!$AE$327:$AE$515,'Cắt lồng'!EJ$4:EJ$4)</f>
        <v>0</v>
      </c>
      <c r="EK124" s="78" t="e">
        <f t="shared" si="279"/>
        <v>#DIV/0!</v>
      </c>
    </row>
    <row r="125" spans="1:141" s="12" customFormat="1" ht="14.25" hidden="1" customHeight="1">
      <c r="A125" s="30">
        <v>92</v>
      </c>
      <c r="B125" s="26"/>
      <c r="C125" s="25"/>
      <c r="D125" s="24"/>
      <c r="E125" s="60"/>
      <c r="F125" s="59"/>
      <c r="G125" s="82">
        <f t="shared" si="212"/>
        <v>0</v>
      </c>
      <c r="H125" s="81">
        <f t="shared" si="213"/>
        <v>0</v>
      </c>
      <c r="I125" s="19">
        <f t="shared" si="214"/>
        <v>0</v>
      </c>
      <c r="J125" s="11">
        <f t="shared" si="215"/>
        <v>0</v>
      </c>
      <c r="K125" s="19">
        <f t="shared" si="216"/>
        <v>0</v>
      </c>
      <c r="L125" s="19">
        <f t="shared" si="217"/>
        <v>0</v>
      </c>
      <c r="M125" s="19">
        <f t="shared" si="218"/>
        <v>0</v>
      </c>
      <c r="N125" s="19">
        <f t="shared" si="219"/>
        <v>0</v>
      </c>
      <c r="O125" s="19">
        <f t="shared" si="220"/>
        <v>0</v>
      </c>
      <c r="P125" s="19">
        <f t="shared" si="221"/>
        <v>0</v>
      </c>
      <c r="Q125" s="19">
        <f t="shared" si="222"/>
        <v>0</v>
      </c>
      <c r="R125" s="19">
        <f t="shared" si="223"/>
        <v>0</v>
      </c>
      <c r="S125" s="19">
        <f t="shared" si="224"/>
        <v>0</v>
      </c>
      <c r="T125" s="19">
        <f t="shared" si="225"/>
        <v>0</v>
      </c>
      <c r="U125" s="19">
        <f t="shared" si="226"/>
        <v>0</v>
      </c>
      <c r="V125" s="19">
        <f t="shared" si="227"/>
        <v>0</v>
      </c>
      <c r="W125" s="19">
        <f t="shared" si="228"/>
        <v>0</v>
      </c>
      <c r="X125" s="19">
        <f t="shared" si="229"/>
        <v>0</v>
      </c>
      <c r="Y125" s="19">
        <f t="shared" si="230"/>
        <v>0</v>
      </c>
      <c r="Z125" s="19">
        <f t="shared" si="231"/>
        <v>0</v>
      </c>
      <c r="AA125" s="154">
        <v>1090</v>
      </c>
      <c r="AB125" s="17" t="e">
        <f>+H125*SUMIF('[1]KẾ HOẠCH'!$B$5:$CK$5,'Cắt lồng'!AA125,'[1]KẾ HOẠCH'!$B$6:$CK$6)+H125*SUMIF('[1]KẾ HOẠCH'!$B$7:$CK$7,'Cắt lồng'!AA125,'[1]KẾ HOẠCH'!$B$8:$CK$8)+H125*SUMIF('[1]KẾ HOẠCH'!$B$15:$CK$15,'Cắt lồng'!AA125,'[1]KẾ HOẠCH'!$B$16:$CK$16)</f>
        <v>#VALUE!</v>
      </c>
      <c r="AC125" s="16">
        <f t="shared" si="232"/>
        <v>0</v>
      </c>
      <c r="AD125" s="15" t="e">
        <f t="shared" si="233"/>
        <v>#VALUE!</v>
      </c>
      <c r="AE125" s="42"/>
      <c r="AF125" s="10" t="e">
        <f t="shared" si="234"/>
        <v>#DIV/0!</v>
      </c>
      <c r="AG125" s="10"/>
      <c r="AH125" s="152">
        <f t="shared" si="235"/>
        <v>0</v>
      </c>
      <c r="AI125" s="54" t="e">
        <f t="shared" si="236"/>
        <v>#DIV/0!</v>
      </c>
      <c r="AJ125" s="25">
        <f t="shared" si="237"/>
        <v>0</v>
      </c>
      <c r="AK125" s="25">
        <f t="shared" si="238"/>
        <v>0</v>
      </c>
      <c r="AL125" s="25">
        <f t="shared" si="239"/>
        <v>0</v>
      </c>
      <c r="AM125" s="30">
        <f t="shared" si="240"/>
        <v>0</v>
      </c>
      <c r="AN125" s="25">
        <f t="shared" si="241"/>
        <v>0</v>
      </c>
      <c r="AO125" s="25">
        <f t="shared" si="242"/>
        <v>0</v>
      </c>
      <c r="AP125" s="25">
        <f t="shared" si="243"/>
        <v>0</v>
      </c>
      <c r="AQ125" s="25">
        <f t="shared" si="244"/>
        <v>0</v>
      </c>
      <c r="AR125" s="25">
        <f t="shared" si="245"/>
        <v>0</v>
      </c>
      <c r="AS125" s="25">
        <f t="shared" si="246"/>
        <v>0</v>
      </c>
      <c r="AT125" s="25">
        <f t="shared" si="247"/>
        <v>0</v>
      </c>
      <c r="AV125" s="79">
        <f t="shared" si="248"/>
        <v>0</v>
      </c>
      <c r="AW125" s="79">
        <f t="array" ref="AW125">SUMIFS('Cắt lồng'!$AC$327:$AC$515,'Cắt lồng'!$AA$327:$AA$515,'Cắt lồng'!$AA125,'Cắt lồng'!$AE$327:$AE$515,'Cắt lồng'!AW$4:AW$4)</f>
        <v>0</v>
      </c>
      <c r="AX125" s="79">
        <f t="array" ref="AX125">SUMIFS('Cắt lồng'!$AH$327:$AH$515,'Cắt lồng'!$AA$327:$AA$515,'Cắt lồng'!$AA125,'Cắt lồng'!$AE$327:$AE$515,'Cắt lồng'!AX$4:AX$4)</f>
        <v>0</v>
      </c>
      <c r="AY125" s="78" t="e">
        <f t="shared" si="249"/>
        <v>#DIV/0!</v>
      </c>
      <c r="AZ125" s="79">
        <f t="array" ref="AZ125">SUMIFS('Cắt lồng'!$AC$327:$AC$515,'Cắt lồng'!$AA$327:$AA$515,'Cắt lồng'!$AA125,'Cắt lồng'!$AE$327:$AE$515,'Cắt lồng'!AZ$4:AZ$4)</f>
        <v>0</v>
      </c>
      <c r="BA125" s="79">
        <f t="array" ref="BA125">SUMIFS('Cắt lồng'!$AH$327:$AH$515,'Cắt lồng'!$AA$327:$AA$515,'Cắt lồng'!$AA125,'Cắt lồng'!$AE$327:$AE$515,'Cắt lồng'!BA$4:BA$4)</f>
        <v>0</v>
      </c>
      <c r="BB125" s="78" t="e">
        <f t="shared" si="250"/>
        <v>#DIV/0!</v>
      </c>
      <c r="BC125" s="79">
        <f t="array" ref="BC125">SUMIFS('Cắt lồng'!$AC$327:$AC$515,'Cắt lồng'!$AA$327:$AA$515,'Cắt lồng'!$AA125,'Cắt lồng'!$AE$327:$AE$515,'Cắt lồng'!BC$4:BC$4)</f>
        <v>0</v>
      </c>
      <c r="BD125" s="79">
        <f t="array" ref="BD125">SUMIFS('Cắt lồng'!$AH$327:$AH$515,'Cắt lồng'!$AA$327:$AA$515,'Cắt lồng'!$AA125,'Cắt lồng'!$AE$327:$AE$515,'Cắt lồng'!BD$4:BD$4)</f>
        <v>0</v>
      </c>
      <c r="BE125" s="78" t="e">
        <f t="shared" si="251"/>
        <v>#DIV/0!</v>
      </c>
      <c r="BF125" s="79">
        <f t="array" ref="BF125">SUMIFS('Cắt lồng'!$AC$327:$AC$515,'Cắt lồng'!$AA$327:$AA$515,'Cắt lồng'!$AA125,'Cắt lồng'!$AE$327:$AE$515,'Cắt lồng'!BF$4:BF$4)</f>
        <v>0</v>
      </c>
      <c r="BG125" s="79">
        <f t="array" ref="BG125">SUMIFS('Cắt lồng'!$AH$327:$AH$515,'Cắt lồng'!$AA$327:$AA$515,'Cắt lồng'!$AA125,'Cắt lồng'!$AE$327:$AE$515,'Cắt lồng'!BG$4:BG$4)</f>
        <v>0</v>
      </c>
      <c r="BH125" s="78" t="e">
        <f t="shared" si="252"/>
        <v>#DIV/0!</v>
      </c>
      <c r="BI125" s="79">
        <f t="array" ref="BI125">SUMIFS('Cắt lồng'!$AC$327:$AC$515,'Cắt lồng'!$AA$327:$AA$515,'Cắt lồng'!$AA125,'Cắt lồng'!$AE$327:$AE$515,'Cắt lồng'!BI$4:BI$4)</f>
        <v>0</v>
      </c>
      <c r="BJ125" s="79">
        <f t="array" ref="BJ125">SUMIFS('Cắt lồng'!$AH$327:$AH$515,'Cắt lồng'!$AA$327:$AA$515,'Cắt lồng'!$AA125,'Cắt lồng'!$AE$327:$AE$515,'Cắt lồng'!BJ$4:BJ$4)</f>
        <v>0</v>
      </c>
      <c r="BK125" s="78" t="e">
        <f t="shared" si="253"/>
        <v>#DIV/0!</v>
      </c>
      <c r="BL125" s="79">
        <f t="array" ref="BL125">SUMIFS('Cắt lồng'!$AC$327:$AC$515,'Cắt lồng'!$AA$327:$AA$515,'Cắt lồng'!$AA125,'Cắt lồng'!$AE$327:$AE$515,'Cắt lồng'!BL$4:BL$4)</f>
        <v>0</v>
      </c>
      <c r="BM125" s="79">
        <f t="array" ref="BM125">SUMIFS('Cắt lồng'!$AH$327:$AH$515,'Cắt lồng'!$AA$327:$AA$515,'Cắt lồng'!$AA125,'Cắt lồng'!$AE$327:$AE$515,'Cắt lồng'!BM$4:BM$4)</f>
        <v>0</v>
      </c>
      <c r="BN125" s="78" t="e">
        <f t="shared" si="254"/>
        <v>#DIV/0!</v>
      </c>
      <c r="BO125" s="79">
        <f t="array" ref="BO125">SUMIFS('Cắt lồng'!$AC$327:$AC$515,'Cắt lồng'!$AA$327:$AA$515,'Cắt lồng'!$AA125,'Cắt lồng'!$AE$327:$AE$515,'Cắt lồng'!BO$4:BO$4)</f>
        <v>0</v>
      </c>
      <c r="BP125" s="79">
        <f t="array" ref="BP125">SUMIFS('Cắt lồng'!$AH$327:$AH$515,'Cắt lồng'!$AA$327:$AA$515,'Cắt lồng'!$AA125,'Cắt lồng'!$AE$327:$AE$515,'Cắt lồng'!BP$4:BP$4)</f>
        <v>0</v>
      </c>
      <c r="BQ125" s="78" t="e">
        <f t="shared" si="255"/>
        <v>#DIV/0!</v>
      </c>
      <c r="BR125" s="79">
        <f t="array" ref="BR125">SUMIFS('Cắt lồng'!$AC$327:$AC$515,'Cắt lồng'!$AA$327:$AA$515,'Cắt lồng'!$AA125,'Cắt lồng'!$AE$327:$AE$515,'Cắt lồng'!BR$4:BR$4)</f>
        <v>0</v>
      </c>
      <c r="BS125" s="79">
        <f t="array" ref="BS125">SUMIFS('Cắt lồng'!$AH$327:$AH$515,'Cắt lồng'!$AA$327:$AA$515,'Cắt lồng'!$AA125,'Cắt lồng'!$AE$327:$AE$515,'Cắt lồng'!BS$4:BS$4)</f>
        <v>0</v>
      </c>
      <c r="BT125" s="78" t="e">
        <f t="shared" si="256"/>
        <v>#DIV/0!</v>
      </c>
      <c r="BU125" s="79">
        <f t="array" ref="BU125">SUMIFS('Cắt lồng'!$AC$327:$AC$515,'Cắt lồng'!$AA$327:$AA$515,'Cắt lồng'!$AA125,'Cắt lồng'!$AE$327:$AE$515,'Cắt lồng'!BU$4:BU$4)</f>
        <v>0</v>
      </c>
      <c r="BV125" s="79">
        <f t="array" ref="BV125">SUMIFS('Cắt lồng'!$AH$327:$AH$515,'Cắt lồng'!$AA$327:$AA$515,'Cắt lồng'!$AA125,'Cắt lồng'!$AE$327:$AE$515,'Cắt lồng'!BV$4:BV$4)</f>
        <v>0</v>
      </c>
      <c r="BW125" s="78" t="e">
        <f t="shared" si="257"/>
        <v>#DIV/0!</v>
      </c>
      <c r="BX125" s="79">
        <f t="array" ref="BX125">SUMIFS('Cắt lồng'!$AC$327:$AC$515,'Cắt lồng'!$AA$327:$AA$515,'Cắt lồng'!$AA125,'Cắt lồng'!$AE$327:$AE$515,'Cắt lồng'!BX$4:BX$4)</f>
        <v>0</v>
      </c>
      <c r="BY125" s="79">
        <f t="array" ref="BY125">SUMIFS('Cắt lồng'!$AH$327:$AH$515,'Cắt lồng'!$AA$327:$AA$515,'Cắt lồng'!$AA125,'Cắt lồng'!$AE$327:$AE$515,'Cắt lồng'!BY$4:BY$4)</f>
        <v>0</v>
      </c>
      <c r="BZ125" s="78" t="e">
        <f t="shared" si="258"/>
        <v>#DIV/0!</v>
      </c>
      <c r="CA125" s="79">
        <f t="array" ref="CA125">SUMIFS('Cắt lồng'!$AC$327:$AC$515,'Cắt lồng'!$AA$327:$AA$515,'Cắt lồng'!$AA125,'Cắt lồng'!$AE$327:$AE$515,'Cắt lồng'!CA$4:CA$4)</f>
        <v>0</v>
      </c>
      <c r="CB125" s="79">
        <f t="array" ref="CB125">SUMIFS('Cắt lồng'!$AH$327:$AH$515,'Cắt lồng'!$AA$327:$AA$515,'Cắt lồng'!$AA125,'Cắt lồng'!$AE$327:$AE$515,'Cắt lồng'!CB$4:CB$4)</f>
        <v>0</v>
      </c>
      <c r="CC125" s="78" t="e">
        <f t="shared" si="259"/>
        <v>#DIV/0!</v>
      </c>
      <c r="CD125" s="79">
        <f t="array" ref="CD125">SUMIFS('Cắt lồng'!$AC$327:$AC$515,'Cắt lồng'!$AA$327:$AA$515,'Cắt lồng'!$AA125,'Cắt lồng'!$AE$327:$AE$515,'Cắt lồng'!CD$4:CD$4)</f>
        <v>0</v>
      </c>
      <c r="CE125" s="79">
        <f t="array" ref="CE125">SUMIFS('Cắt lồng'!$AH$327:$AH$515,'Cắt lồng'!$AA$327:$AA$515,'Cắt lồng'!$AA125,'Cắt lồng'!$AE$327:$AE$515,'Cắt lồng'!CE$4:CE$4)</f>
        <v>0</v>
      </c>
      <c r="CF125" s="78" t="e">
        <f t="shared" si="260"/>
        <v>#DIV/0!</v>
      </c>
      <c r="CG125" s="79">
        <f t="array" ref="CG125">SUMIFS('Cắt lồng'!$AC$327:$AC$515,'Cắt lồng'!$AA$327:$AA$515,'Cắt lồng'!$AA125,'Cắt lồng'!$AE$327:$AE$515,'Cắt lồng'!CG$4:CG$4)</f>
        <v>0</v>
      </c>
      <c r="CH125" s="79">
        <f t="array" ref="CH125">SUMIFS('Cắt lồng'!$AH$327:$AH$515,'Cắt lồng'!$AA$327:$AA$515,'Cắt lồng'!$AA125,'Cắt lồng'!$AE$327:$AE$515,'Cắt lồng'!CH$4:CH$4)</f>
        <v>0</v>
      </c>
      <c r="CI125" s="78" t="e">
        <f t="shared" si="261"/>
        <v>#DIV/0!</v>
      </c>
      <c r="CJ125" s="79">
        <f t="array" ref="CJ125">SUMIFS('Cắt lồng'!$AC$327:$AC$515,'Cắt lồng'!$AA$327:$AA$515,'Cắt lồng'!$AA125,'Cắt lồng'!$AE$327:$AE$515,'Cắt lồng'!CJ$4:CJ$4)</f>
        <v>0</v>
      </c>
      <c r="CK125" s="79">
        <f t="array" ref="CK125">SUMIFS('Cắt lồng'!$AH$327:$AH$515,'Cắt lồng'!$AA$327:$AA$515,'Cắt lồng'!$AA125,'Cắt lồng'!$AE$327:$AE$515,'Cắt lồng'!CK$4:CK$4)</f>
        <v>0</v>
      </c>
      <c r="CL125" s="78" t="e">
        <f t="shared" si="262"/>
        <v>#DIV/0!</v>
      </c>
      <c r="CM125" s="79">
        <f t="array" ref="CM125">SUMIFS('Cắt lồng'!$AC$327:$AC$515,'Cắt lồng'!$AA$327:$AA$515,'Cắt lồng'!$AA125,'Cắt lồng'!$AE$327:$AE$515,'Cắt lồng'!CM$4:CM$4)</f>
        <v>0</v>
      </c>
      <c r="CN125" s="79">
        <f t="array" ref="CN125">SUMIFS('Cắt lồng'!$AH$327:$AH$515,'Cắt lồng'!$AA$327:$AA$515,'Cắt lồng'!$AA125,'Cắt lồng'!$AE$327:$AE$515,'Cắt lồng'!CN$4:CN$4)</f>
        <v>0</v>
      </c>
      <c r="CO125" s="78" t="e">
        <f t="shared" si="263"/>
        <v>#DIV/0!</v>
      </c>
      <c r="CP125" s="79">
        <f t="array" ref="CP125">SUMIFS('Cắt lồng'!$AC$327:$AC$515,'Cắt lồng'!$AA$327:$AA$515,'Cắt lồng'!$AA125,'Cắt lồng'!$AE$327:$AE$515,'Cắt lồng'!CP$4:CP$4)</f>
        <v>0</v>
      </c>
      <c r="CQ125" s="79">
        <f t="array" ref="CQ125">SUMIFS('Cắt lồng'!$AH$327:$AH$515,'Cắt lồng'!$AA$327:$AA$515,'Cắt lồng'!$AA125,'Cắt lồng'!$AE$327:$AE$515,'Cắt lồng'!CQ$4:CQ$4)</f>
        <v>0</v>
      </c>
      <c r="CR125" s="78" t="e">
        <f t="shared" si="264"/>
        <v>#DIV/0!</v>
      </c>
      <c r="CS125" s="79">
        <f t="array" ref="CS125">SUMIFS('Cắt lồng'!$AC$327:$AC$515,'Cắt lồng'!$AA$327:$AA$515,'Cắt lồng'!$AA125,'Cắt lồng'!$AE$327:$AE$515,'Cắt lồng'!CS$4:CS$4)</f>
        <v>0</v>
      </c>
      <c r="CT125" s="79">
        <f t="array" ref="CT125">SUMIFS('Cắt lồng'!$AH$327:$AH$515,'Cắt lồng'!$AA$327:$AA$515,'Cắt lồng'!$AA125,'Cắt lồng'!$AE$327:$AE$515,'Cắt lồng'!CT$4:CT$4)</f>
        <v>0</v>
      </c>
      <c r="CU125" s="78" t="e">
        <f t="shared" si="265"/>
        <v>#DIV/0!</v>
      </c>
      <c r="CV125" s="79">
        <f t="array" ref="CV125">SUMIFS('Cắt lồng'!$AC$327:$AC$515,'Cắt lồng'!$AA$327:$AA$515,'Cắt lồng'!$AA125,'Cắt lồng'!$AE$327:$AE$515,'Cắt lồng'!CV$4:CV$4)</f>
        <v>0</v>
      </c>
      <c r="CW125" s="79">
        <f t="array" ref="CW125">SUMIFS('Cắt lồng'!$AH$327:$AH$515,'Cắt lồng'!$AA$327:$AA$515,'Cắt lồng'!$AA125,'Cắt lồng'!$AE$327:$AE$515,'Cắt lồng'!CW$4:CW$4)</f>
        <v>0</v>
      </c>
      <c r="CX125" s="78" t="e">
        <f t="shared" si="266"/>
        <v>#DIV/0!</v>
      </c>
      <c r="CY125" s="79">
        <f t="array" ref="CY125">SUMIFS('Cắt lồng'!$AC$327:$AC$515,'Cắt lồng'!$AA$327:$AA$515,'Cắt lồng'!$AA125,'Cắt lồng'!$AE$327:$AE$515,'Cắt lồng'!CY$4:CY$4)</f>
        <v>0</v>
      </c>
      <c r="CZ125" s="79">
        <f t="array" ref="CZ125">SUMIFS('Cắt lồng'!$AH$327:$AH$515,'Cắt lồng'!$AA$327:$AA$515,'Cắt lồng'!$AA125,'Cắt lồng'!$AE$327:$AE$515,'Cắt lồng'!CZ$4:CZ$4)</f>
        <v>0</v>
      </c>
      <c r="DA125" s="78" t="e">
        <f t="shared" si="267"/>
        <v>#DIV/0!</v>
      </c>
      <c r="DB125" s="79">
        <f t="array" ref="DB125">SUMIFS('Cắt lồng'!$AC$327:$AC$515,'Cắt lồng'!$AA$327:$AA$515,'Cắt lồng'!$AA125,'Cắt lồng'!$AE$327:$AE$515,'Cắt lồng'!DB$4:DB$4)</f>
        <v>0</v>
      </c>
      <c r="DC125" s="79">
        <f t="array" ref="DC125">SUMIFS('Cắt lồng'!$AH$327:$AH$515,'Cắt lồng'!$AA$327:$AA$515,'Cắt lồng'!$AA125,'Cắt lồng'!$AE$327:$AE$515,'Cắt lồng'!DC$4:DC$4)</f>
        <v>0</v>
      </c>
      <c r="DD125" s="78" t="e">
        <f t="shared" si="268"/>
        <v>#DIV/0!</v>
      </c>
      <c r="DE125" s="79">
        <f t="array" ref="DE125">SUMIFS('Cắt lồng'!$AC$327:$AC$515,'Cắt lồng'!$AA$327:$AA$515,'Cắt lồng'!$AA125,'Cắt lồng'!$AE$327:$AE$515,'Cắt lồng'!DE$4:DE$4)</f>
        <v>0</v>
      </c>
      <c r="DF125" s="79">
        <f t="array" ref="DF125">SUMIFS('Cắt lồng'!$AH$327:$AH$515,'Cắt lồng'!$AA$327:$AA$515,'Cắt lồng'!$AA125,'Cắt lồng'!$AE$327:$AE$515,'Cắt lồng'!DF$4:DF$4)</f>
        <v>0</v>
      </c>
      <c r="DG125" s="78" t="e">
        <f t="shared" si="269"/>
        <v>#DIV/0!</v>
      </c>
      <c r="DH125" s="79">
        <f t="array" ref="DH125">SUMIFS('Cắt lồng'!$AC$327:$AC$515,'Cắt lồng'!$AA$327:$AA$515,'Cắt lồng'!$AA125,'Cắt lồng'!$AE$327:$AE$515,'Cắt lồng'!DH$4:DH$4)</f>
        <v>0</v>
      </c>
      <c r="DI125" s="79">
        <f t="array" ref="DI125">SUMIFS('Cắt lồng'!$AH$327:$AH$515,'Cắt lồng'!$AA$327:$AA$515,'Cắt lồng'!$AA125,'Cắt lồng'!$AE$327:$AE$515,'Cắt lồng'!DI$4:DI$4)</f>
        <v>0</v>
      </c>
      <c r="DJ125" s="78" t="e">
        <f t="shared" si="270"/>
        <v>#DIV/0!</v>
      </c>
      <c r="DK125" s="79">
        <f t="array" ref="DK125">SUMIFS('Cắt lồng'!$AC$327:$AC$515,'Cắt lồng'!$AA$327:$AA$515,'Cắt lồng'!$AA125,'Cắt lồng'!$AE$327:$AE$515,'Cắt lồng'!DK$4:DK$4)</f>
        <v>0</v>
      </c>
      <c r="DL125" s="79">
        <f t="array" ref="DL125">SUMIFS('Cắt lồng'!$AH$327:$AH$515,'Cắt lồng'!$AA$327:$AA$515,'Cắt lồng'!$AA125,'Cắt lồng'!$AE$327:$AE$515,'Cắt lồng'!DL$4:DL$4)</f>
        <v>0</v>
      </c>
      <c r="DM125" s="78" t="e">
        <f t="shared" si="271"/>
        <v>#DIV/0!</v>
      </c>
      <c r="DN125" s="79">
        <f t="array" ref="DN125">SUMIFS('Cắt lồng'!$AC$327:$AC$515,'Cắt lồng'!$AA$327:$AA$515,'Cắt lồng'!$AA125,'Cắt lồng'!$AE$327:$AE$515,'Cắt lồng'!DN$4:DN$4)</f>
        <v>0</v>
      </c>
      <c r="DO125" s="79">
        <f t="array" ref="DO125">SUMIFS('Cắt lồng'!$AH$327:$AH$515,'Cắt lồng'!$AA$327:$AA$515,'Cắt lồng'!$AA125,'Cắt lồng'!$AE$327:$AE$515,'Cắt lồng'!DO$4:DO$4)</f>
        <v>0</v>
      </c>
      <c r="DP125" s="78" t="e">
        <f t="shared" si="272"/>
        <v>#DIV/0!</v>
      </c>
      <c r="DQ125" s="79">
        <f t="array" ref="DQ125">SUMIFS('Cắt lồng'!$AC$327:$AC$515,'Cắt lồng'!$AA$327:$AA$515,'Cắt lồng'!$AA125,'Cắt lồng'!$AE$327:$AE$515,'Cắt lồng'!DQ$4:DQ$4)</f>
        <v>0</v>
      </c>
      <c r="DR125" s="79">
        <f t="array" ref="DR125">SUMIFS('Cắt lồng'!$AH$327:$AH$515,'Cắt lồng'!$AA$327:$AA$515,'Cắt lồng'!$AA125,'Cắt lồng'!$AE$327:$AE$515,'Cắt lồng'!DR$4:DR$4)</f>
        <v>0</v>
      </c>
      <c r="DS125" s="78" t="e">
        <f t="shared" si="273"/>
        <v>#DIV/0!</v>
      </c>
      <c r="DT125" s="79">
        <f t="array" ref="DT125">SUMIFS('Cắt lồng'!$AC$327:$AC$515,'Cắt lồng'!$AA$327:$AA$515,'Cắt lồng'!$AA125,'Cắt lồng'!$AE$327:$AE$515,'Cắt lồng'!DT$4:DT$4)</f>
        <v>0</v>
      </c>
      <c r="DU125" s="79">
        <f t="array" ref="DU125">SUMIFS('Cắt lồng'!$AH$327:$AH$515,'Cắt lồng'!$AA$327:$AA$515,'Cắt lồng'!$AA125,'Cắt lồng'!$AE$327:$AE$515,'Cắt lồng'!DU$4:DU$4)</f>
        <v>0</v>
      </c>
      <c r="DV125" s="78" t="e">
        <f t="shared" si="274"/>
        <v>#DIV/0!</v>
      </c>
      <c r="DW125" s="79">
        <f t="array" ref="DW125">SUMIFS('Cắt lồng'!$AC$327:$AC$515,'Cắt lồng'!$AA$327:$AA$515,'Cắt lồng'!$AA125,'Cắt lồng'!$AE$327:$AE$515,'Cắt lồng'!DW$4:DW$4)</f>
        <v>0</v>
      </c>
      <c r="DX125" s="79">
        <f t="array" ref="DX125">SUMIFS('Cắt lồng'!$AH$327:$AH$515,'Cắt lồng'!$AA$327:$AA$515,'Cắt lồng'!$AA125,'Cắt lồng'!$AE$327:$AE$515,'Cắt lồng'!DX$4:DX$4)</f>
        <v>0</v>
      </c>
      <c r="DY125" s="78" t="e">
        <f t="shared" si="275"/>
        <v>#DIV/0!</v>
      </c>
      <c r="DZ125" s="79">
        <f t="array" ref="DZ125">SUMIFS('Cắt lồng'!$AC$327:$AC$515,'Cắt lồng'!$AA$327:$AA$515,'Cắt lồng'!$AA125,'Cắt lồng'!$AE$327:$AE$515,'Cắt lồng'!DZ$4:DZ$4)</f>
        <v>0</v>
      </c>
      <c r="EA125" s="79">
        <f t="array" ref="EA125">SUMIFS('Cắt lồng'!$AH$327:$AH$515,'Cắt lồng'!$AA$327:$AA$515,'Cắt lồng'!$AA125,'Cắt lồng'!$AE$327:$AE$515,'Cắt lồng'!EA$4:EA$4)</f>
        <v>0</v>
      </c>
      <c r="EB125" s="78" t="e">
        <f t="shared" si="276"/>
        <v>#DIV/0!</v>
      </c>
      <c r="EC125" s="79">
        <f t="array" ref="EC125">SUMIFS('Cắt lồng'!$AC$327:$AC$515,'Cắt lồng'!$AA$327:$AA$515,'Cắt lồng'!$AA125,'Cắt lồng'!$AE$327:$AE$515,'Cắt lồng'!EC$4:EC$4)</f>
        <v>0</v>
      </c>
      <c r="ED125" s="79">
        <f t="array" ref="ED125">SUMIFS('Cắt lồng'!$AH$327:$AH$515,'Cắt lồng'!$AA$327:$AA$515,'Cắt lồng'!$AA125,'Cắt lồng'!$AE$327:$AE$515,'Cắt lồng'!ED$4:ED$4)</f>
        <v>0</v>
      </c>
      <c r="EE125" s="78" t="e">
        <f t="shared" si="277"/>
        <v>#DIV/0!</v>
      </c>
      <c r="EF125" s="79">
        <f t="array" ref="EF125">SUMIFS('Cắt lồng'!$AC$327:$AC$515,'Cắt lồng'!$AA$327:$AA$515,'Cắt lồng'!$AA125,'Cắt lồng'!$AE$327:$AE$515,'Cắt lồng'!EF$4:EF$4)</f>
        <v>0</v>
      </c>
      <c r="EG125" s="79">
        <f t="array" ref="EG125">SUMIFS('Cắt lồng'!$AH$327:$AH$515,'Cắt lồng'!$AA$327:$AA$515,'Cắt lồng'!$AA125,'Cắt lồng'!$AE$327:$AE$515,'Cắt lồng'!EG$4:EG$4)</f>
        <v>0</v>
      </c>
      <c r="EH125" s="78" t="e">
        <f t="shared" si="278"/>
        <v>#DIV/0!</v>
      </c>
      <c r="EI125" s="79">
        <f t="array" ref="EI125">SUMIFS('Cắt lồng'!$AC$327:$AC$515,'Cắt lồng'!$AA$327:$AA$515,'Cắt lồng'!$AA125,'Cắt lồng'!$AE$327:$AE$515,'Cắt lồng'!EI$4:EI$4)</f>
        <v>0</v>
      </c>
      <c r="EJ125" s="79">
        <f t="array" ref="EJ125">SUMIFS('Cắt lồng'!$AH$327:$AH$515,'Cắt lồng'!$AA$327:$AA$515,'Cắt lồng'!$AA125,'Cắt lồng'!$AE$327:$AE$515,'Cắt lồng'!EJ$4:EJ$4)</f>
        <v>0</v>
      </c>
      <c r="EK125" s="78" t="e">
        <f t="shared" si="279"/>
        <v>#DIV/0!</v>
      </c>
    </row>
    <row r="126" spans="1:141" s="12" customFormat="1" ht="14.25" hidden="1" customHeight="1">
      <c r="A126" s="30">
        <v>93</v>
      </c>
      <c r="B126" s="26"/>
      <c r="C126" s="25"/>
      <c r="D126" s="24"/>
      <c r="E126" s="60"/>
      <c r="F126" s="59"/>
      <c r="G126" s="82">
        <f t="shared" si="212"/>
        <v>0</v>
      </c>
      <c r="H126" s="81">
        <f t="shared" si="213"/>
        <v>23</v>
      </c>
      <c r="I126" s="19">
        <f t="shared" si="214"/>
        <v>0</v>
      </c>
      <c r="J126" s="11">
        <f t="shared" si="215"/>
        <v>5.49</v>
      </c>
      <c r="K126" s="19">
        <f t="shared" si="216"/>
        <v>0</v>
      </c>
      <c r="L126" s="19">
        <f t="shared" si="217"/>
        <v>0</v>
      </c>
      <c r="M126" s="19">
        <f t="shared" si="218"/>
        <v>0</v>
      </c>
      <c r="N126" s="19">
        <f t="shared" si="219"/>
        <v>0.99</v>
      </c>
      <c r="O126" s="19">
        <f t="shared" si="220"/>
        <v>0</v>
      </c>
      <c r="P126" s="19">
        <f t="shared" si="221"/>
        <v>0</v>
      </c>
      <c r="Q126" s="19">
        <f t="shared" si="222"/>
        <v>0</v>
      </c>
      <c r="R126" s="19">
        <f t="shared" si="223"/>
        <v>0</v>
      </c>
      <c r="S126" s="19">
        <f t="shared" si="224"/>
        <v>0</v>
      </c>
      <c r="T126" s="19">
        <f t="shared" si="225"/>
        <v>2.83</v>
      </c>
      <c r="U126" s="19">
        <f t="shared" si="226"/>
        <v>0</v>
      </c>
      <c r="V126" s="19">
        <f t="shared" si="227"/>
        <v>0</v>
      </c>
      <c r="W126" s="19">
        <f t="shared" si="228"/>
        <v>0.33</v>
      </c>
      <c r="X126" s="19">
        <f t="shared" si="229"/>
        <v>0.51</v>
      </c>
      <c r="Y126" s="19">
        <f t="shared" si="230"/>
        <v>0.83</v>
      </c>
      <c r="Z126" s="19">
        <f t="shared" si="231"/>
        <v>0</v>
      </c>
      <c r="AA126" s="154">
        <v>5770</v>
      </c>
      <c r="AB126" s="17" t="e">
        <f>+H126*SUMIF('[1]KẾ HOẠCH'!$B$5:$CK$5,'Cắt lồng'!AA126,'[1]KẾ HOẠCH'!$B$6:$CK$6)+H126*SUMIF('[1]KẾ HOẠCH'!$B$7:$CK$7,'Cắt lồng'!AA126,'[1]KẾ HOẠCH'!$B$8:$CK$8)+H126*SUMIF('[1]KẾ HOẠCH'!$B$15:$CK$15,'Cắt lồng'!AA126,'[1]KẾ HOẠCH'!$B$16:$CK$16)</f>
        <v>#VALUE!</v>
      </c>
      <c r="AC126" s="16">
        <f t="shared" si="232"/>
        <v>12825</v>
      </c>
      <c r="AD126" s="15" t="e">
        <f t="shared" si="233"/>
        <v>#VALUE!</v>
      </c>
      <c r="AE126" s="42"/>
      <c r="AF126" s="10">
        <f t="shared" si="234"/>
        <v>557.60869565217388</v>
      </c>
      <c r="AG126" s="10"/>
      <c r="AH126" s="152">
        <f t="shared" si="235"/>
        <v>141</v>
      </c>
      <c r="AI126" s="54">
        <f t="shared" si="236"/>
        <v>1.0994152046783626E-2</v>
      </c>
      <c r="AJ126" s="25">
        <f t="shared" si="237"/>
        <v>141</v>
      </c>
      <c r="AK126" s="25">
        <f t="shared" si="238"/>
        <v>0</v>
      </c>
      <c r="AL126" s="25">
        <f t="shared" si="239"/>
        <v>0</v>
      </c>
      <c r="AM126" s="30">
        <f t="shared" si="240"/>
        <v>0</v>
      </c>
      <c r="AN126" s="25">
        <f t="shared" si="241"/>
        <v>0</v>
      </c>
      <c r="AO126" s="25">
        <f t="shared" si="242"/>
        <v>0</v>
      </c>
      <c r="AP126" s="25">
        <f t="shared" si="243"/>
        <v>0</v>
      </c>
      <c r="AQ126" s="25">
        <f t="shared" si="244"/>
        <v>0</v>
      </c>
      <c r="AR126" s="25">
        <f t="shared" si="245"/>
        <v>0</v>
      </c>
      <c r="AS126" s="25">
        <f t="shared" si="246"/>
        <v>0</v>
      </c>
      <c r="AT126" s="25">
        <f t="shared" si="247"/>
        <v>0</v>
      </c>
      <c r="AV126" s="79">
        <f t="shared" si="248"/>
        <v>23</v>
      </c>
      <c r="AW126" s="79">
        <f t="array" ref="AW126">SUMIFS('Cắt lồng'!$AC$327:$AC$515,'Cắt lồng'!$AA$327:$AA$515,'Cắt lồng'!$AA126,'Cắt lồng'!$AE$327:$AE$515,'Cắt lồng'!AW$4:AW$4)</f>
        <v>12825</v>
      </c>
      <c r="AX126" s="79">
        <f t="array" ref="AX126">SUMIFS('Cắt lồng'!$AH$327:$AH$515,'Cắt lồng'!$AA$327:$AA$515,'Cắt lồng'!$AA126,'Cắt lồng'!$AE$327:$AE$515,'Cắt lồng'!AX$4:AX$4)</f>
        <v>0</v>
      </c>
      <c r="AY126" s="78">
        <f t="shared" si="249"/>
        <v>0</v>
      </c>
      <c r="AZ126" s="79">
        <f t="array" ref="AZ126">SUMIFS('Cắt lồng'!$AC$327:$AC$515,'Cắt lồng'!$AA$327:$AA$515,'Cắt lồng'!$AA126,'Cắt lồng'!$AE$327:$AE$515,'Cắt lồng'!AZ$4:AZ$4)</f>
        <v>0</v>
      </c>
      <c r="BA126" s="79">
        <f t="array" ref="BA126">SUMIFS('Cắt lồng'!$AH$327:$AH$515,'Cắt lồng'!$AA$327:$AA$515,'Cắt lồng'!$AA126,'Cắt lồng'!$AE$327:$AE$515,'Cắt lồng'!BA$4:BA$4)</f>
        <v>0</v>
      </c>
      <c r="BB126" s="78" t="e">
        <f t="shared" si="250"/>
        <v>#DIV/0!</v>
      </c>
      <c r="BC126" s="79">
        <f t="array" ref="BC126">SUMIFS('Cắt lồng'!$AC$327:$AC$515,'Cắt lồng'!$AA$327:$AA$515,'Cắt lồng'!$AA126,'Cắt lồng'!$AE$327:$AE$515,'Cắt lồng'!BC$4:BC$4)</f>
        <v>0</v>
      </c>
      <c r="BD126" s="79">
        <f t="array" ref="BD126">SUMIFS('Cắt lồng'!$AH$327:$AH$515,'Cắt lồng'!$AA$327:$AA$515,'Cắt lồng'!$AA126,'Cắt lồng'!$AE$327:$AE$515,'Cắt lồng'!BD$4:BD$4)</f>
        <v>0</v>
      </c>
      <c r="BE126" s="78" t="e">
        <f t="shared" si="251"/>
        <v>#DIV/0!</v>
      </c>
      <c r="BF126" s="79">
        <f t="array" ref="BF126">SUMIFS('Cắt lồng'!$AC$327:$AC$515,'Cắt lồng'!$AA$327:$AA$515,'Cắt lồng'!$AA126,'Cắt lồng'!$AE$327:$AE$515,'Cắt lồng'!BF$4:BF$4)</f>
        <v>0</v>
      </c>
      <c r="BG126" s="79">
        <f t="array" ref="BG126">SUMIFS('Cắt lồng'!$AH$327:$AH$515,'Cắt lồng'!$AA$327:$AA$515,'Cắt lồng'!$AA126,'Cắt lồng'!$AE$327:$AE$515,'Cắt lồng'!BG$4:BG$4)</f>
        <v>0</v>
      </c>
      <c r="BH126" s="78" t="e">
        <f t="shared" si="252"/>
        <v>#DIV/0!</v>
      </c>
      <c r="BI126" s="79">
        <f t="array" ref="BI126">SUMIFS('Cắt lồng'!$AC$327:$AC$515,'Cắt lồng'!$AA$327:$AA$515,'Cắt lồng'!$AA126,'Cắt lồng'!$AE$327:$AE$515,'Cắt lồng'!BI$4:BI$4)</f>
        <v>0</v>
      </c>
      <c r="BJ126" s="79">
        <f t="array" ref="BJ126">SUMIFS('Cắt lồng'!$AH$327:$AH$515,'Cắt lồng'!$AA$327:$AA$515,'Cắt lồng'!$AA126,'Cắt lồng'!$AE$327:$AE$515,'Cắt lồng'!BJ$4:BJ$4)</f>
        <v>0</v>
      </c>
      <c r="BK126" s="78" t="e">
        <f t="shared" si="253"/>
        <v>#DIV/0!</v>
      </c>
      <c r="BL126" s="79">
        <f t="array" ref="BL126">SUMIFS('Cắt lồng'!$AC$327:$AC$515,'Cắt lồng'!$AA$327:$AA$515,'Cắt lồng'!$AA126,'Cắt lồng'!$AE$327:$AE$515,'Cắt lồng'!BL$4:BL$4)</f>
        <v>0</v>
      </c>
      <c r="BM126" s="79">
        <f t="array" ref="BM126">SUMIFS('Cắt lồng'!$AH$327:$AH$515,'Cắt lồng'!$AA$327:$AA$515,'Cắt lồng'!$AA126,'Cắt lồng'!$AE$327:$AE$515,'Cắt lồng'!BM$4:BM$4)</f>
        <v>0</v>
      </c>
      <c r="BN126" s="78" t="e">
        <f t="shared" si="254"/>
        <v>#DIV/0!</v>
      </c>
      <c r="BO126" s="79">
        <f t="array" ref="BO126">SUMIFS('Cắt lồng'!$AC$327:$AC$515,'Cắt lồng'!$AA$327:$AA$515,'Cắt lồng'!$AA126,'Cắt lồng'!$AE$327:$AE$515,'Cắt lồng'!BO$4:BO$4)</f>
        <v>0</v>
      </c>
      <c r="BP126" s="79">
        <f t="array" ref="BP126">SUMIFS('Cắt lồng'!$AH$327:$AH$515,'Cắt lồng'!$AA$327:$AA$515,'Cắt lồng'!$AA126,'Cắt lồng'!$AE$327:$AE$515,'Cắt lồng'!BP$4:BP$4)</f>
        <v>0</v>
      </c>
      <c r="BQ126" s="78" t="e">
        <f t="shared" si="255"/>
        <v>#DIV/0!</v>
      </c>
      <c r="BR126" s="79">
        <f t="array" ref="BR126">SUMIFS('Cắt lồng'!$AC$327:$AC$515,'Cắt lồng'!$AA$327:$AA$515,'Cắt lồng'!$AA126,'Cắt lồng'!$AE$327:$AE$515,'Cắt lồng'!BR$4:BR$4)</f>
        <v>0</v>
      </c>
      <c r="BS126" s="79">
        <f t="array" ref="BS126">SUMIFS('Cắt lồng'!$AH$327:$AH$515,'Cắt lồng'!$AA$327:$AA$515,'Cắt lồng'!$AA126,'Cắt lồng'!$AE$327:$AE$515,'Cắt lồng'!BS$4:BS$4)</f>
        <v>0</v>
      </c>
      <c r="BT126" s="78" t="e">
        <f t="shared" si="256"/>
        <v>#DIV/0!</v>
      </c>
      <c r="BU126" s="79">
        <f t="array" ref="BU126">SUMIFS('Cắt lồng'!$AC$327:$AC$515,'Cắt lồng'!$AA$327:$AA$515,'Cắt lồng'!$AA126,'Cắt lồng'!$AE$327:$AE$515,'Cắt lồng'!BU$4:BU$4)</f>
        <v>0</v>
      </c>
      <c r="BV126" s="79">
        <f t="array" ref="BV126">SUMIFS('Cắt lồng'!$AH$327:$AH$515,'Cắt lồng'!$AA$327:$AA$515,'Cắt lồng'!$AA126,'Cắt lồng'!$AE$327:$AE$515,'Cắt lồng'!BV$4:BV$4)</f>
        <v>0</v>
      </c>
      <c r="BW126" s="78" t="e">
        <f t="shared" si="257"/>
        <v>#DIV/0!</v>
      </c>
      <c r="BX126" s="79">
        <f t="array" ref="BX126">SUMIFS('Cắt lồng'!$AC$327:$AC$515,'Cắt lồng'!$AA$327:$AA$515,'Cắt lồng'!$AA126,'Cắt lồng'!$AE$327:$AE$515,'Cắt lồng'!BX$4:BX$4)</f>
        <v>0</v>
      </c>
      <c r="BY126" s="79">
        <f t="array" ref="BY126">SUMIFS('Cắt lồng'!$AH$327:$AH$515,'Cắt lồng'!$AA$327:$AA$515,'Cắt lồng'!$AA126,'Cắt lồng'!$AE$327:$AE$515,'Cắt lồng'!BY$4:BY$4)</f>
        <v>0</v>
      </c>
      <c r="BZ126" s="78" t="e">
        <f t="shared" si="258"/>
        <v>#DIV/0!</v>
      </c>
      <c r="CA126" s="79">
        <f t="array" ref="CA126">SUMIFS('Cắt lồng'!$AC$327:$AC$515,'Cắt lồng'!$AA$327:$AA$515,'Cắt lồng'!$AA126,'Cắt lồng'!$AE$327:$AE$515,'Cắt lồng'!CA$4:CA$4)</f>
        <v>0</v>
      </c>
      <c r="CB126" s="79">
        <f t="array" ref="CB126">SUMIFS('Cắt lồng'!$AH$327:$AH$515,'Cắt lồng'!$AA$327:$AA$515,'Cắt lồng'!$AA126,'Cắt lồng'!$AE$327:$AE$515,'Cắt lồng'!CB$4:CB$4)</f>
        <v>0</v>
      </c>
      <c r="CC126" s="78" t="e">
        <f t="shared" si="259"/>
        <v>#DIV/0!</v>
      </c>
      <c r="CD126" s="79">
        <f t="array" ref="CD126">SUMIFS('Cắt lồng'!$AC$327:$AC$515,'Cắt lồng'!$AA$327:$AA$515,'Cắt lồng'!$AA126,'Cắt lồng'!$AE$327:$AE$515,'Cắt lồng'!CD$4:CD$4)</f>
        <v>0</v>
      </c>
      <c r="CE126" s="79">
        <f t="array" ref="CE126">SUMIFS('Cắt lồng'!$AH$327:$AH$515,'Cắt lồng'!$AA$327:$AA$515,'Cắt lồng'!$AA126,'Cắt lồng'!$AE$327:$AE$515,'Cắt lồng'!CE$4:CE$4)</f>
        <v>0</v>
      </c>
      <c r="CF126" s="78" t="e">
        <f t="shared" si="260"/>
        <v>#DIV/0!</v>
      </c>
      <c r="CG126" s="79">
        <f t="array" ref="CG126">SUMIFS('Cắt lồng'!$AC$327:$AC$515,'Cắt lồng'!$AA$327:$AA$515,'Cắt lồng'!$AA126,'Cắt lồng'!$AE$327:$AE$515,'Cắt lồng'!CG$4:CG$4)</f>
        <v>0</v>
      </c>
      <c r="CH126" s="79">
        <f t="array" ref="CH126">SUMIFS('Cắt lồng'!$AH$327:$AH$515,'Cắt lồng'!$AA$327:$AA$515,'Cắt lồng'!$AA126,'Cắt lồng'!$AE$327:$AE$515,'Cắt lồng'!CH$4:CH$4)</f>
        <v>0</v>
      </c>
      <c r="CI126" s="78" t="e">
        <f t="shared" si="261"/>
        <v>#DIV/0!</v>
      </c>
      <c r="CJ126" s="79">
        <f t="array" ref="CJ126">SUMIFS('Cắt lồng'!$AC$327:$AC$515,'Cắt lồng'!$AA$327:$AA$515,'Cắt lồng'!$AA126,'Cắt lồng'!$AE$327:$AE$515,'Cắt lồng'!CJ$4:CJ$4)</f>
        <v>0</v>
      </c>
      <c r="CK126" s="79">
        <f t="array" ref="CK126">SUMIFS('Cắt lồng'!$AH$327:$AH$515,'Cắt lồng'!$AA$327:$AA$515,'Cắt lồng'!$AA126,'Cắt lồng'!$AE$327:$AE$515,'Cắt lồng'!CK$4:CK$4)</f>
        <v>0</v>
      </c>
      <c r="CL126" s="78" t="e">
        <f t="shared" si="262"/>
        <v>#DIV/0!</v>
      </c>
      <c r="CM126" s="79">
        <f t="array" ref="CM126">SUMIFS('Cắt lồng'!$AC$327:$AC$515,'Cắt lồng'!$AA$327:$AA$515,'Cắt lồng'!$AA126,'Cắt lồng'!$AE$327:$AE$515,'Cắt lồng'!CM$4:CM$4)</f>
        <v>0</v>
      </c>
      <c r="CN126" s="79">
        <f t="array" ref="CN126">SUMIFS('Cắt lồng'!$AH$327:$AH$515,'Cắt lồng'!$AA$327:$AA$515,'Cắt lồng'!$AA126,'Cắt lồng'!$AE$327:$AE$515,'Cắt lồng'!CN$4:CN$4)</f>
        <v>0</v>
      </c>
      <c r="CO126" s="78" t="e">
        <f t="shared" si="263"/>
        <v>#DIV/0!</v>
      </c>
      <c r="CP126" s="79">
        <f t="array" ref="CP126">SUMIFS('Cắt lồng'!$AC$327:$AC$515,'Cắt lồng'!$AA$327:$AA$515,'Cắt lồng'!$AA126,'Cắt lồng'!$AE$327:$AE$515,'Cắt lồng'!CP$4:CP$4)</f>
        <v>0</v>
      </c>
      <c r="CQ126" s="79">
        <f t="array" ref="CQ126">SUMIFS('Cắt lồng'!$AH$327:$AH$515,'Cắt lồng'!$AA$327:$AA$515,'Cắt lồng'!$AA126,'Cắt lồng'!$AE$327:$AE$515,'Cắt lồng'!CQ$4:CQ$4)</f>
        <v>0</v>
      </c>
      <c r="CR126" s="78" t="e">
        <f t="shared" si="264"/>
        <v>#DIV/0!</v>
      </c>
      <c r="CS126" s="79">
        <f t="array" ref="CS126">SUMIFS('Cắt lồng'!$AC$327:$AC$515,'Cắt lồng'!$AA$327:$AA$515,'Cắt lồng'!$AA126,'Cắt lồng'!$AE$327:$AE$515,'Cắt lồng'!CS$4:CS$4)</f>
        <v>0</v>
      </c>
      <c r="CT126" s="79">
        <f t="array" ref="CT126">SUMIFS('Cắt lồng'!$AH$327:$AH$515,'Cắt lồng'!$AA$327:$AA$515,'Cắt lồng'!$AA126,'Cắt lồng'!$AE$327:$AE$515,'Cắt lồng'!CT$4:CT$4)</f>
        <v>0</v>
      </c>
      <c r="CU126" s="78" t="e">
        <f t="shared" si="265"/>
        <v>#DIV/0!</v>
      </c>
      <c r="CV126" s="79">
        <f t="array" ref="CV126">SUMIFS('Cắt lồng'!$AC$327:$AC$515,'Cắt lồng'!$AA$327:$AA$515,'Cắt lồng'!$AA126,'Cắt lồng'!$AE$327:$AE$515,'Cắt lồng'!CV$4:CV$4)</f>
        <v>0</v>
      </c>
      <c r="CW126" s="79">
        <f t="array" ref="CW126">SUMIFS('Cắt lồng'!$AH$327:$AH$515,'Cắt lồng'!$AA$327:$AA$515,'Cắt lồng'!$AA126,'Cắt lồng'!$AE$327:$AE$515,'Cắt lồng'!CW$4:CW$4)</f>
        <v>0</v>
      </c>
      <c r="CX126" s="78" t="e">
        <f t="shared" si="266"/>
        <v>#DIV/0!</v>
      </c>
      <c r="CY126" s="79">
        <f t="array" ref="CY126">SUMIFS('Cắt lồng'!$AC$327:$AC$515,'Cắt lồng'!$AA$327:$AA$515,'Cắt lồng'!$AA126,'Cắt lồng'!$AE$327:$AE$515,'Cắt lồng'!CY$4:CY$4)</f>
        <v>0</v>
      </c>
      <c r="CZ126" s="79">
        <f t="array" ref="CZ126">SUMIFS('Cắt lồng'!$AH$327:$AH$515,'Cắt lồng'!$AA$327:$AA$515,'Cắt lồng'!$AA126,'Cắt lồng'!$AE$327:$AE$515,'Cắt lồng'!CZ$4:CZ$4)</f>
        <v>0</v>
      </c>
      <c r="DA126" s="78" t="e">
        <f t="shared" si="267"/>
        <v>#DIV/0!</v>
      </c>
      <c r="DB126" s="79">
        <f t="array" ref="DB126">SUMIFS('Cắt lồng'!$AC$327:$AC$515,'Cắt lồng'!$AA$327:$AA$515,'Cắt lồng'!$AA126,'Cắt lồng'!$AE$327:$AE$515,'Cắt lồng'!DB$4:DB$4)</f>
        <v>0</v>
      </c>
      <c r="DC126" s="79">
        <f t="array" ref="DC126">SUMIFS('Cắt lồng'!$AH$327:$AH$515,'Cắt lồng'!$AA$327:$AA$515,'Cắt lồng'!$AA126,'Cắt lồng'!$AE$327:$AE$515,'Cắt lồng'!DC$4:DC$4)</f>
        <v>0</v>
      </c>
      <c r="DD126" s="78" t="e">
        <f t="shared" si="268"/>
        <v>#DIV/0!</v>
      </c>
      <c r="DE126" s="79">
        <f t="array" ref="DE126">SUMIFS('Cắt lồng'!$AC$327:$AC$515,'Cắt lồng'!$AA$327:$AA$515,'Cắt lồng'!$AA126,'Cắt lồng'!$AE$327:$AE$515,'Cắt lồng'!DE$4:DE$4)</f>
        <v>0</v>
      </c>
      <c r="DF126" s="79">
        <f t="array" ref="DF126">SUMIFS('Cắt lồng'!$AH$327:$AH$515,'Cắt lồng'!$AA$327:$AA$515,'Cắt lồng'!$AA126,'Cắt lồng'!$AE$327:$AE$515,'Cắt lồng'!DF$4:DF$4)</f>
        <v>0</v>
      </c>
      <c r="DG126" s="78" t="e">
        <f t="shared" si="269"/>
        <v>#DIV/0!</v>
      </c>
      <c r="DH126" s="79">
        <f t="array" ref="DH126">SUMIFS('Cắt lồng'!$AC$327:$AC$515,'Cắt lồng'!$AA$327:$AA$515,'Cắt lồng'!$AA126,'Cắt lồng'!$AE$327:$AE$515,'Cắt lồng'!DH$4:DH$4)</f>
        <v>0</v>
      </c>
      <c r="DI126" s="79">
        <f t="array" ref="DI126">SUMIFS('Cắt lồng'!$AH$327:$AH$515,'Cắt lồng'!$AA$327:$AA$515,'Cắt lồng'!$AA126,'Cắt lồng'!$AE$327:$AE$515,'Cắt lồng'!DI$4:DI$4)</f>
        <v>0</v>
      </c>
      <c r="DJ126" s="78" t="e">
        <f t="shared" si="270"/>
        <v>#DIV/0!</v>
      </c>
      <c r="DK126" s="79">
        <f t="array" ref="DK126">SUMIFS('Cắt lồng'!$AC$327:$AC$515,'Cắt lồng'!$AA$327:$AA$515,'Cắt lồng'!$AA126,'Cắt lồng'!$AE$327:$AE$515,'Cắt lồng'!DK$4:DK$4)</f>
        <v>0</v>
      </c>
      <c r="DL126" s="79">
        <f t="array" ref="DL126">SUMIFS('Cắt lồng'!$AH$327:$AH$515,'Cắt lồng'!$AA$327:$AA$515,'Cắt lồng'!$AA126,'Cắt lồng'!$AE$327:$AE$515,'Cắt lồng'!DL$4:DL$4)</f>
        <v>0</v>
      </c>
      <c r="DM126" s="78" t="e">
        <f t="shared" si="271"/>
        <v>#DIV/0!</v>
      </c>
      <c r="DN126" s="79">
        <f t="array" ref="DN126">SUMIFS('Cắt lồng'!$AC$327:$AC$515,'Cắt lồng'!$AA$327:$AA$515,'Cắt lồng'!$AA126,'Cắt lồng'!$AE$327:$AE$515,'Cắt lồng'!DN$4:DN$4)</f>
        <v>0</v>
      </c>
      <c r="DO126" s="79">
        <f t="array" ref="DO126">SUMIFS('Cắt lồng'!$AH$327:$AH$515,'Cắt lồng'!$AA$327:$AA$515,'Cắt lồng'!$AA126,'Cắt lồng'!$AE$327:$AE$515,'Cắt lồng'!DO$4:DO$4)</f>
        <v>0</v>
      </c>
      <c r="DP126" s="78" t="e">
        <f t="shared" si="272"/>
        <v>#DIV/0!</v>
      </c>
      <c r="DQ126" s="79">
        <f t="array" ref="DQ126">SUMIFS('Cắt lồng'!$AC$327:$AC$515,'Cắt lồng'!$AA$327:$AA$515,'Cắt lồng'!$AA126,'Cắt lồng'!$AE$327:$AE$515,'Cắt lồng'!DQ$4:DQ$4)</f>
        <v>0</v>
      </c>
      <c r="DR126" s="79">
        <f t="array" ref="DR126">SUMIFS('Cắt lồng'!$AH$327:$AH$515,'Cắt lồng'!$AA$327:$AA$515,'Cắt lồng'!$AA126,'Cắt lồng'!$AE$327:$AE$515,'Cắt lồng'!DR$4:DR$4)</f>
        <v>0</v>
      </c>
      <c r="DS126" s="78" t="e">
        <f t="shared" si="273"/>
        <v>#DIV/0!</v>
      </c>
      <c r="DT126" s="79">
        <f t="array" ref="DT126">SUMIFS('Cắt lồng'!$AC$327:$AC$515,'Cắt lồng'!$AA$327:$AA$515,'Cắt lồng'!$AA126,'Cắt lồng'!$AE$327:$AE$515,'Cắt lồng'!DT$4:DT$4)</f>
        <v>0</v>
      </c>
      <c r="DU126" s="79">
        <f t="array" ref="DU126">SUMIFS('Cắt lồng'!$AH$327:$AH$515,'Cắt lồng'!$AA$327:$AA$515,'Cắt lồng'!$AA126,'Cắt lồng'!$AE$327:$AE$515,'Cắt lồng'!DU$4:DU$4)</f>
        <v>0</v>
      </c>
      <c r="DV126" s="78" t="e">
        <f t="shared" si="274"/>
        <v>#DIV/0!</v>
      </c>
      <c r="DW126" s="79">
        <f t="array" ref="DW126">SUMIFS('Cắt lồng'!$AC$327:$AC$515,'Cắt lồng'!$AA$327:$AA$515,'Cắt lồng'!$AA126,'Cắt lồng'!$AE$327:$AE$515,'Cắt lồng'!DW$4:DW$4)</f>
        <v>0</v>
      </c>
      <c r="DX126" s="79">
        <f t="array" ref="DX126">SUMIFS('Cắt lồng'!$AH$327:$AH$515,'Cắt lồng'!$AA$327:$AA$515,'Cắt lồng'!$AA126,'Cắt lồng'!$AE$327:$AE$515,'Cắt lồng'!DX$4:DX$4)</f>
        <v>0</v>
      </c>
      <c r="DY126" s="78" t="e">
        <f t="shared" si="275"/>
        <v>#DIV/0!</v>
      </c>
      <c r="DZ126" s="79">
        <f t="array" ref="DZ126">SUMIFS('Cắt lồng'!$AC$327:$AC$515,'Cắt lồng'!$AA$327:$AA$515,'Cắt lồng'!$AA126,'Cắt lồng'!$AE$327:$AE$515,'Cắt lồng'!DZ$4:DZ$4)</f>
        <v>0</v>
      </c>
      <c r="EA126" s="79">
        <f t="array" ref="EA126">SUMIFS('Cắt lồng'!$AH$327:$AH$515,'Cắt lồng'!$AA$327:$AA$515,'Cắt lồng'!$AA126,'Cắt lồng'!$AE$327:$AE$515,'Cắt lồng'!EA$4:EA$4)</f>
        <v>0</v>
      </c>
      <c r="EB126" s="78" t="e">
        <f t="shared" si="276"/>
        <v>#DIV/0!</v>
      </c>
      <c r="EC126" s="79">
        <f t="array" ref="EC126">SUMIFS('Cắt lồng'!$AC$327:$AC$515,'Cắt lồng'!$AA$327:$AA$515,'Cắt lồng'!$AA126,'Cắt lồng'!$AE$327:$AE$515,'Cắt lồng'!EC$4:EC$4)</f>
        <v>0</v>
      </c>
      <c r="ED126" s="79">
        <f t="array" ref="ED126">SUMIFS('Cắt lồng'!$AH$327:$AH$515,'Cắt lồng'!$AA$327:$AA$515,'Cắt lồng'!$AA126,'Cắt lồng'!$AE$327:$AE$515,'Cắt lồng'!ED$4:ED$4)</f>
        <v>0</v>
      </c>
      <c r="EE126" s="78" t="e">
        <f t="shared" si="277"/>
        <v>#DIV/0!</v>
      </c>
      <c r="EF126" s="79">
        <f t="array" ref="EF126">SUMIFS('Cắt lồng'!$AC$327:$AC$515,'Cắt lồng'!$AA$327:$AA$515,'Cắt lồng'!$AA126,'Cắt lồng'!$AE$327:$AE$515,'Cắt lồng'!EF$4:EF$4)</f>
        <v>0</v>
      </c>
      <c r="EG126" s="79">
        <f t="array" ref="EG126">SUMIFS('Cắt lồng'!$AH$327:$AH$515,'Cắt lồng'!$AA$327:$AA$515,'Cắt lồng'!$AA126,'Cắt lồng'!$AE$327:$AE$515,'Cắt lồng'!EG$4:EG$4)</f>
        <v>0</v>
      </c>
      <c r="EH126" s="78" t="e">
        <f t="shared" si="278"/>
        <v>#DIV/0!</v>
      </c>
      <c r="EI126" s="79">
        <f t="array" ref="EI126">SUMIFS('Cắt lồng'!$AC$327:$AC$515,'Cắt lồng'!$AA$327:$AA$515,'Cắt lồng'!$AA126,'Cắt lồng'!$AE$327:$AE$515,'Cắt lồng'!EI$4:EI$4)</f>
        <v>0</v>
      </c>
      <c r="EJ126" s="79">
        <f t="array" ref="EJ126">SUMIFS('Cắt lồng'!$AH$327:$AH$515,'Cắt lồng'!$AA$327:$AA$515,'Cắt lồng'!$AA126,'Cắt lồng'!$AE$327:$AE$515,'Cắt lồng'!EJ$4:EJ$4)</f>
        <v>0</v>
      </c>
      <c r="EK126" s="78" t="e">
        <f t="shared" si="279"/>
        <v>#DIV/0!</v>
      </c>
    </row>
    <row r="127" spans="1:141" s="12" customFormat="1" ht="14.25" hidden="1" customHeight="1">
      <c r="A127" s="30">
        <v>94</v>
      </c>
      <c r="B127" s="26"/>
      <c r="C127" s="25"/>
      <c r="D127" s="24"/>
      <c r="E127" s="60"/>
      <c r="F127" s="59"/>
      <c r="G127" s="82">
        <f t="shared" si="212"/>
        <v>0</v>
      </c>
      <c r="H127" s="81">
        <f t="shared" si="213"/>
        <v>0</v>
      </c>
      <c r="I127" s="19">
        <f t="shared" si="214"/>
        <v>0</v>
      </c>
      <c r="J127" s="11">
        <f t="shared" si="215"/>
        <v>0</v>
      </c>
      <c r="K127" s="19">
        <f t="shared" si="216"/>
        <v>0</v>
      </c>
      <c r="L127" s="19">
        <f t="shared" si="217"/>
        <v>0</v>
      </c>
      <c r="M127" s="19">
        <f t="shared" si="218"/>
        <v>0</v>
      </c>
      <c r="N127" s="19">
        <f t="shared" si="219"/>
        <v>0</v>
      </c>
      <c r="O127" s="19">
        <f t="shared" si="220"/>
        <v>0</v>
      </c>
      <c r="P127" s="19">
        <f t="shared" si="221"/>
        <v>0</v>
      </c>
      <c r="Q127" s="19">
        <f t="shared" si="222"/>
        <v>0</v>
      </c>
      <c r="R127" s="19">
        <f t="shared" si="223"/>
        <v>0</v>
      </c>
      <c r="S127" s="19">
        <f t="shared" si="224"/>
        <v>0</v>
      </c>
      <c r="T127" s="19">
        <f t="shared" si="225"/>
        <v>0</v>
      </c>
      <c r="U127" s="19">
        <f t="shared" si="226"/>
        <v>0</v>
      </c>
      <c r="V127" s="19">
        <f t="shared" si="227"/>
        <v>0</v>
      </c>
      <c r="W127" s="19">
        <f t="shared" si="228"/>
        <v>0</v>
      </c>
      <c r="X127" s="19">
        <f t="shared" si="229"/>
        <v>0</v>
      </c>
      <c r="Y127" s="19">
        <f t="shared" si="230"/>
        <v>0</v>
      </c>
      <c r="Z127" s="19">
        <f t="shared" si="231"/>
        <v>0</v>
      </c>
      <c r="AA127" s="154">
        <v>5861</v>
      </c>
      <c r="AB127" s="17" t="e">
        <f>+H127*SUMIF('[1]KẾ HOẠCH'!$B$5:$CK$5,'Cắt lồng'!AA127,'[1]KẾ HOẠCH'!$B$6:$CK$6)+H127*SUMIF('[1]KẾ HOẠCH'!$B$7:$CK$7,'Cắt lồng'!AA127,'[1]KẾ HOẠCH'!$B$8:$CK$8)+H127*SUMIF('[1]KẾ HOẠCH'!$B$15:$CK$15,'Cắt lồng'!AA127,'[1]KẾ HOẠCH'!$B$16:$CK$16)</f>
        <v>#VALUE!</v>
      </c>
      <c r="AC127" s="16">
        <f t="shared" si="232"/>
        <v>0</v>
      </c>
      <c r="AD127" s="15" t="e">
        <f t="shared" si="233"/>
        <v>#VALUE!</v>
      </c>
      <c r="AE127" s="42"/>
      <c r="AF127" s="10" t="e">
        <f t="shared" si="234"/>
        <v>#DIV/0!</v>
      </c>
      <c r="AG127" s="10"/>
      <c r="AH127" s="152">
        <f t="shared" si="235"/>
        <v>0</v>
      </c>
      <c r="AI127" s="54" t="e">
        <f t="shared" si="236"/>
        <v>#DIV/0!</v>
      </c>
      <c r="AJ127" s="25">
        <f t="shared" si="237"/>
        <v>0</v>
      </c>
      <c r="AK127" s="25">
        <f t="shared" si="238"/>
        <v>0</v>
      </c>
      <c r="AL127" s="25">
        <f t="shared" si="239"/>
        <v>0</v>
      </c>
      <c r="AM127" s="30">
        <f t="shared" si="240"/>
        <v>0</v>
      </c>
      <c r="AN127" s="25">
        <f t="shared" si="241"/>
        <v>0</v>
      </c>
      <c r="AO127" s="25">
        <f t="shared" si="242"/>
        <v>0</v>
      </c>
      <c r="AP127" s="25">
        <f t="shared" si="243"/>
        <v>0</v>
      </c>
      <c r="AQ127" s="25">
        <f t="shared" si="244"/>
        <v>0</v>
      </c>
      <c r="AR127" s="25">
        <f t="shared" si="245"/>
        <v>0</v>
      </c>
      <c r="AS127" s="25">
        <f t="shared" si="246"/>
        <v>0</v>
      </c>
      <c r="AT127" s="25">
        <f t="shared" si="247"/>
        <v>0</v>
      </c>
      <c r="AV127" s="79">
        <f t="shared" si="248"/>
        <v>0</v>
      </c>
      <c r="AW127" s="79">
        <f t="array" ref="AW127">SUMIFS('Cắt lồng'!$AC$327:$AC$515,'Cắt lồng'!$AA$327:$AA$515,'Cắt lồng'!$AA127,'Cắt lồng'!$AE$327:$AE$515,'Cắt lồng'!AW$4:AW$4)</f>
        <v>0</v>
      </c>
      <c r="AX127" s="79">
        <f t="array" ref="AX127">SUMIFS('Cắt lồng'!$AH$327:$AH$515,'Cắt lồng'!$AA$327:$AA$515,'Cắt lồng'!$AA127,'Cắt lồng'!$AE$327:$AE$515,'Cắt lồng'!AX$4:AX$4)</f>
        <v>0</v>
      </c>
      <c r="AY127" s="78" t="e">
        <f t="shared" si="249"/>
        <v>#DIV/0!</v>
      </c>
      <c r="AZ127" s="79">
        <f t="array" ref="AZ127">SUMIFS('Cắt lồng'!$AC$327:$AC$515,'Cắt lồng'!$AA$327:$AA$515,'Cắt lồng'!$AA127,'Cắt lồng'!$AE$327:$AE$515,'Cắt lồng'!AZ$4:AZ$4)</f>
        <v>0</v>
      </c>
      <c r="BA127" s="79">
        <f t="array" ref="BA127">SUMIFS('Cắt lồng'!$AH$327:$AH$515,'Cắt lồng'!$AA$327:$AA$515,'Cắt lồng'!$AA127,'Cắt lồng'!$AE$327:$AE$515,'Cắt lồng'!BA$4:BA$4)</f>
        <v>0</v>
      </c>
      <c r="BB127" s="78" t="e">
        <f t="shared" si="250"/>
        <v>#DIV/0!</v>
      </c>
      <c r="BC127" s="79">
        <f t="array" ref="BC127">SUMIFS('Cắt lồng'!$AC$327:$AC$515,'Cắt lồng'!$AA$327:$AA$515,'Cắt lồng'!$AA127,'Cắt lồng'!$AE$327:$AE$515,'Cắt lồng'!BC$4:BC$4)</f>
        <v>0</v>
      </c>
      <c r="BD127" s="79">
        <f t="array" ref="BD127">SUMIFS('Cắt lồng'!$AH$327:$AH$515,'Cắt lồng'!$AA$327:$AA$515,'Cắt lồng'!$AA127,'Cắt lồng'!$AE$327:$AE$515,'Cắt lồng'!BD$4:BD$4)</f>
        <v>0</v>
      </c>
      <c r="BE127" s="78" t="e">
        <f t="shared" si="251"/>
        <v>#DIV/0!</v>
      </c>
      <c r="BF127" s="79">
        <f t="array" ref="BF127">SUMIFS('Cắt lồng'!$AC$327:$AC$515,'Cắt lồng'!$AA$327:$AA$515,'Cắt lồng'!$AA127,'Cắt lồng'!$AE$327:$AE$515,'Cắt lồng'!BF$4:BF$4)</f>
        <v>0</v>
      </c>
      <c r="BG127" s="79">
        <f t="array" ref="BG127">SUMIFS('Cắt lồng'!$AH$327:$AH$515,'Cắt lồng'!$AA$327:$AA$515,'Cắt lồng'!$AA127,'Cắt lồng'!$AE$327:$AE$515,'Cắt lồng'!BG$4:BG$4)</f>
        <v>0</v>
      </c>
      <c r="BH127" s="78" t="e">
        <f t="shared" si="252"/>
        <v>#DIV/0!</v>
      </c>
      <c r="BI127" s="79">
        <f t="array" ref="BI127">SUMIFS('Cắt lồng'!$AC$327:$AC$515,'Cắt lồng'!$AA$327:$AA$515,'Cắt lồng'!$AA127,'Cắt lồng'!$AE$327:$AE$515,'Cắt lồng'!BI$4:BI$4)</f>
        <v>0</v>
      </c>
      <c r="BJ127" s="79">
        <f t="array" ref="BJ127">SUMIFS('Cắt lồng'!$AH$327:$AH$515,'Cắt lồng'!$AA$327:$AA$515,'Cắt lồng'!$AA127,'Cắt lồng'!$AE$327:$AE$515,'Cắt lồng'!BJ$4:BJ$4)</f>
        <v>0</v>
      </c>
      <c r="BK127" s="78" t="e">
        <f t="shared" si="253"/>
        <v>#DIV/0!</v>
      </c>
      <c r="BL127" s="79">
        <f t="array" ref="BL127">SUMIFS('Cắt lồng'!$AC$327:$AC$515,'Cắt lồng'!$AA$327:$AA$515,'Cắt lồng'!$AA127,'Cắt lồng'!$AE$327:$AE$515,'Cắt lồng'!BL$4:BL$4)</f>
        <v>0</v>
      </c>
      <c r="BM127" s="79">
        <f t="array" ref="BM127">SUMIFS('Cắt lồng'!$AH$327:$AH$515,'Cắt lồng'!$AA$327:$AA$515,'Cắt lồng'!$AA127,'Cắt lồng'!$AE$327:$AE$515,'Cắt lồng'!BM$4:BM$4)</f>
        <v>0</v>
      </c>
      <c r="BN127" s="78" t="e">
        <f t="shared" si="254"/>
        <v>#DIV/0!</v>
      </c>
      <c r="BO127" s="79">
        <f t="array" ref="BO127">SUMIFS('Cắt lồng'!$AC$327:$AC$515,'Cắt lồng'!$AA$327:$AA$515,'Cắt lồng'!$AA127,'Cắt lồng'!$AE$327:$AE$515,'Cắt lồng'!BO$4:BO$4)</f>
        <v>0</v>
      </c>
      <c r="BP127" s="79">
        <f t="array" ref="BP127">SUMIFS('Cắt lồng'!$AH$327:$AH$515,'Cắt lồng'!$AA$327:$AA$515,'Cắt lồng'!$AA127,'Cắt lồng'!$AE$327:$AE$515,'Cắt lồng'!BP$4:BP$4)</f>
        <v>0</v>
      </c>
      <c r="BQ127" s="78" t="e">
        <f t="shared" si="255"/>
        <v>#DIV/0!</v>
      </c>
      <c r="BR127" s="79">
        <f t="array" ref="BR127">SUMIFS('Cắt lồng'!$AC$327:$AC$515,'Cắt lồng'!$AA$327:$AA$515,'Cắt lồng'!$AA127,'Cắt lồng'!$AE$327:$AE$515,'Cắt lồng'!BR$4:BR$4)</f>
        <v>0</v>
      </c>
      <c r="BS127" s="79">
        <f t="array" ref="BS127">SUMIFS('Cắt lồng'!$AH$327:$AH$515,'Cắt lồng'!$AA$327:$AA$515,'Cắt lồng'!$AA127,'Cắt lồng'!$AE$327:$AE$515,'Cắt lồng'!BS$4:BS$4)</f>
        <v>0</v>
      </c>
      <c r="BT127" s="78" t="e">
        <f t="shared" si="256"/>
        <v>#DIV/0!</v>
      </c>
      <c r="BU127" s="79">
        <f t="array" ref="BU127">SUMIFS('Cắt lồng'!$AC$327:$AC$515,'Cắt lồng'!$AA$327:$AA$515,'Cắt lồng'!$AA127,'Cắt lồng'!$AE$327:$AE$515,'Cắt lồng'!BU$4:BU$4)</f>
        <v>0</v>
      </c>
      <c r="BV127" s="79">
        <f t="array" ref="BV127">SUMIFS('Cắt lồng'!$AH$327:$AH$515,'Cắt lồng'!$AA$327:$AA$515,'Cắt lồng'!$AA127,'Cắt lồng'!$AE$327:$AE$515,'Cắt lồng'!BV$4:BV$4)</f>
        <v>0</v>
      </c>
      <c r="BW127" s="78" t="e">
        <f t="shared" si="257"/>
        <v>#DIV/0!</v>
      </c>
      <c r="BX127" s="79">
        <f t="array" ref="BX127">SUMIFS('Cắt lồng'!$AC$327:$AC$515,'Cắt lồng'!$AA$327:$AA$515,'Cắt lồng'!$AA127,'Cắt lồng'!$AE$327:$AE$515,'Cắt lồng'!BX$4:BX$4)</f>
        <v>0</v>
      </c>
      <c r="BY127" s="79">
        <f t="array" ref="BY127">SUMIFS('Cắt lồng'!$AH$327:$AH$515,'Cắt lồng'!$AA$327:$AA$515,'Cắt lồng'!$AA127,'Cắt lồng'!$AE$327:$AE$515,'Cắt lồng'!BY$4:BY$4)</f>
        <v>0</v>
      </c>
      <c r="BZ127" s="78" t="e">
        <f t="shared" si="258"/>
        <v>#DIV/0!</v>
      </c>
      <c r="CA127" s="79">
        <f t="array" ref="CA127">SUMIFS('Cắt lồng'!$AC$327:$AC$515,'Cắt lồng'!$AA$327:$AA$515,'Cắt lồng'!$AA127,'Cắt lồng'!$AE$327:$AE$515,'Cắt lồng'!CA$4:CA$4)</f>
        <v>0</v>
      </c>
      <c r="CB127" s="79">
        <f t="array" ref="CB127">SUMIFS('Cắt lồng'!$AH$327:$AH$515,'Cắt lồng'!$AA$327:$AA$515,'Cắt lồng'!$AA127,'Cắt lồng'!$AE$327:$AE$515,'Cắt lồng'!CB$4:CB$4)</f>
        <v>0</v>
      </c>
      <c r="CC127" s="78" t="e">
        <f t="shared" si="259"/>
        <v>#DIV/0!</v>
      </c>
      <c r="CD127" s="79">
        <f t="array" ref="CD127">SUMIFS('Cắt lồng'!$AC$327:$AC$515,'Cắt lồng'!$AA$327:$AA$515,'Cắt lồng'!$AA127,'Cắt lồng'!$AE$327:$AE$515,'Cắt lồng'!CD$4:CD$4)</f>
        <v>0</v>
      </c>
      <c r="CE127" s="79">
        <f t="array" ref="CE127">SUMIFS('Cắt lồng'!$AH$327:$AH$515,'Cắt lồng'!$AA$327:$AA$515,'Cắt lồng'!$AA127,'Cắt lồng'!$AE$327:$AE$515,'Cắt lồng'!CE$4:CE$4)</f>
        <v>0</v>
      </c>
      <c r="CF127" s="78" t="e">
        <f t="shared" si="260"/>
        <v>#DIV/0!</v>
      </c>
      <c r="CG127" s="79">
        <f t="array" ref="CG127">SUMIFS('Cắt lồng'!$AC$327:$AC$515,'Cắt lồng'!$AA$327:$AA$515,'Cắt lồng'!$AA127,'Cắt lồng'!$AE$327:$AE$515,'Cắt lồng'!CG$4:CG$4)</f>
        <v>0</v>
      </c>
      <c r="CH127" s="79">
        <f t="array" ref="CH127">SUMIFS('Cắt lồng'!$AH$327:$AH$515,'Cắt lồng'!$AA$327:$AA$515,'Cắt lồng'!$AA127,'Cắt lồng'!$AE$327:$AE$515,'Cắt lồng'!CH$4:CH$4)</f>
        <v>0</v>
      </c>
      <c r="CI127" s="78" t="e">
        <f t="shared" si="261"/>
        <v>#DIV/0!</v>
      </c>
      <c r="CJ127" s="79">
        <f t="array" ref="CJ127">SUMIFS('Cắt lồng'!$AC$327:$AC$515,'Cắt lồng'!$AA$327:$AA$515,'Cắt lồng'!$AA127,'Cắt lồng'!$AE$327:$AE$515,'Cắt lồng'!CJ$4:CJ$4)</f>
        <v>0</v>
      </c>
      <c r="CK127" s="79">
        <f t="array" ref="CK127">SUMIFS('Cắt lồng'!$AH$327:$AH$515,'Cắt lồng'!$AA$327:$AA$515,'Cắt lồng'!$AA127,'Cắt lồng'!$AE$327:$AE$515,'Cắt lồng'!CK$4:CK$4)</f>
        <v>0</v>
      </c>
      <c r="CL127" s="78" t="e">
        <f t="shared" si="262"/>
        <v>#DIV/0!</v>
      </c>
      <c r="CM127" s="79">
        <f t="array" ref="CM127">SUMIFS('Cắt lồng'!$AC$327:$AC$515,'Cắt lồng'!$AA$327:$AA$515,'Cắt lồng'!$AA127,'Cắt lồng'!$AE$327:$AE$515,'Cắt lồng'!CM$4:CM$4)</f>
        <v>0</v>
      </c>
      <c r="CN127" s="79">
        <f t="array" ref="CN127">SUMIFS('Cắt lồng'!$AH$327:$AH$515,'Cắt lồng'!$AA$327:$AA$515,'Cắt lồng'!$AA127,'Cắt lồng'!$AE$327:$AE$515,'Cắt lồng'!CN$4:CN$4)</f>
        <v>0</v>
      </c>
      <c r="CO127" s="78" t="e">
        <f t="shared" si="263"/>
        <v>#DIV/0!</v>
      </c>
      <c r="CP127" s="79">
        <f t="array" ref="CP127">SUMIFS('Cắt lồng'!$AC$327:$AC$515,'Cắt lồng'!$AA$327:$AA$515,'Cắt lồng'!$AA127,'Cắt lồng'!$AE$327:$AE$515,'Cắt lồng'!CP$4:CP$4)</f>
        <v>0</v>
      </c>
      <c r="CQ127" s="79">
        <f t="array" ref="CQ127">SUMIFS('Cắt lồng'!$AH$327:$AH$515,'Cắt lồng'!$AA$327:$AA$515,'Cắt lồng'!$AA127,'Cắt lồng'!$AE$327:$AE$515,'Cắt lồng'!CQ$4:CQ$4)</f>
        <v>0</v>
      </c>
      <c r="CR127" s="78" t="e">
        <f t="shared" si="264"/>
        <v>#DIV/0!</v>
      </c>
      <c r="CS127" s="79">
        <f t="array" ref="CS127">SUMIFS('Cắt lồng'!$AC$327:$AC$515,'Cắt lồng'!$AA$327:$AA$515,'Cắt lồng'!$AA127,'Cắt lồng'!$AE$327:$AE$515,'Cắt lồng'!CS$4:CS$4)</f>
        <v>0</v>
      </c>
      <c r="CT127" s="79">
        <f t="array" ref="CT127">SUMIFS('Cắt lồng'!$AH$327:$AH$515,'Cắt lồng'!$AA$327:$AA$515,'Cắt lồng'!$AA127,'Cắt lồng'!$AE$327:$AE$515,'Cắt lồng'!CT$4:CT$4)</f>
        <v>0</v>
      </c>
      <c r="CU127" s="78" t="e">
        <f t="shared" si="265"/>
        <v>#DIV/0!</v>
      </c>
      <c r="CV127" s="79">
        <f t="array" ref="CV127">SUMIFS('Cắt lồng'!$AC$327:$AC$515,'Cắt lồng'!$AA$327:$AA$515,'Cắt lồng'!$AA127,'Cắt lồng'!$AE$327:$AE$515,'Cắt lồng'!CV$4:CV$4)</f>
        <v>0</v>
      </c>
      <c r="CW127" s="79">
        <f t="array" ref="CW127">SUMIFS('Cắt lồng'!$AH$327:$AH$515,'Cắt lồng'!$AA$327:$AA$515,'Cắt lồng'!$AA127,'Cắt lồng'!$AE$327:$AE$515,'Cắt lồng'!CW$4:CW$4)</f>
        <v>0</v>
      </c>
      <c r="CX127" s="78" t="e">
        <f t="shared" si="266"/>
        <v>#DIV/0!</v>
      </c>
      <c r="CY127" s="79">
        <f t="array" ref="CY127">SUMIFS('Cắt lồng'!$AC$327:$AC$515,'Cắt lồng'!$AA$327:$AA$515,'Cắt lồng'!$AA127,'Cắt lồng'!$AE$327:$AE$515,'Cắt lồng'!CY$4:CY$4)</f>
        <v>0</v>
      </c>
      <c r="CZ127" s="79">
        <f t="array" ref="CZ127">SUMIFS('Cắt lồng'!$AH$327:$AH$515,'Cắt lồng'!$AA$327:$AA$515,'Cắt lồng'!$AA127,'Cắt lồng'!$AE$327:$AE$515,'Cắt lồng'!CZ$4:CZ$4)</f>
        <v>0</v>
      </c>
      <c r="DA127" s="78" t="e">
        <f t="shared" si="267"/>
        <v>#DIV/0!</v>
      </c>
      <c r="DB127" s="79">
        <f t="array" ref="DB127">SUMIFS('Cắt lồng'!$AC$327:$AC$515,'Cắt lồng'!$AA$327:$AA$515,'Cắt lồng'!$AA127,'Cắt lồng'!$AE$327:$AE$515,'Cắt lồng'!DB$4:DB$4)</f>
        <v>0</v>
      </c>
      <c r="DC127" s="79">
        <f t="array" ref="DC127">SUMIFS('Cắt lồng'!$AH$327:$AH$515,'Cắt lồng'!$AA$327:$AA$515,'Cắt lồng'!$AA127,'Cắt lồng'!$AE$327:$AE$515,'Cắt lồng'!DC$4:DC$4)</f>
        <v>0</v>
      </c>
      <c r="DD127" s="78" t="e">
        <f t="shared" si="268"/>
        <v>#DIV/0!</v>
      </c>
      <c r="DE127" s="79">
        <f t="array" ref="DE127">SUMIFS('Cắt lồng'!$AC$327:$AC$515,'Cắt lồng'!$AA$327:$AA$515,'Cắt lồng'!$AA127,'Cắt lồng'!$AE$327:$AE$515,'Cắt lồng'!DE$4:DE$4)</f>
        <v>0</v>
      </c>
      <c r="DF127" s="79">
        <f t="array" ref="DF127">SUMIFS('Cắt lồng'!$AH$327:$AH$515,'Cắt lồng'!$AA$327:$AA$515,'Cắt lồng'!$AA127,'Cắt lồng'!$AE$327:$AE$515,'Cắt lồng'!DF$4:DF$4)</f>
        <v>0</v>
      </c>
      <c r="DG127" s="78" t="e">
        <f t="shared" si="269"/>
        <v>#DIV/0!</v>
      </c>
      <c r="DH127" s="79">
        <f t="array" ref="DH127">SUMIFS('Cắt lồng'!$AC$327:$AC$515,'Cắt lồng'!$AA$327:$AA$515,'Cắt lồng'!$AA127,'Cắt lồng'!$AE$327:$AE$515,'Cắt lồng'!DH$4:DH$4)</f>
        <v>0</v>
      </c>
      <c r="DI127" s="79">
        <f t="array" ref="DI127">SUMIFS('Cắt lồng'!$AH$327:$AH$515,'Cắt lồng'!$AA$327:$AA$515,'Cắt lồng'!$AA127,'Cắt lồng'!$AE$327:$AE$515,'Cắt lồng'!DI$4:DI$4)</f>
        <v>0</v>
      </c>
      <c r="DJ127" s="78" t="e">
        <f t="shared" si="270"/>
        <v>#DIV/0!</v>
      </c>
      <c r="DK127" s="79">
        <f t="array" ref="DK127">SUMIFS('Cắt lồng'!$AC$327:$AC$515,'Cắt lồng'!$AA$327:$AA$515,'Cắt lồng'!$AA127,'Cắt lồng'!$AE$327:$AE$515,'Cắt lồng'!DK$4:DK$4)</f>
        <v>0</v>
      </c>
      <c r="DL127" s="79">
        <f t="array" ref="DL127">SUMIFS('Cắt lồng'!$AH$327:$AH$515,'Cắt lồng'!$AA$327:$AA$515,'Cắt lồng'!$AA127,'Cắt lồng'!$AE$327:$AE$515,'Cắt lồng'!DL$4:DL$4)</f>
        <v>0</v>
      </c>
      <c r="DM127" s="78" t="e">
        <f t="shared" si="271"/>
        <v>#DIV/0!</v>
      </c>
      <c r="DN127" s="79">
        <f t="array" ref="DN127">SUMIFS('Cắt lồng'!$AC$327:$AC$515,'Cắt lồng'!$AA$327:$AA$515,'Cắt lồng'!$AA127,'Cắt lồng'!$AE$327:$AE$515,'Cắt lồng'!DN$4:DN$4)</f>
        <v>0</v>
      </c>
      <c r="DO127" s="79">
        <f t="array" ref="DO127">SUMIFS('Cắt lồng'!$AH$327:$AH$515,'Cắt lồng'!$AA$327:$AA$515,'Cắt lồng'!$AA127,'Cắt lồng'!$AE$327:$AE$515,'Cắt lồng'!DO$4:DO$4)</f>
        <v>0</v>
      </c>
      <c r="DP127" s="78" t="e">
        <f t="shared" si="272"/>
        <v>#DIV/0!</v>
      </c>
      <c r="DQ127" s="79">
        <f t="array" ref="DQ127">SUMIFS('Cắt lồng'!$AC$327:$AC$515,'Cắt lồng'!$AA$327:$AA$515,'Cắt lồng'!$AA127,'Cắt lồng'!$AE$327:$AE$515,'Cắt lồng'!DQ$4:DQ$4)</f>
        <v>0</v>
      </c>
      <c r="DR127" s="79">
        <f t="array" ref="DR127">SUMIFS('Cắt lồng'!$AH$327:$AH$515,'Cắt lồng'!$AA$327:$AA$515,'Cắt lồng'!$AA127,'Cắt lồng'!$AE$327:$AE$515,'Cắt lồng'!DR$4:DR$4)</f>
        <v>0</v>
      </c>
      <c r="DS127" s="78" t="e">
        <f t="shared" si="273"/>
        <v>#DIV/0!</v>
      </c>
      <c r="DT127" s="79">
        <f t="array" ref="DT127">SUMIFS('Cắt lồng'!$AC$327:$AC$515,'Cắt lồng'!$AA$327:$AA$515,'Cắt lồng'!$AA127,'Cắt lồng'!$AE$327:$AE$515,'Cắt lồng'!DT$4:DT$4)</f>
        <v>0</v>
      </c>
      <c r="DU127" s="79">
        <f t="array" ref="DU127">SUMIFS('Cắt lồng'!$AH$327:$AH$515,'Cắt lồng'!$AA$327:$AA$515,'Cắt lồng'!$AA127,'Cắt lồng'!$AE$327:$AE$515,'Cắt lồng'!DU$4:DU$4)</f>
        <v>0</v>
      </c>
      <c r="DV127" s="78" t="e">
        <f t="shared" si="274"/>
        <v>#DIV/0!</v>
      </c>
      <c r="DW127" s="79">
        <f t="array" ref="DW127">SUMIFS('Cắt lồng'!$AC$327:$AC$515,'Cắt lồng'!$AA$327:$AA$515,'Cắt lồng'!$AA127,'Cắt lồng'!$AE$327:$AE$515,'Cắt lồng'!DW$4:DW$4)</f>
        <v>0</v>
      </c>
      <c r="DX127" s="79">
        <f t="array" ref="DX127">SUMIFS('Cắt lồng'!$AH$327:$AH$515,'Cắt lồng'!$AA$327:$AA$515,'Cắt lồng'!$AA127,'Cắt lồng'!$AE$327:$AE$515,'Cắt lồng'!DX$4:DX$4)</f>
        <v>0</v>
      </c>
      <c r="DY127" s="78" t="e">
        <f t="shared" si="275"/>
        <v>#DIV/0!</v>
      </c>
      <c r="DZ127" s="79">
        <f t="array" ref="DZ127">SUMIFS('Cắt lồng'!$AC$327:$AC$515,'Cắt lồng'!$AA$327:$AA$515,'Cắt lồng'!$AA127,'Cắt lồng'!$AE$327:$AE$515,'Cắt lồng'!DZ$4:DZ$4)</f>
        <v>0</v>
      </c>
      <c r="EA127" s="79">
        <f t="array" ref="EA127">SUMIFS('Cắt lồng'!$AH$327:$AH$515,'Cắt lồng'!$AA$327:$AA$515,'Cắt lồng'!$AA127,'Cắt lồng'!$AE$327:$AE$515,'Cắt lồng'!EA$4:EA$4)</f>
        <v>0</v>
      </c>
      <c r="EB127" s="78" t="e">
        <f t="shared" si="276"/>
        <v>#DIV/0!</v>
      </c>
      <c r="EC127" s="79">
        <f t="array" ref="EC127">SUMIFS('Cắt lồng'!$AC$327:$AC$515,'Cắt lồng'!$AA$327:$AA$515,'Cắt lồng'!$AA127,'Cắt lồng'!$AE$327:$AE$515,'Cắt lồng'!EC$4:EC$4)</f>
        <v>0</v>
      </c>
      <c r="ED127" s="79">
        <f t="array" ref="ED127">SUMIFS('Cắt lồng'!$AH$327:$AH$515,'Cắt lồng'!$AA$327:$AA$515,'Cắt lồng'!$AA127,'Cắt lồng'!$AE$327:$AE$515,'Cắt lồng'!ED$4:ED$4)</f>
        <v>0</v>
      </c>
      <c r="EE127" s="78" t="e">
        <f t="shared" si="277"/>
        <v>#DIV/0!</v>
      </c>
      <c r="EF127" s="79">
        <f t="array" ref="EF127">SUMIFS('Cắt lồng'!$AC$327:$AC$515,'Cắt lồng'!$AA$327:$AA$515,'Cắt lồng'!$AA127,'Cắt lồng'!$AE$327:$AE$515,'Cắt lồng'!EF$4:EF$4)</f>
        <v>0</v>
      </c>
      <c r="EG127" s="79">
        <f t="array" ref="EG127">SUMIFS('Cắt lồng'!$AH$327:$AH$515,'Cắt lồng'!$AA$327:$AA$515,'Cắt lồng'!$AA127,'Cắt lồng'!$AE$327:$AE$515,'Cắt lồng'!EG$4:EG$4)</f>
        <v>0</v>
      </c>
      <c r="EH127" s="78" t="e">
        <f t="shared" si="278"/>
        <v>#DIV/0!</v>
      </c>
      <c r="EI127" s="79">
        <f t="array" ref="EI127">SUMIFS('Cắt lồng'!$AC$327:$AC$515,'Cắt lồng'!$AA$327:$AA$515,'Cắt lồng'!$AA127,'Cắt lồng'!$AE$327:$AE$515,'Cắt lồng'!EI$4:EI$4)</f>
        <v>0</v>
      </c>
      <c r="EJ127" s="79">
        <f t="array" ref="EJ127">SUMIFS('Cắt lồng'!$AH$327:$AH$515,'Cắt lồng'!$AA$327:$AA$515,'Cắt lồng'!$AA127,'Cắt lồng'!$AE$327:$AE$515,'Cắt lồng'!EJ$4:EJ$4)</f>
        <v>0</v>
      </c>
      <c r="EK127" s="78" t="e">
        <f t="shared" si="279"/>
        <v>#DIV/0!</v>
      </c>
    </row>
    <row r="128" spans="1:141" s="12" customFormat="1" ht="14.25" hidden="1" customHeight="1">
      <c r="A128" s="30">
        <v>95</v>
      </c>
      <c r="B128" s="26"/>
      <c r="C128" s="25"/>
      <c r="D128" s="24"/>
      <c r="E128" s="60"/>
      <c r="F128" s="59"/>
      <c r="G128" s="82">
        <f t="shared" si="212"/>
        <v>0</v>
      </c>
      <c r="H128" s="81">
        <f t="shared" si="213"/>
        <v>0</v>
      </c>
      <c r="I128" s="19">
        <f t="shared" si="214"/>
        <v>0</v>
      </c>
      <c r="J128" s="11">
        <f t="shared" si="215"/>
        <v>0</v>
      </c>
      <c r="K128" s="19">
        <f t="shared" si="216"/>
        <v>0</v>
      </c>
      <c r="L128" s="19">
        <f t="shared" si="217"/>
        <v>0</v>
      </c>
      <c r="M128" s="19">
        <f t="shared" si="218"/>
        <v>0</v>
      </c>
      <c r="N128" s="19">
        <f t="shared" si="219"/>
        <v>0</v>
      </c>
      <c r="O128" s="19">
        <f t="shared" si="220"/>
        <v>0</v>
      </c>
      <c r="P128" s="19">
        <f t="shared" si="221"/>
        <v>0</v>
      </c>
      <c r="Q128" s="19">
        <f t="shared" si="222"/>
        <v>0</v>
      </c>
      <c r="R128" s="19">
        <f t="shared" si="223"/>
        <v>0</v>
      </c>
      <c r="S128" s="19">
        <f t="shared" si="224"/>
        <v>0</v>
      </c>
      <c r="T128" s="19">
        <f t="shared" si="225"/>
        <v>0</v>
      </c>
      <c r="U128" s="19">
        <f t="shared" si="226"/>
        <v>0</v>
      </c>
      <c r="V128" s="19">
        <f t="shared" si="227"/>
        <v>0</v>
      </c>
      <c r="W128" s="19">
        <f t="shared" si="228"/>
        <v>0</v>
      </c>
      <c r="X128" s="19">
        <f t="shared" si="229"/>
        <v>0</v>
      </c>
      <c r="Y128" s="19">
        <f t="shared" si="230"/>
        <v>0</v>
      </c>
      <c r="Z128" s="19">
        <f t="shared" si="231"/>
        <v>0</v>
      </c>
      <c r="AA128" s="154">
        <v>9565</v>
      </c>
      <c r="AB128" s="17" t="e">
        <f>+H128*SUMIF('[1]KẾ HOẠCH'!$B$5:$CK$5,'Cắt lồng'!AA128,'[1]KẾ HOẠCH'!$B$6:$CK$6)+H128*SUMIF('[1]KẾ HOẠCH'!$B$7:$CK$7,'Cắt lồng'!AA128,'[1]KẾ HOẠCH'!$B$8:$CK$8)+H128*SUMIF('[1]KẾ HOẠCH'!$B$15:$CK$15,'Cắt lồng'!AA128,'[1]KẾ HOẠCH'!$B$16:$CK$16)</f>
        <v>#VALUE!</v>
      </c>
      <c r="AC128" s="16">
        <f t="shared" si="232"/>
        <v>0</v>
      </c>
      <c r="AD128" s="15" t="e">
        <f t="shared" si="233"/>
        <v>#VALUE!</v>
      </c>
      <c r="AE128" s="42"/>
      <c r="AF128" s="10" t="e">
        <f t="shared" si="234"/>
        <v>#DIV/0!</v>
      </c>
      <c r="AG128" s="10"/>
      <c r="AH128" s="152">
        <f t="shared" si="235"/>
        <v>0</v>
      </c>
      <c r="AI128" s="54" t="e">
        <f t="shared" si="236"/>
        <v>#DIV/0!</v>
      </c>
      <c r="AJ128" s="25">
        <f t="shared" si="237"/>
        <v>0</v>
      </c>
      <c r="AK128" s="25">
        <f t="shared" si="238"/>
        <v>0</v>
      </c>
      <c r="AL128" s="25">
        <f t="shared" si="239"/>
        <v>0</v>
      </c>
      <c r="AM128" s="30">
        <f t="shared" si="240"/>
        <v>0</v>
      </c>
      <c r="AN128" s="25">
        <f t="shared" si="241"/>
        <v>0</v>
      </c>
      <c r="AO128" s="25">
        <f t="shared" si="242"/>
        <v>0</v>
      </c>
      <c r="AP128" s="25">
        <f t="shared" si="243"/>
        <v>0</v>
      </c>
      <c r="AQ128" s="25">
        <f t="shared" si="244"/>
        <v>0</v>
      </c>
      <c r="AR128" s="25">
        <f t="shared" si="245"/>
        <v>0</v>
      </c>
      <c r="AS128" s="25">
        <f t="shared" si="246"/>
        <v>0</v>
      </c>
      <c r="AT128" s="25">
        <f t="shared" si="247"/>
        <v>0</v>
      </c>
      <c r="AV128" s="79">
        <f t="shared" si="248"/>
        <v>0</v>
      </c>
      <c r="AW128" s="79">
        <f t="array" ref="AW128">SUMIFS('Cắt lồng'!$AC$327:$AC$515,'Cắt lồng'!$AA$327:$AA$515,'Cắt lồng'!$AA128,'Cắt lồng'!$AE$327:$AE$515,'Cắt lồng'!AW$4:AW$4)</f>
        <v>0</v>
      </c>
      <c r="AX128" s="79">
        <f t="array" ref="AX128">SUMIFS('Cắt lồng'!$AH$327:$AH$515,'Cắt lồng'!$AA$327:$AA$515,'Cắt lồng'!$AA128,'Cắt lồng'!$AE$327:$AE$515,'Cắt lồng'!AX$4:AX$4)</f>
        <v>0</v>
      </c>
      <c r="AY128" s="78" t="e">
        <f t="shared" si="249"/>
        <v>#DIV/0!</v>
      </c>
      <c r="AZ128" s="79">
        <f t="array" ref="AZ128">SUMIFS('Cắt lồng'!$AC$327:$AC$515,'Cắt lồng'!$AA$327:$AA$515,'Cắt lồng'!$AA128,'Cắt lồng'!$AE$327:$AE$515,'Cắt lồng'!AZ$4:AZ$4)</f>
        <v>0</v>
      </c>
      <c r="BA128" s="79">
        <f t="array" ref="BA128">SUMIFS('Cắt lồng'!$AH$327:$AH$515,'Cắt lồng'!$AA$327:$AA$515,'Cắt lồng'!$AA128,'Cắt lồng'!$AE$327:$AE$515,'Cắt lồng'!BA$4:BA$4)</f>
        <v>0</v>
      </c>
      <c r="BB128" s="78" t="e">
        <f t="shared" si="250"/>
        <v>#DIV/0!</v>
      </c>
      <c r="BC128" s="79">
        <f t="array" ref="BC128">SUMIFS('Cắt lồng'!$AC$327:$AC$515,'Cắt lồng'!$AA$327:$AA$515,'Cắt lồng'!$AA128,'Cắt lồng'!$AE$327:$AE$515,'Cắt lồng'!BC$4:BC$4)</f>
        <v>0</v>
      </c>
      <c r="BD128" s="79">
        <f t="array" ref="BD128">SUMIFS('Cắt lồng'!$AH$327:$AH$515,'Cắt lồng'!$AA$327:$AA$515,'Cắt lồng'!$AA128,'Cắt lồng'!$AE$327:$AE$515,'Cắt lồng'!BD$4:BD$4)</f>
        <v>0</v>
      </c>
      <c r="BE128" s="78" t="e">
        <f t="shared" si="251"/>
        <v>#DIV/0!</v>
      </c>
      <c r="BF128" s="79">
        <f t="array" ref="BF128">SUMIFS('Cắt lồng'!$AC$327:$AC$515,'Cắt lồng'!$AA$327:$AA$515,'Cắt lồng'!$AA128,'Cắt lồng'!$AE$327:$AE$515,'Cắt lồng'!BF$4:BF$4)</f>
        <v>0</v>
      </c>
      <c r="BG128" s="79">
        <f t="array" ref="BG128">SUMIFS('Cắt lồng'!$AH$327:$AH$515,'Cắt lồng'!$AA$327:$AA$515,'Cắt lồng'!$AA128,'Cắt lồng'!$AE$327:$AE$515,'Cắt lồng'!BG$4:BG$4)</f>
        <v>0</v>
      </c>
      <c r="BH128" s="78" t="e">
        <f t="shared" si="252"/>
        <v>#DIV/0!</v>
      </c>
      <c r="BI128" s="79">
        <f t="array" ref="BI128">SUMIFS('Cắt lồng'!$AC$327:$AC$515,'Cắt lồng'!$AA$327:$AA$515,'Cắt lồng'!$AA128,'Cắt lồng'!$AE$327:$AE$515,'Cắt lồng'!BI$4:BI$4)</f>
        <v>0</v>
      </c>
      <c r="BJ128" s="79">
        <f t="array" ref="BJ128">SUMIFS('Cắt lồng'!$AH$327:$AH$515,'Cắt lồng'!$AA$327:$AA$515,'Cắt lồng'!$AA128,'Cắt lồng'!$AE$327:$AE$515,'Cắt lồng'!BJ$4:BJ$4)</f>
        <v>0</v>
      </c>
      <c r="BK128" s="78" t="e">
        <f t="shared" si="253"/>
        <v>#DIV/0!</v>
      </c>
      <c r="BL128" s="79">
        <f t="array" ref="BL128">SUMIFS('Cắt lồng'!$AC$327:$AC$515,'Cắt lồng'!$AA$327:$AA$515,'Cắt lồng'!$AA128,'Cắt lồng'!$AE$327:$AE$515,'Cắt lồng'!BL$4:BL$4)</f>
        <v>0</v>
      </c>
      <c r="BM128" s="79">
        <f t="array" ref="BM128">SUMIFS('Cắt lồng'!$AH$327:$AH$515,'Cắt lồng'!$AA$327:$AA$515,'Cắt lồng'!$AA128,'Cắt lồng'!$AE$327:$AE$515,'Cắt lồng'!BM$4:BM$4)</f>
        <v>0</v>
      </c>
      <c r="BN128" s="78" t="e">
        <f t="shared" si="254"/>
        <v>#DIV/0!</v>
      </c>
      <c r="BO128" s="79">
        <f t="array" ref="BO128">SUMIFS('Cắt lồng'!$AC$327:$AC$515,'Cắt lồng'!$AA$327:$AA$515,'Cắt lồng'!$AA128,'Cắt lồng'!$AE$327:$AE$515,'Cắt lồng'!BO$4:BO$4)</f>
        <v>0</v>
      </c>
      <c r="BP128" s="79">
        <f t="array" ref="BP128">SUMIFS('Cắt lồng'!$AH$327:$AH$515,'Cắt lồng'!$AA$327:$AA$515,'Cắt lồng'!$AA128,'Cắt lồng'!$AE$327:$AE$515,'Cắt lồng'!BP$4:BP$4)</f>
        <v>0</v>
      </c>
      <c r="BQ128" s="78" t="e">
        <f t="shared" si="255"/>
        <v>#DIV/0!</v>
      </c>
      <c r="BR128" s="79">
        <f t="array" ref="BR128">SUMIFS('Cắt lồng'!$AC$327:$AC$515,'Cắt lồng'!$AA$327:$AA$515,'Cắt lồng'!$AA128,'Cắt lồng'!$AE$327:$AE$515,'Cắt lồng'!BR$4:BR$4)</f>
        <v>0</v>
      </c>
      <c r="BS128" s="79">
        <f t="array" ref="BS128">SUMIFS('Cắt lồng'!$AH$327:$AH$515,'Cắt lồng'!$AA$327:$AA$515,'Cắt lồng'!$AA128,'Cắt lồng'!$AE$327:$AE$515,'Cắt lồng'!BS$4:BS$4)</f>
        <v>0</v>
      </c>
      <c r="BT128" s="78" t="e">
        <f t="shared" si="256"/>
        <v>#DIV/0!</v>
      </c>
      <c r="BU128" s="79">
        <f t="array" ref="BU128">SUMIFS('Cắt lồng'!$AC$327:$AC$515,'Cắt lồng'!$AA$327:$AA$515,'Cắt lồng'!$AA128,'Cắt lồng'!$AE$327:$AE$515,'Cắt lồng'!BU$4:BU$4)</f>
        <v>0</v>
      </c>
      <c r="BV128" s="79">
        <f t="array" ref="BV128">SUMIFS('Cắt lồng'!$AH$327:$AH$515,'Cắt lồng'!$AA$327:$AA$515,'Cắt lồng'!$AA128,'Cắt lồng'!$AE$327:$AE$515,'Cắt lồng'!BV$4:BV$4)</f>
        <v>0</v>
      </c>
      <c r="BW128" s="78" t="e">
        <f t="shared" si="257"/>
        <v>#DIV/0!</v>
      </c>
      <c r="BX128" s="79">
        <f t="array" ref="BX128">SUMIFS('Cắt lồng'!$AC$327:$AC$515,'Cắt lồng'!$AA$327:$AA$515,'Cắt lồng'!$AA128,'Cắt lồng'!$AE$327:$AE$515,'Cắt lồng'!BX$4:BX$4)</f>
        <v>0</v>
      </c>
      <c r="BY128" s="79">
        <f t="array" ref="BY128">SUMIFS('Cắt lồng'!$AH$327:$AH$515,'Cắt lồng'!$AA$327:$AA$515,'Cắt lồng'!$AA128,'Cắt lồng'!$AE$327:$AE$515,'Cắt lồng'!BY$4:BY$4)</f>
        <v>0</v>
      </c>
      <c r="BZ128" s="78" t="e">
        <f t="shared" si="258"/>
        <v>#DIV/0!</v>
      </c>
      <c r="CA128" s="79">
        <f t="array" ref="CA128">SUMIFS('Cắt lồng'!$AC$327:$AC$515,'Cắt lồng'!$AA$327:$AA$515,'Cắt lồng'!$AA128,'Cắt lồng'!$AE$327:$AE$515,'Cắt lồng'!CA$4:CA$4)</f>
        <v>0</v>
      </c>
      <c r="CB128" s="79">
        <f t="array" ref="CB128">SUMIFS('Cắt lồng'!$AH$327:$AH$515,'Cắt lồng'!$AA$327:$AA$515,'Cắt lồng'!$AA128,'Cắt lồng'!$AE$327:$AE$515,'Cắt lồng'!CB$4:CB$4)</f>
        <v>0</v>
      </c>
      <c r="CC128" s="78" t="e">
        <f t="shared" si="259"/>
        <v>#DIV/0!</v>
      </c>
      <c r="CD128" s="79">
        <f t="array" ref="CD128">SUMIFS('Cắt lồng'!$AC$327:$AC$515,'Cắt lồng'!$AA$327:$AA$515,'Cắt lồng'!$AA128,'Cắt lồng'!$AE$327:$AE$515,'Cắt lồng'!CD$4:CD$4)</f>
        <v>0</v>
      </c>
      <c r="CE128" s="79">
        <f t="array" ref="CE128">SUMIFS('Cắt lồng'!$AH$327:$AH$515,'Cắt lồng'!$AA$327:$AA$515,'Cắt lồng'!$AA128,'Cắt lồng'!$AE$327:$AE$515,'Cắt lồng'!CE$4:CE$4)</f>
        <v>0</v>
      </c>
      <c r="CF128" s="78" t="e">
        <f t="shared" si="260"/>
        <v>#DIV/0!</v>
      </c>
      <c r="CG128" s="79">
        <f t="array" ref="CG128">SUMIFS('Cắt lồng'!$AC$327:$AC$515,'Cắt lồng'!$AA$327:$AA$515,'Cắt lồng'!$AA128,'Cắt lồng'!$AE$327:$AE$515,'Cắt lồng'!CG$4:CG$4)</f>
        <v>0</v>
      </c>
      <c r="CH128" s="79">
        <f t="array" ref="CH128">SUMIFS('Cắt lồng'!$AH$327:$AH$515,'Cắt lồng'!$AA$327:$AA$515,'Cắt lồng'!$AA128,'Cắt lồng'!$AE$327:$AE$515,'Cắt lồng'!CH$4:CH$4)</f>
        <v>0</v>
      </c>
      <c r="CI128" s="78" t="e">
        <f t="shared" si="261"/>
        <v>#DIV/0!</v>
      </c>
      <c r="CJ128" s="79">
        <f t="array" ref="CJ128">SUMIFS('Cắt lồng'!$AC$327:$AC$515,'Cắt lồng'!$AA$327:$AA$515,'Cắt lồng'!$AA128,'Cắt lồng'!$AE$327:$AE$515,'Cắt lồng'!CJ$4:CJ$4)</f>
        <v>0</v>
      </c>
      <c r="CK128" s="79">
        <f t="array" ref="CK128">SUMIFS('Cắt lồng'!$AH$327:$AH$515,'Cắt lồng'!$AA$327:$AA$515,'Cắt lồng'!$AA128,'Cắt lồng'!$AE$327:$AE$515,'Cắt lồng'!CK$4:CK$4)</f>
        <v>0</v>
      </c>
      <c r="CL128" s="78" t="e">
        <f t="shared" si="262"/>
        <v>#DIV/0!</v>
      </c>
      <c r="CM128" s="79">
        <f t="array" ref="CM128">SUMIFS('Cắt lồng'!$AC$327:$AC$515,'Cắt lồng'!$AA$327:$AA$515,'Cắt lồng'!$AA128,'Cắt lồng'!$AE$327:$AE$515,'Cắt lồng'!CM$4:CM$4)</f>
        <v>0</v>
      </c>
      <c r="CN128" s="79">
        <f t="array" ref="CN128">SUMIFS('Cắt lồng'!$AH$327:$AH$515,'Cắt lồng'!$AA$327:$AA$515,'Cắt lồng'!$AA128,'Cắt lồng'!$AE$327:$AE$515,'Cắt lồng'!CN$4:CN$4)</f>
        <v>0</v>
      </c>
      <c r="CO128" s="78" t="e">
        <f t="shared" si="263"/>
        <v>#DIV/0!</v>
      </c>
      <c r="CP128" s="79">
        <f t="array" ref="CP128">SUMIFS('Cắt lồng'!$AC$327:$AC$515,'Cắt lồng'!$AA$327:$AA$515,'Cắt lồng'!$AA128,'Cắt lồng'!$AE$327:$AE$515,'Cắt lồng'!CP$4:CP$4)</f>
        <v>0</v>
      </c>
      <c r="CQ128" s="79">
        <f t="array" ref="CQ128">SUMIFS('Cắt lồng'!$AH$327:$AH$515,'Cắt lồng'!$AA$327:$AA$515,'Cắt lồng'!$AA128,'Cắt lồng'!$AE$327:$AE$515,'Cắt lồng'!CQ$4:CQ$4)</f>
        <v>0</v>
      </c>
      <c r="CR128" s="78" t="e">
        <f t="shared" si="264"/>
        <v>#DIV/0!</v>
      </c>
      <c r="CS128" s="79">
        <f t="array" ref="CS128">SUMIFS('Cắt lồng'!$AC$327:$AC$515,'Cắt lồng'!$AA$327:$AA$515,'Cắt lồng'!$AA128,'Cắt lồng'!$AE$327:$AE$515,'Cắt lồng'!CS$4:CS$4)</f>
        <v>0</v>
      </c>
      <c r="CT128" s="79">
        <f t="array" ref="CT128">SUMIFS('Cắt lồng'!$AH$327:$AH$515,'Cắt lồng'!$AA$327:$AA$515,'Cắt lồng'!$AA128,'Cắt lồng'!$AE$327:$AE$515,'Cắt lồng'!CT$4:CT$4)</f>
        <v>0</v>
      </c>
      <c r="CU128" s="78" t="e">
        <f t="shared" si="265"/>
        <v>#DIV/0!</v>
      </c>
      <c r="CV128" s="79">
        <f t="array" ref="CV128">SUMIFS('Cắt lồng'!$AC$327:$AC$515,'Cắt lồng'!$AA$327:$AA$515,'Cắt lồng'!$AA128,'Cắt lồng'!$AE$327:$AE$515,'Cắt lồng'!CV$4:CV$4)</f>
        <v>0</v>
      </c>
      <c r="CW128" s="79">
        <f t="array" ref="CW128">SUMIFS('Cắt lồng'!$AH$327:$AH$515,'Cắt lồng'!$AA$327:$AA$515,'Cắt lồng'!$AA128,'Cắt lồng'!$AE$327:$AE$515,'Cắt lồng'!CW$4:CW$4)</f>
        <v>0</v>
      </c>
      <c r="CX128" s="78" t="e">
        <f t="shared" si="266"/>
        <v>#DIV/0!</v>
      </c>
      <c r="CY128" s="79">
        <f t="array" ref="CY128">SUMIFS('Cắt lồng'!$AC$327:$AC$515,'Cắt lồng'!$AA$327:$AA$515,'Cắt lồng'!$AA128,'Cắt lồng'!$AE$327:$AE$515,'Cắt lồng'!CY$4:CY$4)</f>
        <v>0</v>
      </c>
      <c r="CZ128" s="79">
        <f t="array" ref="CZ128">SUMIFS('Cắt lồng'!$AH$327:$AH$515,'Cắt lồng'!$AA$327:$AA$515,'Cắt lồng'!$AA128,'Cắt lồng'!$AE$327:$AE$515,'Cắt lồng'!CZ$4:CZ$4)</f>
        <v>0</v>
      </c>
      <c r="DA128" s="78" t="e">
        <f t="shared" si="267"/>
        <v>#DIV/0!</v>
      </c>
      <c r="DB128" s="79">
        <f t="array" ref="DB128">SUMIFS('Cắt lồng'!$AC$327:$AC$515,'Cắt lồng'!$AA$327:$AA$515,'Cắt lồng'!$AA128,'Cắt lồng'!$AE$327:$AE$515,'Cắt lồng'!DB$4:DB$4)</f>
        <v>0</v>
      </c>
      <c r="DC128" s="79">
        <f t="array" ref="DC128">SUMIFS('Cắt lồng'!$AH$327:$AH$515,'Cắt lồng'!$AA$327:$AA$515,'Cắt lồng'!$AA128,'Cắt lồng'!$AE$327:$AE$515,'Cắt lồng'!DC$4:DC$4)</f>
        <v>0</v>
      </c>
      <c r="DD128" s="78" t="e">
        <f t="shared" si="268"/>
        <v>#DIV/0!</v>
      </c>
      <c r="DE128" s="79">
        <f t="array" ref="DE128">SUMIFS('Cắt lồng'!$AC$327:$AC$515,'Cắt lồng'!$AA$327:$AA$515,'Cắt lồng'!$AA128,'Cắt lồng'!$AE$327:$AE$515,'Cắt lồng'!DE$4:DE$4)</f>
        <v>0</v>
      </c>
      <c r="DF128" s="79">
        <f t="array" ref="DF128">SUMIFS('Cắt lồng'!$AH$327:$AH$515,'Cắt lồng'!$AA$327:$AA$515,'Cắt lồng'!$AA128,'Cắt lồng'!$AE$327:$AE$515,'Cắt lồng'!DF$4:DF$4)</f>
        <v>0</v>
      </c>
      <c r="DG128" s="78" t="e">
        <f t="shared" si="269"/>
        <v>#DIV/0!</v>
      </c>
      <c r="DH128" s="79">
        <f t="array" ref="DH128">SUMIFS('Cắt lồng'!$AC$327:$AC$515,'Cắt lồng'!$AA$327:$AA$515,'Cắt lồng'!$AA128,'Cắt lồng'!$AE$327:$AE$515,'Cắt lồng'!DH$4:DH$4)</f>
        <v>0</v>
      </c>
      <c r="DI128" s="79">
        <f t="array" ref="DI128">SUMIFS('Cắt lồng'!$AH$327:$AH$515,'Cắt lồng'!$AA$327:$AA$515,'Cắt lồng'!$AA128,'Cắt lồng'!$AE$327:$AE$515,'Cắt lồng'!DI$4:DI$4)</f>
        <v>0</v>
      </c>
      <c r="DJ128" s="78" t="e">
        <f t="shared" si="270"/>
        <v>#DIV/0!</v>
      </c>
      <c r="DK128" s="79">
        <f t="array" ref="DK128">SUMIFS('Cắt lồng'!$AC$327:$AC$515,'Cắt lồng'!$AA$327:$AA$515,'Cắt lồng'!$AA128,'Cắt lồng'!$AE$327:$AE$515,'Cắt lồng'!DK$4:DK$4)</f>
        <v>0</v>
      </c>
      <c r="DL128" s="79">
        <f t="array" ref="DL128">SUMIFS('Cắt lồng'!$AH$327:$AH$515,'Cắt lồng'!$AA$327:$AA$515,'Cắt lồng'!$AA128,'Cắt lồng'!$AE$327:$AE$515,'Cắt lồng'!DL$4:DL$4)</f>
        <v>0</v>
      </c>
      <c r="DM128" s="78" t="e">
        <f t="shared" si="271"/>
        <v>#DIV/0!</v>
      </c>
      <c r="DN128" s="79">
        <f t="array" ref="DN128">SUMIFS('Cắt lồng'!$AC$327:$AC$515,'Cắt lồng'!$AA$327:$AA$515,'Cắt lồng'!$AA128,'Cắt lồng'!$AE$327:$AE$515,'Cắt lồng'!DN$4:DN$4)</f>
        <v>0</v>
      </c>
      <c r="DO128" s="79">
        <f t="array" ref="DO128">SUMIFS('Cắt lồng'!$AH$327:$AH$515,'Cắt lồng'!$AA$327:$AA$515,'Cắt lồng'!$AA128,'Cắt lồng'!$AE$327:$AE$515,'Cắt lồng'!DO$4:DO$4)</f>
        <v>0</v>
      </c>
      <c r="DP128" s="78" t="e">
        <f t="shared" si="272"/>
        <v>#DIV/0!</v>
      </c>
      <c r="DQ128" s="79">
        <f t="array" ref="DQ128">SUMIFS('Cắt lồng'!$AC$327:$AC$515,'Cắt lồng'!$AA$327:$AA$515,'Cắt lồng'!$AA128,'Cắt lồng'!$AE$327:$AE$515,'Cắt lồng'!DQ$4:DQ$4)</f>
        <v>0</v>
      </c>
      <c r="DR128" s="79">
        <f t="array" ref="DR128">SUMIFS('Cắt lồng'!$AH$327:$AH$515,'Cắt lồng'!$AA$327:$AA$515,'Cắt lồng'!$AA128,'Cắt lồng'!$AE$327:$AE$515,'Cắt lồng'!DR$4:DR$4)</f>
        <v>0</v>
      </c>
      <c r="DS128" s="78" t="e">
        <f t="shared" si="273"/>
        <v>#DIV/0!</v>
      </c>
      <c r="DT128" s="79">
        <f t="array" ref="DT128">SUMIFS('Cắt lồng'!$AC$327:$AC$515,'Cắt lồng'!$AA$327:$AA$515,'Cắt lồng'!$AA128,'Cắt lồng'!$AE$327:$AE$515,'Cắt lồng'!DT$4:DT$4)</f>
        <v>0</v>
      </c>
      <c r="DU128" s="79">
        <f t="array" ref="DU128">SUMIFS('Cắt lồng'!$AH$327:$AH$515,'Cắt lồng'!$AA$327:$AA$515,'Cắt lồng'!$AA128,'Cắt lồng'!$AE$327:$AE$515,'Cắt lồng'!DU$4:DU$4)</f>
        <v>0</v>
      </c>
      <c r="DV128" s="78" t="e">
        <f t="shared" si="274"/>
        <v>#DIV/0!</v>
      </c>
      <c r="DW128" s="79">
        <f t="array" ref="DW128">SUMIFS('Cắt lồng'!$AC$327:$AC$515,'Cắt lồng'!$AA$327:$AA$515,'Cắt lồng'!$AA128,'Cắt lồng'!$AE$327:$AE$515,'Cắt lồng'!DW$4:DW$4)</f>
        <v>0</v>
      </c>
      <c r="DX128" s="79">
        <f t="array" ref="DX128">SUMIFS('Cắt lồng'!$AH$327:$AH$515,'Cắt lồng'!$AA$327:$AA$515,'Cắt lồng'!$AA128,'Cắt lồng'!$AE$327:$AE$515,'Cắt lồng'!DX$4:DX$4)</f>
        <v>0</v>
      </c>
      <c r="DY128" s="78" t="e">
        <f t="shared" si="275"/>
        <v>#DIV/0!</v>
      </c>
      <c r="DZ128" s="79">
        <f t="array" ref="DZ128">SUMIFS('Cắt lồng'!$AC$327:$AC$515,'Cắt lồng'!$AA$327:$AA$515,'Cắt lồng'!$AA128,'Cắt lồng'!$AE$327:$AE$515,'Cắt lồng'!DZ$4:DZ$4)</f>
        <v>0</v>
      </c>
      <c r="EA128" s="79">
        <f t="array" ref="EA128">SUMIFS('Cắt lồng'!$AH$327:$AH$515,'Cắt lồng'!$AA$327:$AA$515,'Cắt lồng'!$AA128,'Cắt lồng'!$AE$327:$AE$515,'Cắt lồng'!EA$4:EA$4)</f>
        <v>0</v>
      </c>
      <c r="EB128" s="78" t="e">
        <f t="shared" si="276"/>
        <v>#DIV/0!</v>
      </c>
      <c r="EC128" s="79">
        <f t="array" ref="EC128">SUMIFS('Cắt lồng'!$AC$327:$AC$515,'Cắt lồng'!$AA$327:$AA$515,'Cắt lồng'!$AA128,'Cắt lồng'!$AE$327:$AE$515,'Cắt lồng'!EC$4:EC$4)</f>
        <v>0</v>
      </c>
      <c r="ED128" s="79">
        <f t="array" ref="ED128">SUMIFS('Cắt lồng'!$AH$327:$AH$515,'Cắt lồng'!$AA$327:$AA$515,'Cắt lồng'!$AA128,'Cắt lồng'!$AE$327:$AE$515,'Cắt lồng'!ED$4:ED$4)</f>
        <v>0</v>
      </c>
      <c r="EE128" s="78" t="e">
        <f t="shared" si="277"/>
        <v>#DIV/0!</v>
      </c>
      <c r="EF128" s="79">
        <f t="array" ref="EF128">SUMIFS('Cắt lồng'!$AC$327:$AC$515,'Cắt lồng'!$AA$327:$AA$515,'Cắt lồng'!$AA128,'Cắt lồng'!$AE$327:$AE$515,'Cắt lồng'!EF$4:EF$4)</f>
        <v>0</v>
      </c>
      <c r="EG128" s="79">
        <f t="array" ref="EG128">SUMIFS('Cắt lồng'!$AH$327:$AH$515,'Cắt lồng'!$AA$327:$AA$515,'Cắt lồng'!$AA128,'Cắt lồng'!$AE$327:$AE$515,'Cắt lồng'!EG$4:EG$4)</f>
        <v>0</v>
      </c>
      <c r="EH128" s="78" t="e">
        <f t="shared" si="278"/>
        <v>#DIV/0!</v>
      </c>
      <c r="EI128" s="79">
        <f t="array" ref="EI128">SUMIFS('Cắt lồng'!$AC$327:$AC$515,'Cắt lồng'!$AA$327:$AA$515,'Cắt lồng'!$AA128,'Cắt lồng'!$AE$327:$AE$515,'Cắt lồng'!EI$4:EI$4)</f>
        <v>0</v>
      </c>
      <c r="EJ128" s="79">
        <f t="array" ref="EJ128">SUMIFS('Cắt lồng'!$AH$327:$AH$515,'Cắt lồng'!$AA$327:$AA$515,'Cắt lồng'!$AA128,'Cắt lồng'!$AE$327:$AE$515,'Cắt lồng'!EJ$4:EJ$4)</f>
        <v>0</v>
      </c>
      <c r="EK128" s="78" t="e">
        <f t="shared" si="279"/>
        <v>#DIV/0!</v>
      </c>
    </row>
    <row r="129" spans="1:141" s="12" customFormat="1" ht="14.25" hidden="1" customHeight="1">
      <c r="A129" s="30">
        <v>96</v>
      </c>
      <c r="B129" s="26"/>
      <c r="C129" s="25"/>
      <c r="D129" s="24"/>
      <c r="E129" s="60"/>
      <c r="F129" s="59"/>
      <c r="G129" s="82">
        <f t="shared" si="212"/>
        <v>0</v>
      </c>
      <c r="H129" s="81">
        <f t="shared" si="213"/>
        <v>7.33</v>
      </c>
      <c r="I129" s="19">
        <f t="shared" si="214"/>
        <v>0</v>
      </c>
      <c r="J129" s="11">
        <f t="shared" si="215"/>
        <v>1.67</v>
      </c>
      <c r="K129" s="19">
        <f t="shared" si="216"/>
        <v>0</v>
      </c>
      <c r="L129" s="19">
        <f t="shared" si="217"/>
        <v>0</v>
      </c>
      <c r="M129" s="19">
        <f t="shared" si="218"/>
        <v>0</v>
      </c>
      <c r="N129" s="19">
        <f t="shared" si="219"/>
        <v>0</v>
      </c>
      <c r="O129" s="19">
        <f t="shared" si="220"/>
        <v>0</v>
      </c>
      <c r="P129" s="19">
        <f t="shared" si="221"/>
        <v>0</v>
      </c>
      <c r="Q129" s="19">
        <f t="shared" si="222"/>
        <v>0</v>
      </c>
      <c r="R129" s="19">
        <f t="shared" si="223"/>
        <v>0</v>
      </c>
      <c r="S129" s="19">
        <f t="shared" si="224"/>
        <v>0</v>
      </c>
      <c r="T129" s="19">
        <f t="shared" si="225"/>
        <v>1.33</v>
      </c>
      <c r="U129" s="19">
        <f t="shared" si="226"/>
        <v>0</v>
      </c>
      <c r="V129" s="19">
        <f t="shared" si="227"/>
        <v>0</v>
      </c>
      <c r="W129" s="19">
        <f t="shared" si="228"/>
        <v>0.17</v>
      </c>
      <c r="X129" s="19">
        <f t="shared" si="229"/>
        <v>0.17</v>
      </c>
      <c r="Y129" s="19">
        <f t="shared" si="230"/>
        <v>0</v>
      </c>
      <c r="Z129" s="19">
        <f t="shared" si="231"/>
        <v>0</v>
      </c>
      <c r="AA129" s="154">
        <v>8234</v>
      </c>
      <c r="AB129" s="17" t="e">
        <f>+H129*SUMIF('[1]KẾ HOẠCH'!$B$5:$CK$5,'Cắt lồng'!AA129,'[1]KẾ HOẠCH'!$B$6:$CK$6)+H129*SUMIF('[1]KẾ HOẠCH'!$B$7:$CK$7,'Cắt lồng'!AA129,'[1]KẾ HOẠCH'!$B$8:$CK$8)+H129*SUMIF('[1]KẾ HOẠCH'!$B$15:$CK$15,'Cắt lồng'!AA129,'[1]KẾ HOẠCH'!$B$16:$CK$16)</f>
        <v>#VALUE!</v>
      </c>
      <c r="AC129" s="16">
        <f t="shared" si="232"/>
        <v>4890</v>
      </c>
      <c r="AD129" s="15" t="e">
        <f t="shared" si="233"/>
        <v>#VALUE!</v>
      </c>
      <c r="AE129" s="42"/>
      <c r="AF129" s="10">
        <f t="shared" si="234"/>
        <v>667.12141882673939</v>
      </c>
      <c r="AG129" s="10"/>
      <c r="AH129" s="152">
        <f t="shared" si="235"/>
        <v>0</v>
      </c>
      <c r="AI129" s="54">
        <f t="shared" si="236"/>
        <v>0</v>
      </c>
      <c r="AJ129" s="25">
        <f t="shared" si="237"/>
        <v>0</v>
      </c>
      <c r="AK129" s="25">
        <f t="shared" si="238"/>
        <v>0</v>
      </c>
      <c r="AL129" s="25">
        <f t="shared" si="239"/>
        <v>0</v>
      </c>
      <c r="AM129" s="30">
        <f t="shared" si="240"/>
        <v>0</v>
      </c>
      <c r="AN129" s="25">
        <f t="shared" si="241"/>
        <v>0</v>
      </c>
      <c r="AO129" s="25">
        <f t="shared" si="242"/>
        <v>0</v>
      </c>
      <c r="AP129" s="25">
        <f t="shared" si="243"/>
        <v>0</v>
      </c>
      <c r="AQ129" s="25">
        <f t="shared" si="244"/>
        <v>0</v>
      </c>
      <c r="AR129" s="25">
        <f t="shared" si="245"/>
        <v>0</v>
      </c>
      <c r="AS129" s="25">
        <f t="shared" si="246"/>
        <v>0</v>
      </c>
      <c r="AT129" s="25">
        <f t="shared" si="247"/>
        <v>0</v>
      </c>
      <c r="AV129" s="79">
        <f t="shared" si="248"/>
        <v>7.33</v>
      </c>
      <c r="AW129" s="79">
        <f t="array" ref="AW129">SUMIFS('Cắt lồng'!$AC$327:$AC$515,'Cắt lồng'!$AA$327:$AA$515,'Cắt lồng'!$AA129,'Cắt lồng'!$AE$327:$AE$515,'Cắt lồng'!AW$4:AW$4)</f>
        <v>4890</v>
      </c>
      <c r="AX129" s="79">
        <f t="array" ref="AX129">SUMIFS('Cắt lồng'!$AH$327:$AH$515,'Cắt lồng'!$AA$327:$AA$515,'Cắt lồng'!$AA129,'Cắt lồng'!$AE$327:$AE$515,'Cắt lồng'!AX$4:AX$4)</f>
        <v>0</v>
      </c>
      <c r="AY129" s="78">
        <f t="shared" si="249"/>
        <v>0</v>
      </c>
      <c r="AZ129" s="79">
        <f t="array" ref="AZ129">SUMIFS('Cắt lồng'!$AC$327:$AC$515,'Cắt lồng'!$AA$327:$AA$515,'Cắt lồng'!$AA129,'Cắt lồng'!$AE$327:$AE$515,'Cắt lồng'!AZ$4:AZ$4)</f>
        <v>0</v>
      </c>
      <c r="BA129" s="79">
        <f t="array" ref="BA129">SUMIFS('Cắt lồng'!$AH$327:$AH$515,'Cắt lồng'!$AA$327:$AA$515,'Cắt lồng'!$AA129,'Cắt lồng'!$AE$327:$AE$515,'Cắt lồng'!BA$4:BA$4)</f>
        <v>0</v>
      </c>
      <c r="BB129" s="78" t="e">
        <f t="shared" si="250"/>
        <v>#DIV/0!</v>
      </c>
      <c r="BC129" s="79">
        <f t="array" ref="BC129">SUMIFS('Cắt lồng'!$AC$327:$AC$515,'Cắt lồng'!$AA$327:$AA$515,'Cắt lồng'!$AA129,'Cắt lồng'!$AE$327:$AE$515,'Cắt lồng'!BC$4:BC$4)</f>
        <v>0</v>
      </c>
      <c r="BD129" s="79">
        <f t="array" ref="BD129">SUMIFS('Cắt lồng'!$AH$327:$AH$515,'Cắt lồng'!$AA$327:$AA$515,'Cắt lồng'!$AA129,'Cắt lồng'!$AE$327:$AE$515,'Cắt lồng'!BD$4:BD$4)</f>
        <v>0</v>
      </c>
      <c r="BE129" s="78" t="e">
        <f t="shared" si="251"/>
        <v>#DIV/0!</v>
      </c>
      <c r="BF129" s="79">
        <f t="array" ref="BF129">SUMIFS('Cắt lồng'!$AC$327:$AC$515,'Cắt lồng'!$AA$327:$AA$515,'Cắt lồng'!$AA129,'Cắt lồng'!$AE$327:$AE$515,'Cắt lồng'!BF$4:BF$4)</f>
        <v>0</v>
      </c>
      <c r="BG129" s="79">
        <f t="array" ref="BG129">SUMIFS('Cắt lồng'!$AH$327:$AH$515,'Cắt lồng'!$AA$327:$AA$515,'Cắt lồng'!$AA129,'Cắt lồng'!$AE$327:$AE$515,'Cắt lồng'!BG$4:BG$4)</f>
        <v>0</v>
      </c>
      <c r="BH129" s="78" t="e">
        <f t="shared" si="252"/>
        <v>#DIV/0!</v>
      </c>
      <c r="BI129" s="79">
        <f t="array" ref="BI129">SUMIFS('Cắt lồng'!$AC$327:$AC$515,'Cắt lồng'!$AA$327:$AA$515,'Cắt lồng'!$AA129,'Cắt lồng'!$AE$327:$AE$515,'Cắt lồng'!BI$4:BI$4)</f>
        <v>0</v>
      </c>
      <c r="BJ129" s="79">
        <f t="array" ref="BJ129">SUMIFS('Cắt lồng'!$AH$327:$AH$515,'Cắt lồng'!$AA$327:$AA$515,'Cắt lồng'!$AA129,'Cắt lồng'!$AE$327:$AE$515,'Cắt lồng'!BJ$4:BJ$4)</f>
        <v>0</v>
      </c>
      <c r="BK129" s="78" t="e">
        <f t="shared" si="253"/>
        <v>#DIV/0!</v>
      </c>
      <c r="BL129" s="79">
        <f t="array" ref="BL129">SUMIFS('Cắt lồng'!$AC$327:$AC$515,'Cắt lồng'!$AA$327:$AA$515,'Cắt lồng'!$AA129,'Cắt lồng'!$AE$327:$AE$515,'Cắt lồng'!BL$4:BL$4)</f>
        <v>0</v>
      </c>
      <c r="BM129" s="79">
        <f t="array" ref="BM129">SUMIFS('Cắt lồng'!$AH$327:$AH$515,'Cắt lồng'!$AA$327:$AA$515,'Cắt lồng'!$AA129,'Cắt lồng'!$AE$327:$AE$515,'Cắt lồng'!BM$4:BM$4)</f>
        <v>0</v>
      </c>
      <c r="BN129" s="78" t="e">
        <f t="shared" si="254"/>
        <v>#DIV/0!</v>
      </c>
      <c r="BO129" s="79">
        <f t="array" ref="BO129">SUMIFS('Cắt lồng'!$AC$327:$AC$515,'Cắt lồng'!$AA$327:$AA$515,'Cắt lồng'!$AA129,'Cắt lồng'!$AE$327:$AE$515,'Cắt lồng'!BO$4:BO$4)</f>
        <v>0</v>
      </c>
      <c r="BP129" s="79">
        <f t="array" ref="BP129">SUMIFS('Cắt lồng'!$AH$327:$AH$515,'Cắt lồng'!$AA$327:$AA$515,'Cắt lồng'!$AA129,'Cắt lồng'!$AE$327:$AE$515,'Cắt lồng'!BP$4:BP$4)</f>
        <v>0</v>
      </c>
      <c r="BQ129" s="78" t="e">
        <f t="shared" si="255"/>
        <v>#DIV/0!</v>
      </c>
      <c r="BR129" s="79">
        <f t="array" ref="BR129">SUMIFS('Cắt lồng'!$AC$327:$AC$515,'Cắt lồng'!$AA$327:$AA$515,'Cắt lồng'!$AA129,'Cắt lồng'!$AE$327:$AE$515,'Cắt lồng'!BR$4:BR$4)</f>
        <v>0</v>
      </c>
      <c r="BS129" s="79">
        <f t="array" ref="BS129">SUMIFS('Cắt lồng'!$AH$327:$AH$515,'Cắt lồng'!$AA$327:$AA$515,'Cắt lồng'!$AA129,'Cắt lồng'!$AE$327:$AE$515,'Cắt lồng'!BS$4:BS$4)</f>
        <v>0</v>
      </c>
      <c r="BT129" s="78" t="e">
        <f t="shared" si="256"/>
        <v>#DIV/0!</v>
      </c>
      <c r="BU129" s="79">
        <f t="array" ref="BU129">SUMIFS('Cắt lồng'!$AC$327:$AC$515,'Cắt lồng'!$AA$327:$AA$515,'Cắt lồng'!$AA129,'Cắt lồng'!$AE$327:$AE$515,'Cắt lồng'!BU$4:BU$4)</f>
        <v>0</v>
      </c>
      <c r="BV129" s="79">
        <f t="array" ref="BV129">SUMIFS('Cắt lồng'!$AH$327:$AH$515,'Cắt lồng'!$AA$327:$AA$515,'Cắt lồng'!$AA129,'Cắt lồng'!$AE$327:$AE$515,'Cắt lồng'!BV$4:BV$4)</f>
        <v>0</v>
      </c>
      <c r="BW129" s="78" t="e">
        <f t="shared" si="257"/>
        <v>#DIV/0!</v>
      </c>
      <c r="BX129" s="79">
        <f t="array" ref="BX129">SUMIFS('Cắt lồng'!$AC$327:$AC$515,'Cắt lồng'!$AA$327:$AA$515,'Cắt lồng'!$AA129,'Cắt lồng'!$AE$327:$AE$515,'Cắt lồng'!BX$4:BX$4)</f>
        <v>0</v>
      </c>
      <c r="BY129" s="79">
        <f t="array" ref="BY129">SUMIFS('Cắt lồng'!$AH$327:$AH$515,'Cắt lồng'!$AA$327:$AA$515,'Cắt lồng'!$AA129,'Cắt lồng'!$AE$327:$AE$515,'Cắt lồng'!BY$4:BY$4)</f>
        <v>0</v>
      </c>
      <c r="BZ129" s="78" t="e">
        <f t="shared" si="258"/>
        <v>#DIV/0!</v>
      </c>
      <c r="CA129" s="79">
        <f t="array" ref="CA129">SUMIFS('Cắt lồng'!$AC$327:$AC$515,'Cắt lồng'!$AA$327:$AA$515,'Cắt lồng'!$AA129,'Cắt lồng'!$AE$327:$AE$515,'Cắt lồng'!CA$4:CA$4)</f>
        <v>0</v>
      </c>
      <c r="CB129" s="79">
        <f t="array" ref="CB129">SUMIFS('Cắt lồng'!$AH$327:$AH$515,'Cắt lồng'!$AA$327:$AA$515,'Cắt lồng'!$AA129,'Cắt lồng'!$AE$327:$AE$515,'Cắt lồng'!CB$4:CB$4)</f>
        <v>0</v>
      </c>
      <c r="CC129" s="78" t="e">
        <f t="shared" si="259"/>
        <v>#DIV/0!</v>
      </c>
      <c r="CD129" s="79">
        <f t="array" ref="CD129">SUMIFS('Cắt lồng'!$AC$327:$AC$515,'Cắt lồng'!$AA$327:$AA$515,'Cắt lồng'!$AA129,'Cắt lồng'!$AE$327:$AE$515,'Cắt lồng'!CD$4:CD$4)</f>
        <v>0</v>
      </c>
      <c r="CE129" s="79">
        <f t="array" ref="CE129">SUMIFS('Cắt lồng'!$AH$327:$AH$515,'Cắt lồng'!$AA$327:$AA$515,'Cắt lồng'!$AA129,'Cắt lồng'!$AE$327:$AE$515,'Cắt lồng'!CE$4:CE$4)</f>
        <v>0</v>
      </c>
      <c r="CF129" s="78" t="e">
        <f t="shared" si="260"/>
        <v>#DIV/0!</v>
      </c>
      <c r="CG129" s="79">
        <f t="array" ref="CG129">SUMIFS('Cắt lồng'!$AC$327:$AC$515,'Cắt lồng'!$AA$327:$AA$515,'Cắt lồng'!$AA129,'Cắt lồng'!$AE$327:$AE$515,'Cắt lồng'!CG$4:CG$4)</f>
        <v>0</v>
      </c>
      <c r="CH129" s="79">
        <f t="array" ref="CH129">SUMIFS('Cắt lồng'!$AH$327:$AH$515,'Cắt lồng'!$AA$327:$AA$515,'Cắt lồng'!$AA129,'Cắt lồng'!$AE$327:$AE$515,'Cắt lồng'!CH$4:CH$4)</f>
        <v>0</v>
      </c>
      <c r="CI129" s="78" t="e">
        <f t="shared" si="261"/>
        <v>#DIV/0!</v>
      </c>
      <c r="CJ129" s="79">
        <f t="array" ref="CJ129">SUMIFS('Cắt lồng'!$AC$327:$AC$515,'Cắt lồng'!$AA$327:$AA$515,'Cắt lồng'!$AA129,'Cắt lồng'!$AE$327:$AE$515,'Cắt lồng'!CJ$4:CJ$4)</f>
        <v>0</v>
      </c>
      <c r="CK129" s="79">
        <f t="array" ref="CK129">SUMIFS('Cắt lồng'!$AH$327:$AH$515,'Cắt lồng'!$AA$327:$AA$515,'Cắt lồng'!$AA129,'Cắt lồng'!$AE$327:$AE$515,'Cắt lồng'!CK$4:CK$4)</f>
        <v>0</v>
      </c>
      <c r="CL129" s="78" t="e">
        <f t="shared" si="262"/>
        <v>#DIV/0!</v>
      </c>
      <c r="CM129" s="79">
        <f t="array" ref="CM129">SUMIFS('Cắt lồng'!$AC$327:$AC$515,'Cắt lồng'!$AA$327:$AA$515,'Cắt lồng'!$AA129,'Cắt lồng'!$AE$327:$AE$515,'Cắt lồng'!CM$4:CM$4)</f>
        <v>0</v>
      </c>
      <c r="CN129" s="79">
        <f t="array" ref="CN129">SUMIFS('Cắt lồng'!$AH$327:$AH$515,'Cắt lồng'!$AA$327:$AA$515,'Cắt lồng'!$AA129,'Cắt lồng'!$AE$327:$AE$515,'Cắt lồng'!CN$4:CN$4)</f>
        <v>0</v>
      </c>
      <c r="CO129" s="78" t="e">
        <f t="shared" si="263"/>
        <v>#DIV/0!</v>
      </c>
      <c r="CP129" s="79">
        <f t="array" ref="CP129">SUMIFS('Cắt lồng'!$AC$327:$AC$515,'Cắt lồng'!$AA$327:$AA$515,'Cắt lồng'!$AA129,'Cắt lồng'!$AE$327:$AE$515,'Cắt lồng'!CP$4:CP$4)</f>
        <v>0</v>
      </c>
      <c r="CQ129" s="79">
        <f t="array" ref="CQ129">SUMIFS('Cắt lồng'!$AH$327:$AH$515,'Cắt lồng'!$AA$327:$AA$515,'Cắt lồng'!$AA129,'Cắt lồng'!$AE$327:$AE$515,'Cắt lồng'!CQ$4:CQ$4)</f>
        <v>0</v>
      </c>
      <c r="CR129" s="78" t="e">
        <f t="shared" si="264"/>
        <v>#DIV/0!</v>
      </c>
      <c r="CS129" s="79">
        <f t="array" ref="CS129">SUMIFS('Cắt lồng'!$AC$327:$AC$515,'Cắt lồng'!$AA$327:$AA$515,'Cắt lồng'!$AA129,'Cắt lồng'!$AE$327:$AE$515,'Cắt lồng'!CS$4:CS$4)</f>
        <v>0</v>
      </c>
      <c r="CT129" s="79">
        <f t="array" ref="CT129">SUMIFS('Cắt lồng'!$AH$327:$AH$515,'Cắt lồng'!$AA$327:$AA$515,'Cắt lồng'!$AA129,'Cắt lồng'!$AE$327:$AE$515,'Cắt lồng'!CT$4:CT$4)</f>
        <v>0</v>
      </c>
      <c r="CU129" s="78" t="e">
        <f t="shared" si="265"/>
        <v>#DIV/0!</v>
      </c>
      <c r="CV129" s="79">
        <f t="array" ref="CV129">SUMIFS('Cắt lồng'!$AC$327:$AC$515,'Cắt lồng'!$AA$327:$AA$515,'Cắt lồng'!$AA129,'Cắt lồng'!$AE$327:$AE$515,'Cắt lồng'!CV$4:CV$4)</f>
        <v>0</v>
      </c>
      <c r="CW129" s="79">
        <f t="array" ref="CW129">SUMIFS('Cắt lồng'!$AH$327:$AH$515,'Cắt lồng'!$AA$327:$AA$515,'Cắt lồng'!$AA129,'Cắt lồng'!$AE$327:$AE$515,'Cắt lồng'!CW$4:CW$4)</f>
        <v>0</v>
      </c>
      <c r="CX129" s="78" t="e">
        <f t="shared" si="266"/>
        <v>#DIV/0!</v>
      </c>
      <c r="CY129" s="79">
        <f t="array" ref="CY129">SUMIFS('Cắt lồng'!$AC$327:$AC$515,'Cắt lồng'!$AA$327:$AA$515,'Cắt lồng'!$AA129,'Cắt lồng'!$AE$327:$AE$515,'Cắt lồng'!CY$4:CY$4)</f>
        <v>0</v>
      </c>
      <c r="CZ129" s="79">
        <f t="array" ref="CZ129">SUMIFS('Cắt lồng'!$AH$327:$AH$515,'Cắt lồng'!$AA$327:$AA$515,'Cắt lồng'!$AA129,'Cắt lồng'!$AE$327:$AE$515,'Cắt lồng'!CZ$4:CZ$4)</f>
        <v>0</v>
      </c>
      <c r="DA129" s="78" t="e">
        <f t="shared" si="267"/>
        <v>#DIV/0!</v>
      </c>
      <c r="DB129" s="79">
        <f t="array" ref="DB129">SUMIFS('Cắt lồng'!$AC$327:$AC$515,'Cắt lồng'!$AA$327:$AA$515,'Cắt lồng'!$AA129,'Cắt lồng'!$AE$327:$AE$515,'Cắt lồng'!DB$4:DB$4)</f>
        <v>0</v>
      </c>
      <c r="DC129" s="79">
        <f t="array" ref="DC129">SUMIFS('Cắt lồng'!$AH$327:$AH$515,'Cắt lồng'!$AA$327:$AA$515,'Cắt lồng'!$AA129,'Cắt lồng'!$AE$327:$AE$515,'Cắt lồng'!DC$4:DC$4)</f>
        <v>0</v>
      </c>
      <c r="DD129" s="78" t="e">
        <f t="shared" si="268"/>
        <v>#DIV/0!</v>
      </c>
      <c r="DE129" s="79">
        <f t="array" ref="DE129">SUMIFS('Cắt lồng'!$AC$327:$AC$515,'Cắt lồng'!$AA$327:$AA$515,'Cắt lồng'!$AA129,'Cắt lồng'!$AE$327:$AE$515,'Cắt lồng'!DE$4:DE$4)</f>
        <v>0</v>
      </c>
      <c r="DF129" s="79">
        <f t="array" ref="DF129">SUMIFS('Cắt lồng'!$AH$327:$AH$515,'Cắt lồng'!$AA$327:$AA$515,'Cắt lồng'!$AA129,'Cắt lồng'!$AE$327:$AE$515,'Cắt lồng'!DF$4:DF$4)</f>
        <v>0</v>
      </c>
      <c r="DG129" s="78" t="e">
        <f t="shared" si="269"/>
        <v>#DIV/0!</v>
      </c>
      <c r="DH129" s="79">
        <f t="array" ref="DH129">SUMIFS('Cắt lồng'!$AC$327:$AC$515,'Cắt lồng'!$AA$327:$AA$515,'Cắt lồng'!$AA129,'Cắt lồng'!$AE$327:$AE$515,'Cắt lồng'!DH$4:DH$4)</f>
        <v>0</v>
      </c>
      <c r="DI129" s="79">
        <f t="array" ref="DI129">SUMIFS('Cắt lồng'!$AH$327:$AH$515,'Cắt lồng'!$AA$327:$AA$515,'Cắt lồng'!$AA129,'Cắt lồng'!$AE$327:$AE$515,'Cắt lồng'!DI$4:DI$4)</f>
        <v>0</v>
      </c>
      <c r="DJ129" s="78" t="e">
        <f t="shared" si="270"/>
        <v>#DIV/0!</v>
      </c>
      <c r="DK129" s="79">
        <f t="array" ref="DK129">SUMIFS('Cắt lồng'!$AC$327:$AC$515,'Cắt lồng'!$AA$327:$AA$515,'Cắt lồng'!$AA129,'Cắt lồng'!$AE$327:$AE$515,'Cắt lồng'!DK$4:DK$4)</f>
        <v>0</v>
      </c>
      <c r="DL129" s="79">
        <f t="array" ref="DL129">SUMIFS('Cắt lồng'!$AH$327:$AH$515,'Cắt lồng'!$AA$327:$AA$515,'Cắt lồng'!$AA129,'Cắt lồng'!$AE$327:$AE$515,'Cắt lồng'!DL$4:DL$4)</f>
        <v>0</v>
      </c>
      <c r="DM129" s="78" t="e">
        <f t="shared" si="271"/>
        <v>#DIV/0!</v>
      </c>
      <c r="DN129" s="79">
        <f t="array" ref="DN129">SUMIFS('Cắt lồng'!$AC$327:$AC$515,'Cắt lồng'!$AA$327:$AA$515,'Cắt lồng'!$AA129,'Cắt lồng'!$AE$327:$AE$515,'Cắt lồng'!DN$4:DN$4)</f>
        <v>0</v>
      </c>
      <c r="DO129" s="79">
        <f t="array" ref="DO129">SUMIFS('Cắt lồng'!$AH$327:$AH$515,'Cắt lồng'!$AA$327:$AA$515,'Cắt lồng'!$AA129,'Cắt lồng'!$AE$327:$AE$515,'Cắt lồng'!DO$4:DO$4)</f>
        <v>0</v>
      </c>
      <c r="DP129" s="78" t="e">
        <f t="shared" si="272"/>
        <v>#DIV/0!</v>
      </c>
      <c r="DQ129" s="79">
        <f t="array" ref="DQ129">SUMIFS('Cắt lồng'!$AC$327:$AC$515,'Cắt lồng'!$AA$327:$AA$515,'Cắt lồng'!$AA129,'Cắt lồng'!$AE$327:$AE$515,'Cắt lồng'!DQ$4:DQ$4)</f>
        <v>0</v>
      </c>
      <c r="DR129" s="79">
        <f t="array" ref="DR129">SUMIFS('Cắt lồng'!$AH$327:$AH$515,'Cắt lồng'!$AA$327:$AA$515,'Cắt lồng'!$AA129,'Cắt lồng'!$AE$327:$AE$515,'Cắt lồng'!DR$4:DR$4)</f>
        <v>0</v>
      </c>
      <c r="DS129" s="78" t="e">
        <f t="shared" si="273"/>
        <v>#DIV/0!</v>
      </c>
      <c r="DT129" s="79">
        <f t="array" ref="DT129">SUMIFS('Cắt lồng'!$AC$327:$AC$515,'Cắt lồng'!$AA$327:$AA$515,'Cắt lồng'!$AA129,'Cắt lồng'!$AE$327:$AE$515,'Cắt lồng'!DT$4:DT$4)</f>
        <v>0</v>
      </c>
      <c r="DU129" s="79">
        <f t="array" ref="DU129">SUMIFS('Cắt lồng'!$AH$327:$AH$515,'Cắt lồng'!$AA$327:$AA$515,'Cắt lồng'!$AA129,'Cắt lồng'!$AE$327:$AE$515,'Cắt lồng'!DU$4:DU$4)</f>
        <v>0</v>
      </c>
      <c r="DV129" s="78" t="e">
        <f t="shared" si="274"/>
        <v>#DIV/0!</v>
      </c>
      <c r="DW129" s="79">
        <f t="array" ref="DW129">SUMIFS('Cắt lồng'!$AC$327:$AC$515,'Cắt lồng'!$AA$327:$AA$515,'Cắt lồng'!$AA129,'Cắt lồng'!$AE$327:$AE$515,'Cắt lồng'!DW$4:DW$4)</f>
        <v>0</v>
      </c>
      <c r="DX129" s="79">
        <f t="array" ref="DX129">SUMIFS('Cắt lồng'!$AH$327:$AH$515,'Cắt lồng'!$AA$327:$AA$515,'Cắt lồng'!$AA129,'Cắt lồng'!$AE$327:$AE$515,'Cắt lồng'!DX$4:DX$4)</f>
        <v>0</v>
      </c>
      <c r="DY129" s="78" t="e">
        <f t="shared" si="275"/>
        <v>#DIV/0!</v>
      </c>
      <c r="DZ129" s="79">
        <f t="array" ref="DZ129">SUMIFS('Cắt lồng'!$AC$327:$AC$515,'Cắt lồng'!$AA$327:$AA$515,'Cắt lồng'!$AA129,'Cắt lồng'!$AE$327:$AE$515,'Cắt lồng'!DZ$4:DZ$4)</f>
        <v>0</v>
      </c>
      <c r="EA129" s="79">
        <f t="array" ref="EA129">SUMIFS('Cắt lồng'!$AH$327:$AH$515,'Cắt lồng'!$AA$327:$AA$515,'Cắt lồng'!$AA129,'Cắt lồng'!$AE$327:$AE$515,'Cắt lồng'!EA$4:EA$4)</f>
        <v>0</v>
      </c>
      <c r="EB129" s="78" t="e">
        <f t="shared" si="276"/>
        <v>#DIV/0!</v>
      </c>
      <c r="EC129" s="79">
        <f t="array" ref="EC129">SUMIFS('Cắt lồng'!$AC$327:$AC$515,'Cắt lồng'!$AA$327:$AA$515,'Cắt lồng'!$AA129,'Cắt lồng'!$AE$327:$AE$515,'Cắt lồng'!EC$4:EC$4)</f>
        <v>0</v>
      </c>
      <c r="ED129" s="79">
        <f t="array" ref="ED129">SUMIFS('Cắt lồng'!$AH$327:$AH$515,'Cắt lồng'!$AA$327:$AA$515,'Cắt lồng'!$AA129,'Cắt lồng'!$AE$327:$AE$515,'Cắt lồng'!ED$4:ED$4)</f>
        <v>0</v>
      </c>
      <c r="EE129" s="78" t="e">
        <f t="shared" si="277"/>
        <v>#DIV/0!</v>
      </c>
      <c r="EF129" s="79">
        <f t="array" ref="EF129">SUMIFS('Cắt lồng'!$AC$327:$AC$515,'Cắt lồng'!$AA$327:$AA$515,'Cắt lồng'!$AA129,'Cắt lồng'!$AE$327:$AE$515,'Cắt lồng'!EF$4:EF$4)</f>
        <v>0</v>
      </c>
      <c r="EG129" s="79">
        <f t="array" ref="EG129">SUMIFS('Cắt lồng'!$AH$327:$AH$515,'Cắt lồng'!$AA$327:$AA$515,'Cắt lồng'!$AA129,'Cắt lồng'!$AE$327:$AE$515,'Cắt lồng'!EG$4:EG$4)</f>
        <v>0</v>
      </c>
      <c r="EH129" s="78" t="e">
        <f t="shared" si="278"/>
        <v>#DIV/0!</v>
      </c>
      <c r="EI129" s="79">
        <f t="array" ref="EI129">SUMIFS('Cắt lồng'!$AC$327:$AC$515,'Cắt lồng'!$AA$327:$AA$515,'Cắt lồng'!$AA129,'Cắt lồng'!$AE$327:$AE$515,'Cắt lồng'!EI$4:EI$4)</f>
        <v>0</v>
      </c>
      <c r="EJ129" s="79">
        <f t="array" ref="EJ129">SUMIFS('Cắt lồng'!$AH$327:$AH$515,'Cắt lồng'!$AA$327:$AA$515,'Cắt lồng'!$AA129,'Cắt lồng'!$AE$327:$AE$515,'Cắt lồng'!EJ$4:EJ$4)</f>
        <v>0</v>
      </c>
      <c r="EK129" s="78" t="e">
        <f t="shared" si="279"/>
        <v>#DIV/0!</v>
      </c>
    </row>
    <row r="130" spans="1:141" s="12" customFormat="1" ht="14.25" hidden="1" customHeight="1">
      <c r="A130" s="30">
        <v>97</v>
      </c>
      <c r="B130" s="26"/>
      <c r="C130" s="25"/>
      <c r="D130" s="24"/>
      <c r="E130" s="60"/>
      <c r="F130" s="59"/>
      <c r="G130" s="82">
        <f t="shared" si="212"/>
        <v>0</v>
      </c>
      <c r="H130" s="81">
        <f t="shared" si="213"/>
        <v>0</v>
      </c>
      <c r="I130" s="19">
        <f t="shared" si="214"/>
        <v>0</v>
      </c>
      <c r="J130" s="11">
        <f t="shared" si="215"/>
        <v>0</v>
      </c>
      <c r="K130" s="19">
        <f t="shared" si="216"/>
        <v>0</v>
      </c>
      <c r="L130" s="19">
        <f t="shared" si="217"/>
        <v>0</v>
      </c>
      <c r="M130" s="19">
        <f t="shared" si="218"/>
        <v>0</v>
      </c>
      <c r="N130" s="19">
        <f t="shared" si="219"/>
        <v>0</v>
      </c>
      <c r="O130" s="19">
        <f t="shared" si="220"/>
        <v>0</v>
      </c>
      <c r="P130" s="19">
        <f t="shared" si="221"/>
        <v>0</v>
      </c>
      <c r="Q130" s="19">
        <f t="shared" si="222"/>
        <v>0</v>
      </c>
      <c r="R130" s="19">
        <f t="shared" si="223"/>
        <v>0</v>
      </c>
      <c r="S130" s="19">
        <f t="shared" si="224"/>
        <v>0</v>
      </c>
      <c r="T130" s="19">
        <f t="shared" si="225"/>
        <v>0</v>
      </c>
      <c r="U130" s="19">
        <f t="shared" si="226"/>
        <v>0</v>
      </c>
      <c r="V130" s="19">
        <f t="shared" si="227"/>
        <v>0</v>
      </c>
      <c r="W130" s="19">
        <f t="shared" si="228"/>
        <v>0</v>
      </c>
      <c r="X130" s="19">
        <f t="shared" si="229"/>
        <v>0</v>
      </c>
      <c r="Y130" s="19">
        <f t="shared" si="230"/>
        <v>0</v>
      </c>
      <c r="Z130" s="19">
        <f t="shared" si="231"/>
        <v>0</v>
      </c>
      <c r="AA130" s="154">
        <v>8235</v>
      </c>
      <c r="AB130" s="17" t="e">
        <f>+H130*SUMIF('[1]KẾ HOẠCH'!$B$5:$CK$5,'Cắt lồng'!AA130,'[1]KẾ HOẠCH'!$B$6:$CK$6)+H130*SUMIF('[1]KẾ HOẠCH'!$B$7:$CK$7,'Cắt lồng'!AA130,'[1]KẾ HOẠCH'!$B$8:$CK$8)+H130*SUMIF('[1]KẾ HOẠCH'!$B$15:$CK$15,'Cắt lồng'!AA130,'[1]KẾ HOẠCH'!$B$16:$CK$16)</f>
        <v>#VALUE!</v>
      </c>
      <c r="AC130" s="16">
        <f t="shared" si="232"/>
        <v>0</v>
      </c>
      <c r="AD130" s="15" t="e">
        <f t="shared" si="233"/>
        <v>#VALUE!</v>
      </c>
      <c r="AE130" s="42"/>
      <c r="AF130" s="10" t="e">
        <f t="shared" si="234"/>
        <v>#DIV/0!</v>
      </c>
      <c r="AG130" s="10"/>
      <c r="AH130" s="152">
        <f t="shared" si="235"/>
        <v>0</v>
      </c>
      <c r="AI130" s="54" t="e">
        <f t="shared" si="236"/>
        <v>#DIV/0!</v>
      </c>
      <c r="AJ130" s="25">
        <f t="shared" si="237"/>
        <v>0</v>
      </c>
      <c r="AK130" s="25">
        <f t="shared" si="238"/>
        <v>0</v>
      </c>
      <c r="AL130" s="25">
        <f t="shared" si="239"/>
        <v>0</v>
      </c>
      <c r="AM130" s="30">
        <f t="shared" si="240"/>
        <v>0</v>
      </c>
      <c r="AN130" s="25">
        <f t="shared" si="241"/>
        <v>0</v>
      </c>
      <c r="AO130" s="25">
        <f t="shared" si="242"/>
        <v>0</v>
      </c>
      <c r="AP130" s="25">
        <f t="shared" si="243"/>
        <v>0</v>
      </c>
      <c r="AQ130" s="25">
        <f t="shared" si="244"/>
        <v>0</v>
      </c>
      <c r="AR130" s="25">
        <f t="shared" si="245"/>
        <v>0</v>
      </c>
      <c r="AS130" s="25">
        <f t="shared" si="246"/>
        <v>0</v>
      </c>
      <c r="AT130" s="25">
        <f t="shared" si="247"/>
        <v>0</v>
      </c>
      <c r="AV130" s="79">
        <f t="shared" si="248"/>
        <v>0</v>
      </c>
      <c r="AW130" s="79">
        <f t="array" ref="AW130">SUMIFS('Cắt lồng'!$AC$327:$AC$515,'Cắt lồng'!$AA$327:$AA$515,'Cắt lồng'!$AA130,'Cắt lồng'!$AE$327:$AE$515,'Cắt lồng'!AW$4:AW$4)</f>
        <v>0</v>
      </c>
      <c r="AX130" s="79">
        <f t="array" ref="AX130">SUMIFS('Cắt lồng'!$AH$327:$AH$515,'Cắt lồng'!$AA$327:$AA$515,'Cắt lồng'!$AA130,'Cắt lồng'!$AE$327:$AE$515,'Cắt lồng'!AX$4:AX$4)</f>
        <v>0</v>
      </c>
      <c r="AY130" s="78" t="e">
        <f t="shared" si="249"/>
        <v>#DIV/0!</v>
      </c>
      <c r="AZ130" s="79">
        <f t="array" ref="AZ130">SUMIFS('Cắt lồng'!$AC$327:$AC$515,'Cắt lồng'!$AA$327:$AA$515,'Cắt lồng'!$AA130,'Cắt lồng'!$AE$327:$AE$515,'Cắt lồng'!AZ$4:AZ$4)</f>
        <v>0</v>
      </c>
      <c r="BA130" s="79">
        <f t="array" ref="BA130">SUMIFS('Cắt lồng'!$AH$327:$AH$515,'Cắt lồng'!$AA$327:$AA$515,'Cắt lồng'!$AA130,'Cắt lồng'!$AE$327:$AE$515,'Cắt lồng'!BA$4:BA$4)</f>
        <v>0</v>
      </c>
      <c r="BB130" s="78" t="e">
        <f t="shared" si="250"/>
        <v>#DIV/0!</v>
      </c>
      <c r="BC130" s="79">
        <f t="array" ref="BC130">SUMIFS('Cắt lồng'!$AC$327:$AC$515,'Cắt lồng'!$AA$327:$AA$515,'Cắt lồng'!$AA130,'Cắt lồng'!$AE$327:$AE$515,'Cắt lồng'!BC$4:BC$4)</f>
        <v>0</v>
      </c>
      <c r="BD130" s="79">
        <f t="array" ref="BD130">SUMIFS('Cắt lồng'!$AH$327:$AH$515,'Cắt lồng'!$AA$327:$AA$515,'Cắt lồng'!$AA130,'Cắt lồng'!$AE$327:$AE$515,'Cắt lồng'!BD$4:BD$4)</f>
        <v>0</v>
      </c>
      <c r="BE130" s="78" t="e">
        <f t="shared" si="251"/>
        <v>#DIV/0!</v>
      </c>
      <c r="BF130" s="79">
        <f t="array" ref="BF130">SUMIFS('Cắt lồng'!$AC$327:$AC$515,'Cắt lồng'!$AA$327:$AA$515,'Cắt lồng'!$AA130,'Cắt lồng'!$AE$327:$AE$515,'Cắt lồng'!BF$4:BF$4)</f>
        <v>0</v>
      </c>
      <c r="BG130" s="79">
        <f t="array" ref="BG130">SUMIFS('Cắt lồng'!$AH$327:$AH$515,'Cắt lồng'!$AA$327:$AA$515,'Cắt lồng'!$AA130,'Cắt lồng'!$AE$327:$AE$515,'Cắt lồng'!BG$4:BG$4)</f>
        <v>0</v>
      </c>
      <c r="BH130" s="78" t="e">
        <f t="shared" si="252"/>
        <v>#DIV/0!</v>
      </c>
      <c r="BI130" s="79">
        <f t="array" ref="BI130">SUMIFS('Cắt lồng'!$AC$327:$AC$515,'Cắt lồng'!$AA$327:$AA$515,'Cắt lồng'!$AA130,'Cắt lồng'!$AE$327:$AE$515,'Cắt lồng'!BI$4:BI$4)</f>
        <v>0</v>
      </c>
      <c r="BJ130" s="79">
        <f t="array" ref="BJ130">SUMIFS('Cắt lồng'!$AH$327:$AH$515,'Cắt lồng'!$AA$327:$AA$515,'Cắt lồng'!$AA130,'Cắt lồng'!$AE$327:$AE$515,'Cắt lồng'!BJ$4:BJ$4)</f>
        <v>0</v>
      </c>
      <c r="BK130" s="78" t="e">
        <f t="shared" si="253"/>
        <v>#DIV/0!</v>
      </c>
      <c r="BL130" s="79">
        <f t="array" ref="BL130">SUMIFS('Cắt lồng'!$AC$327:$AC$515,'Cắt lồng'!$AA$327:$AA$515,'Cắt lồng'!$AA130,'Cắt lồng'!$AE$327:$AE$515,'Cắt lồng'!BL$4:BL$4)</f>
        <v>0</v>
      </c>
      <c r="BM130" s="79">
        <f t="array" ref="BM130">SUMIFS('Cắt lồng'!$AH$327:$AH$515,'Cắt lồng'!$AA$327:$AA$515,'Cắt lồng'!$AA130,'Cắt lồng'!$AE$327:$AE$515,'Cắt lồng'!BM$4:BM$4)</f>
        <v>0</v>
      </c>
      <c r="BN130" s="78" t="e">
        <f t="shared" si="254"/>
        <v>#DIV/0!</v>
      </c>
      <c r="BO130" s="79">
        <f t="array" ref="BO130">SUMIFS('Cắt lồng'!$AC$327:$AC$515,'Cắt lồng'!$AA$327:$AA$515,'Cắt lồng'!$AA130,'Cắt lồng'!$AE$327:$AE$515,'Cắt lồng'!BO$4:BO$4)</f>
        <v>0</v>
      </c>
      <c r="BP130" s="79">
        <f t="array" ref="BP130">SUMIFS('Cắt lồng'!$AH$327:$AH$515,'Cắt lồng'!$AA$327:$AA$515,'Cắt lồng'!$AA130,'Cắt lồng'!$AE$327:$AE$515,'Cắt lồng'!BP$4:BP$4)</f>
        <v>0</v>
      </c>
      <c r="BQ130" s="78" t="e">
        <f t="shared" si="255"/>
        <v>#DIV/0!</v>
      </c>
      <c r="BR130" s="79">
        <f t="array" ref="BR130">SUMIFS('Cắt lồng'!$AC$327:$AC$515,'Cắt lồng'!$AA$327:$AA$515,'Cắt lồng'!$AA130,'Cắt lồng'!$AE$327:$AE$515,'Cắt lồng'!BR$4:BR$4)</f>
        <v>0</v>
      </c>
      <c r="BS130" s="79">
        <f t="array" ref="BS130">SUMIFS('Cắt lồng'!$AH$327:$AH$515,'Cắt lồng'!$AA$327:$AA$515,'Cắt lồng'!$AA130,'Cắt lồng'!$AE$327:$AE$515,'Cắt lồng'!BS$4:BS$4)</f>
        <v>0</v>
      </c>
      <c r="BT130" s="78" t="e">
        <f t="shared" si="256"/>
        <v>#DIV/0!</v>
      </c>
      <c r="BU130" s="79">
        <f t="array" ref="BU130">SUMIFS('Cắt lồng'!$AC$327:$AC$515,'Cắt lồng'!$AA$327:$AA$515,'Cắt lồng'!$AA130,'Cắt lồng'!$AE$327:$AE$515,'Cắt lồng'!BU$4:BU$4)</f>
        <v>0</v>
      </c>
      <c r="BV130" s="79">
        <f t="array" ref="BV130">SUMIFS('Cắt lồng'!$AH$327:$AH$515,'Cắt lồng'!$AA$327:$AA$515,'Cắt lồng'!$AA130,'Cắt lồng'!$AE$327:$AE$515,'Cắt lồng'!BV$4:BV$4)</f>
        <v>0</v>
      </c>
      <c r="BW130" s="78" t="e">
        <f t="shared" si="257"/>
        <v>#DIV/0!</v>
      </c>
      <c r="BX130" s="79">
        <f t="array" ref="BX130">SUMIFS('Cắt lồng'!$AC$327:$AC$515,'Cắt lồng'!$AA$327:$AA$515,'Cắt lồng'!$AA130,'Cắt lồng'!$AE$327:$AE$515,'Cắt lồng'!BX$4:BX$4)</f>
        <v>0</v>
      </c>
      <c r="BY130" s="79">
        <f t="array" ref="BY130">SUMIFS('Cắt lồng'!$AH$327:$AH$515,'Cắt lồng'!$AA$327:$AA$515,'Cắt lồng'!$AA130,'Cắt lồng'!$AE$327:$AE$515,'Cắt lồng'!BY$4:BY$4)</f>
        <v>0</v>
      </c>
      <c r="BZ130" s="78" t="e">
        <f t="shared" si="258"/>
        <v>#DIV/0!</v>
      </c>
      <c r="CA130" s="79">
        <f t="array" ref="CA130">SUMIFS('Cắt lồng'!$AC$327:$AC$515,'Cắt lồng'!$AA$327:$AA$515,'Cắt lồng'!$AA130,'Cắt lồng'!$AE$327:$AE$515,'Cắt lồng'!CA$4:CA$4)</f>
        <v>0</v>
      </c>
      <c r="CB130" s="79">
        <f t="array" ref="CB130">SUMIFS('Cắt lồng'!$AH$327:$AH$515,'Cắt lồng'!$AA$327:$AA$515,'Cắt lồng'!$AA130,'Cắt lồng'!$AE$327:$AE$515,'Cắt lồng'!CB$4:CB$4)</f>
        <v>0</v>
      </c>
      <c r="CC130" s="78" t="e">
        <f t="shared" si="259"/>
        <v>#DIV/0!</v>
      </c>
      <c r="CD130" s="79">
        <f t="array" ref="CD130">SUMIFS('Cắt lồng'!$AC$327:$AC$515,'Cắt lồng'!$AA$327:$AA$515,'Cắt lồng'!$AA130,'Cắt lồng'!$AE$327:$AE$515,'Cắt lồng'!CD$4:CD$4)</f>
        <v>0</v>
      </c>
      <c r="CE130" s="79">
        <f t="array" ref="CE130">SUMIFS('Cắt lồng'!$AH$327:$AH$515,'Cắt lồng'!$AA$327:$AA$515,'Cắt lồng'!$AA130,'Cắt lồng'!$AE$327:$AE$515,'Cắt lồng'!CE$4:CE$4)</f>
        <v>0</v>
      </c>
      <c r="CF130" s="78" t="e">
        <f t="shared" si="260"/>
        <v>#DIV/0!</v>
      </c>
      <c r="CG130" s="79">
        <f t="array" ref="CG130">SUMIFS('Cắt lồng'!$AC$327:$AC$515,'Cắt lồng'!$AA$327:$AA$515,'Cắt lồng'!$AA130,'Cắt lồng'!$AE$327:$AE$515,'Cắt lồng'!CG$4:CG$4)</f>
        <v>0</v>
      </c>
      <c r="CH130" s="79">
        <f t="array" ref="CH130">SUMIFS('Cắt lồng'!$AH$327:$AH$515,'Cắt lồng'!$AA$327:$AA$515,'Cắt lồng'!$AA130,'Cắt lồng'!$AE$327:$AE$515,'Cắt lồng'!CH$4:CH$4)</f>
        <v>0</v>
      </c>
      <c r="CI130" s="78" t="e">
        <f t="shared" si="261"/>
        <v>#DIV/0!</v>
      </c>
      <c r="CJ130" s="79">
        <f t="array" ref="CJ130">SUMIFS('Cắt lồng'!$AC$327:$AC$515,'Cắt lồng'!$AA$327:$AA$515,'Cắt lồng'!$AA130,'Cắt lồng'!$AE$327:$AE$515,'Cắt lồng'!CJ$4:CJ$4)</f>
        <v>0</v>
      </c>
      <c r="CK130" s="79">
        <f t="array" ref="CK130">SUMIFS('Cắt lồng'!$AH$327:$AH$515,'Cắt lồng'!$AA$327:$AA$515,'Cắt lồng'!$AA130,'Cắt lồng'!$AE$327:$AE$515,'Cắt lồng'!CK$4:CK$4)</f>
        <v>0</v>
      </c>
      <c r="CL130" s="78" t="e">
        <f t="shared" si="262"/>
        <v>#DIV/0!</v>
      </c>
      <c r="CM130" s="79">
        <f t="array" ref="CM130">SUMIFS('Cắt lồng'!$AC$327:$AC$515,'Cắt lồng'!$AA$327:$AA$515,'Cắt lồng'!$AA130,'Cắt lồng'!$AE$327:$AE$515,'Cắt lồng'!CM$4:CM$4)</f>
        <v>0</v>
      </c>
      <c r="CN130" s="79">
        <f t="array" ref="CN130">SUMIFS('Cắt lồng'!$AH$327:$AH$515,'Cắt lồng'!$AA$327:$AA$515,'Cắt lồng'!$AA130,'Cắt lồng'!$AE$327:$AE$515,'Cắt lồng'!CN$4:CN$4)</f>
        <v>0</v>
      </c>
      <c r="CO130" s="78" t="e">
        <f t="shared" si="263"/>
        <v>#DIV/0!</v>
      </c>
      <c r="CP130" s="79">
        <f t="array" ref="CP130">SUMIFS('Cắt lồng'!$AC$327:$AC$515,'Cắt lồng'!$AA$327:$AA$515,'Cắt lồng'!$AA130,'Cắt lồng'!$AE$327:$AE$515,'Cắt lồng'!CP$4:CP$4)</f>
        <v>0</v>
      </c>
      <c r="CQ130" s="79">
        <f t="array" ref="CQ130">SUMIFS('Cắt lồng'!$AH$327:$AH$515,'Cắt lồng'!$AA$327:$AA$515,'Cắt lồng'!$AA130,'Cắt lồng'!$AE$327:$AE$515,'Cắt lồng'!CQ$4:CQ$4)</f>
        <v>0</v>
      </c>
      <c r="CR130" s="78" t="e">
        <f t="shared" si="264"/>
        <v>#DIV/0!</v>
      </c>
      <c r="CS130" s="79">
        <f t="array" ref="CS130">SUMIFS('Cắt lồng'!$AC$327:$AC$515,'Cắt lồng'!$AA$327:$AA$515,'Cắt lồng'!$AA130,'Cắt lồng'!$AE$327:$AE$515,'Cắt lồng'!CS$4:CS$4)</f>
        <v>0</v>
      </c>
      <c r="CT130" s="79">
        <f t="array" ref="CT130">SUMIFS('Cắt lồng'!$AH$327:$AH$515,'Cắt lồng'!$AA$327:$AA$515,'Cắt lồng'!$AA130,'Cắt lồng'!$AE$327:$AE$515,'Cắt lồng'!CT$4:CT$4)</f>
        <v>0</v>
      </c>
      <c r="CU130" s="78" t="e">
        <f t="shared" si="265"/>
        <v>#DIV/0!</v>
      </c>
      <c r="CV130" s="79">
        <f t="array" ref="CV130">SUMIFS('Cắt lồng'!$AC$327:$AC$515,'Cắt lồng'!$AA$327:$AA$515,'Cắt lồng'!$AA130,'Cắt lồng'!$AE$327:$AE$515,'Cắt lồng'!CV$4:CV$4)</f>
        <v>0</v>
      </c>
      <c r="CW130" s="79">
        <f t="array" ref="CW130">SUMIFS('Cắt lồng'!$AH$327:$AH$515,'Cắt lồng'!$AA$327:$AA$515,'Cắt lồng'!$AA130,'Cắt lồng'!$AE$327:$AE$515,'Cắt lồng'!CW$4:CW$4)</f>
        <v>0</v>
      </c>
      <c r="CX130" s="78" t="e">
        <f t="shared" si="266"/>
        <v>#DIV/0!</v>
      </c>
      <c r="CY130" s="79">
        <f t="array" ref="CY130">SUMIFS('Cắt lồng'!$AC$327:$AC$515,'Cắt lồng'!$AA$327:$AA$515,'Cắt lồng'!$AA130,'Cắt lồng'!$AE$327:$AE$515,'Cắt lồng'!CY$4:CY$4)</f>
        <v>0</v>
      </c>
      <c r="CZ130" s="79">
        <f t="array" ref="CZ130">SUMIFS('Cắt lồng'!$AH$327:$AH$515,'Cắt lồng'!$AA$327:$AA$515,'Cắt lồng'!$AA130,'Cắt lồng'!$AE$327:$AE$515,'Cắt lồng'!CZ$4:CZ$4)</f>
        <v>0</v>
      </c>
      <c r="DA130" s="78" t="e">
        <f t="shared" si="267"/>
        <v>#DIV/0!</v>
      </c>
      <c r="DB130" s="79">
        <f t="array" ref="DB130">SUMIFS('Cắt lồng'!$AC$327:$AC$515,'Cắt lồng'!$AA$327:$AA$515,'Cắt lồng'!$AA130,'Cắt lồng'!$AE$327:$AE$515,'Cắt lồng'!DB$4:DB$4)</f>
        <v>0</v>
      </c>
      <c r="DC130" s="79">
        <f t="array" ref="DC130">SUMIFS('Cắt lồng'!$AH$327:$AH$515,'Cắt lồng'!$AA$327:$AA$515,'Cắt lồng'!$AA130,'Cắt lồng'!$AE$327:$AE$515,'Cắt lồng'!DC$4:DC$4)</f>
        <v>0</v>
      </c>
      <c r="DD130" s="78" t="e">
        <f t="shared" si="268"/>
        <v>#DIV/0!</v>
      </c>
      <c r="DE130" s="79">
        <f t="array" ref="DE130">SUMIFS('Cắt lồng'!$AC$327:$AC$515,'Cắt lồng'!$AA$327:$AA$515,'Cắt lồng'!$AA130,'Cắt lồng'!$AE$327:$AE$515,'Cắt lồng'!DE$4:DE$4)</f>
        <v>0</v>
      </c>
      <c r="DF130" s="79">
        <f t="array" ref="DF130">SUMIFS('Cắt lồng'!$AH$327:$AH$515,'Cắt lồng'!$AA$327:$AA$515,'Cắt lồng'!$AA130,'Cắt lồng'!$AE$327:$AE$515,'Cắt lồng'!DF$4:DF$4)</f>
        <v>0</v>
      </c>
      <c r="DG130" s="78" t="e">
        <f t="shared" si="269"/>
        <v>#DIV/0!</v>
      </c>
      <c r="DH130" s="79">
        <f t="array" ref="DH130">SUMIFS('Cắt lồng'!$AC$327:$AC$515,'Cắt lồng'!$AA$327:$AA$515,'Cắt lồng'!$AA130,'Cắt lồng'!$AE$327:$AE$515,'Cắt lồng'!DH$4:DH$4)</f>
        <v>0</v>
      </c>
      <c r="DI130" s="79">
        <f t="array" ref="DI130">SUMIFS('Cắt lồng'!$AH$327:$AH$515,'Cắt lồng'!$AA$327:$AA$515,'Cắt lồng'!$AA130,'Cắt lồng'!$AE$327:$AE$515,'Cắt lồng'!DI$4:DI$4)</f>
        <v>0</v>
      </c>
      <c r="DJ130" s="78" t="e">
        <f t="shared" si="270"/>
        <v>#DIV/0!</v>
      </c>
      <c r="DK130" s="79">
        <f t="array" ref="DK130">SUMIFS('Cắt lồng'!$AC$327:$AC$515,'Cắt lồng'!$AA$327:$AA$515,'Cắt lồng'!$AA130,'Cắt lồng'!$AE$327:$AE$515,'Cắt lồng'!DK$4:DK$4)</f>
        <v>0</v>
      </c>
      <c r="DL130" s="79">
        <f t="array" ref="DL130">SUMIFS('Cắt lồng'!$AH$327:$AH$515,'Cắt lồng'!$AA$327:$AA$515,'Cắt lồng'!$AA130,'Cắt lồng'!$AE$327:$AE$515,'Cắt lồng'!DL$4:DL$4)</f>
        <v>0</v>
      </c>
      <c r="DM130" s="78" t="e">
        <f t="shared" si="271"/>
        <v>#DIV/0!</v>
      </c>
      <c r="DN130" s="79">
        <f t="array" ref="DN130">SUMIFS('Cắt lồng'!$AC$327:$AC$515,'Cắt lồng'!$AA$327:$AA$515,'Cắt lồng'!$AA130,'Cắt lồng'!$AE$327:$AE$515,'Cắt lồng'!DN$4:DN$4)</f>
        <v>0</v>
      </c>
      <c r="DO130" s="79">
        <f t="array" ref="DO130">SUMIFS('Cắt lồng'!$AH$327:$AH$515,'Cắt lồng'!$AA$327:$AA$515,'Cắt lồng'!$AA130,'Cắt lồng'!$AE$327:$AE$515,'Cắt lồng'!DO$4:DO$4)</f>
        <v>0</v>
      </c>
      <c r="DP130" s="78" t="e">
        <f t="shared" si="272"/>
        <v>#DIV/0!</v>
      </c>
      <c r="DQ130" s="79">
        <f t="array" ref="DQ130">SUMIFS('Cắt lồng'!$AC$327:$AC$515,'Cắt lồng'!$AA$327:$AA$515,'Cắt lồng'!$AA130,'Cắt lồng'!$AE$327:$AE$515,'Cắt lồng'!DQ$4:DQ$4)</f>
        <v>0</v>
      </c>
      <c r="DR130" s="79">
        <f t="array" ref="DR130">SUMIFS('Cắt lồng'!$AH$327:$AH$515,'Cắt lồng'!$AA$327:$AA$515,'Cắt lồng'!$AA130,'Cắt lồng'!$AE$327:$AE$515,'Cắt lồng'!DR$4:DR$4)</f>
        <v>0</v>
      </c>
      <c r="DS130" s="78" t="e">
        <f t="shared" si="273"/>
        <v>#DIV/0!</v>
      </c>
      <c r="DT130" s="79">
        <f t="array" ref="DT130">SUMIFS('Cắt lồng'!$AC$327:$AC$515,'Cắt lồng'!$AA$327:$AA$515,'Cắt lồng'!$AA130,'Cắt lồng'!$AE$327:$AE$515,'Cắt lồng'!DT$4:DT$4)</f>
        <v>0</v>
      </c>
      <c r="DU130" s="79">
        <f t="array" ref="DU130">SUMIFS('Cắt lồng'!$AH$327:$AH$515,'Cắt lồng'!$AA$327:$AA$515,'Cắt lồng'!$AA130,'Cắt lồng'!$AE$327:$AE$515,'Cắt lồng'!DU$4:DU$4)</f>
        <v>0</v>
      </c>
      <c r="DV130" s="78" t="e">
        <f t="shared" si="274"/>
        <v>#DIV/0!</v>
      </c>
      <c r="DW130" s="79">
        <f t="array" ref="DW130">SUMIFS('Cắt lồng'!$AC$327:$AC$515,'Cắt lồng'!$AA$327:$AA$515,'Cắt lồng'!$AA130,'Cắt lồng'!$AE$327:$AE$515,'Cắt lồng'!DW$4:DW$4)</f>
        <v>0</v>
      </c>
      <c r="DX130" s="79">
        <f t="array" ref="DX130">SUMIFS('Cắt lồng'!$AH$327:$AH$515,'Cắt lồng'!$AA$327:$AA$515,'Cắt lồng'!$AA130,'Cắt lồng'!$AE$327:$AE$515,'Cắt lồng'!DX$4:DX$4)</f>
        <v>0</v>
      </c>
      <c r="DY130" s="78" t="e">
        <f t="shared" si="275"/>
        <v>#DIV/0!</v>
      </c>
      <c r="DZ130" s="79">
        <f t="array" ref="DZ130">SUMIFS('Cắt lồng'!$AC$327:$AC$515,'Cắt lồng'!$AA$327:$AA$515,'Cắt lồng'!$AA130,'Cắt lồng'!$AE$327:$AE$515,'Cắt lồng'!DZ$4:DZ$4)</f>
        <v>0</v>
      </c>
      <c r="EA130" s="79">
        <f t="array" ref="EA130">SUMIFS('Cắt lồng'!$AH$327:$AH$515,'Cắt lồng'!$AA$327:$AA$515,'Cắt lồng'!$AA130,'Cắt lồng'!$AE$327:$AE$515,'Cắt lồng'!EA$4:EA$4)</f>
        <v>0</v>
      </c>
      <c r="EB130" s="78" t="e">
        <f t="shared" si="276"/>
        <v>#DIV/0!</v>
      </c>
      <c r="EC130" s="79">
        <f t="array" ref="EC130">SUMIFS('Cắt lồng'!$AC$327:$AC$515,'Cắt lồng'!$AA$327:$AA$515,'Cắt lồng'!$AA130,'Cắt lồng'!$AE$327:$AE$515,'Cắt lồng'!EC$4:EC$4)</f>
        <v>0</v>
      </c>
      <c r="ED130" s="79">
        <f t="array" ref="ED130">SUMIFS('Cắt lồng'!$AH$327:$AH$515,'Cắt lồng'!$AA$327:$AA$515,'Cắt lồng'!$AA130,'Cắt lồng'!$AE$327:$AE$515,'Cắt lồng'!ED$4:ED$4)</f>
        <v>0</v>
      </c>
      <c r="EE130" s="78" t="e">
        <f t="shared" si="277"/>
        <v>#DIV/0!</v>
      </c>
      <c r="EF130" s="79">
        <f t="array" ref="EF130">SUMIFS('Cắt lồng'!$AC$327:$AC$515,'Cắt lồng'!$AA$327:$AA$515,'Cắt lồng'!$AA130,'Cắt lồng'!$AE$327:$AE$515,'Cắt lồng'!EF$4:EF$4)</f>
        <v>0</v>
      </c>
      <c r="EG130" s="79">
        <f t="array" ref="EG130">SUMIFS('Cắt lồng'!$AH$327:$AH$515,'Cắt lồng'!$AA$327:$AA$515,'Cắt lồng'!$AA130,'Cắt lồng'!$AE$327:$AE$515,'Cắt lồng'!EG$4:EG$4)</f>
        <v>0</v>
      </c>
      <c r="EH130" s="78" t="e">
        <f t="shared" si="278"/>
        <v>#DIV/0!</v>
      </c>
      <c r="EI130" s="79">
        <f t="array" ref="EI130">SUMIFS('Cắt lồng'!$AC$327:$AC$515,'Cắt lồng'!$AA$327:$AA$515,'Cắt lồng'!$AA130,'Cắt lồng'!$AE$327:$AE$515,'Cắt lồng'!EI$4:EI$4)</f>
        <v>0</v>
      </c>
      <c r="EJ130" s="79">
        <f t="array" ref="EJ130">SUMIFS('Cắt lồng'!$AH$327:$AH$515,'Cắt lồng'!$AA$327:$AA$515,'Cắt lồng'!$AA130,'Cắt lồng'!$AE$327:$AE$515,'Cắt lồng'!EJ$4:EJ$4)</f>
        <v>0</v>
      </c>
      <c r="EK130" s="78" t="e">
        <f t="shared" si="279"/>
        <v>#DIV/0!</v>
      </c>
    </row>
    <row r="131" spans="1:141" s="12" customFormat="1" ht="14.25" hidden="1" customHeight="1">
      <c r="A131" s="30">
        <v>98</v>
      </c>
      <c r="B131" s="26"/>
      <c r="C131" s="25"/>
      <c r="D131" s="24"/>
      <c r="E131" s="60"/>
      <c r="F131" s="59"/>
      <c r="G131" s="82">
        <f t="shared" si="212"/>
        <v>0</v>
      </c>
      <c r="H131" s="81">
        <f t="shared" si="213"/>
        <v>2.66</v>
      </c>
      <c r="I131" s="19">
        <f t="shared" si="214"/>
        <v>0</v>
      </c>
      <c r="J131" s="11">
        <f t="shared" si="215"/>
        <v>0.5</v>
      </c>
      <c r="K131" s="19">
        <f t="shared" si="216"/>
        <v>0</v>
      </c>
      <c r="L131" s="19">
        <f t="shared" si="217"/>
        <v>0</v>
      </c>
      <c r="M131" s="19">
        <f t="shared" si="218"/>
        <v>0.17</v>
      </c>
      <c r="N131" s="19">
        <f t="shared" si="219"/>
        <v>0</v>
      </c>
      <c r="O131" s="19">
        <f t="shared" si="220"/>
        <v>0</v>
      </c>
      <c r="P131" s="19">
        <f t="shared" si="221"/>
        <v>0</v>
      </c>
      <c r="Q131" s="19">
        <f t="shared" si="222"/>
        <v>0</v>
      </c>
      <c r="R131" s="19">
        <f t="shared" si="223"/>
        <v>0</v>
      </c>
      <c r="S131" s="19">
        <f t="shared" si="224"/>
        <v>0</v>
      </c>
      <c r="T131" s="19">
        <f t="shared" si="225"/>
        <v>0</v>
      </c>
      <c r="U131" s="19">
        <f t="shared" si="226"/>
        <v>0</v>
      </c>
      <c r="V131" s="19">
        <f t="shared" si="227"/>
        <v>0</v>
      </c>
      <c r="W131" s="19">
        <f t="shared" si="228"/>
        <v>0.33</v>
      </c>
      <c r="X131" s="19">
        <f t="shared" si="229"/>
        <v>0</v>
      </c>
      <c r="Y131" s="19">
        <f t="shared" si="230"/>
        <v>0</v>
      </c>
      <c r="Z131" s="19">
        <f t="shared" si="231"/>
        <v>0</v>
      </c>
      <c r="AA131" s="154">
        <v>6773</v>
      </c>
      <c r="AB131" s="17" t="e">
        <f>+H131*SUMIF('[1]KẾ HOẠCH'!$B$5:$CK$5,'Cắt lồng'!AA131,'[1]KẾ HOẠCH'!$B$6:$CK$6)+H131*SUMIF('[1]KẾ HOẠCH'!$B$7:$CK$7,'Cắt lồng'!AA131,'[1]KẾ HOẠCH'!$B$8:$CK$8)+H131*SUMIF('[1]KẾ HOẠCH'!$B$15:$CK$15,'Cắt lồng'!AA131,'[1]KẾ HOẠCH'!$B$16:$CK$16)</f>
        <v>#VALUE!</v>
      </c>
      <c r="AC131" s="16">
        <f t="shared" si="232"/>
        <v>320</v>
      </c>
      <c r="AD131" s="15" t="e">
        <f t="shared" si="233"/>
        <v>#VALUE!</v>
      </c>
      <c r="AE131" s="42"/>
      <c r="AF131" s="10">
        <f t="shared" si="234"/>
        <v>120.30075187969925</v>
      </c>
      <c r="AG131" s="10"/>
      <c r="AH131" s="152">
        <f t="shared" si="235"/>
        <v>61</v>
      </c>
      <c r="AI131" s="54">
        <f t="shared" si="236"/>
        <v>0.19062499999999999</v>
      </c>
      <c r="AJ131" s="25">
        <f t="shared" si="237"/>
        <v>61</v>
      </c>
      <c r="AK131" s="25">
        <f t="shared" si="238"/>
        <v>0</v>
      </c>
      <c r="AL131" s="25">
        <f t="shared" si="239"/>
        <v>0</v>
      </c>
      <c r="AM131" s="30">
        <f t="shared" si="240"/>
        <v>0</v>
      </c>
      <c r="AN131" s="25">
        <f t="shared" si="241"/>
        <v>0</v>
      </c>
      <c r="AO131" s="25">
        <f t="shared" si="242"/>
        <v>0</v>
      </c>
      <c r="AP131" s="25">
        <f t="shared" si="243"/>
        <v>0</v>
      </c>
      <c r="AQ131" s="25">
        <f t="shared" si="244"/>
        <v>0</v>
      </c>
      <c r="AR131" s="25">
        <f t="shared" si="245"/>
        <v>0</v>
      </c>
      <c r="AS131" s="25">
        <f t="shared" si="246"/>
        <v>0</v>
      </c>
      <c r="AT131" s="25">
        <f t="shared" si="247"/>
        <v>0</v>
      </c>
      <c r="AV131" s="79">
        <f t="shared" si="248"/>
        <v>2.66</v>
      </c>
      <c r="AW131" s="79">
        <f t="array" ref="AW131">SUMIFS('Cắt lồng'!$AC$327:$AC$515,'Cắt lồng'!$AA$327:$AA$515,'Cắt lồng'!$AA131,'Cắt lồng'!$AE$327:$AE$515,'Cắt lồng'!AW$4:AW$4)</f>
        <v>320</v>
      </c>
      <c r="AX131" s="79">
        <f t="array" ref="AX131">SUMIFS('Cắt lồng'!$AH$327:$AH$515,'Cắt lồng'!$AA$327:$AA$515,'Cắt lồng'!$AA131,'Cắt lồng'!$AE$327:$AE$515,'Cắt lồng'!AX$4:AX$4)</f>
        <v>0</v>
      </c>
      <c r="AY131" s="78">
        <f t="shared" si="249"/>
        <v>0</v>
      </c>
      <c r="AZ131" s="79">
        <f t="array" ref="AZ131">SUMIFS('Cắt lồng'!$AC$327:$AC$515,'Cắt lồng'!$AA$327:$AA$515,'Cắt lồng'!$AA131,'Cắt lồng'!$AE$327:$AE$515,'Cắt lồng'!AZ$4:AZ$4)</f>
        <v>0</v>
      </c>
      <c r="BA131" s="79">
        <f t="array" ref="BA131">SUMIFS('Cắt lồng'!$AH$327:$AH$515,'Cắt lồng'!$AA$327:$AA$515,'Cắt lồng'!$AA131,'Cắt lồng'!$AE$327:$AE$515,'Cắt lồng'!BA$4:BA$4)</f>
        <v>0</v>
      </c>
      <c r="BB131" s="78" t="e">
        <f t="shared" si="250"/>
        <v>#DIV/0!</v>
      </c>
      <c r="BC131" s="79">
        <f t="array" ref="BC131">SUMIFS('Cắt lồng'!$AC$327:$AC$515,'Cắt lồng'!$AA$327:$AA$515,'Cắt lồng'!$AA131,'Cắt lồng'!$AE$327:$AE$515,'Cắt lồng'!BC$4:BC$4)</f>
        <v>0</v>
      </c>
      <c r="BD131" s="79">
        <f t="array" ref="BD131">SUMIFS('Cắt lồng'!$AH$327:$AH$515,'Cắt lồng'!$AA$327:$AA$515,'Cắt lồng'!$AA131,'Cắt lồng'!$AE$327:$AE$515,'Cắt lồng'!BD$4:BD$4)</f>
        <v>0</v>
      </c>
      <c r="BE131" s="78" t="e">
        <f t="shared" si="251"/>
        <v>#DIV/0!</v>
      </c>
      <c r="BF131" s="79">
        <f t="array" ref="BF131">SUMIFS('Cắt lồng'!$AC$327:$AC$515,'Cắt lồng'!$AA$327:$AA$515,'Cắt lồng'!$AA131,'Cắt lồng'!$AE$327:$AE$515,'Cắt lồng'!BF$4:BF$4)</f>
        <v>0</v>
      </c>
      <c r="BG131" s="79">
        <f t="array" ref="BG131">SUMIFS('Cắt lồng'!$AH$327:$AH$515,'Cắt lồng'!$AA$327:$AA$515,'Cắt lồng'!$AA131,'Cắt lồng'!$AE$327:$AE$515,'Cắt lồng'!BG$4:BG$4)</f>
        <v>0</v>
      </c>
      <c r="BH131" s="78" t="e">
        <f t="shared" si="252"/>
        <v>#DIV/0!</v>
      </c>
      <c r="BI131" s="79">
        <f t="array" ref="BI131">SUMIFS('Cắt lồng'!$AC$327:$AC$515,'Cắt lồng'!$AA$327:$AA$515,'Cắt lồng'!$AA131,'Cắt lồng'!$AE$327:$AE$515,'Cắt lồng'!BI$4:BI$4)</f>
        <v>0</v>
      </c>
      <c r="BJ131" s="79">
        <f t="array" ref="BJ131">SUMIFS('Cắt lồng'!$AH$327:$AH$515,'Cắt lồng'!$AA$327:$AA$515,'Cắt lồng'!$AA131,'Cắt lồng'!$AE$327:$AE$515,'Cắt lồng'!BJ$4:BJ$4)</f>
        <v>0</v>
      </c>
      <c r="BK131" s="78" t="e">
        <f t="shared" si="253"/>
        <v>#DIV/0!</v>
      </c>
      <c r="BL131" s="79">
        <f t="array" ref="BL131">SUMIFS('Cắt lồng'!$AC$327:$AC$515,'Cắt lồng'!$AA$327:$AA$515,'Cắt lồng'!$AA131,'Cắt lồng'!$AE$327:$AE$515,'Cắt lồng'!BL$4:BL$4)</f>
        <v>0</v>
      </c>
      <c r="BM131" s="79">
        <f t="array" ref="BM131">SUMIFS('Cắt lồng'!$AH$327:$AH$515,'Cắt lồng'!$AA$327:$AA$515,'Cắt lồng'!$AA131,'Cắt lồng'!$AE$327:$AE$515,'Cắt lồng'!BM$4:BM$4)</f>
        <v>0</v>
      </c>
      <c r="BN131" s="78" t="e">
        <f t="shared" si="254"/>
        <v>#DIV/0!</v>
      </c>
      <c r="BO131" s="79">
        <f t="array" ref="BO131">SUMIFS('Cắt lồng'!$AC$327:$AC$515,'Cắt lồng'!$AA$327:$AA$515,'Cắt lồng'!$AA131,'Cắt lồng'!$AE$327:$AE$515,'Cắt lồng'!BO$4:BO$4)</f>
        <v>0</v>
      </c>
      <c r="BP131" s="79">
        <f t="array" ref="BP131">SUMIFS('Cắt lồng'!$AH$327:$AH$515,'Cắt lồng'!$AA$327:$AA$515,'Cắt lồng'!$AA131,'Cắt lồng'!$AE$327:$AE$515,'Cắt lồng'!BP$4:BP$4)</f>
        <v>0</v>
      </c>
      <c r="BQ131" s="78" t="e">
        <f t="shared" si="255"/>
        <v>#DIV/0!</v>
      </c>
      <c r="BR131" s="79">
        <f t="array" ref="BR131">SUMIFS('Cắt lồng'!$AC$327:$AC$515,'Cắt lồng'!$AA$327:$AA$515,'Cắt lồng'!$AA131,'Cắt lồng'!$AE$327:$AE$515,'Cắt lồng'!BR$4:BR$4)</f>
        <v>0</v>
      </c>
      <c r="BS131" s="79">
        <f t="array" ref="BS131">SUMIFS('Cắt lồng'!$AH$327:$AH$515,'Cắt lồng'!$AA$327:$AA$515,'Cắt lồng'!$AA131,'Cắt lồng'!$AE$327:$AE$515,'Cắt lồng'!BS$4:BS$4)</f>
        <v>0</v>
      </c>
      <c r="BT131" s="78" t="e">
        <f t="shared" si="256"/>
        <v>#DIV/0!</v>
      </c>
      <c r="BU131" s="79">
        <f t="array" ref="BU131">SUMIFS('Cắt lồng'!$AC$327:$AC$515,'Cắt lồng'!$AA$327:$AA$515,'Cắt lồng'!$AA131,'Cắt lồng'!$AE$327:$AE$515,'Cắt lồng'!BU$4:BU$4)</f>
        <v>0</v>
      </c>
      <c r="BV131" s="79">
        <f t="array" ref="BV131">SUMIFS('Cắt lồng'!$AH$327:$AH$515,'Cắt lồng'!$AA$327:$AA$515,'Cắt lồng'!$AA131,'Cắt lồng'!$AE$327:$AE$515,'Cắt lồng'!BV$4:BV$4)</f>
        <v>0</v>
      </c>
      <c r="BW131" s="78" t="e">
        <f t="shared" si="257"/>
        <v>#DIV/0!</v>
      </c>
      <c r="BX131" s="79">
        <f t="array" ref="BX131">SUMIFS('Cắt lồng'!$AC$327:$AC$515,'Cắt lồng'!$AA$327:$AA$515,'Cắt lồng'!$AA131,'Cắt lồng'!$AE$327:$AE$515,'Cắt lồng'!BX$4:BX$4)</f>
        <v>0</v>
      </c>
      <c r="BY131" s="79">
        <f t="array" ref="BY131">SUMIFS('Cắt lồng'!$AH$327:$AH$515,'Cắt lồng'!$AA$327:$AA$515,'Cắt lồng'!$AA131,'Cắt lồng'!$AE$327:$AE$515,'Cắt lồng'!BY$4:BY$4)</f>
        <v>0</v>
      </c>
      <c r="BZ131" s="78" t="e">
        <f t="shared" si="258"/>
        <v>#DIV/0!</v>
      </c>
      <c r="CA131" s="79">
        <f t="array" ref="CA131">SUMIFS('Cắt lồng'!$AC$327:$AC$515,'Cắt lồng'!$AA$327:$AA$515,'Cắt lồng'!$AA131,'Cắt lồng'!$AE$327:$AE$515,'Cắt lồng'!CA$4:CA$4)</f>
        <v>0</v>
      </c>
      <c r="CB131" s="79">
        <f t="array" ref="CB131">SUMIFS('Cắt lồng'!$AH$327:$AH$515,'Cắt lồng'!$AA$327:$AA$515,'Cắt lồng'!$AA131,'Cắt lồng'!$AE$327:$AE$515,'Cắt lồng'!CB$4:CB$4)</f>
        <v>0</v>
      </c>
      <c r="CC131" s="78" t="e">
        <f t="shared" si="259"/>
        <v>#DIV/0!</v>
      </c>
      <c r="CD131" s="79">
        <f t="array" ref="CD131">SUMIFS('Cắt lồng'!$AC$327:$AC$515,'Cắt lồng'!$AA$327:$AA$515,'Cắt lồng'!$AA131,'Cắt lồng'!$AE$327:$AE$515,'Cắt lồng'!CD$4:CD$4)</f>
        <v>0</v>
      </c>
      <c r="CE131" s="79">
        <f t="array" ref="CE131">SUMIFS('Cắt lồng'!$AH$327:$AH$515,'Cắt lồng'!$AA$327:$AA$515,'Cắt lồng'!$AA131,'Cắt lồng'!$AE$327:$AE$515,'Cắt lồng'!CE$4:CE$4)</f>
        <v>0</v>
      </c>
      <c r="CF131" s="78" t="e">
        <f t="shared" si="260"/>
        <v>#DIV/0!</v>
      </c>
      <c r="CG131" s="79">
        <f t="array" ref="CG131">SUMIFS('Cắt lồng'!$AC$327:$AC$515,'Cắt lồng'!$AA$327:$AA$515,'Cắt lồng'!$AA131,'Cắt lồng'!$AE$327:$AE$515,'Cắt lồng'!CG$4:CG$4)</f>
        <v>0</v>
      </c>
      <c r="CH131" s="79">
        <f t="array" ref="CH131">SUMIFS('Cắt lồng'!$AH$327:$AH$515,'Cắt lồng'!$AA$327:$AA$515,'Cắt lồng'!$AA131,'Cắt lồng'!$AE$327:$AE$515,'Cắt lồng'!CH$4:CH$4)</f>
        <v>0</v>
      </c>
      <c r="CI131" s="78" t="e">
        <f t="shared" si="261"/>
        <v>#DIV/0!</v>
      </c>
      <c r="CJ131" s="79">
        <f t="array" ref="CJ131">SUMIFS('Cắt lồng'!$AC$327:$AC$515,'Cắt lồng'!$AA$327:$AA$515,'Cắt lồng'!$AA131,'Cắt lồng'!$AE$327:$AE$515,'Cắt lồng'!CJ$4:CJ$4)</f>
        <v>0</v>
      </c>
      <c r="CK131" s="79">
        <f t="array" ref="CK131">SUMIFS('Cắt lồng'!$AH$327:$AH$515,'Cắt lồng'!$AA$327:$AA$515,'Cắt lồng'!$AA131,'Cắt lồng'!$AE$327:$AE$515,'Cắt lồng'!CK$4:CK$4)</f>
        <v>0</v>
      </c>
      <c r="CL131" s="78" t="e">
        <f t="shared" si="262"/>
        <v>#DIV/0!</v>
      </c>
      <c r="CM131" s="79">
        <f t="array" ref="CM131">SUMIFS('Cắt lồng'!$AC$327:$AC$515,'Cắt lồng'!$AA$327:$AA$515,'Cắt lồng'!$AA131,'Cắt lồng'!$AE$327:$AE$515,'Cắt lồng'!CM$4:CM$4)</f>
        <v>0</v>
      </c>
      <c r="CN131" s="79">
        <f t="array" ref="CN131">SUMIFS('Cắt lồng'!$AH$327:$AH$515,'Cắt lồng'!$AA$327:$AA$515,'Cắt lồng'!$AA131,'Cắt lồng'!$AE$327:$AE$515,'Cắt lồng'!CN$4:CN$4)</f>
        <v>0</v>
      </c>
      <c r="CO131" s="78" t="e">
        <f t="shared" si="263"/>
        <v>#DIV/0!</v>
      </c>
      <c r="CP131" s="79">
        <f t="array" ref="CP131">SUMIFS('Cắt lồng'!$AC$327:$AC$515,'Cắt lồng'!$AA$327:$AA$515,'Cắt lồng'!$AA131,'Cắt lồng'!$AE$327:$AE$515,'Cắt lồng'!CP$4:CP$4)</f>
        <v>0</v>
      </c>
      <c r="CQ131" s="79">
        <f t="array" ref="CQ131">SUMIFS('Cắt lồng'!$AH$327:$AH$515,'Cắt lồng'!$AA$327:$AA$515,'Cắt lồng'!$AA131,'Cắt lồng'!$AE$327:$AE$515,'Cắt lồng'!CQ$4:CQ$4)</f>
        <v>0</v>
      </c>
      <c r="CR131" s="78" t="e">
        <f t="shared" si="264"/>
        <v>#DIV/0!</v>
      </c>
      <c r="CS131" s="79">
        <f t="array" ref="CS131">SUMIFS('Cắt lồng'!$AC$327:$AC$515,'Cắt lồng'!$AA$327:$AA$515,'Cắt lồng'!$AA131,'Cắt lồng'!$AE$327:$AE$515,'Cắt lồng'!CS$4:CS$4)</f>
        <v>0</v>
      </c>
      <c r="CT131" s="79">
        <f t="array" ref="CT131">SUMIFS('Cắt lồng'!$AH$327:$AH$515,'Cắt lồng'!$AA$327:$AA$515,'Cắt lồng'!$AA131,'Cắt lồng'!$AE$327:$AE$515,'Cắt lồng'!CT$4:CT$4)</f>
        <v>0</v>
      </c>
      <c r="CU131" s="78" t="e">
        <f t="shared" si="265"/>
        <v>#DIV/0!</v>
      </c>
      <c r="CV131" s="79">
        <f t="array" ref="CV131">SUMIFS('Cắt lồng'!$AC$327:$AC$515,'Cắt lồng'!$AA$327:$AA$515,'Cắt lồng'!$AA131,'Cắt lồng'!$AE$327:$AE$515,'Cắt lồng'!CV$4:CV$4)</f>
        <v>0</v>
      </c>
      <c r="CW131" s="79">
        <f t="array" ref="CW131">SUMIFS('Cắt lồng'!$AH$327:$AH$515,'Cắt lồng'!$AA$327:$AA$515,'Cắt lồng'!$AA131,'Cắt lồng'!$AE$327:$AE$515,'Cắt lồng'!CW$4:CW$4)</f>
        <v>0</v>
      </c>
      <c r="CX131" s="78" t="e">
        <f t="shared" si="266"/>
        <v>#DIV/0!</v>
      </c>
      <c r="CY131" s="79">
        <f t="array" ref="CY131">SUMIFS('Cắt lồng'!$AC$327:$AC$515,'Cắt lồng'!$AA$327:$AA$515,'Cắt lồng'!$AA131,'Cắt lồng'!$AE$327:$AE$515,'Cắt lồng'!CY$4:CY$4)</f>
        <v>0</v>
      </c>
      <c r="CZ131" s="79">
        <f t="array" ref="CZ131">SUMIFS('Cắt lồng'!$AH$327:$AH$515,'Cắt lồng'!$AA$327:$AA$515,'Cắt lồng'!$AA131,'Cắt lồng'!$AE$327:$AE$515,'Cắt lồng'!CZ$4:CZ$4)</f>
        <v>0</v>
      </c>
      <c r="DA131" s="78" t="e">
        <f t="shared" si="267"/>
        <v>#DIV/0!</v>
      </c>
      <c r="DB131" s="79">
        <f t="array" ref="DB131">SUMIFS('Cắt lồng'!$AC$327:$AC$515,'Cắt lồng'!$AA$327:$AA$515,'Cắt lồng'!$AA131,'Cắt lồng'!$AE$327:$AE$515,'Cắt lồng'!DB$4:DB$4)</f>
        <v>0</v>
      </c>
      <c r="DC131" s="79">
        <f t="array" ref="DC131">SUMIFS('Cắt lồng'!$AH$327:$AH$515,'Cắt lồng'!$AA$327:$AA$515,'Cắt lồng'!$AA131,'Cắt lồng'!$AE$327:$AE$515,'Cắt lồng'!DC$4:DC$4)</f>
        <v>0</v>
      </c>
      <c r="DD131" s="78" t="e">
        <f t="shared" si="268"/>
        <v>#DIV/0!</v>
      </c>
      <c r="DE131" s="79">
        <f t="array" ref="DE131">SUMIFS('Cắt lồng'!$AC$327:$AC$515,'Cắt lồng'!$AA$327:$AA$515,'Cắt lồng'!$AA131,'Cắt lồng'!$AE$327:$AE$515,'Cắt lồng'!DE$4:DE$4)</f>
        <v>0</v>
      </c>
      <c r="DF131" s="79">
        <f t="array" ref="DF131">SUMIFS('Cắt lồng'!$AH$327:$AH$515,'Cắt lồng'!$AA$327:$AA$515,'Cắt lồng'!$AA131,'Cắt lồng'!$AE$327:$AE$515,'Cắt lồng'!DF$4:DF$4)</f>
        <v>0</v>
      </c>
      <c r="DG131" s="78" t="e">
        <f t="shared" si="269"/>
        <v>#DIV/0!</v>
      </c>
      <c r="DH131" s="79">
        <f t="array" ref="DH131">SUMIFS('Cắt lồng'!$AC$327:$AC$515,'Cắt lồng'!$AA$327:$AA$515,'Cắt lồng'!$AA131,'Cắt lồng'!$AE$327:$AE$515,'Cắt lồng'!DH$4:DH$4)</f>
        <v>0</v>
      </c>
      <c r="DI131" s="79">
        <f t="array" ref="DI131">SUMIFS('Cắt lồng'!$AH$327:$AH$515,'Cắt lồng'!$AA$327:$AA$515,'Cắt lồng'!$AA131,'Cắt lồng'!$AE$327:$AE$515,'Cắt lồng'!DI$4:DI$4)</f>
        <v>0</v>
      </c>
      <c r="DJ131" s="78" t="e">
        <f t="shared" si="270"/>
        <v>#DIV/0!</v>
      </c>
      <c r="DK131" s="79">
        <f t="array" ref="DK131">SUMIFS('Cắt lồng'!$AC$327:$AC$515,'Cắt lồng'!$AA$327:$AA$515,'Cắt lồng'!$AA131,'Cắt lồng'!$AE$327:$AE$515,'Cắt lồng'!DK$4:DK$4)</f>
        <v>0</v>
      </c>
      <c r="DL131" s="79">
        <f t="array" ref="DL131">SUMIFS('Cắt lồng'!$AH$327:$AH$515,'Cắt lồng'!$AA$327:$AA$515,'Cắt lồng'!$AA131,'Cắt lồng'!$AE$327:$AE$515,'Cắt lồng'!DL$4:DL$4)</f>
        <v>0</v>
      </c>
      <c r="DM131" s="78" t="e">
        <f t="shared" si="271"/>
        <v>#DIV/0!</v>
      </c>
      <c r="DN131" s="79">
        <f t="array" ref="DN131">SUMIFS('Cắt lồng'!$AC$327:$AC$515,'Cắt lồng'!$AA$327:$AA$515,'Cắt lồng'!$AA131,'Cắt lồng'!$AE$327:$AE$515,'Cắt lồng'!DN$4:DN$4)</f>
        <v>0</v>
      </c>
      <c r="DO131" s="79">
        <f t="array" ref="DO131">SUMIFS('Cắt lồng'!$AH$327:$AH$515,'Cắt lồng'!$AA$327:$AA$515,'Cắt lồng'!$AA131,'Cắt lồng'!$AE$327:$AE$515,'Cắt lồng'!DO$4:DO$4)</f>
        <v>0</v>
      </c>
      <c r="DP131" s="78" t="e">
        <f t="shared" si="272"/>
        <v>#DIV/0!</v>
      </c>
      <c r="DQ131" s="79">
        <f t="array" ref="DQ131">SUMIFS('Cắt lồng'!$AC$327:$AC$515,'Cắt lồng'!$AA$327:$AA$515,'Cắt lồng'!$AA131,'Cắt lồng'!$AE$327:$AE$515,'Cắt lồng'!DQ$4:DQ$4)</f>
        <v>0</v>
      </c>
      <c r="DR131" s="79">
        <f t="array" ref="DR131">SUMIFS('Cắt lồng'!$AH$327:$AH$515,'Cắt lồng'!$AA$327:$AA$515,'Cắt lồng'!$AA131,'Cắt lồng'!$AE$327:$AE$515,'Cắt lồng'!DR$4:DR$4)</f>
        <v>0</v>
      </c>
      <c r="DS131" s="78" t="e">
        <f t="shared" si="273"/>
        <v>#DIV/0!</v>
      </c>
      <c r="DT131" s="79">
        <f t="array" ref="DT131">SUMIFS('Cắt lồng'!$AC$327:$AC$515,'Cắt lồng'!$AA$327:$AA$515,'Cắt lồng'!$AA131,'Cắt lồng'!$AE$327:$AE$515,'Cắt lồng'!DT$4:DT$4)</f>
        <v>0</v>
      </c>
      <c r="DU131" s="79">
        <f t="array" ref="DU131">SUMIFS('Cắt lồng'!$AH$327:$AH$515,'Cắt lồng'!$AA$327:$AA$515,'Cắt lồng'!$AA131,'Cắt lồng'!$AE$327:$AE$515,'Cắt lồng'!DU$4:DU$4)</f>
        <v>0</v>
      </c>
      <c r="DV131" s="78" t="e">
        <f t="shared" si="274"/>
        <v>#DIV/0!</v>
      </c>
      <c r="DW131" s="79">
        <f t="array" ref="DW131">SUMIFS('Cắt lồng'!$AC$327:$AC$515,'Cắt lồng'!$AA$327:$AA$515,'Cắt lồng'!$AA131,'Cắt lồng'!$AE$327:$AE$515,'Cắt lồng'!DW$4:DW$4)</f>
        <v>0</v>
      </c>
      <c r="DX131" s="79">
        <f t="array" ref="DX131">SUMIFS('Cắt lồng'!$AH$327:$AH$515,'Cắt lồng'!$AA$327:$AA$515,'Cắt lồng'!$AA131,'Cắt lồng'!$AE$327:$AE$515,'Cắt lồng'!DX$4:DX$4)</f>
        <v>0</v>
      </c>
      <c r="DY131" s="78" t="e">
        <f t="shared" si="275"/>
        <v>#DIV/0!</v>
      </c>
      <c r="DZ131" s="79">
        <f t="array" ref="DZ131">SUMIFS('Cắt lồng'!$AC$327:$AC$515,'Cắt lồng'!$AA$327:$AA$515,'Cắt lồng'!$AA131,'Cắt lồng'!$AE$327:$AE$515,'Cắt lồng'!DZ$4:DZ$4)</f>
        <v>0</v>
      </c>
      <c r="EA131" s="79">
        <f t="array" ref="EA131">SUMIFS('Cắt lồng'!$AH$327:$AH$515,'Cắt lồng'!$AA$327:$AA$515,'Cắt lồng'!$AA131,'Cắt lồng'!$AE$327:$AE$515,'Cắt lồng'!EA$4:EA$4)</f>
        <v>0</v>
      </c>
      <c r="EB131" s="78" t="e">
        <f t="shared" si="276"/>
        <v>#DIV/0!</v>
      </c>
      <c r="EC131" s="79">
        <f t="array" ref="EC131">SUMIFS('Cắt lồng'!$AC$327:$AC$515,'Cắt lồng'!$AA$327:$AA$515,'Cắt lồng'!$AA131,'Cắt lồng'!$AE$327:$AE$515,'Cắt lồng'!EC$4:EC$4)</f>
        <v>0</v>
      </c>
      <c r="ED131" s="79">
        <f t="array" ref="ED131">SUMIFS('Cắt lồng'!$AH$327:$AH$515,'Cắt lồng'!$AA$327:$AA$515,'Cắt lồng'!$AA131,'Cắt lồng'!$AE$327:$AE$515,'Cắt lồng'!ED$4:ED$4)</f>
        <v>0</v>
      </c>
      <c r="EE131" s="78" t="e">
        <f t="shared" si="277"/>
        <v>#DIV/0!</v>
      </c>
      <c r="EF131" s="79">
        <f t="array" ref="EF131">SUMIFS('Cắt lồng'!$AC$327:$AC$515,'Cắt lồng'!$AA$327:$AA$515,'Cắt lồng'!$AA131,'Cắt lồng'!$AE$327:$AE$515,'Cắt lồng'!EF$4:EF$4)</f>
        <v>0</v>
      </c>
      <c r="EG131" s="79">
        <f t="array" ref="EG131">SUMIFS('Cắt lồng'!$AH$327:$AH$515,'Cắt lồng'!$AA$327:$AA$515,'Cắt lồng'!$AA131,'Cắt lồng'!$AE$327:$AE$515,'Cắt lồng'!EG$4:EG$4)</f>
        <v>0</v>
      </c>
      <c r="EH131" s="78" t="e">
        <f t="shared" si="278"/>
        <v>#DIV/0!</v>
      </c>
      <c r="EI131" s="79">
        <f t="array" ref="EI131">SUMIFS('Cắt lồng'!$AC$327:$AC$515,'Cắt lồng'!$AA$327:$AA$515,'Cắt lồng'!$AA131,'Cắt lồng'!$AE$327:$AE$515,'Cắt lồng'!EI$4:EI$4)</f>
        <v>0</v>
      </c>
      <c r="EJ131" s="79">
        <f t="array" ref="EJ131">SUMIFS('Cắt lồng'!$AH$327:$AH$515,'Cắt lồng'!$AA$327:$AA$515,'Cắt lồng'!$AA131,'Cắt lồng'!$AE$327:$AE$515,'Cắt lồng'!EJ$4:EJ$4)</f>
        <v>0</v>
      </c>
      <c r="EK131" s="78" t="e">
        <f t="shared" si="279"/>
        <v>#DIV/0!</v>
      </c>
    </row>
    <row r="132" spans="1:141" s="12" customFormat="1" ht="14.25" hidden="1" customHeight="1">
      <c r="A132" s="30">
        <v>99</v>
      </c>
      <c r="B132" s="26"/>
      <c r="C132" s="25"/>
      <c r="D132" s="24"/>
      <c r="E132" s="60"/>
      <c r="F132" s="59"/>
      <c r="G132" s="82">
        <f t="shared" ref="G132:G152" si="280">+SUMIF($AA$327:$AA$515,Z132,$H$327:$H$515)</f>
        <v>0</v>
      </c>
      <c r="H132" s="81">
        <f t="shared" ref="H132:H152" si="281">+SUMIF($AA$327:$AA$515,AA132,$H$327:$H$515)</f>
        <v>19.329999999999998</v>
      </c>
      <c r="I132" s="19">
        <f t="shared" ref="I132:I152" si="282">+SUMIF($AA$327:$AA$515,AA132,$I$327:$I$515)</f>
        <v>0</v>
      </c>
      <c r="J132" s="11">
        <f t="shared" ref="J132:J152" si="283">SUM(K132:Z132)</f>
        <v>4.34</v>
      </c>
      <c r="K132" s="19">
        <f t="shared" ref="K132:K152" si="284">+SUMIF($AA$327:$AA$515,AA132,$K$327:$K$515)</f>
        <v>0</v>
      </c>
      <c r="L132" s="19">
        <f t="shared" ref="L132:L152" si="285">+SUMIF($AA$327:$AA$515,AA132,$L$327:$L$515)</f>
        <v>0</v>
      </c>
      <c r="M132" s="19">
        <f t="shared" ref="M132:M152" si="286">+SUMIF($AA$327:$AA$515,AA132,$M$327:$M$515)</f>
        <v>0.17</v>
      </c>
      <c r="N132" s="19">
        <f t="shared" ref="N132:N152" si="287">+SUMIF($AA$327:$AA$515,AA132,$N$327:$N$515)</f>
        <v>0.83000000000000007</v>
      </c>
      <c r="O132" s="19">
        <f t="shared" ref="O132:O152" si="288">+SUMIF($AA$327:$AA$515,AA132,$O$327:$O$515)</f>
        <v>0</v>
      </c>
      <c r="P132" s="19">
        <f t="shared" ref="P132:P152" si="289">+SUMIF($AA$327:$AA$515,AA132,$P$327:$P$515)</f>
        <v>0</v>
      </c>
      <c r="Q132" s="19">
        <f t="shared" ref="Q132:Q152" si="290">+SUMIF($AA$327:$AA$515,AA132,$Q$327:$Q$515)</f>
        <v>0</v>
      </c>
      <c r="R132" s="19">
        <f t="shared" ref="R132:R152" si="291">+SUMIF($AA$327:$AA$515,AA132,$R$327:$R$515)</f>
        <v>0</v>
      </c>
      <c r="S132" s="19">
        <f t="shared" ref="S132:S152" si="292">+SUMIF($AA$327:$AA$515,AA132,$S$327:$S$515)</f>
        <v>0</v>
      </c>
      <c r="T132" s="19">
        <f t="shared" ref="T132:T152" si="293">+SUMIF($AA$327:$AA$515,AA132,$T$327:$T$515)</f>
        <v>2.5</v>
      </c>
      <c r="U132" s="19">
        <f t="shared" ref="U132:U152" si="294">+SUMIF($AA$327:$AA$515,AA132,$U$327:$U$515)</f>
        <v>0</v>
      </c>
      <c r="V132" s="19">
        <f t="shared" ref="V132:V152" si="295">+SUMIF($AA$327:$AA$515,AA132,$V$327:$V$515)</f>
        <v>0</v>
      </c>
      <c r="W132" s="19">
        <f t="shared" ref="W132:W152" si="296">+SUMIF($AA$327:$AA$515,AA132,$W$327:$W$515)</f>
        <v>0.5</v>
      </c>
      <c r="X132" s="19">
        <f t="shared" ref="X132:X152" si="297">+SUMIF($AA$327:$AA$515,AA132,$X$327:$X$515)</f>
        <v>0.34</v>
      </c>
      <c r="Y132" s="19">
        <f t="shared" ref="Y132:Y152" si="298">+SUMIF($AA$327:$AA$515,AA132,$Y$327:$Y$515)</f>
        <v>0</v>
      </c>
      <c r="Z132" s="19">
        <f t="shared" ref="Z132:Z152" si="299">+SUMIF($AA$327:$AA$515,AB132,$Y$327:$Y$515)</f>
        <v>0</v>
      </c>
      <c r="AA132" s="153">
        <v>6270</v>
      </c>
      <c r="AB132" s="17" t="e">
        <f>+H132*SUMIF('[1]KẾ HOẠCH'!$B$5:$CK$5,'Cắt lồng'!AA132,'[1]KẾ HOẠCH'!$B$6:$CK$6)+H132*SUMIF('[1]KẾ HOẠCH'!$B$7:$CK$7,'Cắt lồng'!AA132,'[1]KẾ HOẠCH'!$B$8:$CK$8)+H132*SUMIF('[1]KẾ HOẠCH'!$B$15:$CK$15,'Cắt lồng'!AA132,'[1]KẾ HOẠCH'!$B$16:$CK$16)</f>
        <v>#VALUE!</v>
      </c>
      <c r="AC132" s="16">
        <f t="shared" ref="AC132:AC151" si="300">+SUMIF($AA$327:$AA$515,AA132,$AC$327:$AC$515)</f>
        <v>11677</v>
      </c>
      <c r="AD132" s="15" t="e">
        <f t="shared" ref="AD132:AD152" si="301">+AC132/AB132</f>
        <v>#VALUE!</v>
      </c>
      <c r="AE132" s="42"/>
      <c r="AF132" s="10">
        <f t="shared" ref="AF132:AF152" si="302">+AC132/H132</f>
        <v>604.0869115364718</v>
      </c>
      <c r="AG132" s="10"/>
      <c r="AH132" s="152">
        <f t="shared" ref="AH132:AH152" si="303">+SUM(AJ132:AT132)</f>
        <v>302</v>
      </c>
      <c r="AI132" s="54">
        <f t="shared" ref="AI132:AI152" si="304">+AH132/AC132</f>
        <v>2.5862807227883873E-2</v>
      </c>
      <c r="AJ132" s="25">
        <f t="shared" ref="AJ132:AJ152" si="305">+SUMIF($AA$327:$AA$515,AA132,$AJ$327:$AJ$515)</f>
        <v>302</v>
      </c>
      <c r="AK132" s="25">
        <f t="shared" ref="AK132:AK152" si="306">+SUMIF($AA$327:$AA$515,AA132,$AK$327:$AK$515)</f>
        <v>0</v>
      </c>
      <c r="AL132" s="25">
        <f t="shared" ref="AL132:AL152" si="307">+SUMIF($AA$327:$AA$515,AA132,$AL$327:$AL$515)</f>
        <v>0</v>
      </c>
      <c r="AM132" s="30">
        <f t="shared" ref="AM132:AM152" si="308">+SUMIF($AA$327:$AA$515,AA132,$AM$327:$AM$515)</f>
        <v>0</v>
      </c>
      <c r="AN132" s="25">
        <f t="shared" ref="AN132:AN152" si="309">+SUMIF($AA$327:$AA$515,AA132,$AN$327:$AN$515)</f>
        <v>0</v>
      </c>
      <c r="AO132" s="25">
        <f t="shared" ref="AO132:AO152" si="310">+SUMIF($AA$327:$AA$515,AA132,$AO$327:$AO$515)</f>
        <v>0</v>
      </c>
      <c r="AP132" s="25">
        <f t="shared" ref="AP132:AP152" si="311">+SUMIF($AA$327:$AA$515,AA132,$AP$327:$AP$515)</f>
        <v>0</v>
      </c>
      <c r="AQ132" s="25">
        <f t="shared" ref="AQ132:AQ152" si="312">+SUMIF($AA$327:$AA$515,AA132,$AQ$327:$AQ$515)</f>
        <v>0</v>
      </c>
      <c r="AR132" s="25">
        <f t="shared" ref="AR132:AR152" si="313">+SUMIF($AB$327:$AB$515,AA132,$AR$327:$AR$515)</f>
        <v>0</v>
      </c>
      <c r="AS132" s="25">
        <f t="shared" ref="AS132:AS152" si="314">+SUMIF($AC$327:$AC$515,AA132,$AS$327:$AS$515)</f>
        <v>0</v>
      </c>
      <c r="AT132" s="25">
        <f t="shared" ref="AT132:AT152" si="315">+SUMIF($AA$327:$AA$515,AA132,$AT$327:$AT$515)</f>
        <v>0</v>
      </c>
      <c r="AV132" s="79">
        <f t="shared" ref="AV132:AV141" si="316">+SUMIF($AA$327:$AA$514,AA132,$H$327:$H$514)</f>
        <v>19.329999999999998</v>
      </c>
      <c r="AW132" s="79">
        <f t="array" ref="AW132">SUMIFS('Cắt lồng'!$AC$327:$AC$515,'Cắt lồng'!$AA$327:$AA$515,'Cắt lồng'!$AA132,'Cắt lồng'!$AE$327:$AE$515,'Cắt lồng'!AW$4:AW$4)</f>
        <v>11677</v>
      </c>
      <c r="AX132" s="79">
        <f t="array" ref="AX132">SUMIFS('Cắt lồng'!$AH$327:$AH$515,'Cắt lồng'!$AA$327:$AA$515,'Cắt lồng'!$AA132,'Cắt lồng'!$AE$327:$AE$515,'Cắt lồng'!AX$4:AX$4)</f>
        <v>0</v>
      </c>
      <c r="AY132" s="78">
        <f t="shared" ref="AY132:AY141" si="317">+AX132/AW132</f>
        <v>0</v>
      </c>
      <c r="AZ132" s="79">
        <f t="array" ref="AZ132">SUMIFS('Cắt lồng'!$AC$327:$AC$515,'Cắt lồng'!$AA$327:$AA$515,'Cắt lồng'!$AA132,'Cắt lồng'!$AE$327:$AE$515,'Cắt lồng'!AZ$4:AZ$4)</f>
        <v>0</v>
      </c>
      <c r="BA132" s="79">
        <f t="array" ref="BA132">SUMIFS('Cắt lồng'!$AH$327:$AH$515,'Cắt lồng'!$AA$327:$AA$515,'Cắt lồng'!$AA132,'Cắt lồng'!$AE$327:$AE$515,'Cắt lồng'!BA$4:BA$4)</f>
        <v>0</v>
      </c>
      <c r="BB132" s="78" t="e">
        <f t="shared" ref="BB132:BB141" si="318">+BA132/AZ132</f>
        <v>#DIV/0!</v>
      </c>
      <c r="BC132" s="79">
        <f t="array" ref="BC132">SUMIFS('Cắt lồng'!$AC$327:$AC$515,'Cắt lồng'!$AA$327:$AA$515,'Cắt lồng'!$AA132,'Cắt lồng'!$AE$327:$AE$515,'Cắt lồng'!BC$4:BC$4)</f>
        <v>0</v>
      </c>
      <c r="BD132" s="79">
        <f t="array" ref="BD132">SUMIFS('Cắt lồng'!$AH$327:$AH$515,'Cắt lồng'!$AA$327:$AA$515,'Cắt lồng'!$AA132,'Cắt lồng'!$AE$327:$AE$515,'Cắt lồng'!BD$4:BD$4)</f>
        <v>0</v>
      </c>
      <c r="BE132" s="78" t="e">
        <f t="shared" ref="BE132:BE141" si="319">+BD132/BC132</f>
        <v>#DIV/0!</v>
      </c>
      <c r="BF132" s="79">
        <f t="array" ref="BF132">SUMIFS('Cắt lồng'!$AC$327:$AC$515,'Cắt lồng'!$AA$327:$AA$515,'Cắt lồng'!$AA132,'Cắt lồng'!$AE$327:$AE$515,'Cắt lồng'!BF$4:BF$4)</f>
        <v>0</v>
      </c>
      <c r="BG132" s="79">
        <f t="array" ref="BG132">SUMIFS('Cắt lồng'!$AH$327:$AH$515,'Cắt lồng'!$AA$327:$AA$515,'Cắt lồng'!$AA132,'Cắt lồng'!$AE$327:$AE$515,'Cắt lồng'!BG$4:BG$4)</f>
        <v>0</v>
      </c>
      <c r="BH132" s="78" t="e">
        <f t="shared" ref="BH132:BH141" si="320">+BG132/BF132</f>
        <v>#DIV/0!</v>
      </c>
      <c r="BI132" s="79">
        <f t="array" ref="BI132">SUMIFS('Cắt lồng'!$AC$327:$AC$515,'Cắt lồng'!$AA$327:$AA$515,'Cắt lồng'!$AA132,'Cắt lồng'!$AE$327:$AE$515,'Cắt lồng'!BI$4:BI$4)</f>
        <v>0</v>
      </c>
      <c r="BJ132" s="79">
        <f t="array" ref="BJ132">SUMIFS('Cắt lồng'!$AH$327:$AH$515,'Cắt lồng'!$AA$327:$AA$515,'Cắt lồng'!$AA132,'Cắt lồng'!$AE$327:$AE$515,'Cắt lồng'!BJ$4:BJ$4)</f>
        <v>0</v>
      </c>
      <c r="BK132" s="78" t="e">
        <f t="shared" ref="BK132:BK141" si="321">+BJ132/BI132</f>
        <v>#DIV/0!</v>
      </c>
      <c r="BL132" s="79">
        <f t="array" ref="BL132">SUMIFS('Cắt lồng'!$AC$327:$AC$515,'Cắt lồng'!$AA$327:$AA$515,'Cắt lồng'!$AA132,'Cắt lồng'!$AE$327:$AE$515,'Cắt lồng'!BL$4:BL$4)</f>
        <v>0</v>
      </c>
      <c r="BM132" s="79">
        <f t="array" ref="BM132">SUMIFS('Cắt lồng'!$AH$327:$AH$515,'Cắt lồng'!$AA$327:$AA$515,'Cắt lồng'!$AA132,'Cắt lồng'!$AE$327:$AE$515,'Cắt lồng'!BM$4:BM$4)</f>
        <v>0</v>
      </c>
      <c r="BN132" s="78" t="e">
        <f t="shared" ref="BN132:BN141" si="322">+BM132/BL132</f>
        <v>#DIV/0!</v>
      </c>
      <c r="BO132" s="79">
        <f t="array" ref="BO132">SUMIFS('Cắt lồng'!$AC$327:$AC$515,'Cắt lồng'!$AA$327:$AA$515,'Cắt lồng'!$AA132,'Cắt lồng'!$AE$327:$AE$515,'Cắt lồng'!BO$4:BO$4)</f>
        <v>0</v>
      </c>
      <c r="BP132" s="79">
        <f t="array" ref="BP132">SUMIFS('Cắt lồng'!$AH$327:$AH$515,'Cắt lồng'!$AA$327:$AA$515,'Cắt lồng'!$AA132,'Cắt lồng'!$AE$327:$AE$515,'Cắt lồng'!BP$4:BP$4)</f>
        <v>0</v>
      </c>
      <c r="BQ132" s="78" t="e">
        <f t="shared" ref="BQ132:BQ141" si="323">+BP132/BO132</f>
        <v>#DIV/0!</v>
      </c>
      <c r="BR132" s="79">
        <f t="array" ref="BR132">SUMIFS('Cắt lồng'!$AC$327:$AC$515,'Cắt lồng'!$AA$327:$AA$515,'Cắt lồng'!$AA132,'Cắt lồng'!$AE$327:$AE$515,'Cắt lồng'!BR$4:BR$4)</f>
        <v>0</v>
      </c>
      <c r="BS132" s="79">
        <f t="array" ref="BS132">SUMIFS('Cắt lồng'!$AH$327:$AH$515,'Cắt lồng'!$AA$327:$AA$515,'Cắt lồng'!$AA132,'Cắt lồng'!$AE$327:$AE$515,'Cắt lồng'!BS$4:BS$4)</f>
        <v>0</v>
      </c>
      <c r="BT132" s="78" t="e">
        <f t="shared" ref="BT132:BT141" si="324">+BS132/BR132</f>
        <v>#DIV/0!</v>
      </c>
      <c r="BU132" s="79">
        <f t="array" ref="BU132">SUMIFS('Cắt lồng'!$AC$327:$AC$515,'Cắt lồng'!$AA$327:$AA$515,'Cắt lồng'!$AA132,'Cắt lồng'!$AE$327:$AE$515,'Cắt lồng'!BU$4:BU$4)</f>
        <v>0</v>
      </c>
      <c r="BV132" s="79">
        <f t="array" ref="BV132">SUMIFS('Cắt lồng'!$AH$327:$AH$515,'Cắt lồng'!$AA$327:$AA$515,'Cắt lồng'!$AA132,'Cắt lồng'!$AE$327:$AE$515,'Cắt lồng'!BV$4:BV$4)</f>
        <v>0</v>
      </c>
      <c r="BW132" s="78" t="e">
        <f t="shared" ref="BW132:BW141" si="325">+BV132/BU132</f>
        <v>#DIV/0!</v>
      </c>
      <c r="BX132" s="79">
        <f t="array" ref="BX132">SUMIFS('Cắt lồng'!$AC$327:$AC$515,'Cắt lồng'!$AA$327:$AA$515,'Cắt lồng'!$AA132,'Cắt lồng'!$AE$327:$AE$515,'Cắt lồng'!BX$4:BX$4)</f>
        <v>0</v>
      </c>
      <c r="BY132" s="79">
        <f t="array" ref="BY132">SUMIFS('Cắt lồng'!$AH$327:$AH$515,'Cắt lồng'!$AA$327:$AA$515,'Cắt lồng'!$AA132,'Cắt lồng'!$AE$327:$AE$515,'Cắt lồng'!BY$4:BY$4)</f>
        <v>0</v>
      </c>
      <c r="BZ132" s="78" t="e">
        <f t="shared" ref="BZ132:BZ141" si="326">+BY132/BX132</f>
        <v>#DIV/0!</v>
      </c>
      <c r="CA132" s="79">
        <f t="array" ref="CA132">SUMIFS('Cắt lồng'!$AC$327:$AC$515,'Cắt lồng'!$AA$327:$AA$515,'Cắt lồng'!$AA132,'Cắt lồng'!$AE$327:$AE$515,'Cắt lồng'!CA$4:CA$4)</f>
        <v>0</v>
      </c>
      <c r="CB132" s="79">
        <f t="array" ref="CB132">SUMIFS('Cắt lồng'!$AH$327:$AH$515,'Cắt lồng'!$AA$327:$AA$515,'Cắt lồng'!$AA132,'Cắt lồng'!$AE$327:$AE$515,'Cắt lồng'!CB$4:CB$4)</f>
        <v>0</v>
      </c>
      <c r="CC132" s="78" t="e">
        <f t="shared" ref="CC132:CC141" si="327">+CB132/CA132</f>
        <v>#DIV/0!</v>
      </c>
      <c r="CD132" s="79">
        <f t="array" ref="CD132">SUMIFS('Cắt lồng'!$AC$327:$AC$515,'Cắt lồng'!$AA$327:$AA$515,'Cắt lồng'!$AA132,'Cắt lồng'!$AE$327:$AE$515,'Cắt lồng'!CD$4:CD$4)</f>
        <v>0</v>
      </c>
      <c r="CE132" s="79">
        <f t="array" ref="CE132">SUMIFS('Cắt lồng'!$AH$327:$AH$515,'Cắt lồng'!$AA$327:$AA$515,'Cắt lồng'!$AA132,'Cắt lồng'!$AE$327:$AE$515,'Cắt lồng'!CE$4:CE$4)</f>
        <v>0</v>
      </c>
      <c r="CF132" s="78" t="e">
        <f t="shared" ref="CF132:CF141" si="328">+CE132/CD132</f>
        <v>#DIV/0!</v>
      </c>
      <c r="CG132" s="79">
        <f t="array" ref="CG132">SUMIFS('Cắt lồng'!$AC$327:$AC$515,'Cắt lồng'!$AA$327:$AA$515,'Cắt lồng'!$AA132,'Cắt lồng'!$AE$327:$AE$515,'Cắt lồng'!CG$4:CG$4)</f>
        <v>0</v>
      </c>
      <c r="CH132" s="79">
        <f t="array" ref="CH132">SUMIFS('Cắt lồng'!$AH$327:$AH$515,'Cắt lồng'!$AA$327:$AA$515,'Cắt lồng'!$AA132,'Cắt lồng'!$AE$327:$AE$515,'Cắt lồng'!CH$4:CH$4)</f>
        <v>0</v>
      </c>
      <c r="CI132" s="78" t="e">
        <f t="shared" ref="CI132:CI141" si="329">+CH132/CG132</f>
        <v>#DIV/0!</v>
      </c>
      <c r="CJ132" s="79">
        <f t="array" ref="CJ132">SUMIFS('Cắt lồng'!$AC$327:$AC$515,'Cắt lồng'!$AA$327:$AA$515,'Cắt lồng'!$AA132,'Cắt lồng'!$AE$327:$AE$515,'Cắt lồng'!CJ$4:CJ$4)</f>
        <v>0</v>
      </c>
      <c r="CK132" s="79">
        <f t="array" ref="CK132">SUMIFS('Cắt lồng'!$AH$327:$AH$515,'Cắt lồng'!$AA$327:$AA$515,'Cắt lồng'!$AA132,'Cắt lồng'!$AE$327:$AE$515,'Cắt lồng'!CK$4:CK$4)</f>
        <v>0</v>
      </c>
      <c r="CL132" s="78" t="e">
        <f t="shared" ref="CL132:CL141" si="330">+CK132/CJ132</f>
        <v>#DIV/0!</v>
      </c>
      <c r="CM132" s="79">
        <f t="array" ref="CM132">SUMIFS('Cắt lồng'!$AC$327:$AC$515,'Cắt lồng'!$AA$327:$AA$515,'Cắt lồng'!$AA132,'Cắt lồng'!$AE$327:$AE$515,'Cắt lồng'!CM$4:CM$4)</f>
        <v>0</v>
      </c>
      <c r="CN132" s="79">
        <f t="array" ref="CN132">SUMIFS('Cắt lồng'!$AH$327:$AH$515,'Cắt lồng'!$AA$327:$AA$515,'Cắt lồng'!$AA132,'Cắt lồng'!$AE$327:$AE$515,'Cắt lồng'!CN$4:CN$4)</f>
        <v>0</v>
      </c>
      <c r="CO132" s="78" t="e">
        <f t="shared" ref="CO132:CO141" si="331">+CN132/CM132</f>
        <v>#DIV/0!</v>
      </c>
      <c r="CP132" s="79">
        <f t="array" ref="CP132">SUMIFS('Cắt lồng'!$AC$327:$AC$515,'Cắt lồng'!$AA$327:$AA$515,'Cắt lồng'!$AA132,'Cắt lồng'!$AE$327:$AE$515,'Cắt lồng'!CP$4:CP$4)</f>
        <v>0</v>
      </c>
      <c r="CQ132" s="79">
        <f t="array" ref="CQ132">SUMIFS('Cắt lồng'!$AH$327:$AH$515,'Cắt lồng'!$AA$327:$AA$515,'Cắt lồng'!$AA132,'Cắt lồng'!$AE$327:$AE$515,'Cắt lồng'!CQ$4:CQ$4)</f>
        <v>0</v>
      </c>
      <c r="CR132" s="78" t="e">
        <f t="shared" ref="CR132:CR141" si="332">+CQ132/CP132</f>
        <v>#DIV/0!</v>
      </c>
      <c r="CS132" s="79">
        <f t="array" ref="CS132">SUMIFS('Cắt lồng'!$AC$327:$AC$515,'Cắt lồng'!$AA$327:$AA$515,'Cắt lồng'!$AA132,'Cắt lồng'!$AE$327:$AE$515,'Cắt lồng'!CS$4:CS$4)</f>
        <v>0</v>
      </c>
      <c r="CT132" s="79">
        <f t="array" ref="CT132">SUMIFS('Cắt lồng'!$AH$327:$AH$515,'Cắt lồng'!$AA$327:$AA$515,'Cắt lồng'!$AA132,'Cắt lồng'!$AE$327:$AE$515,'Cắt lồng'!CT$4:CT$4)</f>
        <v>0</v>
      </c>
      <c r="CU132" s="78" t="e">
        <f t="shared" ref="CU132:CU141" si="333">+CT132/CS132</f>
        <v>#DIV/0!</v>
      </c>
      <c r="CV132" s="79">
        <f t="array" ref="CV132">SUMIFS('Cắt lồng'!$AC$327:$AC$515,'Cắt lồng'!$AA$327:$AA$515,'Cắt lồng'!$AA132,'Cắt lồng'!$AE$327:$AE$515,'Cắt lồng'!CV$4:CV$4)</f>
        <v>0</v>
      </c>
      <c r="CW132" s="79">
        <f t="array" ref="CW132">SUMIFS('Cắt lồng'!$AH$327:$AH$515,'Cắt lồng'!$AA$327:$AA$515,'Cắt lồng'!$AA132,'Cắt lồng'!$AE$327:$AE$515,'Cắt lồng'!CW$4:CW$4)</f>
        <v>0</v>
      </c>
      <c r="CX132" s="78" t="e">
        <f t="shared" ref="CX132:CX141" si="334">+CW132/CV132</f>
        <v>#DIV/0!</v>
      </c>
      <c r="CY132" s="79">
        <f t="array" ref="CY132">SUMIFS('Cắt lồng'!$AC$327:$AC$515,'Cắt lồng'!$AA$327:$AA$515,'Cắt lồng'!$AA132,'Cắt lồng'!$AE$327:$AE$515,'Cắt lồng'!CY$4:CY$4)</f>
        <v>0</v>
      </c>
      <c r="CZ132" s="79">
        <f t="array" ref="CZ132">SUMIFS('Cắt lồng'!$AH$327:$AH$515,'Cắt lồng'!$AA$327:$AA$515,'Cắt lồng'!$AA132,'Cắt lồng'!$AE$327:$AE$515,'Cắt lồng'!CZ$4:CZ$4)</f>
        <v>0</v>
      </c>
      <c r="DA132" s="78" t="e">
        <f t="shared" ref="DA132:DA141" si="335">+CZ132/CY132</f>
        <v>#DIV/0!</v>
      </c>
      <c r="DB132" s="79">
        <f t="array" ref="DB132">SUMIFS('Cắt lồng'!$AC$327:$AC$515,'Cắt lồng'!$AA$327:$AA$515,'Cắt lồng'!$AA132,'Cắt lồng'!$AE$327:$AE$515,'Cắt lồng'!DB$4:DB$4)</f>
        <v>0</v>
      </c>
      <c r="DC132" s="79">
        <f t="array" ref="DC132">SUMIFS('Cắt lồng'!$AH$327:$AH$515,'Cắt lồng'!$AA$327:$AA$515,'Cắt lồng'!$AA132,'Cắt lồng'!$AE$327:$AE$515,'Cắt lồng'!DC$4:DC$4)</f>
        <v>0</v>
      </c>
      <c r="DD132" s="78" t="e">
        <f t="shared" ref="DD132:DD141" si="336">+DC132/DB132</f>
        <v>#DIV/0!</v>
      </c>
      <c r="DE132" s="79">
        <f t="array" ref="DE132">SUMIFS('Cắt lồng'!$AC$327:$AC$515,'Cắt lồng'!$AA$327:$AA$515,'Cắt lồng'!$AA132,'Cắt lồng'!$AE$327:$AE$515,'Cắt lồng'!DE$4:DE$4)</f>
        <v>0</v>
      </c>
      <c r="DF132" s="79">
        <f t="array" ref="DF132">SUMIFS('Cắt lồng'!$AH$327:$AH$515,'Cắt lồng'!$AA$327:$AA$515,'Cắt lồng'!$AA132,'Cắt lồng'!$AE$327:$AE$515,'Cắt lồng'!DF$4:DF$4)</f>
        <v>0</v>
      </c>
      <c r="DG132" s="78" t="e">
        <f t="shared" ref="DG132:DG141" si="337">+DF132/DE132</f>
        <v>#DIV/0!</v>
      </c>
      <c r="DH132" s="79">
        <f t="array" ref="DH132">SUMIFS('Cắt lồng'!$AC$327:$AC$515,'Cắt lồng'!$AA$327:$AA$515,'Cắt lồng'!$AA132,'Cắt lồng'!$AE$327:$AE$515,'Cắt lồng'!DH$4:DH$4)</f>
        <v>0</v>
      </c>
      <c r="DI132" s="79">
        <f t="array" ref="DI132">SUMIFS('Cắt lồng'!$AH$327:$AH$515,'Cắt lồng'!$AA$327:$AA$515,'Cắt lồng'!$AA132,'Cắt lồng'!$AE$327:$AE$515,'Cắt lồng'!DI$4:DI$4)</f>
        <v>0</v>
      </c>
      <c r="DJ132" s="78" t="e">
        <f t="shared" ref="DJ132:DJ141" si="338">+DI132/DH132</f>
        <v>#DIV/0!</v>
      </c>
      <c r="DK132" s="79">
        <f t="array" ref="DK132">SUMIFS('Cắt lồng'!$AC$327:$AC$515,'Cắt lồng'!$AA$327:$AA$515,'Cắt lồng'!$AA132,'Cắt lồng'!$AE$327:$AE$515,'Cắt lồng'!DK$4:DK$4)</f>
        <v>0</v>
      </c>
      <c r="DL132" s="79">
        <f t="array" ref="DL132">SUMIFS('Cắt lồng'!$AH$327:$AH$515,'Cắt lồng'!$AA$327:$AA$515,'Cắt lồng'!$AA132,'Cắt lồng'!$AE$327:$AE$515,'Cắt lồng'!DL$4:DL$4)</f>
        <v>0</v>
      </c>
      <c r="DM132" s="78" t="e">
        <f t="shared" ref="DM132:DM141" si="339">+DL132/DK132</f>
        <v>#DIV/0!</v>
      </c>
      <c r="DN132" s="79">
        <f t="array" ref="DN132">SUMIFS('Cắt lồng'!$AC$327:$AC$515,'Cắt lồng'!$AA$327:$AA$515,'Cắt lồng'!$AA132,'Cắt lồng'!$AE$327:$AE$515,'Cắt lồng'!DN$4:DN$4)</f>
        <v>0</v>
      </c>
      <c r="DO132" s="79">
        <f t="array" ref="DO132">SUMIFS('Cắt lồng'!$AH$327:$AH$515,'Cắt lồng'!$AA$327:$AA$515,'Cắt lồng'!$AA132,'Cắt lồng'!$AE$327:$AE$515,'Cắt lồng'!DO$4:DO$4)</f>
        <v>0</v>
      </c>
      <c r="DP132" s="78" t="e">
        <f t="shared" ref="DP132:DP141" si="340">+DO132/DN132</f>
        <v>#DIV/0!</v>
      </c>
      <c r="DQ132" s="79">
        <f t="array" ref="DQ132">SUMIFS('Cắt lồng'!$AC$327:$AC$515,'Cắt lồng'!$AA$327:$AA$515,'Cắt lồng'!$AA132,'Cắt lồng'!$AE$327:$AE$515,'Cắt lồng'!DQ$4:DQ$4)</f>
        <v>0</v>
      </c>
      <c r="DR132" s="79">
        <f t="array" ref="DR132">SUMIFS('Cắt lồng'!$AH$327:$AH$515,'Cắt lồng'!$AA$327:$AA$515,'Cắt lồng'!$AA132,'Cắt lồng'!$AE$327:$AE$515,'Cắt lồng'!DR$4:DR$4)</f>
        <v>0</v>
      </c>
      <c r="DS132" s="78" t="e">
        <f t="shared" ref="DS132:DS141" si="341">+DR132/DQ132</f>
        <v>#DIV/0!</v>
      </c>
      <c r="DT132" s="79">
        <f t="array" ref="DT132">SUMIFS('Cắt lồng'!$AC$327:$AC$515,'Cắt lồng'!$AA$327:$AA$515,'Cắt lồng'!$AA132,'Cắt lồng'!$AE$327:$AE$515,'Cắt lồng'!DT$4:DT$4)</f>
        <v>0</v>
      </c>
      <c r="DU132" s="79">
        <f t="array" ref="DU132">SUMIFS('Cắt lồng'!$AH$327:$AH$515,'Cắt lồng'!$AA$327:$AA$515,'Cắt lồng'!$AA132,'Cắt lồng'!$AE$327:$AE$515,'Cắt lồng'!DU$4:DU$4)</f>
        <v>0</v>
      </c>
      <c r="DV132" s="78" t="e">
        <f t="shared" ref="DV132:DV141" si="342">+DU132/DT132</f>
        <v>#DIV/0!</v>
      </c>
      <c r="DW132" s="79">
        <f t="array" ref="DW132">SUMIFS('Cắt lồng'!$AC$327:$AC$515,'Cắt lồng'!$AA$327:$AA$515,'Cắt lồng'!$AA132,'Cắt lồng'!$AE$327:$AE$515,'Cắt lồng'!DW$4:DW$4)</f>
        <v>0</v>
      </c>
      <c r="DX132" s="79">
        <f t="array" ref="DX132">SUMIFS('Cắt lồng'!$AH$327:$AH$515,'Cắt lồng'!$AA$327:$AA$515,'Cắt lồng'!$AA132,'Cắt lồng'!$AE$327:$AE$515,'Cắt lồng'!DX$4:DX$4)</f>
        <v>0</v>
      </c>
      <c r="DY132" s="78" t="e">
        <f t="shared" ref="DY132:DY141" si="343">+DX132/DW132</f>
        <v>#DIV/0!</v>
      </c>
      <c r="DZ132" s="79">
        <f t="array" ref="DZ132">SUMIFS('Cắt lồng'!$AC$327:$AC$515,'Cắt lồng'!$AA$327:$AA$515,'Cắt lồng'!$AA132,'Cắt lồng'!$AE$327:$AE$515,'Cắt lồng'!DZ$4:DZ$4)</f>
        <v>0</v>
      </c>
      <c r="EA132" s="79">
        <f t="array" ref="EA132">SUMIFS('Cắt lồng'!$AH$327:$AH$515,'Cắt lồng'!$AA$327:$AA$515,'Cắt lồng'!$AA132,'Cắt lồng'!$AE$327:$AE$515,'Cắt lồng'!EA$4:EA$4)</f>
        <v>0</v>
      </c>
      <c r="EB132" s="78" t="e">
        <f t="shared" ref="EB132:EB141" si="344">+EA132/DZ132</f>
        <v>#DIV/0!</v>
      </c>
      <c r="EC132" s="79">
        <f t="array" ref="EC132">SUMIFS('Cắt lồng'!$AC$327:$AC$515,'Cắt lồng'!$AA$327:$AA$515,'Cắt lồng'!$AA132,'Cắt lồng'!$AE$327:$AE$515,'Cắt lồng'!EC$4:EC$4)</f>
        <v>0</v>
      </c>
      <c r="ED132" s="79">
        <f t="array" ref="ED132">SUMIFS('Cắt lồng'!$AH$327:$AH$515,'Cắt lồng'!$AA$327:$AA$515,'Cắt lồng'!$AA132,'Cắt lồng'!$AE$327:$AE$515,'Cắt lồng'!ED$4:ED$4)</f>
        <v>0</v>
      </c>
      <c r="EE132" s="78" t="e">
        <f t="shared" ref="EE132:EE141" si="345">+ED132/EC132</f>
        <v>#DIV/0!</v>
      </c>
      <c r="EF132" s="79">
        <f t="array" ref="EF132">SUMIFS('Cắt lồng'!$AC$327:$AC$515,'Cắt lồng'!$AA$327:$AA$515,'Cắt lồng'!$AA132,'Cắt lồng'!$AE$327:$AE$515,'Cắt lồng'!EF$4:EF$4)</f>
        <v>0</v>
      </c>
      <c r="EG132" s="79">
        <f t="array" ref="EG132">SUMIFS('Cắt lồng'!$AH$327:$AH$515,'Cắt lồng'!$AA$327:$AA$515,'Cắt lồng'!$AA132,'Cắt lồng'!$AE$327:$AE$515,'Cắt lồng'!EG$4:EG$4)</f>
        <v>0</v>
      </c>
      <c r="EH132" s="78" t="e">
        <f t="shared" ref="EH132:EH141" si="346">+EG132/EF132</f>
        <v>#DIV/0!</v>
      </c>
      <c r="EI132" s="79">
        <f t="array" ref="EI132">SUMIFS('Cắt lồng'!$AC$327:$AC$515,'Cắt lồng'!$AA$327:$AA$515,'Cắt lồng'!$AA132,'Cắt lồng'!$AE$327:$AE$515,'Cắt lồng'!EI$4:EI$4)</f>
        <v>0</v>
      </c>
      <c r="EJ132" s="79">
        <f t="array" ref="EJ132">SUMIFS('Cắt lồng'!$AH$327:$AH$515,'Cắt lồng'!$AA$327:$AA$515,'Cắt lồng'!$AA132,'Cắt lồng'!$AE$327:$AE$515,'Cắt lồng'!EJ$4:EJ$4)</f>
        <v>0</v>
      </c>
      <c r="EK132" s="78" t="e">
        <f t="shared" ref="EK132:EK141" si="347">+EJ132/EI132</f>
        <v>#DIV/0!</v>
      </c>
    </row>
    <row r="133" spans="1:141" s="12" customFormat="1" ht="14.25" hidden="1" customHeight="1">
      <c r="A133" s="30">
        <v>100</v>
      </c>
      <c r="B133" s="26"/>
      <c r="C133" s="25"/>
      <c r="D133" s="24"/>
      <c r="E133" s="60"/>
      <c r="F133" s="59"/>
      <c r="G133" s="82">
        <f t="shared" si="280"/>
        <v>0</v>
      </c>
      <c r="H133" s="81">
        <f t="shared" si="281"/>
        <v>0</v>
      </c>
      <c r="I133" s="19">
        <f t="shared" si="282"/>
        <v>0</v>
      </c>
      <c r="J133" s="11">
        <f t="shared" si="283"/>
        <v>0</v>
      </c>
      <c r="K133" s="19">
        <f t="shared" si="284"/>
        <v>0</v>
      </c>
      <c r="L133" s="19">
        <f t="shared" si="285"/>
        <v>0</v>
      </c>
      <c r="M133" s="19">
        <f t="shared" si="286"/>
        <v>0</v>
      </c>
      <c r="N133" s="19">
        <f t="shared" si="287"/>
        <v>0</v>
      </c>
      <c r="O133" s="19">
        <f t="shared" si="288"/>
        <v>0</v>
      </c>
      <c r="P133" s="19">
        <f t="shared" si="289"/>
        <v>0</v>
      </c>
      <c r="Q133" s="19">
        <f t="shared" si="290"/>
        <v>0</v>
      </c>
      <c r="R133" s="19">
        <f t="shared" si="291"/>
        <v>0</v>
      </c>
      <c r="S133" s="19">
        <f t="shared" si="292"/>
        <v>0</v>
      </c>
      <c r="T133" s="19">
        <f t="shared" si="293"/>
        <v>0</v>
      </c>
      <c r="U133" s="19">
        <f t="shared" si="294"/>
        <v>0</v>
      </c>
      <c r="V133" s="19">
        <f t="shared" si="295"/>
        <v>0</v>
      </c>
      <c r="W133" s="19">
        <f t="shared" si="296"/>
        <v>0</v>
      </c>
      <c r="X133" s="19">
        <f t="shared" si="297"/>
        <v>0</v>
      </c>
      <c r="Y133" s="19">
        <f t="shared" si="298"/>
        <v>0</v>
      </c>
      <c r="Z133" s="19">
        <f t="shared" si="299"/>
        <v>0</v>
      </c>
      <c r="AA133" s="143" t="s">
        <v>225</v>
      </c>
      <c r="AB133" s="17" t="e">
        <f>+H133*SUMIF('[1]KẾ HOẠCH'!$B$5:$CK$5,'Cắt lồng'!AA133,'[1]KẾ HOẠCH'!$B$6:$CK$6)+H133*SUMIF('[1]KẾ HOẠCH'!$B$7:$CK$7,'Cắt lồng'!AA133,'[1]KẾ HOẠCH'!$B$8:$CK$8)+H133*SUMIF('[1]KẾ HOẠCH'!$B$15:$CK$15,'Cắt lồng'!AA133,'[1]KẾ HOẠCH'!$B$16:$CK$16)</f>
        <v>#VALUE!</v>
      </c>
      <c r="AC133" s="16">
        <f t="shared" si="300"/>
        <v>0</v>
      </c>
      <c r="AD133" s="15" t="e">
        <f t="shared" si="301"/>
        <v>#VALUE!</v>
      </c>
      <c r="AE133" s="42"/>
      <c r="AF133" s="10" t="e">
        <f t="shared" si="302"/>
        <v>#DIV/0!</v>
      </c>
      <c r="AG133" s="10"/>
      <c r="AH133" s="152">
        <f t="shared" si="303"/>
        <v>0</v>
      </c>
      <c r="AI133" s="54" t="e">
        <f t="shared" si="304"/>
        <v>#DIV/0!</v>
      </c>
      <c r="AJ133" s="25">
        <f t="shared" si="305"/>
        <v>0</v>
      </c>
      <c r="AK133" s="25">
        <f t="shared" si="306"/>
        <v>0</v>
      </c>
      <c r="AL133" s="25">
        <f t="shared" si="307"/>
        <v>0</v>
      </c>
      <c r="AM133" s="30">
        <f t="shared" si="308"/>
        <v>0</v>
      </c>
      <c r="AN133" s="25">
        <f t="shared" si="309"/>
        <v>0</v>
      </c>
      <c r="AO133" s="25">
        <f t="shared" si="310"/>
        <v>0</v>
      </c>
      <c r="AP133" s="25">
        <f t="shared" si="311"/>
        <v>0</v>
      </c>
      <c r="AQ133" s="25">
        <f t="shared" si="312"/>
        <v>0</v>
      </c>
      <c r="AR133" s="25">
        <f t="shared" si="313"/>
        <v>0</v>
      </c>
      <c r="AS133" s="25">
        <f t="shared" si="314"/>
        <v>0</v>
      </c>
      <c r="AT133" s="25">
        <f t="shared" si="315"/>
        <v>0</v>
      </c>
      <c r="AV133" s="79">
        <f t="shared" si="316"/>
        <v>0</v>
      </c>
      <c r="AW133" s="79">
        <f t="array" ref="AW133">SUMIFS('Cắt lồng'!$AC$327:$AC$515,'Cắt lồng'!$AA$327:$AA$515,'Cắt lồng'!$AA133,'Cắt lồng'!$AE$327:$AE$515,'Cắt lồng'!AW$4:AW$4)</f>
        <v>0</v>
      </c>
      <c r="AX133" s="79">
        <f t="array" ref="AX133">SUMIFS('Cắt lồng'!$AH$327:$AH$515,'Cắt lồng'!$AA$327:$AA$515,'Cắt lồng'!$AA133,'Cắt lồng'!$AE$327:$AE$515,'Cắt lồng'!AX$4:AX$4)</f>
        <v>0</v>
      </c>
      <c r="AY133" s="78" t="e">
        <f t="shared" si="317"/>
        <v>#DIV/0!</v>
      </c>
      <c r="AZ133" s="79">
        <f t="array" ref="AZ133">SUMIFS('Cắt lồng'!$AC$327:$AC$515,'Cắt lồng'!$AA$327:$AA$515,'Cắt lồng'!$AA133,'Cắt lồng'!$AE$327:$AE$515,'Cắt lồng'!AZ$4:AZ$4)</f>
        <v>0</v>
      </c>
      <c r="BA133" s="79">
        <f t="array" ref="BA133">SUMIFS('Cắt lồng'!$AH$327:$AH$515,'Cắt lồng'!$AA$327:$AA$515,'Cắt lồng'!$AA133,'Cắt lồng'!$AE$327:$AE$515,'Cắt lồng'!BA$4:BA$4)</f>
        <v>0</v>
      </c>
      <c r="BB133" s="78" t="e">
        <f t="shared" si="318"/>
        <v>#DIV/0!</v>
      </c>
      <c r="BC133" s="79">
        <f t="array" ref="BC133">SUMIFS('Cắt lồng'!$AC$327:$AC$515,'Cắt lồng'!$AA$327:$AA$515,'Cắt lồng'!$AA133,'Cắt lồng'!$AE$327:$AE$515,'Cắt lồng'!BC$4:BC$4)</f>
        <v>0</v>
      </c>
      <c r="BD133" s="79">
        <f t="array" ref="BD133">SUMIFS('Cắt lồng'!$AH$327:$AH$515,'Cắt lồng'!$AA$327:$AA$515,'Cắt lồng'!$AA133,'Cắt lồng'!$AE$327:$AE$515,'Cắt lồng'!BD$4:BD$4)</f>
        <v>0</v>
      </c>
      <c r="BE133" s="78" t="e">
        <f t="shared" si="319"/>
        <v>#DIV/0!</v>
      </c>
      <c r="BF133" s="79">
        <f t="array" ref="BF133">SUMIFS('Cắt lồng'!$AC$327:$AC$515,'Cắt lồng'!$AA$327:$AA$515,'Cắt lồng'!$AA133,'Cắt lồng'!$AE$327:$AE$515,'Cắt lồng'!BF$4:BF$4)</f>
        <v>0</v>
      </c>
      <c r="BG133" s="79">
        <f t="array" ref="BG133">SUMIFS('Cắt lồng'!$AH$327:$AH$515,'Cắt lồng'!$AA$327:$AA$515,'Cắt lồng'!$AA133,'Cắt lồng'!$AE$327:$AE$515,'Cắt lồng'!BG$4:BG$4)</f>
        <v>0</v>
      </c>
      <c r="BH133" s="78" t="e">
        <f t="shared" si="320"/>
        <v>#DIV/0!</v>
      </c>
      <c r="BI133" s="79">
        <f t="array" ref="BI133">SUMIFS('Cắt lồng'!$AC$327:$AC$515,'Cắt lồng'!$AA$327:$AA$515,'Cắt lồng'!$AA133,'Cắt lồng'!$AE$327:$AE$515,'Cắt lồng'!BI$4:BI$4)</f>
        <v>0</v>
      </c>
      <c r="BJ133" s="79">
        <f t="array" ref="BJ133">SUMIFS('Cắt lồng'!$AH$327:$AH$515,'Cắt lồng'!$AA$327:$AA$515,'Cắt lồng'!$AA133,'Cắt lồng'!$AE$327:$AE$515,'Cắt lồng'!BJ$4:BJ$4)</f>
        <v>0</v>
      </c>
      <c r="BK133" s="78" t="e">
        <f t="shared" si="321"/>
        <v>#DIV/0!</v>
      </c>
      <c r="BL133" s="79">
        <f t="array" ref="BL133">SUMIFS('Cắt lồng'!$AC$327:$AC$515,'Cắt lồng'!$AA$327:$AA$515,'Cắt lồng'!$AA133,'Cắt lồng'!$AE$327:$AE$515,'Cắt lồng'!BL$4:BL$4)</f>
        <v>0</v>
      </c>
      <c r="BM133" s="79">
        <f t="array" ref="BM133">SUMIFS('Cắt lồng'!$AH$327:$AH$515,'Cắt lồng'!$AA$327:$AA$515,'Cắt lồng'!$AA133,'Cắt lồng'!$AE$327:$AE$515,'Cắt lồng'!BM$4:BM$4)</f>
        <v>0</v>
      </c>
      <c r="BN133" s="78" t="e">
        <f t="shared" si="322"/>
        <v>#DIV/0!</v>
      </c>
      <c r="BO133" s="79">
        <f t="array" ref="BO133">SUMIFS('Cắt lồng'!$AC$327:$AC$515,'Cắt lồng'!$AA$327:$AA$515,'Cắt lồng'!$AA133,'Cắt lồng'!$AE$327:$AE$515,'Cắt lồng'!BO$4:BO$4)</f>
        <v>0</v>
      </c>
      <c r="BP133" s="79">
        <f t="array" ref="BP133">SUMIFS('Cắt lồng'!$AH$327:$AH$515,'Cắt lồng'!$AA$327:$AA$515,'Cắt lồng'!$AA133,'Cắt lồng'!$AE$327:$AE$515,'Cắt lồng'!BP$4:BP$4)</f>
        <v>0</v>
      </c>
      <c r="BQ133" s="78" t="e">
        <f t="shared" si="323"/>
        <v>#DIV/0!</v>
      </c>
      <c r="BR133" s="79">
        <f t="array" ref="BR133">SUMIFS('Cắt lồng'!$AC$327:$AC$515,'Cắt lồng'!$AA$327:$AA$515,'Cắt lồng'!$AA133,'Cắt lồng'!$AE$327:$AE$515,'Cắt lồng'!BR$4:BR$4)</f>
        <v>0</v>
      </c>
      <c r="BS133" s="79">
        <f t="array" ref="BS133">SUMIFS('Cắt lồng'!$AH$327:$AH$515,'Cắt lồng'!$AA$327:$AA$515,'Cắt lồng'!$AA133,'Cắt lồng'!$AE$327:$AE$515,'Cắt lồng'!BS$4:BS$4)</f>
        <v>0</v>
      </c>
      <c r="BT133" s="78" t="e">
        <f t="shared" si="324"/>
        <v>#DIV/0!</v>
      </c>
      <c r="BU133" s="79">
        <f t="array" ref="BU133">SUMIFS('Cắt lồng'!$AC$327:$AC$515,'Cắt lồng'!$AA$327:$AA$515,'Cắt lồng'!$AA133,'Cắt lồng'!$AE$327:$AE$515,'Cắt lồng'!BU$4:BU$4)</f>
        <v>0</v>
      </c>
      <c r="BV133" s="79">
        <f t="array" ref="BV133">SUMIFS('Cắt lồng'!$AH$327:$AH$515,'Cắt lồng'!$AA$327:$AA$515,'Cắt lồng'!$AA133,'Cắt lồng'!$AE$327:$AE$515,'Cắt lồng'!BV$4:BV$4)</f>
        <v>0</v>
      </c>
      <c r="BW133" s="78" t="e">
        <f t="shared" si="325"/>
        <v>#DIV/0!</v>
      </c>
      <c r="BX133" s="79">
        <f t="array" ref="BX133">SUMIFS('Cắt lồng'!$AC$327:$AC$515,'Cắt lồng'!$AA$327:$AA$515,'Cắt lồng'!$AA133,'Cắt lồng'!$AE$327:$AE$515,'Cắt lồng'!BX$4:BX$4)</f>
        <v>0</v>
      </c>
      <c r="BY133" s="79">
        <f t="array" ref="BY133">SUMIFS('Cắt lồng'!$AH$327:$AH$515,'Cắt lồng'!$AA$327:$AA$515,'Cắt lồng'!$AA133,'Cắt lồng'!$AE$327:$AE$515,'Cắt lồng'!BY$4:BY$4)</f>
        <v>0</v>
      </c>
      <c r="BZ133" s="78" t="e">
        <f t="shared" si="326"/>
        <v>#DIV/0!</v>
      </c>
      <c r="CA133" s="79">
        <f t="array" ref="CA133">SUMIFS('Cắt lồng'!$AC$327:$AC$515,'Cắt lồng'!$AA$327:$AA$515,'Cắt lồng'!$AA133,'Cắt lồng'!$AE$327:$AE$515,'Cắt lồng'!CA$4:CA$4)</f>
        <v>0</v>
      </c>
      <c r="CB133" s="79">
        <f t="array" ref="CB133">SUMIFS('Cắt lồng'!$AH$327:$AH$515,'Cắt lồng'!$AA$327:$AA$515,'Cắt lồng'!$AA133,'Cắt lồng'!$AE$327:$AE$515,'Cắt lồng'!CB$4:CB$4)</f>
        <v>0</v>
      </c>
      <c r="CC133" s="78" t="e">
        <f t="shared" si="327"/>
        <v>#DIV/0!</v>
      </c>
      <c r="CD133" s="79">
        <f t="array" ref="CD133">SUMIFS('Cắt lồng'!$AC$327:$AC$515,'Cắt lồng'!$AA$327:$AA$515,'Cắt lồng'!$AA133,'Cắt lồng'!$AE$327:$AE$515,'Cắt lồng'!CD$4:CD$4)</f>
        <v>0</v>
      </c>
      <c r="CE133" s="79">
        <f t="array" ref="CE133">SUMIFS('Cắt lồng'!$AH$327:$AH$515,'Cắt lồng'!$AA$327:$AA$515,'Cắt lồng'!$AA133,'Cắt lồng'!$AE$327:$AE$515,'Cắt lồng'!CE$4:CE$4)</f>
        <v>0</v>
      </c>
      <c r="CF133" s="78" t="e">
        <f t="shared" si="328"/>
        <v>#DIV/0!</v>
      </c>
      <c r="CG133" s="79">
        <f t="array" ref="CG133">SUMIFS('Cắt lồng'!$AC$327:$AC$515,'Cắt lồng'!$AA$327:$AA$515,'Cắt lồng'!$AA133,'Cắt lồng'!$AE$327:$AE$515,'Cắt lồng'!CG$4:CG$4)</f>
        <v>0</v>
      </c>
      <c r="CH133" s="79">
        <f t="array" ref="CH133">SUMIFS('Cắt lồng'!$AH$327:$AH$515,'Cắt lồng'!$AA$327:$AA$515,'Cắt lồng'!$AA133,'Cắt lồng'!$AE$327:$AE$515,'Cắt lồng'!CH$4:CH$4)</f>
        <v>0</v>
      </c>
      <c r="CI133" s="78" t="e">
        <f t="shared" si="329"/>
        <v>#DIV/0!</v>
      </c>
      <c r="CJ133" s="79">
        <f t="array" ref="CJ133">SUMIFS('Cắt lồng'!$AC$327:$AC$515,'Cắt lồng'!$AA$327:$AA$515,'Cắt lồng'!$AA133,'Cắt lồng'!$AE$327:$AE$515,'Cắt lồng'!CJ$4:CJ$4)</f>
        <v>0</v>
      </c>
      <c r="CK133" s="79">
        <f t="array" ref="CK133">SUMIFS('Cắt lồng'!$AH$327:$AH$515,'Cắt lồng'!$AA$327:$AA$515,'Cắt lồng'!$AA133,'Cắt lồng'!$AE$327:$AE$515,'Cắt lồng'!CK$4:CK$4)</f>
        <v>0</v>
      </c>
      <c r="CL133" s="78" t="e">
        <f t="shared" si="330"/>
        <v>#DIV/0!</v>
      </c>
      <c r="CM133" s="79">
        <f t="array" ref="CM133">SUMIFS('Cắt lồng'!$AC$327:$AC$515,'Cắt lồng'!$AA$327:$AA$515,'Cắt lồng'!$AA133,'Cắt lồng'!$AE$327:$AE$515,'Cắt lồng'!CM$4:CM$4)</f>
        <v>0</v>
      </c>
      <c r="CN133" s="79">
        <f t="array" ref="CN133">SUMIFS('Cắt lồng'!$AH$327:$AH$515,'Cắt lồng'!$AA$327:$AA$515,'Cắt lồng'!$AA133,'Cắt lồng'!$AE$327:$AE$515,'Cắt lồng'!CN$4:CN$4)</f>
        <v>0</v>
      </c>
      <c r="CO133" s="78" t="e">
        <f t="shared" si="331"/>
        <v>#DIV/0!</v>
      </c>
      <c r="CP133" s="79">
        <f t="array" ref="CP133">SUMIFS('Cắt lồng'!$AC$327:$AC$515,'Cắt lồng'!$AA$327:$AA$515,'Cắt lồng'!$AA133,'Cắt lồng'!$AE$327:$AE$515,'Cắt lồng'!CP$4:CP$4)</f>
        <v>0</v>
      </c>
      <c r="CQ133" s="79">
        <f t="array" ref="CQ133">SUMIFS('Cắt lồng'!$AH$327:$AH$515,'Cắt lồng'!$AA$327:$AA$515,'Cắt lồng'!$AA133,'Cắt lồng'!$AE$327:$AE$515,'Cắt lồng'!CQ$4:CQ$4)</f>
        <v>0</v>
      </c>
      <c r="CR133" s="78" t="e">
        <f t="shared" si="332"/>
        <v>#DIV/0!</v>
      </c>
      <c r="CS133" s="79">
        <f t="array" ref="CS133">SUMIFS('Cắt lồng'!$AC$327:$AC$515,'Cắt lồng'!$AA$327:$AA$515,'Cắt lồng'!$AA133,'Cắt lồng'!$AE$327:$AE$515,'Cắt lồng'!CS$4:CS$4)</f>
        <v>0</v>
      </c>
      <c r="CT133" s="79">
        <f t="array" ref="CT133">SUMIFS('Cắt lồng'!$AH$327:$AH$515,'Cắt lồng'!$AA$327:$AA$515,'Cắt lồng'!$AA133,'Cắt lồng'!$AE$327:$AE$515,'Cắt lồng'!CT$4:CT$4)</f>
        <v>0</v>
      </c>
      <c r="CU133" s="78" t="e">
        <f t="shared" si="333"/>
        <v>#DIV/0!</v>
      </c>
      <c r="CV133" s="79">
        <f t="array" ref="CV133">SUMIFS('Cắt lồng'!$AC$327:$AC$515,'Cắt lồng'!$AA$327:$AA$515,'Cắt lồng'!$AA133,'Cắt lồng'!$AE$327:$AE$515,'Cắt lồng'!CV$4:CV$4)</f>
        <v>0</v>
      </c>
      <c r="CW133" s="79">
        <f t="array" ref="CW133">SUMIFS('Cắt lồng'!$AH$327:$AH$515,'Cắt lồng'!$AA$327:$AA$515,'Cắt lồng'!$AA133,'Cắt lồng'!$AE$327:$AE$515,'Cắt lồng'!CW$4:CW$4)</f>
        <v>0</v>
      </c>
      <c r="CX133" s="78" t="e">
        <f t="shared" si="334"/>
        <v>#DIV/0!</v>
      </c>
      <c r="CY133" s="79">
        <f t="array" ref="CY133">SUMIFS('Cắt lồng'!$AC$327:$AC$515,'Cắt lồng'!$AA$327:$AA$515,'Cắt lồng'!$AA133,'Cắt lồng'!$AE$327:$AE$515,'Cắt lồng'!CY$4:CY$4)</f>
        <v>0</v>
      </c>
      <c r="CZ133" s="79">
        <f t="array" ref="CZ133">SUMIFS('Cắt lồng'!$AH$327:$AH$515,'Cắt lồng'!$AA$327:$AA$515,'Cắt lồng'!$AA133,'Cắt lồng'!$AE$327:$AE$515,'Cắt lồng'!CZ$4:CZ$4)</f>
        <v>0</v>
      </c>
      <c r="DA133" s="78" t="e">
        <f t="shared" si="335"/>
        <v>#DIV/0!</v>
      </c>
      <c r="DB133" s="79">
        <f t="array" ref="DB133">SUMIFS('Cắt lồng'!$AC$327:$AC$515,'Cắt lồng'!$AA$327:$AA$515,'Cắt lồng'!$AA133,'Cắt lồng'!$AE$327:$AE$515,'Cắt lồng'!DB$4:DB$4)</f>
        <v>0</v>
      </c>
      <c r="DC133" s="79">
        <f t="array" ref="DC133">SUMIFS('Cắt lồng'!$AH$327:$AH$515,'Cắt lồng'!$AA$327:$AA$515,'Cắt lồng'!$AA133,'Cắt lồng'!$AE$327:$AE$515,'Cắt lồng'!DC$4:DC$4)</f>
        <v>0</v>
      </c>
      <c r="DD133" s="78" t="e">
        <f t="shared" si="336"/>
        <v>#DIV/0!</v>
      </c>
      <c r="DE133" s="79">
        <f t="array" ref="DE133">SUMIFS('Cắt lồng'!$AC$327:$AC$515,'Cắt lồng'!$AA$327:$AA$515,'Cắt lồng'!$AA133,'Cắt lồng'!$AE$327:$AE$515,'Cắt lồng'!DE$4:DE$4)</f>
        <v>0</v>
      </c>
      <c r="DF133" s="79">
        <f t="array" ref="DF133">SUMIFS('Cắt lồng'!$AH$327:$AH$515,'Cắt lồng'!$AA$327:$AA$515,'Cắt lồng'!$AA133,'Cắt lồng'!$AE$327:$AE$515,'Cắt lồng'!DF$4:DF$4)</f>
        <v>0</v>
      </c>
      <c r="DG133" s="78" t="e">
        <f t="shared" si="337"/>
        <v>#DIV/0!</v>
      </c>
      <c r="DH133" s="79">
        <f t="array" ref="DH133">SUMIFS('Cắt lồng'!$AC$327:$AC$515,'Cắt lồng'!$AA$327:$AA$515,'Cắt lồng'!$AA133,'Cắt lồng'!$AE$327:$AE$515,'Cắt lồng'!DH$4:DH$4)</f>
        <v>0</v>
      </c>
      <c r="DI133" s="79">
        <f t="array" ref="DI133">SUMIFS('Cắt lồng'!$AH$327:$AH$515,'Cắt lồng'!$AA$327:$AA$515,'Cắt lồng'!$AA133,'Cắt lồng'!$AE$327:$AE$515,'Cắt lồng'!DI$4:DI$4)</f>
        <v>0</v>
      </c>
      <c r="DJ133" s="78" t="e">
        <f t="shared" si="338"/>
        <v>#DIV/0!</v>
      </c>
      <c r="DK133" s="79">
        <f t="array" ref="DK133">SUMIFS('Cắt lồng'!$AC$327:$AC$515,'Cắt lồng'!$AA$327:$AA$515,'Cắt lồng'!$AA133,'Cắt lồng'!$AE$327:$AE$515,'Cắt lồng'!DK$4:DK$4)</f>
        <v>0</v>
      </c>
      <c r="DL133" s="79">
        <f t="array" ref="DL133">SUMIFS('Cắt lồng'!$AH$327:$AH$515,'Cắt lồng'!$AA$327:$AA$515,'Cắt lồng'!$AA133,'Cắt lồng'!$AE$327:$AE$515,'Cắt lồng'!DL$4:DL$4)</f>
        <v>0</v>
      </c>
      <c r="DM133" s="78" t="e">
        <f t="shared" si="339"/>
        <v>#DIV/0!</v>
      </c>
      <c r="DN133" s="79">
        <f t="array" ref="DN133">SUMIFS('Cắt lồng'!$AC$327:$AC$515,'Cắt lồng'!$AA$327:$AA$515,'Cắt lồng'!$AA133,'Cắt lồng'!$AE$327:$AE$515,'Cắt lồng'!DN$4:DN$4)</f>
        <v>0</v>
      </c>
      <c r="DO133" s="79">
        <f t="array" ref="DO133">SUMIFS('Cắt lồng'!$AH$327:$AH$515,'Cắt lồng'!$AA$327:$AA$515,'Cắt lồng'!$AA133,'Cắt lồng'!$AE$327:$AE$515,'Cắt lồng'!DO$4:DO$4)</f>
        <v>0</v>
      </c>
      <c r="DP133" s="78" t="e">
        <f t="shared" si="340"/>
        <v>#DIV/0!</v>
      </c>
      <c r="DQ133" s="79">
        <f t="array" ref="DQ133">SUMIFS('Cắt lồng'!$AC$327:$AC$515,'Cắt lồng'!$AA$327:$AA$515,'Cắt lồng'!$AA133,'Cắt lồng'!$AE$327:$AE$515,'Cắt lồng'!DQ$4:DQ$4)</f>
        <v>0</v>
      </c>
      <c r="DR133" s="79">
        <f t="array" ref="DR133">SUMIFS('Cắt lồng'!$AH$327:$AH$515,'Cắt lồng'!$AA$327:$AA$515,'Cắt lồng'!$AA133,'Cắt lồng'!$AE$327:$AE$515,'Cắt lồng'!DR$4:DR$4)</f>
        <v>0</v>
      </c>
      <c r="DS133" s="78" t="e">
        <f t="shared" si="341"/>
        <v>#DIV/0!</v>
      </c>
      <c r="DT133" s="79">
        <f t="array" ref="DT133">SUMIFS('Cắt lồng'!$AC$327:$AC$515,'Cắt lồng'!$AA$327:$AA$515,'Cắt lồng'!$AA133,'Cắt lồng'!$AE$327:$AE$515,'Cắt lồng'!DT$4:DT$4)</f>
        <v>0</v>
      </c>
      <c r="DU133" s="79">
        <f t="array" ref="DU133">SUMIFS('Cắt lồng'!$AH$327:$AH$515,'Cắt lồng'!$AA$327:$AA$515,'Cắt lồng'!$AA133,'Cắt lồng'!$AE$327:$AE$515,'Cắt lồng'!DU$4:DU$4)</f>
        <v>0</v>
      </c>
      <c r="DV133" s="78" t="e">
        <f t="shared" si="342"/>
        <v>#DIV/0!</v>
      </c>
      <c r="DW133" s="79">
        <f t="array" ref="DW133">SUMIFS('Cắt lồng'!$AC$327:$AC$515,'Cắt lồng'!$AA$327:$AA$515,'Cắt lồng'!$AA133,'Cắt lồng'!$AE$327:$AE$515,'Cắt lồng'!DW$4:DW$4)</f>
        <v>0</v>
      </c>
      <c r="DX133" s="79">
        <f t="array" ref="DX133">SUMIFS('Cắt lồng'!$AH$327:$AH$515,'Cắt lồng'!$AA$327:$AA$515,'Cắt lồng'!$AA133,'Cắt lồng'!$AE$327:$AE$515,'Cắt lồng'!DX$4:DX$4)</f>
        <v>0</v>
      </c>
      <c r="DY133" s="78" t="e">
        <f t="shared" si="343"/>
        <v>#DIV/0!</v>
      </c>
      <c r="DZ133" s="79">
        <f t="array" ref="DZ133">SUMIFS('Cắt lồng'!$AC$327:$AC$515,'Cắt lồng'!$AA$327:$AA$515,'Cắt lồng'!$AA133,'Cắt lồng'!$AE$327:$AE$515,'Cắt lồng'!DZ$4:DZ$4)</f>
        <v>0</v>
      </c>
      <c r="EA133" s="79">
        <f t="array" ref="EA133">SUMIFS('Cắt lồng'!$AH$327:$AH$515,'Cắt lồng'!$AA$327:$AA$515,'Cắt lồng'!$AA133,'Cắt lồng'!$AE$327:$AE$515,'Cắt lồng'!EA$4:EA$4)</f>
        <v>0</v>
      </c>
      <c r="EB133" s="78" t="e">
        <f t="shared" si="344"/>
        <v>#DIV/0!</v>
      </c>
      <c r="EC133" s="79">
        <f t="array" ref="EC133">SUMIFS('Cắt lồng'!$AC$327:$AC$515,'Cắt lồng'!$AA$327:$AA$515,'Cắt lồng'!$AA133,'Cắt lồng'!$AE$327:$AE$515,'Cắt lồng'!EC$4:EC$4)</f>
        <v>0</v>
      </c>
      <c r="ED133" s="79">
        <f t="array" ref="ED133">SUMIFS('Cắt lồng'!$AH$327:$AH$515,'Cắt lồng'!$AA$327:$AA$515,'Cắt lồng'!$AA133,'Cắt lồng'!$AE$327:$AE$515,'Cắt lồng'!ED$4:ED$4)</f>
        <v>0</v>
      </c>
      <c r="EE133" s="78" t="e">
        <f t="shared" si="345"/>
        <v>#DIV/0!</v>
      </c>
      <c r="EF133" s="79">
        <f t="array" ref="EF133">SUMIFS('Cắt lồng'!$AC$327:$AC$515,'Cắt lồng'!$AA$327:$AA$515,'Cắt lồng'!$AA133,'Cắt lồng'!$AE$327:$AE$515,'Cắt lồng'!EF$4:EF$4)</f>
        <v>0</v>
      </c>
      <c r="EG133" s="79">
        <f t="array" ref="EG133">SUMIFS('Cắt lồng'!$AH$327:$AH$515,'Cắt lồng'!$AA$327:$AA$515,'Cắt lồng'!$AA133,'Cắt lồng'!$AE$327:$AE$515,'Cắt lồng'!EG$4:EG$4)</f>
        <v>0</v>
      </c>
      <c r="EH133" s="78" t="e">
        <f t="shared" si="346"/>
        <v>#DIV/0!</v>
      </c>
      <c r="EI133" s="79">
        <f t="array" ref="EI133">SUMIFS('Cắt lồng'!$AC$327:$AC$515,'Cắt lồng'!$AA$327:$AA$515,'Cắt lồng'!$AA133,'Cắt lồng'!$AE$327:$AE$515,'Cắt lồng'!EI$4:EI$4)</f>
        <v>0</v>
      </c>
      <c r="EJ133" s="79">
        <f t="array" ref="EJ133">SUMIFS('Cắt lồng'!$AH$327:$AH$515,'Cắt lồng'!$AA$327:$AA$515,'Cắt lồng'!$AA133,'Cắt lồng'!$AE$327:$AE$515,'Cắt lồng'!EJ$4:EJ$4)</f>
        <v>0</v>
      </c>
      <c r="EK133" s="78" t="e">
        <f t="shared" si="347"/>
        <v>#DIV/0!</v>
      </c>
    </row>
    <row r="134" spans="1:141" s="12" customFormat="1" ht="14.25" hidden="1" customHeight="1">
      <c r="A134" s="30">
        <v>101</v>
      </c>
      <c r="B134" s="26"/>
      <c r="C134" s="25"/>
      <c r="D134" s="24"/>
      <c r="E134" s="60"/>
      <c r="F134" s="59"/>
      <c r="G134" s="82">
        <f t="shared" si="280"/>
        <v>0</v>
      </c>
      <c r="H134" s="81">
        <f t="shared" si="281"/>
        <v>12.83</v>
      </c>
      <c r="I134" s="19">
        <f t="shared" si="282"/>
        <v>0</v>
      </c>
      <c r="J134" s="11">
        <f t="shared" si="283"/>
        <v>3.5</v>
      </c>
      <c r="K134" s="19">
        <f t="shared" si="284"/>
        <v>0</v>
      </c>
      <c r="L134" s="19">
        <f t="shared" si="285"/>
        <v>0</v>
      </c>
      <c r="M134" s="19">
        <f t="shared" si="286"/>
        <v>0</v>
      </c>
      <c r="N134" s="19">
        <f t="shared" si="287"/>
        <v>0</v>
      </c>
      <c r="O134" s="19">
        <f t="shared" si="288"/>
        <v>0</v>
      </c>
      <c r="P134" s="19">
        <f t="shared" si="289"/>
        <v>0</v>
      </c>
      <c r="Q134" s="19">
        <f t="shared" si="290"/>
        <v>0</v>
      </c>
      <c r="R134" s="19">
        <f t="shared" si="291"/>
        <v>0</v>
      </c>
      <c r="S134" s="19">
        <f t="shared" si="292"/>
        <v>0</v>
      </c>
      <c r="T134" s="19">
        <f t="shared" si="293"/>
        <v>2.33</v>
      </c>
      <c r="U134" s="19">
        <f t="shared" si="294"/>
        <v>0</v>
      </c>
      <c r="V134" s="19">
        <f t="shared" si="295"/>
        <v>0</v>
      </c>
      <c r="W134" s="19">
        <f t="shared" si="296"/>
        <v>0</v>
      </c>
      <c r="X134" s="19">
        <f t="shared" si="297"/>
        <v>0.34</v>
      </c>
      <c r="Y134" s="19">
        <f t="shared" si="298"/>
        <v>0.83</v>
      </c>
      <c r="Z134" s="19">
        <f t="shared" si="299"/>
        <v>0</v>
      </c>
      <c r="AA134" s="143" t="s">
        <v>1</v>
      </c>
      <c r="AB134" s="17" t="e">
        <f>+H134*SUMIF('[1]KẾ HOẠCH'!$B$5:$CK$5,'Cắt lồng'!AA134,'[1]KẾ HOẠCH'!$B$6:$CK$6)+H134*SUMIF('[1]KẾ HOẠCH'!$B$7:$CK$7,'Cắt lồng'!AA134,'[1]KẾ HOẠCH'!$B$8:$CK$8)+H134*SUMIF('[1]KẾ HOẠCH'!$B$15:$CK$15,'Cắt lồng'!AA134,'[1]KẾ HOẠCH'!$B$16:$CK$16)</f>
        <v>#VALUE!</v>
      </c>
      <c r="AC134" s="16">
        <f t="shared" si="300"/>
        <v>15834</v>
      </c>
      <c r="AD134" s="15" t="e">
        <f t="shared" si="301"/>
        <v>#VALUE!</v>
      </c>
      <c r="AE134" s="42"/>
      <c r="AF134" s="10">
        <f t="shared" si="302"/>
        <v>1234.1387373343725</v>
      </c>
      <c r="AG134" s="10"/>
      <c r="AH134" s="152">
        <f t="shared" si="303"/>
        <v>0</v>
      </c>
      <c r="AI134" s="54">
        <f t="shared" si="304"/>
        <v>0</v>
      </c>
      <c r="AJ134" s="25">
        <f t="shared" si="305"/>
        <v>0</v>
      </c>
      <c r="AK134" s="25">
        <f t="shared" si="306"/>
        <v>0</v>
      </c>
      <c r="AL134" s="25">
        <f t="shared" si="307"/>
        <v>0</v>
      </c>
      <c r="AM134" s="30">
        <f t="shared" si="308"/>
        <v>0</v>
      </c>
      <c r="AN134" s="25">
        <f t="shared" si="309"/>
        <v>0</v>
      </c>
      <c r="AO134" s="25">
        <f t="shared" si="310"/>
        <v>0</v>
      </c>
      <c r="AP134" s="25">
        <f t="shared" si="311"/>
        <v>0</v>
      </c>
      <c r="AQ134" s="25">
        <f t="shared" si="312"/>
        <v>0</v>
      </c>
      <c r="AR134" s="25">
        <f t="shared" si="313"/>
        <v>0</v>
      </c>
      <c r="AS134" s="25">
        <f t="shared" si="314"/>
        <v>0</v>
      </c>
      <c r="AT134" s="25">
        <f t="shared" si="315"/>
        <v>0</v>
      </c>
      <c r="AV134" s="79">
        <f t="shared" si="316"/>
        <v>12.83</v>
      </c>
      <c r="AW134" s="79">
        <f t="array" ref="AW134">SUMIFS('Cắt lồng'!$AC$327:$AC$515,'Cắt lồng'!$AA$327:$AA$515,'Cắt lồng'!$AA134,'Cắt lồng'!$AE$327:$AE$515,'Cắt lồng'!AW$4:AW$4)</f>
        <v>15834</v>
      </c>
      <c r="AX134" s="79">
        <f t="array" ref="AX134">SUMIFS('Cắt lồng'!$AH$327:$AH$515,'Cắt lồng'!$AA$327:$AA$515,'Cắt lồng'!$AA134,'Cắt lồng'!$AE$327:$AE$515,'Cắt lồng'!AX$4:AX$4)</f>
        <v>0</v>
      </c>
      <c r="AY134" s="78">
        <f t="shared" si="317"/>
        <v>0</v>
      </c>
      <c r="AZ134" s="79">
        <f t="array" ref="AZ134">SUMIFS('Cắt lồng'!$AC$327:$AC$515,'Cắt lồng'!$AA$327:$AA$515,'Cắt lồng'!$AA134,'Cắt lồng'!$AE$327:$AE$515,'Cắt lồng'!AZ$4:AZ$4)</f>
        <v>0</v>
      </c>
      <c r="BA134" s="79">
        <f t="array" ref="BA134">SUMIFS('Cắt lồng'!$AH$327:$AH$515,'Cắt lồng'!$AA$327:$AA$515,'Cắt lồng'!$AA134,'Cắt lồng'!$AE$327:$AE$515,'Cắt lồng'!BA$4:BA$4)</f>
        <v>0</v>
      </c>
      <c r="BB134" s="78" t="e">
        <f t="shared" si="318"/>
        <v>#DIV/0!</v>
      </c>
      <c r="BC134" s="79">
        <f t="array" ref="BC134">SUMIFS('Cắt lồng'!$AC$327:$AC$515,'Cắt lồng'!$AA$327:$AA$515,'Cắt lồng'!$AA134,'Cắt lồng'!$AE$327:$AE$515,'Cắt lồng'!BC$4:BC$4)</f>
        <v>0</v>
      </c>
      <c r="BD134" s="79">
        <f t="array" ref="BD134">SUMIFS('Cắt lồng'!$AH$327:$AH$515,'Cắt lồng'!$AA$327:$AA$515,'Cắt lồng'!$AA134,'Cắt lồng'!$AE$327:$AE$515,'Cắt lồng'!BD$4:BD$4)</f>
        <v>0</v>
      </c>
      <c r="BE134" s="78" t="e">
        <f t="shared" si="319"/>
        <v>#DIV/0!</v>
      </c>
      <c r="BF134" s="79">
        <f t="array" ref="BF134">SUMIFS('Cắt lồng'!$AC$327:$AC$515,'Cắt lồng'!$AA$327:$AA$515,'Cắt lồng'!$AA134,'Cắt lồng'!$AE$327:$AE$515,'Cắt lồng'!BF$4:BF$4)</f>
        <v>0</v>
      </c>
      <c r="BG134" s="79">
        <f t="array" ref="BG134">SUMIFS('Cắt lồng'!$AH$327:$AH$515,'Cắt lồng'!$AA$327:$AA$515,'Cắt lồng'!$AA134,'Cắt lồng'!$AE$327:$AE$515,'Cắt lồng'!BG$4:BG$4)</f>
        <v>0</v>
      </c>
      <c r="BH134" s="78" t="e">
        <f t="shared" si="320"/>
        <v>#DIV/0!</v>
      </c>
      <c r="BI134" s="79">
        <f t="array" ref="BI134">SUMIFS('Cắt lồng'!$AC$327:$AC$515,'Cắt lồng'!$AA$327:$AA$515,'Cắt lồng'!$AA134,'Cắt lồng'!$AE$327:$AE$515,'Cắt lồng'!BI$4:BI$4)</f>
        <v>0</v>
      </c>
      <c r="BJ134" s="79">
        <f t="array" ref="BJ134">SUMIFS('Cắt lồng'!$AH$327:$AH$515,'Cắt lồng'!$AA$327:$AA$515,'Cắt lồng'!$AA134,'Cắt lồng'!$AE$327:$AE$515,'Cắt lồng'!BJ$4:BJ$4)</f>
        <v>0</v>
      </c>
      <c r="BK134" s="78" t="e">
        <f t="shared" si="321"/>
        <v>#DIV/0!</v>
      </c>
      <c r="BL134" s="79">
        <f t="array" ref="BL134">SUMIFS('Cắt lồng'!$AC$327:$AC$515,'Cắt lồng'!$AA$327:$AA$515,'Cắt lồng'!$AA134,'Cắt lồng'!$AE$327:$AE$515,'Cắt lồng'!BL$4:BL$4)</f>
        <v>0</v>
      </c>
      <c r="BM134" s="79">
        <f t="array" ref="BM134">SUMIFS('Cắt lồng'!$AH$327:$AH$515,'Cắt lồng'!$AA$327:$AA$515,'Cắt lồng'!$AA134,'Cắt lồng'!$AE$327:$AE$515,'Cắt lồng'!BM$4:BM$4)</f>
        <v>0</v>
      </c>
      <c r="BN134" s="78" t="e">
        <f t="shared" si="322"/>
        <v>#DIV/0!</v>
      </c>
      <c r="BO134" s="79">
        <f t="array" ref="BO134">SUMIFS('Cắt lồng'!$AC$327:$AC$515,'Cắt lồng'!$AA$327:$AA$515,'Cắt lồng'!$AA134,'Cắt lồng'!$AE$327:$AE$515,'Cắt lồng'!BO$4:BO$4)</f>
        <v>0</v>
      </c>
      <c r="BP134" s="79">
        <f t="array" ref="BP134">SUMIFS('Cắt lồng'!$AH$327:$AH$515,'Cắt lồng'!$AA$327:$AA$515,'Cắt lồng'!$AA134,'Cắt lồng'!$AE$327:$AE$515,'Cắt lồng'!BP$4:BP$4)</f>
        <v>0</v>
      </c>
      <c r="BQ134" s="78" t="e">
        <f t="shared" si="323"/>
        <v>#DIV/0!</v>
      </c>
      <c r="BR134" s="79">
        <f t="array" ref="BR134">SUMIFS('Cắt lồng'!$AC$327:$AC$515,'Cắt lồng'!$AA$327:$AA$515,'Cắt lồng'!$AA134,'Cắt lồng'!$AE$327:$AE$515,'Cắt lồng'!BR$4:BR$4)</f>
        <v>0</v>
      </c>
      <c r="BS134" s="79">
        <f t="array" ref="BS134">SUMIFS('Cắt lồng'!$AH$327:$AH$515,'Cắt lồng'!$AA$327:$AA$515,'Cắt lồng'!$AA134,'Cắt lồng'!$AE$327:$AE$515,'Cắt lồng'!BS$4:BS$4)</f>
        <v>0</v>
      </c>
      <c r="BT134" s="78" t="e">
        <f t="shared" si="324"/>
        <v>#DIV/0!</v>
      </c>
      <c r="BU134" s="79">
        <f t="array" ref="BU134">SUMIFS('Cắt lồng'!$AC$327:$AC$515,'Cắt lồng'!$AA$327:$AA$515,'Cắt lồng'!$AA134,'Cắt lồng'!$AE$327:$AE$515,'Cắt lồng'!BU$4:BU$4)</f>
        <v>0</v>
      </c>
      <c r="BV134" s="79">
        <f t="array" ref="BV134">SUMIFS('Cắt lồng'!$AH$327:$AH$515,'Cắt lồng'!$AA$327:$AA$515,'Cắt lồng'!$AA134,'Cắt lồng'!$AE$327:$AE$515,'Cắt lồng'!BV$4:BV$4)</f>
        <v>0</v>
      </c>
      <c r="BW134" s="78" t="e">
        <f t="shared" si="325"/>
        <v>#DIV/0!</v>
      </c>
      <c r="BX134" s="79">
        <f t="array" ref="BX134">SUMIFS('Cắt lồng'!$AC$327:$AC$515,'Cắt lồng'!$AA$327:$AA$515,'Cắt lồng'!$AA134,'Cắt lồng'!$AE$327:$AE$515,'Cắt lồng'!BX$4:BX$4)</f>
        <v>0</v>
      </c>
      <c r="BY134" s="79">
        <f t="array" ref="BY134">SUMIFS('Cắt lồng'!$AH$327:$AH$515,'Cắt lồng'!$AA$327:$AA$515,'Cắt lồng'!$AA134,'Cắt lồng'!$AE$327:$AE$515,'Cắt lồng'!BY$4:BY$4)</f>
        <v>0</v>
      </c>
      <c r="BZ134" s="78" t="e">
        <f t="shared" si="326"/>
        <v>#DIV/0!</v>
      </c>
      <c r="CA134" s="79">
        <f t="array" ref="CA134">SUMIFS('Cắt lồng'!$AC$327:$AC$515,'Cắt lồng'!$AA$327:$AA$515,'Cắt lồng'!$AA134,'Cắt lồng'!$AE$327:$AE$515,'Cắt lồng'!CA$4:CA$4)</f>
        <v>0</v>
      </c>
      <c r="CB134" s="79">
        <f t="array" ref="CB134">SUMIFS('Cắt lồng'!$AH$327:$AH$515,'Cắt lồng'!$AA$327:$AA$515,'Cắt lồng'!$AA134,'Cắt lồng'!$AE$327:$AE$515,'Cắt lồng'!CB$4:CB$4)</f>
        <v>0</v>
      </c>
      <c r="CC134" s="78" t="e">
        <f t="shared" si="327"/>
        <v>#DIV/0!</v>
      </c>
      <c r="CD134" s="79">
        <f t="array" ref="CD134">SUMIFS('Cắt lồng'!$AC$327:$AC$515,'Cắt lồng'!$AA$327:$AA$515,'Cắt lồng'!$AA134,'Cắt lồng'!$AE$327:$AE$515,'Cắt lồng'!CD$4:CD$4)</f>
        <v>0</v>
      </c>
      <c r="CE134" s="79">
        <f t="array" ref="CE134">SUMIFS('Cắt lồng'!$AH$327:$AH$515,'Cắt lồng'!$AA$327:$AA$515,'Cắt lồng'!$AA134,'Cắt lồng'!$AE$327:$AE$515,'Cắt lồng'!CE$4:CE$4)</f>
        <v>0</v>
      </c>
      <c r="CF134" s="78" t="e">
        <f t="shared" si="328"/>
        <v>#DIV/0!</v>
      </c>
      <c r="CG134" s="79">
        <f t="array" ref="CG134">SUMIFS('Cắt lồng'!$AC$327:$AC$515,'Cắt lồng'!$AA$327:$AA$515,'Cắt lồng'!$AA134,'Cắt lồng'!$AE$327:$AE$515,'Cắt lồng'!CG$4:CG$4)</f>
        <v>0</v>
      </c>
      <c r="CH134" s="79">
        <f t="array" ref="CH134">SUMIFS('Cắt lồng'!$AH$327:$AH$515,'Cắt lồng'!$AA$327:$AA$515,'Cắt lồng'!$AA134,'Cắt lồng'!$AE$327:$AE$515,'Cắt lồng'!CH$4:CH$4)</f>
        <v>0</v>
      </c>
      <c r="CI134" s="78" t="e">
        <f t="shared" si="329"/>
        <v>#DIV/0!</v>
      </c>
      <c r="CJ134" s="79">
        <f t="array" ref="CJ134">SUMIFS('Cắt lồng'!$AC$327:$AC$515,'Cắt lồng'!$AA$327:$AA$515,'Cắt lồng'!$AA134,'Cắt lồng'!$AE$327:$AE$515,'Cắt lồng'!CJ$4:CJ$4)</f>
        <v>0</v>
      </c>
      <c r="CK134" s="79">
        <f t="array" ref="CK134">SUMIFS('Cắt lồng'!$AH$327:$AH$515,'Cắt lồng'!$AA$327:$AA$515,'Cắt lồng'!$AA134,'Cắt lồng'!$AE$327:$AE$515,'Cắt lồng'!CK$4:CK$4)</f>
        <v>0</v>
      </c>
      <c r="CL134" s="78" t="e">
        <f t="shared" si="330"/>
        <v>#DIV/0!</v>
      </c>
      <c r="CM134" s="79">
        <f t="array" ref="CM134">SUMIFS('Cắt lồng'!$AC$327:$AC$515,'Cắt lồng'!$AA$327:$AA$515,'Cắt lồng'!$AA134,'Cắt lồng'!$AE$327:$AE$515,'Cắt lồng'!CM$4:CM$4)</f>
        <v>0</v>
      </c>
      <c r="CN134" s="79">
        <f t="array" ref="CN134">SUMIFS('Cắt lồng'!$AH$327:$AH$515,'Cắt lồng'!$AA$327:$AA$515,'Cắt lồng'!$AA134,'Cắt lồng'!$AE$327:$AE$515,'Cắt lồng'!CN$4:CN$4)</f>
        <v>0</v>
      </c>
      <c r="CO134" s="78" t="e">
        <f t="shared" si="331"/>
        <v>#DIV/0!</v>
      </c>
      <c r="CP134" s="79">
        <f t="array" ref="CP134">SUMIFS('Cắt lồng'!$AC$327:$AC$515,'Cắt lồng'!$AA$327:$AA$515,'Cắt lồng'!$AA134,'Cắt lồng'!$AE$327:$AE$515,'Cắt lồng'!CP$4:CP$4)</f>
        <v>0</v>
      </c>
      <c r="CQ134" s="79">
        <f t="array" ref="CQ134">SUMIFS('Cắt lồng'!$AH$327:$AH$515,'Cắt lồng'!$AA$327:$AA$515,'Cắt lồng'!$AA134,'Cắt lồng'!$AE$327:$AE$515,'Cắt lồng'!CQ$4:CQ$4)</f>
        <v>0</v>
      </c>
      <c r="CR134" s="78" t="e">
        <f t="shared" si="332"/>
        <v>#DIV/0!</v>
      </c>
      <c r="CS134" s="79">
        <f t="array" ref="CS134">SUMIFS('Cắt lồng'!$AC$327:$AC$515,'Cắt lồng'!$AA$327:$AA$515,'Cắt lồng'!$AA134,'Cắt lồng'!$AE$327:$AE$515,'Cắt lồng'!CS$4:CS$4)</f>
        <v>0</v>
      </c>
      <c r="CT134" s="79">
        <f t="array" ref="CT134">SUMIFS('Cắt lồng'!$AH$327:$AH$515,'Cắt lồng'!$AA$327:$AA$515,'Cắt lồng'!$AA134,'Cắt lồng'!$AE$327:$AE$515,'Cắt lồng'!CT$4:CT$4)</f>
        <v>0</v>
      </c>
      <c r="CU134" s="78" t="e">
        <f t="shared" si="333"/>
        <v>#DIV/0!</v>
      </c>
      <c r="CV134" s="79">
        <f t="array" ref="CV134">SUMIFS('Cắt lồng'!$AC$327:$AC$515,'Cắt lồng'!$AA$327:$AA$515,'Cắt lồng'!$AA134,'Cắt lồng'!$AE$327:$AE$515,'Cắt lồng'!CV$4:CV$4)</f>
        <v>0</v>
      </c>
      <c r="CW134" s="79">
        <f t="array" ref="CW134">SUMIFS('Cắt lồng'!$AH$327:$AH$515,'Cắt lồng'!$AA$327:$AA$515,'Cắt lồng'!$AA134,'Cắt lồng'!$AE$327:$AE$515,'Cắt lồng'!CW$4:CW$4)</f>
        <v>0</v>
      </c>
      <c r="CX134" s="78" t="e">
        <f t="shared" si="334"/>
        <v>#DIV/0!</v>
      </c>
      <c r="CY134" s="79">
        <f t="array" ref="CY134">SUMIFS('Cắt lồng'!$AC$327:$AC$515,'Cắt lồng'!$AA$327:$AA$515,'Cắt lồng'!$AA134,'Cắt lồng'!$AE$327:$AE$515,'Cắt lồng'!CY$4:CY$4)</f>
        <v>0</v>
      </c>
      <c r="CZ134" s="79">
        <f t="array" ref="CZ134">SUMIFS('Cắt lồng'!$AH$327:$AH$515,'Cắt lồng'!$AA$327:$AA$515,'Cắt lồng'!$AA134,'Cắt lồng'!$AE$327:$AE$515,'Cắt lồng'!CZ$4:CZ$4)</f>
        <v>0</v>
      </c>
      <c r="DA134" s="78" t="e">
        <f t="shared" si="335"/>
        <v>#DIV/0!</v>
      </c>
      <c r="DB134" s="79">
        <f t="array" ref="DB134">SUMIFS('Cắt lồng'!$AC$327:$AC$515,'Cắt lồng'!$AA$327:$AA$515,'Cắt lồng'!$AA134,'Cắt lồng'!$AE$327:$AE$515,'Cắt lồng'!DB$4:DB$4)</f>
        <v>0</v>
      </c>
      <c r="DC134" s="79">
        <f t="array" ref="DC134">SUMIFS('Cắt lồng'!$AH$327:$AH$515,'Cắt lồng'!$AA$327:$AA$515,'Cắt lồng'!$AA134,'Cắt lồng'!$AE$327:$AE$515,'Cắt lồng'!DC$4:DC$4)</f>
        <v>0</v>
      </c>
      <c r="DD134" s="78" t="e">
        <f t="shared" si="336"/>
        <v>#DIV/0!</v>
      </c>
      <c r="DE134" s="79">
        <f t="array" ref="DE134">SUMIFS('Cắt lồng'!$AC$327:$AC$515,'Cắt lồng'!$AA$327:$AA$515,'Cắt lồng'!$AA134,'Cắt lồng'!$AE$327:$AE$515,'Cắt lồng'!DE$4:DE$4)</f>
        <v>0</v>
      </c>
      <c r="DF134" s="79">
        <f t="array" ref="DF134">SUMIFS('Cắt lồng'!$AH$327:$AH$515,'Cắt lồng'!$AA$327:$AA$515,'Cắt lồng'!$AA134,'Cắt lồng'!$AE$327:$AE$515,'Cắt lồng'!DF$4:DF$4)</f>
        <v>0</v>
      </c>
      <c r="DG134" s="78" t="e">
        <f t="shared" si="337"/>
        <v>#DIV/0!</v>
      </c>
      <c r="DH134" s="79">
        <f t="array" ref="DH134">SUMIFS('Cắt lồng'!$AC$327:$AC$515,'Cắt lồng'!$AA$327:$AA$515,'Cắt lồng'!$AA134,'Cắt lồng'!$AE$327:$AE$515,'Cắt lồng'!DH$4:DH$4)</f>
        <v>0</v>
      </c>
      <c r="DI134" s="79">
        <f t="array" ref="DI134">SUMIFS('Cắt lồng'!$AH$327:$AH$515,'Cắt lồng'!$AA$327:$AA$515,'Cắt lồng'!$AA134,'Cắt lồng'!$AE$327:$AE$515,'Cắt lồng'!DI$4:DI$4)</f>
        <v>0</v>
      </c>
      <c r="DJ134" s="78" t="e">
        <f t="shared" si="338"/>
        <v>#DIV/0!</v>
      </c>
      <c r="DK134" s="79">
        <f t="array" ref="DK134">SUMIFS('Cắt lồng'!$AC$327:$AC$515,'Cắt lồng'!$AA$327:$AA$515,'Cắt lồng'!$AA134,'Cắt lồng'!$AE$327:$AE$515,'Cắt lồng'!DK$4:DK$4)</f>
        <v>0</v>
      </c>
      <c r="DL134" s="79">
        <f t="array" ref="DL134">SUMIFS('Cắt lồng'!$AH$327:$AH$515,'Cắt lồng'!$AA$327:$AA$515,'Cắt lồng'!$AA134,'Cắt lồng'!$AE$327:$AE$515,'Cắt lồng'!DL$4:DL$4)</f>
        <v>0</v>
      </c>
      <c r="DM134" s="78" t="e">
        <f t="shared" si="339"/>
        <v>#DIV/0!</v>
      </c>
      <c r="DN134" s="79">
        <f t="array" ref="DN134">SUMIFS('Cắt lồng'!$AC$327:$AC$515,'Cắt lồng'!$AA$327:$AA$515,'Cắt lồng'!$AA134,'Cắt lồng'!$AE$327:$AE$515,'Cắt lồng'!DN$4:DN$4)</f>
        <v>0</v>
      </c>
      <c r="DO134" s="79">
        <f t="array" ref="DO134">SUMIFS('Cắt lồng'!$AH$327:$AH$515,'Cắt lồng'!$AA$327:$AA$515,'Cắt lồng'!$AA134,'Cắt lồng'!$AE$327:$AE$515,'Cắt lồng'!DO$4:DO$4)</f>
        <v>0</v>
      </c>
      <c r="DP134" s="78" t="e">
        <f t="shared" si="340"/>
        <v>#DIV/0!</v>
      </c>
      <c r="DQ134" s="79">
        <f t="array" ref="DQ134">SUMIFS('Cắt lồng'!$AC$327:$AC$515,'Cắt lồng'!$AA$327:$AA$515,'Cắt lồng'!$AA134,'Cắt lồng'!$AE$327:$AE$515,'Cắt lồng'!DQ$4:DQ$4)</f>
        <v>0</v>
      </c>
      <c r="DR134" s="79">
        <f t="array" ref="DR134">SUMIFS('Cắt lồng'!$AH$327:$AH$515,'Cắt lồng'!$AA$327:$AA$515,'Cắt lồng'!$AA134,'Cắt lồng'!$AE$327:$AE$515,'Cắt lồng'!DR$4:DR$4)</f>
        <v>0</v>
      </c>
      <c r="DS134" s="78" t="e">
        <f t="shared" si="341"/>
        <v>#DIV/0!</v>
      </c>
      <c r="DT134" s="79">
        <f t="array" ref="DT134">SUMIFS('Cắt lồng'!$AC$327:$AC$515,'Cắt lồng'!$AA$327:$AA$515,'Cắt lồng'!$AA134,'Cắt lồng'!$AE$327:$AE$515,'Cắt lồng'!DT$4:DT$4)</f>
        <v>0</v>
      </c>
      <c r="DU134" s="79">
        <f t="array" ref="DU134">SUMIFS('Cắt lồng'!$AH$327:$AH$515,'Cắt lồng'!$AA$327:$AA$515,'Cắt lồng'!$AA134,'Cắt lồng'!$AE$327:$AE$515,'Cắt lồng'!DU$4:DU$4)</f>
        <v>0</v>
      </c>
      <c r="DV134" s="78" t="e">
        <f t="shared" si="342"/>
        <v>#DIV/0!</v>
      </c>
      <c r="DW134" s="79">
        <f t="array" ref="DW134">SUMIFS('Cắt lồng'!$AC$327:$AC$515,'Cắt lồng'!$AA$327:$AA$515,'Cắt lồng'!$AA134,'Cắt lồng'!$AE$327:$AE$515,'Cắt lồng'!DW$4:DW$4)</f>
        <v>0</v>
      </c>
      <c r="DX134" s="79">
        <f t="array" ref="DX134">SUMIFS('Cắt lồng'!$AH$327:$AH$515,'Cắt lồng'!$AA$327:$AA$515,'Cắt lồng'!$AA134,'Cắt lồng'!$AE$327:$AE$515,'Cắt lồng'!DX$4:DX$4)</f>
        <v>0</v>
      </c>
      <c r="DY134" s="78" t="e">
        <f t="shared" si="343"/>
        <v>#DIV/0!</v>
      </c>
      <c r="DZ134" s="79">
        <f t="array" ref="DZ134">SUMIFS('Cắt lồng'!$AC$327:$AC$515,'Cắt lồng'!$AA$327:$AA$515,'Cắt lồng'!$AA134,'Cắt lồng'!$AE$327:$AE$515,'Cắt lồng'!DZ$4:DZ$4)</f>
        <v>0</v>
      </c>
      <c r="EA134" s="79">
        <f t="array" ref="EA134">SUMIFS('Cắt lồng'!$AH$327:$AH$515,'Cắt lồng'!$AA$327:$AA$515,'Cắt lồng'!$AA134,'Cắt lồng'!$AE$327:$AE$515,'Cắt lồng'!EA$4:EA$4)</f>
        <v>0</v>
      </c>
      <c r="EB134" s="78" t="e">
        <f t="shared" si="344"/>
        <v>#DIV/0!</v>
      </c>
      <c r="EC134" s="79">
        <f t="array" ref="EC134">SUMIFS('Cắt lồng'!$AC$327:$AC$515,'Cắt lồng'!$AA$327:$AA$515,'Cắt lồng'!$AA134,'Cắt lồng'!$AE$327:$AE$515,'Cắt lồng'!EC$4:EC$4)</f>
        <v>0</v>
      </c>
      <c r="ED134" s="79">
        <f t="array" ref="ED134">SUMIFS('Cắt lồng'!$AH$327:$AH$515,'Cắt lồng'!$AA$327:$AA$515,'Cắt lồng'!$AA134,'Cắt lồng'!$AE$327:$AE$515,'Cắt lồng'!ED$4:ED$4)</f>
        <v>0</v>
      </c>
      <c r="EE134" s="78" t="e">
        <f t="shared" si="345"/>
        <v>#DIV/0!</v>
      </c>
      <c r="EF134" s="79">
        <f t="array" ref="EF134">SUMIFS('Cắt lồng'!$AC$327:$AC$515,'Cắt lồng'!$AA$327:$AA$515,'Cắt lồng'!$AA134,'Cắt lồng'!$AE$327:$AE$515,'Cắt lồng'!EF$4:EF$4)</f>
        <v>0</v>
      </c>
      <c r="EG134" s="79">
        <f t="array" ref="EG134">SUMIFS('Cắt lồng'!$AH$327:$AH$515,'Cắt lồng'!$AA$327:$AA$515,'Cắt lồng'!$AA134,'Cắt lồng'!$AE$327:$AE$515,'Cắt lồng'!EG$4:EG$4)</f>
        <v>0</v>
      </c>
      <c r="EH134" s="78" t="e">
        <f t="shared" si="346"/>
        <v>#DIV/0!</v>
      </c>
      <c r="EI134" s="79">
        <f t="array" ref="EI134">SUMIFS('Cắt lồng'!$AC$327:$AC$515,'Cắt lồng'!$AA$327:$AA$515,'Cắt lồng'!$AA134,'Cắt lồng'!$AE$327:$AE$515,'Cắt lồng'!EI$4:EI$4)</f>
        <v>0</v>
      </c>
      <c r="EJ134" s="79">
        <f t="array" ref="EJ134">SUMIFS('Cắt lồng'!$AH$327:$AH$515,'Cắt lồng'!$AA$327:$AA$515,'Cắt lồng'!$AA134,'Cắt lồng'!$AE$327:$AE$515,'Cắt lồng'!EJ$4:EJ$4)</f>
        <v>0</v>
      </c>
      <c r="EK134" s="78" t="e">
        <f t="shared" si="347"/>
        <v>#DIV/0!</v>
      </c>
    </row>
    <row r="135" spans="1:141" s="12" customFormat="1" ht="14.25" hidden="1" customHeight="1">
      <c r="A135" s="30">
        <v>102</v>
      </c>
      <c r="B135" s="26"/>
      <c r="C135" s="25"/>
      <c r="D135" s="24"/>
      <c r="E135" s="60"/>
      <c r="F135" s="59"/>
      <c r="G135" s="82">
        <f t="shared" si="280"/>
        <v>0</v>
      </c>
      <c r="H135" s="81">
        <f t="shared" si="281"/>
        <v>0</v>
      </c>
      <c r="I135" s="19">
        <f t="shared" si="282"/>
        <v>0</v>
      </c>
      <c r="J135" s="11">
        <f t="shared" si="283"/>
        <v>0</v>
      </c>
      <c r="K135" s="19">
        <f t="shared" si="284"/>
        <v>0</v>
      </c>
      <c r="L135" s="19">
        <f t="shared" si="285"/>
        <v>0</v>
      </c>
      <c r="M135" s="19">
        <f t="shared" si="286"/>
        <v>0</v>
      </c>
      <c r="N135" s="19">
        <f t="shared" si="287"/>
        <v>0</v>
      </c>
      <c r="O135" s="19">
        <f t="shared" si="288"/>
        <v>0</v>
      </c>
      <c r="P135" s="19">
        <f t="shared" si="289"/>
        <v>0</v>
      </c>
      <c r="Q135" s="19">
        <f t="shared" si="290"/>
        <v>0</v>
      </c>
      <c r="R135" s="19">
        <f t="shared" si="291"/>
        <v>0</v>
      </c>
      <c r="S135" s="19">
        <f t="shared" si="292"/>
        <v>0</v>
      </c>
      <c r="T135" s="19">
        <f t="shared" si="293"/>
        <v>0</v>
      </c>
      <c r="U135" s="19">
        <f t="shared" si="294"/>
        <v>0</v>
      </c>
      <c r="V135" s="19">
        <f t="shared" si="295"/>
        <v>0</v>
      </c>
      <c r="W135" s="19">
        <f t="shared" si="296"/>
        <v>0</v>
      </c>
      <c r="X135" s="19">
        <f t="shared" si="297"/>
        <v>0</v>
      </c>
      <c r="Y135" s="19">
        <f t="shared" si="298"/>
        <v>0</v>
      </c>
      <c r="Z135" s="19">
        <f t="shared" si="299"/>
        <v>0</v>
      </c>
      <c r="AA135" s="143" t="s">
        <v>224</v>
      </c>
      <c r="AB135" s="17" t="e">
        <f>+H135*SUMIF('[1]KẾ HOẠCH'!$B$5:$CK$5,'Cắt lồng'!AA135,'[1]KẾ HOẠCH'!$B$6:$CK$6)+H135*SUMIF('[1]KẾ HOẠCH'!$B$7:$CK$7,'Cắt lồng'!AA135,'[1]KẾ HOẠCH'!$B$8:$CK$8)+H135*SUMIF('[1]KẾ HOẠCH'!$B$15:$CK$15,'Cắt lồng'!AA135,'[1]KẾ HOẠCH'!$B$16:$CK$16)</f>
        <v>#VALUE!</v>
      </c>
      <c r="AC135" s="16">
        <f t="shared" si="300"/>
        <v>0</v>
      </c>
      <c r="AD135" s="15" t="e">
        <f t="shared" si="301"/>
        <v>#VALUE!</v>
      </c>
      <c r="AE135" s="42"/>
      <c r="AF135" s="10" t="e">
        <f t="shared" si="302"/>
        <v>#DIV/0!</v>
      </c>
      <c r="AG135" s="10"/>
      <c r="AH135" s="152">
        <f t="shared" si="303"/>
        <v>0</v>
      </c>
      <c r="AI135" s="54" t="e">
        <f t="shared" si="304"/>
        <v>#DIV/0!</v>
      </c>
      <c r="AJ135" s="25">
        <f t="shared" si="305"/>
        <v>0</v>
      </c>
      <c r="AK135" s="25">
        <f t="shared" si="306"/>
        <v>0</v>
      </c>
      <c r="AL135" s="25">
        <f t="shared" si="307"/>
        <v>0</v>
      </c>
      <c r="AM135" s="30">
        <f t="shared" si="308"/>
        <v>0</v>
      </c>
      <c r="AN135" s="25">
        <f t="shared" si="309"/>
        <v>0</v>
      </c>
      <c r="AO135" s="25">
        <f t="shared" si="310"/>
        <v>0</v>
      </c>
      <c r="AP135" s="25">
        <f t="shared" si="311"/>
        <v>0</v>
      </c>
      <c r="AQ135" s="25">
        <f t="shared" si="312"/>
        <v>0</v>
      </c>
      <c r="AR135" s="25">
        <f t="shared" si="313"/>
        <v>0</v>
      </c>
      <c r="AS135" s="25">
        <f t="shared" si="314"/>
        <v>0</v>
      </c>
      <c r="AT135" s="25">
        <f t="shared" si="315"/>
        <v>0</v>
      </c>
      <c r="AV135" s="79">
        <f t="shared" si="316"/>
        <v>0</v>
      </c>
      <c r="AW135" s="79">
        <f t="array" ref="AW135">SUMIFS('Cắt lồng'!$AC$327:$AC$515,'Cắt lồng'!$AA$327:$AA$515,'Cắt lồng'!$AA135,'Cắt lồng'!$AE$327:$AE$515,'Cắt lồng'!AW$4:AW$4)</f>
        <v>0</v>
      </c>
      <c r="AX135" s="79">
        <f t="array" ref="AX135">SUMIFS('Cắt lồng'!$AH$327:$AH$515,'Cắt lồng'!$AA$327:$AA$515,'Cắt lồng'!$AA135,'Cắt lồng'!$AE$327:$AE$515,'Cắt lồng'!AX$4:AX$4)</f>
        <v>0</v>
      </c>
      <c r="AY135" s="78" t="e">
        <f t="shared" si="317"/>
        <v>#DIV/0!</v>
      </c>
      <c r="AZ135" s="79">
        <f t="array" ref="AZ135">SUMIFS('Cắt lồng'!$AC$327:$AC$515,'Cắt lồng'!$AA$327:$AA$515,'Cắt lồng'!$AA135,'Cắt lồng'!$AE$327:$AE$515,'Cắt lồng'!AZ$4:AZ$4)</f>
        <v>0</v>
      </c>
      <c r="BA135" s="79">
        <f t="array" ref="BA135">SUMIFS('Cắt lồng'!$AH$327:$AH$515,'Cắt lồng'!$AA$327:$AA$515,'Cắt lồng'!$AA135,'Cắt lồng'!$AE$327:$AE$515,'Cắt lồng'!BA$4:BA$4)</f>
        <v>0</v>
      </c>
      <c r="BB135" s="78" t="e">
        <f t="shared" si="318"/>
        <v>#DIV/0!</v>
      </c>
      <c r="BC135" s="79">
        <f t="array" ref="BC135">SUMIFS('Cắt lồng'!$AC$327:$AC$515,'Cắt lồng'!$AA$327:$AA$515,'Cắt lồng'!$AA135,'Cắt lồng'!$AE$327:$AE$515,'Cắt lồng'!BC$4:BC$4)</f>
        <v>0</v>
      </c>
      <c r="BD135" s="79">
        <f t="array" ref="BD135">SUMIFS('Cắt lồng'!$AH$327:$AH$515,'Cắt lồng'!$AA$327:$AA$515,'Cắt lồng'!$AA135,'Cắt lồng'!$AE$327:$AE$515,'Cắt lồng'!BD$4:BD$4)</f>
        <v>0</v>
      </c>
      <c r="BE135" s="78" t="e">
        <f t="shared" si="319"/>
        <v>#DIV/0!</v>
      </c>
      <c r="BF135" s="79">
        <f t="array" ref="BF135">SUMIFS('Cắt lồng'!$AC$327:$AC$515,'Cắt lồng'!$AA$327:$AA$515,'Cắt lồng'!$AA135,'Cắt lồng'!$AE$327:$AE$515,'Cắt lồng'!BF$4:BF$4)</f>
        <v>0</v>
      </c>
      <c r="BG135" s="79">
        <f t="array" ref="BG135">SUMIFS('Cắt lồng'!$AH$327:$AH$515,'Cắt lồng'!$AA$327:$AA$515,'Cắt lồng'!$AA135,'Cắt lồng'!$AE$327:$AE$515,'Cắt lồng'!BG$4:BG$4)</f>
        <v>0</v>
      </c>
      <c r="BH135" s="78" t="e">
        <f t="shared" si="320"/>
        <v>#DIV/0!</v>
      </c>
      <c r="BI135" s="79">
        <f t="array" ref="BI135">SUMIFS('Cắt lồng'!$AC$327:$AC$515,'Cắt lồng'!$AA$327:$AA$515,'Cắt lồng'!$AA135,'Cắt lồng'!$AE$327:$AE$515,'Cắt lồng'!BI$4:BI$4)</f>
        <v>0</v>
      </c>
      <c r="BJ135" s="79">
        <f t="array" ref="BJ135">SUMIFS('Cắt lồng'!$AH$327:$AH$515,'Cắt lồng'!$AA$327:$AA$515,'Cắt lồng'!$AA135,'Cắt lồng'!$AE$327:$AE$515,'Cắt lồng'!BJ$4:BJ$4)</f>
        <v>0</v>
      </c>
      <c r="BK135" s="78" t="e">
        <f t="shared" si="321"/>
        <v>#DIV/0!</v>
      </c>
      <c r="BL135" s="79">
        <f t="array" ref="BL135">SUMIFS('Cắt lồng'!$AC$327:$AC$515,'Cắt lồng'!$AA$327:$AA$515,'Cắt lồng'!$AA135,'Cắt lồng'!$AE$327:$AE$515,'Cắt lồng'!BL$4:BL$4)</f>
        <v>0</v>
      </c>
      <c r="BM135" s="79">
        <f t="array" ref="BM135">SUMIFS('Cắt lồng'!$AH$327:$AH$515,'Cắt lồng'!$AA$327:$AA$515,'Cắt lồng'!$AA135,'Cắt lồng'!$AE$327:$AE$515,'Cắt lồng'!BM$4:BM$4)</f>
        <v>0</v>
      </c>
      <c r="BN135" s="78" t="e">
        <f t="shared" si="322"/>
        <v>#DIV/0!</v>
      </c>
      <c r="BO135" s="79">
        <f t="array" ref="BO135">SUMIFS('Cắt lồng'!$AC$327:$AC$515,'Cắt lồng'!$AA$327:$AA$515,'Cắt lồng'!$AA135,'Cắt lồng'!$AE$327:$AE$515,'Cắt lồng'!BO$4:BO$4)</f>
        <v>0</v>
      </c>
      <c r="BP135" s="79">
        <f t="array" ref="BP135">SUMIFS('Cắt lồng'!$AH$327:$AH$515,'Cắt lồng'!$AA$327:$AA$515,'Cắt lồng'!$AA135,'Cắt lồng'!$AE$327:$AE$515,'Cắt lồng'!BP$4:BP$4)</f>
        <v>0</v>
      </c>
      <c r="BQ135" s="78" t="e">
        <f t="shared" si="323"/>
        <v>#DIV/0!</v>
      </c>
      <c r="BR135" s="79">
        <f t="array" ref="BR135">SUMIFS('Cắt lồng'!$AC$327:$AC$515,'Cắt lồng'!$AA$327:$AA$515,'Cắt lồng'!$AA135,'Cắt lồng'!$AE$327:$AE$515,'Cắt lồng'!BR$4:BR$4)</f>
        <v>0</v>
      </c>
      <c r="BS135" s="79">
        <f t="array" ref="BS135">SUMIFS('Cắt lồng'!$AH$327:$AH$515,'Cắt lồng'!$AA$327:$AA$515,'Cắt lồng'!$AA135,'Cắt lồng'!$AE$327:$AE$515,'Cắt lồng'!BS$4:BS$4)</f>
        <v>0</v>
      </c>
      <c r="BT135" s="78" t="e">
        <f t="shared" si="324"/>
        <v>#DIV/0!</v>
      </c>
      <c r="BU135" s="79">
        <f t="array" ref="BU135">SUMIFS('Cắt lồng'!$AC$327:$AC$515,'Cắt lồng'!$AA$327:$AA$515,'Cắt lồng'!$AA135,'Cắt lồng'!$AE$327:$AE$515,'Cắt lồng'!BU$4:BU$4)</f>
        <v>0</v>
      </c>
      <c r="BV135" s="79">
        <f t="array" ref="BV135">SUMIFS('Cắt lồng'!$AH$327:$AH$515,'Cắt lồng'!$AA$327:$AA$515,'Cắt lồng'!$AA135,'Cắt lồng'!$AE$327:$AE$515,'Cắt lồng'!BV$4:BV$4)</f>
        <v>0</v>
      </c>
      <c r="BW135" s="78" t="e">
        <f t="shared" si="325"/>
        <v>#DIV/0!</v>
      </c>
      <c r="BX135" s="79">
        <f t="array" ref="BX135">SUMIFS('Cắt lồng'!$AC$327:$AC$515,'Cắt lồng'!$AA$327:$AA$515,'Cắt lồng'!$AA135,'Cắt lồng'!$AE$327:$AE$515,'Cắt lồng'!BX$4:BX$4)</f>
        <v>0</v>
      </c>
      <c r="BY135" s="79">
        <f t="array" ref="BY135">SUMIFS('Cắt lồng'!$AH$327:$AH$515,'Cắt lồng'!$AA$327:$AA$515,'Cắt lồng'!$AA135,'Cắt lồng'!$AE$327:$AE$515,'Cắt lồng'!BY$4:BY$4)</f>
        <v>0</v>
      </c>
      <c r="BZ135" s="78" t="e">
        <f t="shared" si="326"/>
        <v>#DIV/0!</v>
      </c>
      <c r="CA135" s="79">
        <f t="array" ref="CA135">SUMIFS('Cắt lồng'!$AC$327:$AC$515,'Cắt lồng'!$AA$327:$AA$515,'Cắt lồng'!$AA135,'Cắt lồng'!$AE$327:$AE$515,'Cắt lồng'!CA$4:CA$4)</f>
        <v>0</v>
      </c>
      <c r="CB135" s="79">
        <f t="array" ref="CB135">SUMIFS('Cắt lồng'!$AH$327:$AH$515,'Cắt lồng'!$AA$327:$AA$515,'Cắt lồng'!$AA135,'Cắt lồng'!$AE$327:$AE$515,'Cắt lồng'!CB$4:CB$4)</f>
        <v>0</v>
      </c>
      <c r="CC135" s="78" t="e">
        <f t="shared" si="327"/>
        <v>#DIV/0!</v>
      </c>
      <c r="CD135" s="79">
        <f t="array" ref="CD135">SUMIFS('Cắt lồng'!$AC$327:$AC$515,'Cắt lồng'!$AA$327:$AA$515,'Cắt lồng'!$AA135,'Cắt lồng'!$AE$327:$AE$515,'Cắt lồng'!CD$4:CD$4)</f>
        <v>0</v>
      </c>
      <c r="CE135" s="79">
        <f t="array" ref="CE135">SUMIFS('Cắt lồng'!$AH$327:$AH$515,'Cắt lồng'!$AA$327:$AA$515,'Cắt lồng'!$AA135,'Cắt lồng'!$AE$327:$AE$515,'Cắt lồng'!CE$4:CE$4)</f>
        <v>0</v>
      </c>
      <c r="CF135" s="78" t="e">
        <f t="shared" si="328"/>
        <v>#DIV/0!</v>
      </c>
      <c r="CG135" s="79">
        <f t="array" ref="CG135">SUMIFS('Cắt lồng'!$AC$327:$AC$515,'Cắt lồng'!$AA$327:$AA$515,'Cắt lồng'!$AA135,'Cắt lồng'!$AE$327:$AE$515,'Cắt lồng'!CG$4:CG$4)</f>
        <v>0</v>
      </c>
      <c r="CH135" s="79">
        <f t="array" ref="CH135">SUMIFS('Cắt lồng'!$AH$327:$AH$515,'Cắt lồng'!$AA$327:$AA$515,'Cắt lồng'!$AA135,'Cắt lồng'!$AE$327:$AE$515,'Cắt lồng'!CH$4:CH$4)</f>
        <v>0</v>
      </c>
      <c r="CI135" s="78" t="e">
        <f t="shared" si="329"/>
        <v>#DIV/0!</v>
      </c>
      <c r="CJ135" s="79">
        <f t="array" ref="CJ135">SUMIFS('Cắt lồng'!$AC$327:$AC$515,'Cắt lồng'!$AA$327:$AA$515,'Cắt lồng'!$AA135,'Cắt lồng'!$AE$327:$AE$515,'Cắt lồng'!CJ$4:CJ$4)</f>
        <v>0</v>
      </c>
      <c r="CK135" s="79">
        <f t="array" ref="CK135">SUMIFS('Cắt lồng'!$AH$327:$AH$515,'Cắt lồng'!$AA$327:$AA$515,'Cắt lồng'!$AA135,'Cắt lồng'!$AE$327:$AE$515,'Cắt lồng'!CK$4:CK$4)</f>
        <v>0</v>
      </c>
      <c r="CL135" s="78" t="e">
        <f t="shared" si="330"/>
        <v>#DIV/0!</v>
      </c>
      <c r="CM135" s="79">
        <f t="array" ref="CM135">SUMIFS('Cắt lồng'!$AC$327:$AC$515,'Cắt lồng'!$AA$327:$AA$515,'Cắt lồng'!$AA135,'Cắt lồng'!$AE$327:$AE$515,'Cắt lồng'!CM$4:CM$4)</f>
        <v>0</v>
      </c>
      <c r="CN135" s="79">
        <f t="array" ref="CN135">SUMIFS('Cắt lồng'!$AH$327:$AH$515,'Cắt lồng'!$AA$327:$AA$515,'Cắt lồng'!$AA135,'Cắt lồng'!$AE$327:$AE$515,'Cắt lồng'!CN$4:CN$4)</f>
        <v>0</v>
      </c>
      <c r="CO135" s="78" t="e">
        <f t="shared" si="331"/>
        <v>#DIV/0!</v>
      </c>
      <c r="CP135" s="79">
        <f t="array" ref="CP135">SUMIFS('Cắt lồng'!$AC$327:$AC$515,'Cắt lồng'!$AA$327:$AA$515,'Cắt lồng'!$AA135,'Cắt lồng'!$AE$327:$AE$515,'Cắt lồng'!CP$4:CP$4)</f>
        <v>0</v>
      </c>
      <c r="CQ135" s="79">
        <f t="array" ref="CQ135">SUMIFS('Cắt lồng'!$AH$327:$AH$515,'Cắt lồng'!$AA$327:$AA$515,'Cắt lồng'!$AA135,'Cắt lồng'!$AE$327:$AE$515,'Cắt lồng'!CQ$4:CQ$4)</f>
        <v>0</v>
      </c>
      <c r="CR135" s="78" t="e">
        <f t="shared" si="332"/>
        <v>#DIV/0!</v>
      </c>
      <c r="CS135" s="79">
        <f t="array" ref="CS135">SUMIFS('Cắt lồng'!$AC$327:$AC$515,'Cắt lồng'!$AA$327:$AA$515,'Cắt lồng'!$AA135,'Cắt lồng'!$AE$327:$AE$515,'Cắt lồng'!CS$4:CS$4)</f>
        <v>0</v>
      </c>
      <c r="CT135" s="79">
        <f t="array" ref="CT135">SUMIFS('Cắt lồng'!$AH$327:$AH$515,'Cắt lồng'!$AA$327:$AA$515,'Cắt lồng'!$AA135,'Cắt lồng'!$AE$327:$AE$515,'Cắt lồng'!CT$4:CT$4)</f>
        <v>0</v>
      </c>
      <c r="CU135" s="78" t="e">
        <f t="shared" si="333"/>
        <v>#DIV/0!</v>
      </c>
      <c r="CV135" s="79">
        <f t="array" ref="CV135">SUMIFS('Cắt lồng'!$AC$327:$AC$515,'Cắt lồng'!$AA$327:$AA$515,'Cắt lồng'!$AA135,'Cắt lồng'!$AE$327:$AE$515,'Cắt lồng'!CV$4:CV$4)</f>
        <v>0</v>
      </c>
      <c r="CW135" s="79">
        <f t="array" ref="CW135">SUMIFS('Cắt lồng'!$AH$327:$AH$515,'Cắt lồng'!$AA$327:$AA$515,'Cắt lồng'!$AA135,'Cắt lồng'!$AE$327:$AE$515,'Cắt lồng'!CW$4:CW$4)</f>
        <v>0</v>
      </c>
      <c r="CX135" s="78" t="e">
        <f t="shared" si="334"/>
        <v>#DIV/0!</v>
      </c>
      <c r="CY135" s="79">
        <f t="array" ref="CY135">SUMIFS('Cắt lồng'!$AC$327:$AC$515,'Cắt lồng'!$AA$327:$AA$515,'Cắt lồng'!$AA135,'Cắt lồng'!$AE$327:$AE$515,'Cắt lồng'!CY$4:CY$4)</f>
        <v>0</v>
      </c>
      <c r="CZ135" s="79">
        <f t="array" ref="CZ135">SUMIFS('Cắt lồng'!$AH$327:$AH$515,'Cắt lồng'!$AA$327:$AA$515,'Cắt lồng'!$AA135,'Cắt lồng'!$AE$327:$AE$515,'Cắt lồng'!CZ$4:CZ$4)</f>
        <v>0</v>
      </c>
      <c r="DA135" s="78" t="e">
        <f t="shared" si="335"/>
        <v>#DIV/0!</v>
      </c>
      <c r="DB135" s="79">
        <f t="array" ref="DB135">SUMIFS('Cắt lồng'!$AC$327:$AC$515,'Cắt lồng'!$AA$327:$AA$515,'Cắt lồng'!$AA135,'Cắt lồng'!$AE$327:$AE$515,'Cắt lồng'!DB$4:DB$4)</f>
        <v>0</v>
      </c>
      <c r="DC135" s="79">
        <f t="array" ref="DC135">SUMIFS('Cắt lồng'!$AH$327:$AH$515,'Cắt lồng'!$AA$327:$AA$515,'Cắt lồng'!$AA135,'Cắt lồng'!$AE$327:$AE$515,'Cắt lồng'!DC$4:DC$4)</f>
        <v>0</v>
      </c>
      <c r="DD135" s="78" t="e">
        <f t="shared" si="336"/>
        <v>#DIV/0!</v>
      </c>
      <c r="DE135" s="79">
        <f t="array" ref="DE135">SUMIFS('Cắt lồng'!$AC$327:$AC$515,'Cắt lồng'!$AA$327:$AA$515,'Cắt lồng'!$AA135,'Cắt lồng'!$AE$327:$AE$515,'Cắt lồng'!DE$4:DE$4)</f>
        <v>0</v>
      </c>
      <c r="DF135" s="79">
        <f t="array" ref="DF135">SUMIFS('Cắt lồng'!$AH$327:$AH$515,'Cắt lồng'!$AA$327:$AA$515,'Cắt lồng'!$AA135,'Cắt lồng'!$AE$327:$AE$515,'Cắt lồng'!DF$4:DF$4)</f>
        <v>0</v>
      </c>
      <c r="DG135" s="78" t="e">
        <f t="shared" si="337"/>
        <v>#DIV/0!</v>
      </c>
      <c r="DH135" s="79">
        <f t="array" ref="DH135">SUMIFS('Cắt lồng'!$AC$327:$AC$515,'Cắt lồng'!$AA$327:$AA$515,'Cắt lồng'!$AA135,'Cắt lồng'!$AE$327:$AE$515,'Cắt lồng'!DH$4:DH$4)</f>
        <v>0</v>
      </c>
      <c r="DI135" s="79">
        <f t="array" ref="DI135">SUMIFS('Cắt lồng'!$AH$327:$AH$515,'Cắt lồng'!$AA$327:$AA$515,'Cắt lồng'!$AA135,'Cắt lồng'!$AE$327:$AE$515,'Cắt lồng'!DI$4:DI$4)</f>
        <v>0</v>
      </c>
      <c r="DJ135" s="78" t="e">
        <f t="shared" si="338"/>
        <v>#DIV/0!</v>
      </c>
      <c r="DK135" s="79">
        <f t="array" ref="DK135">SUMIFS('Cắt lồng'!$AC$327:$AC$515,'Cắt lồng'!$AA$327:$AA$515,'Cắt lồng'!$AA135,'Cắt lồng'!$AE$327:$AE$515,'Cắt lồng'!DK$4:DK$4)</f>
        <v>0</v>
      </c>
      <c r="DL135" s="79">
        <f t="array" ref="DL135">SUMIFS('Cắt lồng'!$AH$327:$AH$515,'Cắt lồng'!$AA$327:$AA$515,'Cắt lồng'!$AA135,'Cắt lồng'!$AE$327:$AE$515,'Cắt lồng'!DL$4:DL$4)</f>
        <v>0</v>
      </c>
      <c r="DM135" s="78" t="e">
        <f t="shared" si="339"/>
        <v>#DIV/0!</v>
      </c>
      <c r="DN135" s="79">
        <f t="array" ref="DN135">SUMIFS('Cắt lồng'!$AC$327:$AC$515,'Cắt lồng'!$AA$327:$AA$515,'Cắt lồng'!$AA135,'Cắt lồng'!$AE$327:$AE$515,'Cắt lồng'!DN$4:DN$4)</f>
        <v>0</v>
      </c>
      <c r="DO135" s="79">
        <f t="array" ref="DO135">SUMIFS('Cắt lồng'!$AH$327:$AH$515,'Cắt lồng'!$AA$327:$AA$515,'Cắt lồng'!$AA135,'Cắt lồng'!$AE$327:$AE$515,'Cắt lồng'!DO$4:DO$4)</f>
        <v>0</v>
      </c>
      <c r="DP135" s="78" t="e">
        <f t="shared" si="340"/>
        <v>#DIV/0!</v>
      </c>
      <c r="DQ135" s="79">
        <f t="array" ref="DQ135">SUMIFS('Cắt lồng'!$AC$327:$AC$515,'Cắt lồng'!$AA$327:$AA$515,'Cắt lồng'!$AA135,'Cắt lồng'!$AE$327:$AE$515,'Cắt lồng'!DQ$4:DQ$4)</f>
        <v>0</v>
      </c>
      <c r="DR135" s="79">
        <f t="array" ref="DR135">SUMIFS('Cắt lồng'!$AH$327:$AH$515,'Cắt lồng'!$AA$327:$AA$515,'Cắt lồng'!$AA135,'Cắt lồng'!$AE$327:$AE$515,'Cắt lồng'!DR$4:DR$4)</f>
        <v>0</v>
      </c>
      <c r="DS135" s="78" t="e">
        <f t="shared" si="341"/>
        <v>#DIV/0!</v>
      </c>
      <c r="DT135" s="79">
        <f t="array" ref="DT135">SUMIFS('Cắt lồng'!$AC$327:$AC$515,'Cắt lồng'!$AA$327:$AA$515,'Cắt lồng'!$AA135,'Cắt lồng'!$AE$327:$AE$515,'Cắt lồng'!DT$4:DT$4)</f>
        <v>0</v>
      </c>
      <c r="DU135" s="79">
        <f t="array" ref="DU135">SUMIFS('Cắt lồng'!$AH$327:$AH$515,'Cắt lồng'!$AA$327:$AA$515,'Cắt lồng'!$AA135,'Cắt lồng'!$AE$327:$AE$515,'Cắt lồng'!DU$4:DU$4)</f>
        <v>0</v>
      </c>
      <c r="DV135" s="78" t="e">
        <f t="shared" si="342"/>
        <v>#DIV/0!</v>
      </c>
      <c r="DW135" s="79">
        <f t="array" ref="DW135">SUMIFS('Cắt lồng'!$AC$327:$AC$515,'Cắt lồng'!$AA$327:$AA$515,'Cắt lồng'!$AA135,'Cắt lồng'!$AE$327:$AE$515,'Cắt lồng'!DW$4:DW$4)</f>
        <v>0</v>
      </c>
      <c r="DX135" s="79">
        <f t="array" ref="DX135">SUMIFS('Cắt lồng'!$AH$327:$AH$515,'Cắt lồng'!$AA$327:$AA$515,'Cắt lồng'!$AA135,'Cắt lồng'!$AE$327:$AE$515,'Cắt lồng'!DX$4:DX$4)</f>
        <v>0</v>
      </c>
      <c r="DY135" s="78" t="e">
        <f t="shared" si="343"/>
        <v>#DIV/0!</v>
      </c>
      <c r="DZ135" s="79">
        <f t="array" ref="DZ135">SUMIFS('Cắt lồng'!$AC$327:$AC$515,'Cắt lồng'!$AA$327:$AA$515,'Cắt lồng'!$AA135,'Cắt lồng'!$AE$327:$AE$515,'Cắt lồng'!DZ$4:DZ$4)</f>
        <v>0</v>
      </c>
      <c r="EA135" s="79">
        <f t="array" ref="EA135">SUMIFS('Cắt lồng'!$AH$327:$AH$515,'Cắt lồng'!$AA$327:$AA$515,'Cắt lồng'!$AA135,'Cắt lồng'!$AE$327:$AE$515,'Cắt lồng'!EA$4:EA$4)</f>
        <v>0</v>
      </c>
      <c r="EB135" s="78" t="e">
        <f t="shared" si="344"/>
        <v>#DIV/0!</v>
      </c>
      <c r="EC135" s="79">
        <f t="array" ref="EC135">SUMIFS('Cắt lồng'!$AC$327:$AC$515,'Cắt lồng'!$AA$327:$AA$515,'Cắt lồng'!$AA135,'Cắt lồng'!$AE$327:$AE$515,'Cắt lồng'!EC$4:EC$4)</f>
        <v>0</v>
      </c>
      <c r="ED135" s="79">
        <f t="array" ref="ED135">SUMIFS('Cắt lồng'!$AH$327:$AH$515,'Cắt lồng'!$AA$327:$AA$515,'Cắt lồng'!$AA135,'Cắt lồng'!$AE$327:$AE$515,'Cắt lồng'!ED$4:ED$4)</f>
        <v>0</v>
      </c>
      <c r="EE135" s="78" t="e">
        <f t="shared" si="345"/>
        <v>#DIV/0!</v>
      </c>
      <c r="EF135" s="79">
        <f t="array" ref="EF135">SUMIFS('Cắt lồng'!$AC$327:$AC$515,'Cắt lồng'!$AA$327:$AA$515,'Cắt lồng'!$AA135,'Cắt lồng'!$AE$327:$AE$515,'Cắt lồng'!EF$4:EF$4)</f>
        <v>0</v>
      </c>
      <c r="EG135" s="79">
        <f t="array" ref="EG135">SUMIFS('Cắt lồng'!$AH$327:$AH$515,'Cắt lồng'!$AA$327:$AA$515,'Cắt lồng'!$AA135,'Cắt lồng'!$AE$327:$AE$515,'Cắt lồng'!EG$4:EG$4)</f>
        <v>0</v>
      </c>
      <c r="EH135" s="78" t="e">
        <f t="shared" si="346"/>
        <v>#DIV/0!</v>
      </c>
      <c r="EI135" s="79">
        <f t="array" ref="EI135">SUMIFS('Cắt lồng'!$AC$327:$AC$515,'Cắt lồng'!$AA$327:$AA$515,'Cắt lồng'!$AA135,'Cắt lồng'!$AE$327:$AE$515,'Cắt lồng'!EI$4:EI$4)</f>
        <v>0</v>
      </c>
      <c r="EJ135" s="79">
        <f t="array" ref="EJ135">SUMIFS('Cắt lồng'!$AH$327:$AH$515,'Cắt lồng'!$AA$327:$AA$515,'Cắt lồng'!$AA135,'Cắt lồng'!$AE$327:$AE$515,'Cắt lồng'!EJ$4:EJ$4)</f>
        <v>0</v>
      </c>
      <c r="EK135" s="78" t="e">
        <f t="shared" si="347"/>
        <v>#DIV/0!</v>
      </c>
    </row>
    <row r="136" spans="1:141" s="12" customFormat="1" ht="14.25" hidden="1" customHeight="1">
      <c r="A136" s="30">
        <v>103</v>
      </c>
      <c r="B136" s="26"/>
      <c r="C136" s="25"/>
      <c r="D136" s="24"/>
      <c r="E136" s="60"/>
      <c r="F136" s="59"/>
      <c r="G136" s="82">
        <f t="shared" si="280"/>
        <v>0</v>
      </c>
      <c r="H136" s="81">
        <f t="shared" si="281"/>
        <v>35.17</v>
      </c>
      <c r="I136" s="19">
        <f t="shared" si="282"/>
        <v>0</v>
      </c>
      <c r="J136" s="11">
        <f t="shared" si="283"/>
        <v>5.33</v>
      </c>
      <c r="K136" s="19">
        <f t="shared" si="284"/>
        <v>0</v>
      </c>
      <c r="L136" s="19">
        <f t="shared" si="285"/>
        <v>0</v>
      </c>
      <c r="M136" s="19">
        <f t="shared" si="286"/>
        <v>0</v>
      </c>
      <c r="N136" s="19">
        <f t="shared" si="287"/>
        <v>0</v>
      </c>
      <c r="O136" s="19">
        <f t="shared" si="288"/>
        <v>0</v>
      </c>
      <c r="P136" s="19">
        <f t="shared" si="289"/>
        <v>0</v>
      </c>
      <c r="Q136" s="19">
        <f t="shared" si="290"/>
        <v>0</v>
      </c>
      <c r="R136" s="19">
        <f t="shared" si="291"/>
        <v>0</v>
      </c>
      <c r="S136" s="19">
        <f t="shared" si="292"/>
        <v>0</v>
      </c>
      <c r="T136" s="19">
        <f t="shared" si="293"/>
        <v>2.99</v>
      </c>
      <c r="U136" s="19">
        <f t="shared" si="294"/>
        <v>0</v>
      </c>
      <c r="V136" s="19">
        <f t="shared" si="295"/>
        <v>0</v>
      </c>
      <c r="W136" s="19">
        <f t="shared" si="296"/>
        <v>1.17</v>
      </c>
      <c r="X136" s="19">
        <f t="shared" si="297"/>
        <v>0.34</v>
      </c>
      <c r="Y136" s="19">
        <f t="shared" si="298"/>
        <v>0.83</v>
      </c>
      <c r="Z136" s="19">
        <f t="shared" si="299"/>
        <v>0</v>
      </c>
      <c r="AA136" s="143" t="s">
        <v>223</v>
      </c>
      <c r="AB136" s="17" t="e">
        <f>+H136*SUMIF('[1]KẾ HOẠCH'!$B$5:$CK$5,'Cắt lồng'!AA136,'[1]KẾ HOẠCH'!$B$6:$CK$6)+H136*SUMIF('[1]KẾ HOẠCH'!$B$7:$CK$7,'Cắt lồng'!AA136,'[1]KẾ HOẠCH'!$B$8:$CK$8)+H136*SUMIF('[1]KẾ HOẠCH'!$B$15:$CK$15,'Cắt lồng'!AA136,'[1]KẾ HOẠCH'!$B$16:$CK$16)</f>
        <v>#VALUE!</v>
      </c>
      <c r="AC136" s="16">
        <f t="shared" si="300"/>
        <v>14940</v>
      </c>
      <c r="AD136" s="15" t="e">
        <f t="shared" si="301"/>
        <v>#VALUE!</v>
      </c>
      <c r="AE136" s="42"/>
      <c r="AF136" s="10">
        <f t="shared" si="302"/>
        <v>424.79385840204719</v>
      </c>
      <c r="AG136" s="10"/>
      <c r="AH136" s="152">
        <f t="shared" si="303"/>
        <v>0</v>
      </c>
      <c r="AI136" s="54">
        <f t="shared" si="304"/>
        <v>0</v>
      </c>
      <c r="AJ136" s="25">
        <f t="shared" si="305"/>
        <v>0</v>
      </c>
      <c r="AK136" s="25">
        <f t="shared" si="306"/>
        <v>0</v>
      </c>
      <c r="AL136" s="25">
        <f t="shared" si="307"/>
        <v>0</v>
      </c>
      <c r="AM136" s="30">
        <f t="shared" si="308"/>
        <v>0</v>
      </c>
      <c r="AN136" s="25">
        <f t="shared" si="309"/>
        <v>0</v>
      </c>
      <c r="AO136" s="25">
        <f t="shared" si="310"/>
        <v>0</v>
      </c>
      <c r="AP136" s="25">
        <f t="shared" si="311"/>
        <v>0</v>
      </c>
      <c r="AQ136" s="25">
        <f t="shared" si="312"/>
        <v>0</v>
      </c>
      <c r="AR136" s="25">
        <f t="shared" si="313"/>
        <v>0</v>
      </c>
      <c r="AS136" s="25">
        <f t="shared" si="314"/>
        <v>0</v>
      </c>
      <c r="AT136" s="25">
        <f t="shared" si="315"/>
        <v>0</v>
      </c>
      <c r="AV136" s="79">
        <f t="shared" si="316"/>
        <v>35.17</v>
      </c>
      <c r="AW136" s="79">
        <f t="array" ref="AW136">SUMIFS('Cắt lồng'!$AC$327:$AC$515,'Cắt lồng'!$AA$327:$AA$515,'Cắt lồng'!$AA136,'Cắt lồng'!$AE$327:$AE$515,'Cắt lồng'!AW$4:AW$4)</f>
        <v>14940</v>
      </c>
      <c r="AX136" s="79">
        <f t="array" ref="AX136">SUMIFS('Cắt lồng'!$AH$327:$AH$515,'Cắt lồng'!$AA$327:$AA$515,'Cắt lồng'!$AA136,'Cắt lồng'!$AE$327:$AE$515,'Cắt lồng'!AX$4:AX$4)</f>
        <v>0</v>
      </c>
      <c r="AY136" s="78">
        <f t="shared" si="317"/>
        <v>0</v>
      </c>
      <c r="AZ136" s="79">
        <f t="array" ref="AZ136">SUMIFS('Cắt lồng'!$AC$327:$AC$515,'Cắt lồng'!$AA$327:$AA$515,'Cắt lồng'!$AA136,'Cắt lồng'!$AE$327:$AE$515,'Cắt lồng'!AZ$4:AZ$4)</f>
        <v>0</v>
      </c>
      <c r="BA136" s="79">
        <f t="array" ref="BA136">SUMIFS('Cắt lồng'!$AH$327:$AH$515,'Cắt lồng'!$AA$327:$AA$515,'Cắt lồng'!$AA136,'Cắt lồng'!$AE$327:$AE$515,'Cắt lồng'!BA$4:BA$4)</f>
        <v>0</v>
      </c>
      <c r="BB136" s="78" t="e">
        <f t="shared" si="318"/>
        <v>#DIV/0!</v>
      </c>
      <c r="BC136" s="79">
        <f t="array" ref="BC136">SUMIFS('Cắt lồng'!$AC$327:$AC$515,'Cắt lồng'!$AA$327:$AA$515,'Cắt lồng'!$AA136,'Cắt lồng'!$AE$327:$AE$515,'Cắt lồng'!BC$4:BC$4)</f>
        <v>0</v>
      </c>
      <c r="BD136" s="79">
        <f t="array" ref="BD136">SUMIFS('Cắt lồng'!$AH$327:$AH$515,'Cắt lồng'!$AA$327:$AA$515,'Cắt lồng'!$AA136,'Cắt lồng'!$AE$327:$AE$515,'Cắt lồng'!BD$4:BD$4)</f>
        <v>0</v>
      </c>
      <c r="BE136" s="78" t="e">
        <f t="shared" si="319"/>
        <v>#DIV/0!</v>
      </c>
      <c r="BF136" s="79">
        <f t="array" ref="BF136">SUMIFS('Cắt lồng'!$AC$327:$AC$515,'Cắt lồng'!$AA$327:$AA$515,'Cắt lồng'!$AA136,'Cắt lồng'!$AE$327:$AE$515,'Cắt lồng'!BF$4:BF$4)</f>
        <v>0</v>
      </c>
      <c r="BG136" s="79">
        <f t="array" ref="BG136">SUMIFS('Cắt lồng'!$AH$327:$AH$515,'Cắt lồng'!$AA$327:$AA$515,'Cắt lồng'!$AA136,'Cắt lồng'!$AE$327:$AE$515,'Cắt lồng'!BG$4:BG$4)</f>
        <v>0</v>
      </c>
      <c r="BH136" s="78" t="e">
        <f t="shared" si="320"/>
        <v>#DIV/0!</v>
      </c>
      <c r="BI136" s="79">
        <f t="array" ref="BI136">SUMIFS('Cắt lồng'!$AC$327:$AC$515,'Cắt lồng'!$AA$327:$AA$515,'Cắt lồng'!$AA136,'Cắt lồng'!$AE$327:$AE$515,'Cắt lồng'!BI$4:BI$4)</f>
        <v>0</v>
      </c>
      <c r="BJ136" s="79">
        <f t="array" ref="BJ136">SUMIFS('Cắt lồng'!$AH$327:$AH$515,'Cắt lồng'!$AA$327:$AA$515,'Cắt lồng'!$AA136,'Cắt lồng'!$AE$327:$AE$515,'Cắt lồng'!BJ$4:BJ$4)</f>
        <v>0</v>
      </c>
      <c r="BK136" s="78" t="e">
        <f t="shared" si="321"/>
        <v>#DIV/0!</v>
      </c>
      <c r="BL136" s="79">
        <f t="array" ref="BL136">SUMIFS('Cắt lồng'!$AC$327:$AC$515,'Cắt lồng'!$AA$327:$AA$515,'Cắt lồng'!$AA136,'Cắt lồng'!$AE$327:$AE$515,'Cắt lồng'!BL$4:BL$4)</f>
        <v>0</v>
      </c>
      <c r="BM136" s="79">
        <f t="array" ref="BM136">SUMIFS('Cắt lồng'!$AH$327:$AH$515,'Cắt lồng'!$AA$327:$AA$515,'Cắt lồng'!$AA136,'Cắt lồng'!$AE$327:$AE$515,'Cắt lồng'!BM$4:BM$4)</f>
        <v>0</v>
      </c>
      <c r="BN136" s="78" t="e">
        <f t="shared" si="322"/>
        <v>#DIV/0!</v>
      </c>
      <c r="BO136" s="79">
        <f t="array" ref="BO136">SUMIFS('Cắt lồng'!$AC$327:$AC$515,'Cắt lồng'!$AA$327:$AA$515,'Cắt lồng'!$AA136,'Cắt lồng'!$AE$327:$AE$515,'Cắt lồng'!BO$4:BO$4)</f>
        <v>0</v>
      </c>
      <c r="BP136" s="79">
        <f t="array" ref="BP136">SUMIFS('Cắt lồng'!$AH$327:$AH$515,'Cắt lồng'!$AA$327:$AA$515,'Cắt lồng'!$AA136,'Cắt lồng'!$AE$327:$AE$515,'Cắt lồng'!BP$4:BP$4)</f>
        <v>0</v>
      </c>
      <c r="BQ136" s="78" t="e">
        <f t="shared" si="323"/>
        <v>#DIV/0!</v>
      </c>
      <c r="BR136" s="79">
        <f t="array" ref="BR136">SUMIFS('Cắt lồng'!$AC$327:$AC$515,'Cắt lồng'!$AA$327:$AA$515,'Cắt lồng'!$AA136,'Cắt lồng'!$AE$327:$AE$515,'Cắt lồng'!BR$4:BR$4)</f>
        <v>0</v>
      </c>
      <c r="BS136" s="79">
        <f t="array" ref="BS136">SUMIFS('Cắt lồng'!$AH$327:$AH$515,'Cắt lồng'!$AA$327:$AA$515,'Cắt lồng'!$AA136,'Cắt lồng'!$AE$327:$AE$515,'Cắt lồng'!BS$4:BS$4)</f>
        <v>0</v>
      </c>
      <c r="BT136" s="78" t="e">
        <f t="shared" si="324"/>
        <v>#DIV/0!</v>
      </c>
      <c r="BU136" s="79">
        <f t="array" ref="BU136">SUMIFS('Cắt lồng'!$AC$327:$AC$515,'Cắt lồng'!$AA$327:$AA$515,'Cắt lồng'!$AA136,'Cắt lồng'!$AE$327:$AE$515,'Cắt lồng'!BU$4:BU$4)</f>
        <v>0</v>
      </c>
      <c r="BV136" s="79">
        <f t="array" ref="BV136">SUMIFS('Cắt lồng'!$AH$327:$AH$515,'Cắt lồng'!$AA$327:$AA$515,'Cắt lồng'!$AA136,'Cắt lồng'!$AE$327:$AE$515,'Cắt lồng'!BV$4:BV$4)</f>
        <v>0</v>
      </c>
      <c r="BW136" s="78" t="e">
        <f t="shared" si="325"/>
        <v>#DIV/0!</v>
      </c>
      <c r="BX136" s="79">
        <f t="array" ref="BX136">SUMIFS('Cắt lồng'!$AC$327:$AC$515,'Cắt lồng'!$AA$327:$AA$515,'Cắt lồng'!$AA136,'Cắt lồng'!$AE$327:$AE$515,'Cắt lồng'!BX$4:BX$4)</f>
        <v>0</v>
      </c>
      <c r="BY136" s="79">
        <f t="array" ref="BY136">SUMIFS('Cắt lồng'!$AH$327:$AH$515,'Cắt lồng'!$AA$327:$AA$515,'Cắt lồng'!$AA136,'Cắt lồng'!$AE$327:$AE$515,'Cắt lồng'!BY$4:BY$4)</f>
        <v>0</v>
      </c>
      <c r="BZ136" s="78" t="e">
        <f t="shared" si="326"/>
        <v>#DIV/0!</v>
      </c>
      <c r="CA136" s="79">
        <f t="array" ref="CA136">SUMIFS('Cắt lồng'!$AC$327:$AC$515,'Cắt lồng'!$AA$327:$AA$515,'Cắt lồng'!$AA136,'Cắt lồng'!$AE$327:$AE$515,'Cắt lồng'!CA$4:CA$4)</f>
        <v>0</v>
      </c>
      <c r="CB136" s="79">
        <f t="array" ref="CB136">SUMIFS('Cắt lồng'!$AH$327:$AH$515,'Cắt lồng'!$AA$327:$AA$515,'Cắt lồng'!$AA136,'Cắt lồng'!$AE$327:$AE$515,'Cắt lồng'!CB$4:CB$4)</f>
        <v>0</v>
      </c>
      <c r="CC136" s="78" t="e">
        <f t="shared" si="327"/>
        <v>#DIV/0!</v>
      </c>
      <c r="CD136" s="79">
        <f t="array" ref="CD136">SUMIFS('Cắt lồng'!$AC$327:$AC$515,'Cắt lồng'!$AA$327:$AA$515,'Cắt lồng'!$AA136,'Cắt lồng'!$AE$327:$AE$515,'Cắt lồng'!CD$4:CD$4)</f>
        <v>0</v>
      </c>
      <c r="CE136" s="79">
        <f t="array" ref="CE136">SUMIFS('Cắt lồng'!$AH$327:$AH$515,'Cắt lồng'!$AA$327:$AA$515,'Cắt lồng'!$AA136,'Cắt lồng'!$AE$327:$AE$515,'Cắt lồng'!CE$4:CE$4)</f>
        <v>0</v>
      </c>
      <c r="CF136" s="78" t="e">
        <f t="shared" si="328"/>
        <v>#DIV/0!</v>
      </c>
      <c r="CG136" s="79">
        <f t="array" ref="CG136">SUMIFS('Cắt lồng'!$AC$327:$AC$515,'Cắt lồng'!$AA$327:$AA$515,'Cắt lồng'!$AA136,'Cắt lồng'!$AE$327:$AE$515,'Cắt lồng'!CG$4:CG$4)</f>
        <v>0</v>
      </c>
      <c r="CH136" s="79">
        <f t="array" ref="CH136">SUMIFS('Cắt lồng'!$AH$327:$AH$515,'Cắt lồng'!$AA$327:$AA$515,'Cắt lồng'!$AA136,'Cắt lồng'!$AE$327:$AE$515,'Cắt lồng'!CH$4:CH$4)</f>
        <v>0</v>
      </c>
      <c r="CI136" s="78" t="e">
        <f t="shared" si="329"/>
        <v>#DIV/0!</v>
      </c>
      <c r="CJ136" s="79">
        <f t="array" ref="CJ136">SUMIFS('Cắt lồng'!$AC$327:$AC$515,'Cắt lồng'!$AA$327:$AA$515,'Cắt lồng'!$AA136,'Cắt lồng'!$AE$327:$AE$515,'Cắt lồng'!CJ$4:CJ$4)</f>
        <v>0</v>
      </c>
      <c r="CK136" s="79">
        <f t="array" ref="CK136">SUMIFS('Cắt lồng'!$AH$327:$AH$515,'Cắt lồng'!$AA$327:$AA$515,'Cắt lồng'!$AA136,'Cắt lồng'!$AE$327:$AE$515,'Cắt lồng'!CK$4:CK$4)</f>
        <v>0</v>
      </c>
      <c r="CL136" s="78" t="e">
        <f t="shared" si="330"/>
        <v>#DIV/0!</v>
      </c>
      <c r="CM136" s="79">
        <f t="array" ref="CM136">SUMIFS('Cắt lồng'!$AC$327:$AC$515,'Cắt lồng'!$AA$327:$AA$515,'Cắt lồng'!$AA136,'Cắt lồng'!$AE$327:$AE$515,'Cắt lồng'!CM$4:CM$4)</f>
        <v>0</v>
      </c>
      <c r="CN136" s="79">
        <f t="array" ref="CN136">SUMIFS('Cắt lồng'!$AH$327:$AH$515,'Cắt lồng'!$AA$327:$AA$515,'Cắt lồng'!$AA136,'Cắt lồng'!$AE$327:$AE$515,'Cắt lồng'!CN$4:CN$4)</f>
        <v>0</v>
      </c>
      <c r="CO136" s="78" t="e">
        <f t="shared" si="331"/>
        <v>#DIV/0!</v>
      </c>
      <c r="CP136" s="79">
        <f t="array" ref="CP136">SUMIFS('Cắt lồng'!$AC$327:$AC$515,'Cắt lồng'!$AA$327:$AA$515,'Cắt lồng'!$AA136,'Cắt lồng'!$AE$327:$AE$515,'Cắt lồng'!CP$4:CP$4)</f>
        <v>0</v>
      </c>
      <c r="CQ136" s="79">
        <f t="array" ref="CQ136">SUMIFS('Cắt lồng'!$AH$327:$AH$515,'Cắt lồng'!$AA$327:$AA$515,'Cắt lồng'!$AA136,'Cắt lồng'!$AE$327:$AE$515,'Cắt lồng'!CQ$4:CQ$4)</f>
        <v>0</v>
      </c>
      <c r="CR136" s="78" t="e">
        <f t="shared" si="332"/>
        <v>#DIV/0!</v>
      </c>
      <c r="CS136" s="79">
        <f t="array" ref="CS136">SUMIFS('Cắt lồng'!$AC$327:$AC$515,'Cắt lồng'!$AA$327:$AA$515,'Cắt lồng'!$AA136,'Cắt lồng'!$AE$327:$AE$515,'Cắt lồng'!CS$4:CS$4)</f>
        <v>0</v>
      </c>
      <c r="CT136" s="79">
        <f t="array" ref="CT136">SUMIFS('Cắt lồng'!$AH$327:$AH$515,'Cắt lồng'!$AA$327:$AA$515,'Cắt lồng'!$AA136,'Cắt lồng'!$AE$327:$AE$515,'Cắt lồng'!CT$4:CT$4)</f>
        <v>0</v>
      </c>
      <c r="CU136" s="78" t="e">
        <f t="shared" si="333"/>
        <v>#DIV/0!</v>
      </c>
      <c r="CV136" s="79">
        <f t="array" ref="CV136">SUMIFS('Cắt lồng'!$AC$327:$AC$515,'Cắt lồng'!$AA$327:$AA$515,'Cắt lồng'!$AA136,'Cắt lồng'!$AE$327:$AE$515,'Cắt lồng'!CV$4:CV$4)</f>
        <v>0</v>
      </c>
      <c r="CW136" s="79">
        <f t="array" ref="CW136">SUMIFS('Cắt lồng'!$AH$327:$AH$515,'Cắt lồng'!$AA$327:$AA$515,'Cắt lồng'!$AA136,'Cắt lồng'!$AE$327:$AE$515,'Cắt lồng'!CW$4:CW$4)</f>
        <v>0</v>
      </c>
      <c r="CX136" s="78" t="e">
        <f t="shared" si="334"/>
        <v>#DIV/0!</v>
      </c>
      <c r="CY136" s="79">
        <f t="array" ref="CY136">SUMIFS('Cắt lồng'!$AC$327:$AC$515,'Cắt lồng'!$AA$327:$AA$515,'Cắt lồng'!$AA136,'Cắt lồng'!$AE$327:$AE$515,'Cắt lồng'!CY$4:CY$4)</f>
        <v>0</v>
      </c>
      <c r="CZ136" s="79">
        <f t="array" ref="CZ136">SUMIFS('Cắt lồng'!$AH$327:$AH$515,'Cắt lồng'!$AA$327:$AA$515,'Cắt lồng'!$AA136,'Cắt lồng'!$AE$327:$AE$515,'Cắt lồng'!CZ$4:CZ$4)</f>
        <v>0</v>
      </c>
      <c r="DA136" s="78" t="e">
        <f t="shared" si="335"/>
        <v>#DIV/0!</v>
      </c>
      <c r="DB136" s="79">
        <f t="array" ref="DB136">SUMIFS('Cắt lồng'!$AC$327:$AC$515,'Cắt lồng'!$AA$327:$AA$515,'Cắt lồng'!$AA136,'Cắt lồng'!$AE$327:$AE$515,'Cắt lồng'!DB$4:DB$4)</f>
        <v>0</v>
      </c>
      <c r="DC136" s="79">
        <f t="array" ref="DC136">SUMIFS('Cắt lồng'!$AH$327:$AH$515,'Cắt lồng'!$AA$327:$AA$515,'Cắt lồng'!$AA136,'Cắt lồng'!$AE$327:$AE$515,'Cắt lồng'!DC$4:DC$4)</f>
        <v>0</v>
      </c>
      <c r="DD136" s="78" t="e">
        <f t="shared" si="336"/>
        <v>#DIV/0!</v>
      </c>
      <c r="DE136" s="79">
        <f t="array" ref="DE136">SUMIFS('Cắt lồng'!$AC$327:$AC$515,'Cắt lồng'!$AA$327:$AA$515,'Cắt lồng'!$AA136,'Cắt lồng'!$AE$327:$AE$515,'Cắt lồng'!DE$4:DE$4)</f>
        <v>0</v>
      </c>
      <c r="DF136" s="79">
        <f t="array" ref="DF136">SUMIFS('Cắt lồng'!$AH$327:$AH$515,'Cắt lồng'!$AA$327:$AA$515,'Cắt lồng'!$AA136,'Cắt lồng'!$AE$327:$AE$515,'Cắt lồng'!DF$4:DF$4)</f>
        <v>0</v>
      </c>
      <c r="DG136" s="78" t="e">
        <f t="shared" si="337"/>
        <v>#DIV/0!</v>
      </c>
      <c r="DH136" s="79">
        <f t="array" ref="DH136">SUMIFS('Cắt lồng'!$AC$327:$AC$515,'Cắt lồng'!$AA$327:$AA$515,'Cắt lồng'!$AA136,'Cắt lồng'!$AE$327:$AE$515,'Cắt lồng'!DH$4:DH$4)</f>
        <v>0</v>
      </c>
      <c r="DI136" s="79">
        <f t="array" ref="DI136">SUMIFS('Cắt lồng'!$AH$327:$AH$515,'Cắt lồng'!$AA$327:$AA$515,'Cắt lồng'!$AA136,'Cắt lồng'!$AE$327:$AE$515,'Cắt lồng'!DI$4:DI$4)</f>
        <v>0</v>
      </c>
      <c r="DJ136" s="78" t="e">
        <f t="shared" si="338"/>
        <v>#DIV/0!</v>
      </c>
      <c r="DK136" s="79">
        <f t="array" ref="DK136">SUMIFS('Cắt lồng'!$AC$327:$AC$515,'Cắt lồng'!$AA$327:$AA$515,'Cắt lồng'!$AA136,'Cắt lồng'!$AE$327:$AE$515,'Cắt lồng'!DK$4:DK$4)</f>
        <v>0</v>
      </c>
      <c r="DL136" s="79">
        <f t="array" ref="DL136">SUMIFS('Cắt lồng'!$AH$327:$AH$515,'Cắt lồng'!$AA$327:$AA$515,'Cắt lồng'!$AA136,'Cắt lồng'!$AE$327:$AE$515,'Cắt lồng'!DL$4:DL$4)</f>
        <v>0</v>
      </c>
      <c r="DM136" s="78" t="e">
        <f t="shared" si="339"/>
        <v>#DIV/0!</v>
      </c>
      <c r="DN136" s="79">
        <f t="array" ref="DN136">SUMIFS('Cắt lồng'!$AC$327:$AC$515,'Cắt lồng'!$AA$327:$AA$515,'Cắt lồng'!$AA136,'Cắt lồng'!$AE$327:$AE$515,'Cắt lồng'!DN$4:DN$4)</f>
        <v>0</v>
      </c>
      <c r="DO136" s="79">
        <f t="array" ref="DO136">SUMIFS('Cắt lồng'!$AH$327:$AH$515,'Cắt lồng'!$AA$327:$AA$515,'Cắt lồng'!$AA136,'Cắt lồng'!$AE$327:$AE$515,'Cắt lồng'!DO$4:DO$4)</f>
        <v>0</v>
      </c>
      <c r="DP136" s="78" t="e">
        <f t="shared" si="340"/>
        <v>#DIV/0!</v>
      </c>
      <c r="DQ136" s="79">
        <f t="array" ref="DQ136">SUMIFS('Cắt lồng'!$AC$327:$AC$515,'Cắt lồng'!$AA$327:$AA$515,'Cắt lồng'!$AA136,'Cắt lồng'!$AE$327:$AE$515,'Cắt lồng'!DQ$4:DQ$4)</f>
        <v>0</v>
      </c>
      <c r="DR136" s="79">
        <f t="array" ref="DR136">SUMIFS('Cắt lồng'!$AH$327:$AH$515,'Cắt lồng'!$AA$327:$AA$515,'Cắt lồng'!$AA136,'Cắt lồng'!$AE$327:$AE$515,'Cắt lồng'!DR$4:DR$4)</f>
        <v>0</v>
      </c>
      <c r="DS136" s="78" t="e">
        <f t="shared" si="341"/>
        <v>#DIV/0!</v>
      </c>
      <c r="DT136" s="79">
        <f t="array" ref="DT136">SUMIFS('Cắt lồng'!$AC$327:$AC$515,'Cắt lồng'!$AA$327:$AA$515,'Cắt lồng'!$AA136,'Cắt lồng'!$AE$327:$AE$515,'Cắt lồng'!DT$4:DT$4)</f>
        <v>0</v>
      </c>
      <c r="DU136" s="79">
        <f t="array" ref="DU136">SUMIFS('Cắt lồng'!$AH$327:$AH$515,'Cắt lồng'!$AA$327:$AA$515,'Cắt lồng'!$AA136,'Cắt lồng'!$AE$327:$AE$515,'Cắt lồng'!DU$4:DU$4)</f>
        <v>0</v>
      </c>
      <c r="DV136" s="78" t="e">
        <f t="shared" si="342"/>
        <v>#DIV/0!</v>
      </c>
      <c r="DW136" s="79">
        <f t="array" ref="DW136">SUMIFS('Cắt lồng'!$AC$327:$AC$515,'Cắt lồng'!$AA$327:$AA$515,'Cắt lồng'!$AA136,'Cắt lồng'!$AE$327:$AE$515,'Cắt lồng'!DW$4:DW$4)</f>
        <v>0</v>
      </c>
      <c r="DX136" s="79">
        <f t="array" ref="DX136">SUMIFS('Cắt lồng'!$AH$327:$AH$515,'Cắt lồng'!$AA$327:$AA$515,'Cắt lồng'!$AA136,'Cắt lồng'!$AE$327:$AE$515,'Cắt lồng'!DX$4:DX$4)</f>
        <v>0</v>
      </c>
      <c r="DY136" s="78" t="e">
        <f t="shared" si="343"/>
        <v>#DIV/0!</v>
      </c>
      <c r="DZ136" s="79">
        <f t="array" ref="DZ136">SUMIFS('Cắt lồng'!$AC$327:$AC$515,'Cắt lồng'!$AA$327:$AA$515,'Cắt lồng'!$AA136,'Cắt lồng'!$AE$327:$AE$515,'Cắt lồng'!DZ$4:DZ$4)</f>
        <v>0</v>
      </c>
      <c r="EA136" s="79">
        <f t="array" ref="EA136">SUMIFS('Cắt lồng'!$AH$327:$AH$515,'Cắt lồng'!$AA$327:$AA$515,'Cắt lồng'!$AA136,'Cắt lồng'!$AE$327:$AE$515,'Cắt lồng'!EA$4:EA$4)</f>
        <v>0</v>
      </c>
      <c r="EB136" s="78" t="e">
        <f t="shared" si="344"/>
        <v>#DIV/0!</v>
      </c>
      <c r="EC136" s="79">
        <f t="array" ref="EC136">SUMIFS('Cắt lồng'!$AC$327:$AC$515,'Cắt lồng'!$AA$327:$AA$515,'Cắt lồng'!$AA136,'Cắt lồng'!$AE$327:$AE$515,'Cắt lồng'!EC$4:EC$4)</f>
        <v>0</v>
      </c>
      <c r="ED136" s="79">
        <f t="array" ref="ED136">SUMIFS('Cắt lồng'!$AH$327:$AH$515,'Cắt lồng'!$AA$327:$AA$515,'Cắt lồng'!$AA136,'Cắt lồng'!$AE$327:$AE$515,'Cắt lồng'!ED$4:ED$4)</f>
        <v>0</v>
      </c>
      <c r="EE136" s="78" t="e">
        <f t="shared" si="345"/>
        <v>#DIV/0!</v>
      </c>
      <c r="EF136" s="79">
        <f t="array" ref="EF136">SUMIFS('Cắt lồng'!$AC$327:$AC$515,'Cắt lồng'!$AA$327:$AA$515,'Cắt lồng'!$AA136,'Cắt lồng'!$AE$327:$AE$515,'Cắt lồng'!EF$4:EF$4)</f>
        <v>0</v>
      </c>
      <c r="EG136" s="79">
        <f t="array" ref="EG136">SUMIFS('Cắt lồng'!$AH$327:$AH$515,'Cắt lồng'!$AA$327:$AA$515,'Cắt lồng'!$AA136,'Cắt lồng'!$AE$327:$AE$515,'Cắt lồng'!EG$4:EG$4)</f>
        <v>0</v>
      </c>
      <c r="EH136" s="78" t="e">
        <f t="shared" si="346"/>
        <v>#DIV/0!</v>
      </c>
      <c r="EI136" s="79">
        <f t="array" ref="EI136">SUMIFS('Cắt lồng'!$AC$327:$AC$515,'Cắt lồng'!$AA$327:$AA$515,'Cắt lồng'!$AA136,'Cắt lồng'!$AE$327:$AE$515,'Cắt lồng'!EI$4:EI$4)</f>
        <v>0</v>
      </c>
      <c r="EJ136" s="79">
        <f t="array" ref="EJ136">SUMIFS('Cắt lồng'!$AH$327:$AH$515,'Cắt lồng'!$AA$327:$AA$515,'Cắt lồng'!$AA136,'Cắt lồng'!$AE$327:$AE$515,'Cắt lồng'!EJ$4:EJ$4)</f>
        <v>0</v>
      </c>
      <c r="EK136" s="78" t="e">
        <f t="shared" si="347"/>
        <v>#DIV/0!</v>
      </c>
    </row>
    <row r="137" spans="1:141" s="12" customFormat="1" ht="14.25" hidden="1" customHeight="1">
      <c r="A137" s="30">
        <v>104</v>
      </c>
      <c r="B137" s="26"/>
      <c r="C137" s="25"/>
      <c r="D137" s="24"/>
      <c r="E137" s="60"/>
      <c r="F137" s="59"/>
      <c r="G137" s="82">
        <f t="shared" si="280"/>
        <v>0</v>
      </c>
      <c r="H137" s="81">
        <f t="shared" si="281"/>
        <v>0</v>
      </c>
      <c r="I137" s="19">
        <f t="shared" si="282"/>
        <v>0</v>
      </c>
      <c r="J137" s="11">
        <f t="shared" si="283"/>
        <v>0</v>
      </c>
      <c r="K137" s="19">
        <f t="shared" si="284"/>
        <v>0</v>
      </c>
      <c r="L137" s="19">
        <f t="shared" si="285"/>
        <v>0</v>
      </c>
      <c r="M137" s="19">
        <f t="shared" si="286"/>
        <v>0</v>
      </c>
      <c r="N137" s="19">
        <f t="shared" si="287"/>
        <v>0</v>
      </c>
      <c r="O137" s="19">
        <f t="shared" si="288"/>
        <v>0</v>
      </c>
      <c r="P137" s="19">
        <f t="shared" si="289"/>
        <v>0</v>
      </c>
      <c r="Q137" s="19">
        <f t="shared" si="290"/>
        <v>0</v>
      </c>
      <c r="R137" s="19">
        <f t="shared" si="291"/>
        <v>0</v>
      </c>
      <c r="S137" s="19">
        <f t="shared" si="292"/>
        <v>0</v>
      </c>
      <c r="T137" s="19">
        <f t="shared" si="293"/>
        <v>0</v>
      </c>
      <c r="U137" s="19">
        <f t="shared" si="294"/>
        <v>0</v>
      </c>
      <c r="V137" s="19">
        <f t="shared" si="295"/>
        <v>0</v>
      </c>
      <c r="W137" s="19">
        <f t="shared" si="296"/>
        <v>0</v>
      </c>
      <c r="X137" s="19">
        <f t="shared" si="297"/>
        <v>0</v>
      </c>
      <c r="Y137" s="19">
        <f t="shared" si="298"/>
        <v>0</v>
      </c>
      <c r="Z137" s="19">
        <f t="shared" si="299"/>
        <v>0</v>
      </c>
      <c r="AA137" s="143" t="s">
        <v>222</v>
      </c>
      <c r="AB137" s="17" t="e">
        <f>+H137*SUMIF('[1]KẾ HOẠCH'!$B$5:$CK$5,'Cắt lồng'!AA137,'[1]KẾ HOẠCH'!$B$6:$CK$6)+H137*SUMIF('[1]KẾ HOẠCH'!$B$7:$CK$7,'Cắt lồng'!AA137,'[1]KẾ HOẠCH'!$B$8:$CK$8)+H137*SUMIF('[1]KẾ HOẠCH'!$B$15:$CK$15,'Cắt lồng'!AA137,'[1]KẾ HOẠCH'!$B$16:$CK$16)</f>
        <v>#VALUE!</v>
      </c>
      <c r="AC137" s="16">
        <f t="shared" si="300"/>
        <v>0</v>
      </c>
      <c r="AD137" s="15" t="e">
        <f t="shared" si="301"/>
        <v>#VALUE!</v>
      </c>
      <c r="AE137" s="42"/>
      <c r="AF137" s="10" t="e">
        <f t="shared" si="302"/>
        <v>#DIV/0!</v>
      </c>
      <c r="AG137" s="10"/>
      <c r="AH137" s="152">
        <f t="shared" si="303"/>
        <v>0</v>
      </c>
      <c r="AI137" s="54" t="e">
        <f t="shared" si="304"/>
        <v>#DIV/0!</v>
      </c>
      <c r="AJ137" s="25">
        <f t="shared" si="305"/>
        <v>0</v>
      </c>
      <c r="AK137" s="25">
        <f t="shared" si="306"/>
        <v>0</v>
      </c>
      <c r="AL137" s="25">
        <f t="shared" si="307"/>
        <v>0</v>
      </c>
      <c r="AM137" s="30">
        <f t="shared" si="308"/>
        <v>0</v>
      </c>
      <c r="AN137" s="25">
        <f t="shared" si="309"/>
        <v>0</v>
      </c>
      <c r="AO137" s="25">
        <f t="shared" si="310"/>
        <v>0</v>
      </c>
      <c r="AP137" s="25">
        <f t="shared" si="311"/>
        <v>0</v>
      </c>
      <c r="AQ137" s="25">
        <f t="shared" si="312"/>
        <v>0</v>
      </c>
      <c r="AR137" s="25">
        <f t="shared" si="313"/>
        <v>0</v>
      </c>
      <c r="AS137" s="25">
        <f t="shared" si="314"/>
        <v>0</v>
      </c>
      <c r="AT137" s="25">
        <f t="shared" si="315"/>
        <v>0</v>
      </c>
      <c r="AV137" s="79">
        <f t="shared" si="316"/>
        <v>0</v>
      </c>
      <c r="AW137" s="79">
        <f t="array" ref="AW137">SUMIFS('Cắt lồng'!$AC$327:$AC$515,'Cắt lồng'!$AA$327:$AA$515,'Cắt lồng'!$AA137,'Cắt lồng'!$AE$327:$AE$515,'Cắt lồng'!AW$4:AW$4)</f>
        <v>0</v>
      </c>
      <c r="AX137" s="79">
        <f t="array" ref="AX137">SUMIFS('Cắt lồng'!$AH$327:$AH$515,'Cắt lồng'!$AA$327:$AA$515,'Cắt lồng'!$AA137,'Cắt lồng'!$AE$327:$AE$515,'Cắt lồng'!AX$4:AX$4)</f>
        <v>0</v>
      </c>
      <c r="AY137" s="78" t="e">
        <f t="shared" si="317"/>
        <v>#DIV/0!</v>
      </c>
      <c r="AZ137" s="79">
        <f t="array" ref="AZ137">SUMIFS('Cắt lồng'!$AC$327:$AC$515,'Cắt lồng'!$AA$327:$AA$515,'Cắt lồng'!$AA137,'Cắt lồng'!$AE$327:$AE$515,'Cắt lồng'!AZ$4:AZ$4)</f>
        <v>0</v>
      </c>
      <c r="BA137" s="79">
        <f t="array" ref="BA137">SUMIFS('Cắt lồng'!$AH$327:$AH$515,'Cắt lồng'!$AA$327:$AA$515,'Cắt lồng'!$AA137,'Cắt lồng'!$AE$327:$AE$515,'Cắt lồng'!BA$4:BA$4)</f>
        <v>0</v>
      </c>
      <c r="BB137" s="78" t="e">
        <f t="shared" si="318"/>
        <v>#DIV/0!</v>
      </c>
      <c r="BC137" s="79">
        <f t="array" ref="BC137">SUMIFS('Cắt lồng'!$AC$327:$AC$515,'Cắt lồng'!$AA$327:$AA$515,'Cắt lồng'!$AA137,'Cắt lồng'!$AE$327:$AE$515,'Cắt lồng'!BC$4:BC$4)</f>
        <v>0</v>
      </c>
      <c r="BD137" s="79">
        <f t="array" ref="BD137">SUMIFS('Cắt lồng'!$AH$327:$AH$515,'Cắt lồng'!$AA$327:$AA$515,'Cắt lồng'!$AA137,'Cắt lồng'!$AE$327:$AE$515,'Cắt lồng'!BD$4:BD$4)</f>
        <v>0</v>
      </c>
      <c r="BE137" s="78" t="e">
        <f t="shared" si="319"/>
        <v>#DIV/0!</v>
      </c>
      <c r="BF137" s="79">
        <f t="array" ref="BF137">SUMIFS('Cắt lồng'!$AC$327:$AC$515,'Cắt lồng'!$AA$327:$AA$515,'Cắt lồng'!$AA137,'Cắt lồng'!$AE$327:$AE$515,'Cắt lồng'!BF$4:BF$4)</f>
        <v>0</v>
      </c>
      <c r="BG137" s="79">
        <f t="array" ref="BG137">SUMIFS('Cắt lồng'!$AH$327:$AH$515,'Cắt lồng'!$AA$327:$AA$515,'Cắt lồng'!$AA137,'Cắt lồng'!$AE$327:$AE$515,'Cắt lồng'!BG$4:BG$4)</f>
        <v>0</v>
      </c>
      <c r="BH137" s="78" t="e">
        <f t="shared" si="320"/>
        <v>#DIV/0!</v>
      </c>
      <c r="BI137" s="79">
        <f t="array" ref="BI137">SUMIFS('Cắt lồng'!$AC$327:$AC$515,'Cắt lồng'!$AA$327:$AA$515,'Cắt lồng'!$AA137,'Cắt lồng'!$AE$327:$AE$515,'Cắt lồng'!BI$4:BI$4)</f>
        <v>0</v>
      </c>
      <c r="BJ137" s="79">
        <f t="array" ref="BJ137">SUMIFS('Cắt lồng'!$AH$327:$AH$515,'Cắt lồng'!$AA$327:$AA$515,'Cắt lồng'!$AA137,'Cắt lồng'!$AE$327:$AE$515,'Cắt lồng'!BJ$4:BJ$4)</f>
        <v>0</v>
      </c>
      <c r="BK137" s="78" t="e">
        <f t="shared" si="321"/>
        <v>#DIV/0!</v>
      </c>
      <c r="BL137" s="79">
        <f t="array" ref="BL137">SUMIFS('Cắt lồng'!$AC$327:$AC$515,'Cắt lồng'!$AA$327:$AA$515,'Cắt lồng'!$AA137,'Cắt lồng'!$AE$327:$AE$515,'Cắt lồng'!BL$4:BL$4)</f>
        <v>0</v>
      </c>
      <c r="BM137" s="79">
        <f t="array" ref="BM137">SUMIFS('Cắt lồng'!$AH$327:$AH$515,'Cắt lồng'!$AA$327:$AA$515,'Cắt lồng'!$AA137,'Cắt lồng'!$AE$327:$AE$515,'Cắt lồng'!BM$4:BM$4)</f>
        <v>0</v>
      </c>
      <c r="BN137" s="78" t="e">
        <f t="shared" si="322"/>
        <v>#DIV/0!</v>
      </c>
      <c r="BO137" s="79">
        <f t="array" ref="BO137">SUMIFS('Cắt lồng'!$AC$327:$AC$515,'Cắt lồng'!$AA$327:$AA$515,'Cắt lồng'!$AA137,'Cắt lồng'!$AE$327:$AE$515,'Cắt lồng'!BO$4:BO$4)</f>
        <v>0</v>
      </c>
      <c r="BP137" s="79">
        <f t="array" ref="BP137">SUMIFS('Cắt lồng'!$AH$327:$AH$515,'Cắt lồng'!$AA$327:$AA$515,'Cắt lồng'!$AA137,'Cắt lồng'!$AE$327:$AE$515,'Cắt lồng'!BP$4:BP$4)</f>
        <v>0</v>
      </c>
      <c r="BQ137" s="78" t="e">
        <f t="shared" si="323"/>
        <v>#DIV/0!</v>
      </c>
      <c r="BR137" s="79">
        <f t="array" ref="BR137">SUMIFS('Cắt lồng'!$AC$327:$AC$515,'Cắt lồng'!$AA$327:$AA$515,'Cắt lồng'!$AA137,'Cắt lồng'!$AE$327:$AE$515,'Cắt lồng'!BR$4:BR$4)</f>
        <v>0</v>
      </c>
      <c r="BS137" s="79">
        <f t="array" ref="BS137">SUMIFS('Cắt lồng'!$AH$327:$AH$515,'Cắt lồng'!$AA$327:$AA$515,'Cắt lồng'!$AA137,'Cắt lồng'!$AE$327:$AE$515,'Cắt lồng'!BS$4:BS$4)</f>
        <v>0</v>
      </c>
      <c r="BT137" s="78" t="e">
        <f t="shared" si="324"/>
        <v>#DIV/0!</v>
      </c>
      <c r="BU137" s="79">
        <f t="array" ref="BU137">SUMIFS('Cắt lồng'!$AC$327:$AC$515,'Cắt lồng'!$AA$327:$AA$515,'Cắt lồng'!$AA137,'Cắt lồng'!$AE$327:$AE$515,'Cắt lồng'!BU$4:BU$4)</f>
        <v>0</v>
      </c>
      <c r="BV137" s="79">
        <f t="array" ref="BV137">SUMIFS('Cắt lồng'!$AH$327:$AH$515,'Cắt lồng'!$AA$327:$AA$515,'Cắt lồng'!$AA137,'Cắt lồng'!$AE$327:$AE$515,'Cắt lồng'!BV$4:BV$4)</f>
        <v>0</v>
      </c>
      <c r="BW137" s="78" t="e">
        <f t="shared" si="325"/>
        <v>#DIV/0!</v>
      </c>
      <c r="BX137" s="79">
        <f t="array" ref="BX137">SUMIFS('Cắt lồng'!$AC$327:$AC$515,'Cắt lồng'!$AA$327:$AA$515,'Cắt lồng'!$AA137,'Cắt lồng'!$AE$327:$AE$515,'Cắt lồng'!BX$4:BX$4)</f>
        <v>0</v>
      </c>
      <c r="BY137" s="79">
        <f t="array" ref="BY137">SUMIFS('Cắt lồng'!$AH$327:$AH$515,'Cắt lồng'!$AA$327:$AA$515,'Cắt lồng'!$AA137,'Cắt lồng'!$AE$327:$AE$515,'Cắt lồng'!BY$4:BY$4)</f>
        <v>0</v>
      </c>
      <c r="BZ137" s="78" t="e">
        <f t="shared" si="326"/>
        <v>#DIV/0!</v>
      </c>
      <c r="CA137" s="79">
        <f t="array" ref="CA137">SUMIFS('Cắt lồng'!$AC$327:$AC$515,'Cắt lồng'!$AA$327:$AA$515,'Cắt lồng'!$AA137,'Cắt lồng'!$AE$327:$AE$515,'Cắt lồng'!CA$4:CA$4)</f>
        <v>0</v>
      </c>
      <c r="CB137" s="79">
        <f t="array" ref="CB137">SUMIFS('Cắt lồng'!$AH$327:$AH$515,'Cắt lồng'!$AA$327:$AA$515,'Cắt lồng'!$AA137,'Cắt lồng'!$AE$327:$AE$515,'Cắt lồng'!CB$4:CB$4)</f>
        <v>0</v>
      </c>
      <c r="CC137" s="78" t="e">
        <f t="shared" si="327"/>
        <v>#DIV/0!</v>
      </c>
      <c r="CD137" s="79">
        <f t="array" ref="CD137">SUMIFS('Cắt lồng'!$AC$327:$AC$515,'Cắt lồng'!$AA$327:$AA$515,'Cắt lồng'!$AA137,'Cắt lồng'!$AE$327:$AE$515,'Cắt lồng'!CD$4:CD$4)</f>
        <v>0</v>
      </c>
      <c r="CE137" s="79">
        <f t="array" ref="CE137">SUMIFS('Cắt lồng'!$AH$327:$AH$515,'Cắt lồng'!$AA$327:$AA$515,'Cắt lồng'!$AA137,'Cắt lồng'!$AE$327:$AE$515,'Cắt lồng'!CE$4:CE$4)</f>
        <v>0</v>
      </c>
      <c r="CF137" s="78" t="e">
        <f t="shared" si="328"/>
        <v>#DIV/0!</v>
      </c>
      <c r="CG137" s="79">
        <f t="array" ref="CG137">SUMIFS('Cắt lồng'!$AC$327:$AC$515,'Cắt lồng'!$AA$327:$AA$515,'Cắt lồng'!$AA137,'Cắt lồng'!$AE$327:$AE$515,'Cắt lồng'!CG$4:CG$4)</f>
        <v>0</v>
      </c>
      <c r="CH137" s="79">
        <f t="array" ref="CH137">SUMIFS('Cắt lồng'!$AH$327:$AH$515,'Cắt lồng'!$AA$327:$AA$515,'Cắt lồng'!$AA137,'Cắt lồng'!$AE$327:$AE$515,'Cắt lồng'!CH$4:CH$4)</f>
        <v>0</v>
      </c>
      <c r="CI137" s="78" t="e">
        <f t="shared" si="329"/>
        <v>#DIV/0!</v>
      </c>
      <c r="CJ137" s="79">
        <f t="array" ref="CJ137">SUMIFS('Cắt lồng'!$AC$327:$AC$515,'Cắt lồng'!$AA$327:$AA$515,'Cắt lồng'!$AA137,'Cắt lồng'!$AE$327:$AE$515,'Cắt lồng'!CJ$4:CJ$4)</f>
        <v>0</v>
      </c>
      <c r="CK137" s="79">
        <f t="array" ref="CK137">SUMIFS('Cắt lồng'!$AH$327:$AH$515,'Cắt lồng'!$AA$327:$AA$515,'Cắt lồng'!$AA137,'Cắt lồng'!$AE$327:$AE$515,'Cắt lồng'!CK$4:CK$4)</f>
        <v>0</v>
      </c>
      <c r="CL137" s="78" t="e">
        <f t="shared" si="330"/>
        <v>#DIV/0!</v>
      </c>
      <c r="CM137" s="79">
        <f t="array" ref="CM137">SUMIFS('Cắt lồng'!$AC$327:$AC$515,'Cắt lồng'!$AA$327:$AA$515,'Cắt lồng'!$AA137,'Cắt lồng'!$AE$327:$AE$515,'Cắt lồng'!CM$4:CM$4)</f>
        <v>0</v>
      </c>
      <c r="CN137" s="79">
        <f t="array" ref="CN137">SUMIFS('Cắt lồng'!$AH$327:$AH$515,'Cắt lồng'!$AA$327:$AA$515,'Cắt lồng'!$AA137,'Cắt lồng'!$AE$327:$AE$515,'Cắt lồng'!CN$4:CN$4)</f>
        <v>0</v>
      </c>
      <c r="CO137" s="78" t="e">
        <f t="shared" si="331"/>
        <v>#DIV/0!</v>
      </c>
      <c r="CP137" s="79">
        <f t="array" ref="CP137">SUMIFS('Cắt lồng'!$AC$327:$AC$515,'Cắt lồng'!$AA$327:$AA$515,'Cắt lồng'!$AA137,'Cắt lồng'!$AE$327:$AE$515,'Cắt lồng'!CP$4:CP$4)</f>
        <v>0</v>
      </c>
      <c r="CQ137" s="79">
        <f t="array" ref="CQ137">SUMIFS('Cắt lồng'!$AH$327:$AH$515,'Cắt lồng'!$AA$327:$AA$515,'Cắt lồng'!$AA137,'Cắt lồng'!$AE$327:$AE$515,'Cắt lồng'!CQ$4:CQ$4)</f>
        <v>0</v>
      </c>
      <c r="CR137" s="78" t="e">
        <f t="shared" si="332"/>
        <v>#DIV/0!</v>
      </c>
      <c r="CS137" s="79">
        <f t="array" ref="CS137">SUMIFS('Cắt lồng'!$AC$327:$AC$515,'Cắt lồng'!$AA$327:$AA$515,'Cắt lồng'!$AA137,'Cắt lồng'!$AE$327:$AE$515,'Cắt lồng'!CS$4:CS$4)</f>
        <v>0</v>
      </c>
      <c r="CT137" s="79">
        <f t="array" ref="CT137">SUMIFS('Cắt lồng'!$AH$327:$AH$515,'Cắt lồng'!$AA$327:$AA$515,'Cắt lồng'!$AA137,'Cắt lồng'!$AE$327:$AE$515,'Cắt lồng'!CT$4:CT$4)</f>
        <v>0</v>
      </c>
      <c r="CU137" s="78" t="e">
        <f t="shared" si="333"/>
        <v>#DIV/0!</v>
      </c>
      <c r="CV137" s="79">
        <f t="array" ref="CV137">SUMIFS('Cắt lồng'!$AC$327:$AC$515,'Cắt lồng'!$AA$327:$AA$515,'Cắt lồng'!$AA137,'Cắt lồng'!$AE$327:$AE$515,'Cắt lồng'!CV$4:CV$4)</f>
        <v>0</v>
      </c>
      <c r="CW137" s="79">
        <f t="array" ref="CW137">SUMIFS('Cắt lồng'!$AH$327:$AH$515,'Cắt lồng'!$AA$327:$AA$515,'Cắt lồng'!$AA137,'Cắt lồng'!$AE$327:$AE$515,'Cắt lồng'!CW$4:CW$4)</f>
        <v>0</v>
      </c>
      <c r="CX137" s="78" t="e">
        <f t="shared" si="334"/>
        <v>#DIV/0!</v>
      </c>
      <c r="CY137" s="79">
        <f t="array" ref="CY137">SUMIFS('Cắt lồng'!$AC$327:$AC$515,'Cắt lồng'!$AA$327:$AA$515,'Cắt lồng'!$AA137,'Cắt lồng'!$AE$327:$AE$515,'Cắt lồng'!CY$4:CY$4)</f>
        <v>0</v>
      </c>
      <c r="CZ137" s="79">
        <f t="array" ref="CZ137">SUMIFS('Cắt lồng'!$AH$327:$AH$515,'Cắt lồng'!$AA$327:$AA$515,'Cắt lồng'!$AA137,'Cắt lồng'!$AE$327:$AE$515,'Cắt lồng'!CZ$4:CZ$4)</f>
        <v>0</v>
      </c>
      <c r="DA137" s="78" t="e">
        <f t="shared" si="335"/>
        <v>#DIV/0!</v>
      </c>
      <c r="DB137" s="79">
        <f t="array" ref="DB137">SUMIFS('Cắt lồng'!$AC$327:$AC$515,'Cắt lồng'!$AA$327:$AA$515,'Cắt lồng'!$AA137,'Cắt lồng'!$AE$327:$AE$515,'Cắt lồng'!DB$4:DB$4)</f>
        <v>0</v>
      </c>
      <c r="DC137" s="79">
        <f t="array" ref="DC137">SUMIFS('Cắt lồng'!$AH$327:$AH$515,'Cắt lồng'!$AA$327:$AA$515,'Cắt lồng'!$AA137,'Cắt lồng'!$AE$327:$AE$515,'Cắt lồng'!DC$4:DC$4)</f>
        <v>0</v>
      </c>
      <c r="DD137" s="78" t="e">
        <f t="shared" si="336"/>
        <v>#DIV/0!</v>
      </c>
      <c r="DE137" s="79">
        <f t="array" ref="DE137">SUMIFS('Cắt lồng'!$AC$327:$AC$515,'Cắt lồng'!$AA$327:$AA$515,'Cắt lồng'!$AA137,'Cắt lồng'!$AE$327:$AE$515,'Cắt lồng'!DE$4:DE$4)</f>
        <v>0</v>
      </c>
      <c r="DF137" s="79">
        <f t="array" ref="DF137">SUMIFS('Cắt lồng'!$AH$327:$AH$515,'Cắt lồng'!$AA$327:$AA$515,'Cắt lồng'!$AA137,'Cắt lồng'!$AE$327:$AE$515,'Cắt lồng'!DF$4:DF$4)</f>
        <v>0</v>
      </c>
      <c r="DG137" s="78" t="e">
        <f t="shared" si="337"/>
        <v>#DIV/0!</v>
      </c>
      <c r="DH137" s="79">
        <f t="array" ref="DH137">SUMIFS('Cắt lồng'!$AC$327:$AC$515,'Cắt lồng'!$AA$327:$AA$515,'Cắt lồng'!$AA137,'Cắt lồng'!$AE$327:$AE$515,'Cắt lồng'!DH$4:DH$4)</f>
        <v>0</v>
      </c>
      <c r="DI137" s="79">
        <f t="array" ref="DI137">SUMIFS('Cắt lồng'!$AH$327:$AH$515,'Cắt lồng'!$AA$327:$AA$515,'Cắt lồng'!$AA137,'Cắt lồng'!$AE$327:$AE$515,'Cắt lồng'!DI$4:DI$4)</f>
        <v>0</v>
      </c>
      <c r="DJ137" s="78" t="e">
        <f t="shared" si="338"/>
        <v>#DIV/0!</v>
      </c>
      <c r="DK137" s="79">
        <f t="array" ref="DK137">SUMIFS('Cắt lồng'!$AC$327:$AC$515,'Cắt lồng'!$AA$327:$AA$515,'Cắt lồng'!$AA137,'Cắt lồng'!$AE$327:$AE$515,'Cắt lồng'!DK$4:DK$4)</f>
        <v>0</v>
      </c>
      <c r="DL137" s="79">
        <f t="array" ref="DL137">SUMIFS('Cắt lồng'!$AH$327:$AH$515,'Cắt lồng'!$AA$327:$AA$515,'Cắt lồng'!$AA137,'Cắt lồng'!$AE$327:$AE$515,'Cắt lồng'!DL$4:DL$4)</f>
        <v>0</v>
      </c>
      <c r="DM137" s="78" t="e">
        <f t="shared" si="339"/>
        <v>#DIV/0!</v>
      </c>
      <c r="DN137" s="79">
        <f t="array" ref="DN137">SUMIFS('Cắt lồng'!$AC$327:$AC$515,'Cắt lồng'!$AA$327:$AA$515,'Cắt lồng'!$AA137,'Cắt lồng'!$AE$327:$AE$515,'Cắt lồng'!DN$4:DN$4)</f>
        <v>0</v>
      </c>
      <c r="DO137" s="79">
        <f t="array" ref="DO137">SUMIFS('Cắt lồng'!$AH$327:$AH$515,'Cắt lồng'!$AA$327:$AA$515,'Cắt lồng'!$AA137,'Cắt lồng'!$AE$327:$AE$515,'Cắt lồng'!DO$4:DO$4)</f>
        <v>0</v>
      </c>
      <c r="DP137" s="78" t="e">
        <f t="shared" si="340"/>
        <v>#DIV/0!</v>
      </c>
      <c r="DQ137" s="79">
        <f t="array" ref="DQ137">SUMIFS('Cắt lồng'!$AC$327:$AC$515,'Cắt lồng'!$AA$327:$AA$515,'Cắt lồng'!$AA137,'Cắt lồng'!$AE$327:$AE$515,'Cắt lồng'!DQ$4:DQ$4)</f>
        <v>0</v>
      </c>
      <c r="DR137" s="79">
        <f t="array" ref="DR137">SUMIFS('Cắt lồng'!$AH$327:$AH$515,'Cắt lồng'!$AA$327:$AA$515,'Cắt lồng'!$AA137,'Cắt lồng'!$AE$327:$AE$515,'Cắt lồng'!DR$4:DR$4)</f>
        <v>0</v>
      </c>
      <c r="DS137" s="78" t="e">
        <f t="shared" si="341"/>
        <v>#DIV/0!</v>
      </c>
      <c r="DT137" s="79">
        <f t="array" ref="DT137">SUMIFS('Cắt lồng'!$AC$327:$AC$515,'Cắt lồng'!$AA$327:$AA$515,'Cắt lồng'!$AA137,'Cắt lồng'!$AE$327:$AE$515,'Cắt lồng'!DT$4:DT$4)</f>
        <v>0</v>
      </c>
      <c r="DU137" s="79">
        <f t="array" ref="DU137">SUMIFS('Cắt lồng'!$AH$327:$AH$515,'Cắt lồng'!$AA$327:$AA$515,'Cắt lồng'!$AA137,'Cắt lồng'!$AE$327:$AE$515,'Cắt lồng'!DU$4:DU$4)</f>
        <v>0</v>
      </c>
      <c r="DV137" s="78" t="e">
        <f t="shared" si="342"/>
        <v>#DIV/0!</v>
      </c>
      <c r="DW137" s="79">
        <f t="array" ref="DW137">SUMIFS('Cắt lồng'!$AC$327:$AC$515,'Cắt lồng'!$AA$327:$AA$515,'Cắt lồng'!$AA137,'Cắt lồng'!$AE$327:$AE$515,'Cắt lồng'!DW$4:DW$4)</f>
        <v>0</v>
      </c>
      <c r="DX137" s="79">
        <f t="array" ref="DX137">SUMIFS('Cắt lồng'!$AH$327:$AH$515,'Cắt lồng'!$AA$327:$AA$515,'Cắt lồng'!$AA137,'Cắt lồng'!$AE$327:$AE$515,'Cắt lồng'!DX$4:DX$4)</f>
        <v>0</v>
      </c>
      <c r="DY137" s="78" t="e">
        <f t="shared" si="343"/>
        <v>#DIV/0!</v>
      </c>
      <c r="DZ137" s="79">
        <f t="array" ref="DZ137">SUMIFS('Cắt lồng'!$AC$327:$AC$515,'Cắt lồng'!$AA$327:$AA$515,'Cắt lồng'!$AA137,'Cắt lồng'!$AE$327:$AE$515,'Cắt lồng'!DZ$4:DZ$4)</f>
        <v>0</v>
      </c>
      <c r="EA137" s="79">
        <f t="array" ref="EA137">SUMIFS('Cắt lồng'!$AH$327:$AH$515,'Cắt lồng'!$AA$327:$AA$515,'Cắt lồng'!$AA137,'Cắt lồng'!$AE$327:$AE$515,'Cắt lồng'!EA$4:EA$4)</f>
        <v>0</v>
      </c>
      <c r="EB137" s="78" t="e">
        <f t="shared" si="344"/>
        <v>#DIV/0!</v>
      </c>
      <c r="EC137" s="79">
        <f t="array" ref="EC137">SUMIFS('Cắt lồng'!$AC$327:$AC$515,'Cắt lồng'!$AA$327:$AA$515,'Cắt lồng'!$AA137,'Cắt lồng'!$AE$327:$AE$515,'Cắt lồng'!EC$4:EC$4)</f>
        <v>0</v>
      </c>
      <c r="ED137" s="79">
        <f t="array" ref="ED137">SUMIFS('Cắt lồng'!$AH$327:$AH$515,'Cắt lồng'!$AA$327:$AA$515,'Cắt lồng'!$AA137,'Cắt lồng'!$AE$327:$AE$515,'Cắt lồng'!ED$4:ED$4)</f>
        <v>0</v>
      </c>
      <c r="EE137" s="78" t="e">
        <f t="shared" si="345"/>
        <v>#DIV/0!</v>
      </c>
      <c r="EF137" s="79">
        <f t="array" ref="EF137">SUMIFS('Cắt lồng'!$AC$327:$AC$515,'Cắt lồng'!$AA$327:$AA$515,'Cắt lồng'!$AA137,'Cắt lồng'!$AE$327:$AE$515,'Cắt lồng'!EF$4:EF$4)</f>
        <v>0</v>
      </c>
      <c r="EG137" s="79">
        <f t="array" ref="EG137">SUMIFS('Cắt lồng'!$AH$327:$AH$515,'Cắt lồng'!$AA$327:$AA$515,'Cắt lồng'!$AA137,'Cắt lồng'!$AE$327:$AE$515,'Cắt lồng'!EG$4:EG$4)</f>
        <v>0</v>
      </c>
      <c r="EH137" s="78" t="e">
        <f t="shared" si="346"/>
        <v>#DIV/0!</v>
      </c>
      <c r="EI137" s="79">
        <f t="array" ref="EI137">SUMIFS('Cắt lồng'!$AC$327:$AC$515,'Cắt lồng'!$AA$327:$AA$515,'Cắt lồng'!$AA137,'Cắt lồng'!$AE$327:$AE$515,'Cắt lồng'!EI$4:EI$4)</f>
        <v>0</v>
      </c>
      <c r="EJ137" s="79">
        <f t="array" ref="EJ137">SUMIFS('Cắt lồng'!$AH$327:$AH$515,'Cắt lồng'!$AA$327:$AA$515,'Cắt lồng'!$AA137,'Cắt lồng'!$AE$327:$AE$515,'Cắt lồng'!EJ$4:EJ$4)</f>
        <v>0</v>
      </c>
      <c r="EK137" s="78" t="e">
        <f t="shared" si="347"/>
        <v>#DIV/0!</v>
      </c>
    </row>
    <row r="138" spans="1:141" s="12" customFormat="1" ht="14.25" hidden="1" customHeight="1">
      <c r="A138" s="30">
        <v>105</v>
      </c>
      <c r="B138" s="26"/>
      <c r="C138" s="25"/>
      <c r="D138" s="24"/>
      <c r="E138" s="60"/>
      <c r="F138" s="59"/>
      <c r="G138" s="82">
        <f t="shared" si="280"/>
        <v>0</v>
      </c>
      <c r="H138" s="81">
        <f t="shared" si="281"/>
        <v>34.159999999999997</v>
      </c>
      <c r="I138" s="19">
        <f t="shared" si="282"/>
        <v>0</v>
      </c>
      <c r="J138" s="11">
        <f t="shared" si="283"/>
        <v>9.49</v>
      </c>
      <c r="K138" s="19">
        <f t="shared" si="284"/>
        <v>0</v>
      </c>
      <c r="L138" s="19">
        <f t="shared" si="285"/>
        <v>0</v>
      </c>
      <c r="M138" s="19">
        <f t="shared" si="286"/>
        <v>0</v>
      </c>
      <c r="N138" s="19">
        <f t="shared" si="287"/>
        <v>0</v>
      </c>
      <c r="O138" s="19">
        <f t="shared" si="288"/>
        <v>0</v>
      </c>
      <c r="P138" s="19">
        <f t="shared" si="289"/>
        <v>0</v>
      </c>
      <c r="Q138" s="19">
        <f t="shared" si="290"/>
        <v>0</v>
      </c>
      <c r="R138" s="19">
        <f t="shared" si="291"/>
        <v>0</v>
      </c>
      <c r="S138" s="19">
        <f t="shared" si="292"/>
        <v>0</v>
      </c>
      <c r="T138" s="19">
        <f t="shared" si="293"/>
        <v>5.83</v>
      </c>
      <c r="U138" s="19">
        <f t="shared" si="294"/>
        <v>0</v>
      </c>
      <c r="V138" s="19">
        <f t="shared" si="295"/>
        <v>1</v>
      </c>
      <c r="W138" s="19">
        <f t="shared" si="296"/>
        <v>0</v>
      </c>
      <c r="X138" s="19">
        <f t="shared" si="297"/>
        <v>0.17</v>
      </c>
      <c r="Y138" s="19">
        <f t="shared" si="298"/>
        <v>2.4899999999999998</v>
      </c>
      <c r="Z138" s="19">
        <f t="shared" si="299"/>
        <v>0</v>
      </c>
      <c r="AA138" s="143" t="s">
        <v>221</v>
      </c>
      <c r="AB138" s="17" t="e">
        <f>+H138*SUMIF('[1]KẾ HOẠCH'!$B$5:$CK$5,'Cắt lồng'!AA138,'[1]KẾ HOẠCH'!$B$6:$CK$6)+H138*SUMIF('[1]KẾ HOẠCH'!$B$7:$CK$7,'Cắt lồng'!AA138,'[1]KẾ HOẠCH'!$B$8:$CK$8)+H138*SUMIF('[1]KẾ HOẠCH'!$B$15:$CK$15,'Cắt lồng'!AA138,'[1]KẾ HOẠCH'!$B$16:$CK$16)</f>
        <v>#VALUE!</v>
      </c>
      <c r="AC138" s="16">
        <f t="shared" si="300"/>
        <v>10800</v>
      </c>
      <c r="AD138" s="15" t="e">
        <f t="shared" si="301"/>
        <v>#VALUE!</v>
      </c>
      <c r="AE138" s="42"/>
      <c r="AF138" s="10">
        <f t="shared" si="302"/>
        <v>316.15925058548015</v>
      </c>
      <c r="AG138" s="10"/>
      <c r="AH138" s="152">
        <f t="shared" si="303"/>
        <v>0</v>
      </c>
      <c r="AI138" s="54">
        <f t="shared" si="304"/>
        <v>0</v>
      </c>
      <c r="AJ138" s="25">
        <f t="shared" si="305"/>
        <v>0</v>
      </c>
      <c r="AK138" s="25">
        <f t="shared" si="306"/>
        <v>0</v>
      </c>
      <c r="AL138" s="25">
        <f t="shared" si="307"/>
        <v>0</v>
      </c>
      <c r="AM138" s="30">
        <f t="shared" si="308"/>
        <v>0</v>
      </c>
      <c r="AN138" s="25">
        <f t="shared" si="309"/>
        <v>0</v>
      </c>
      <c r="AO138" s="25">
        <f t="shared" si="310"/>
        <v>0</v>
      </c>
      <c r="AP138" s="25">
        <f t="shared" si="311"/>
        <v>0</v>
      </c>
      <c r="AQ138" s="25">
        <f t="shared" si="312"/>
        <v>0</v>
      </c>
      <c r="AR138" s="25">
        <f t="shared" si="313"/>
        <v>0</v>
      </c>
      <c r="AS138" s="25">
        <f t="shared" si="314"/>
        <v>0</v>
      </c>
      <c r="AT138" s="25">
        <f t="shared" si="315"/>
        <v>0</v>
      </c>
      <c r="AV138" s="79">
        <f t="shared" si="316"/>
        <v>34.159999999999997</v>
      </c>
      <c r="AW138" s="79">
        <f t="array" ref="AW138">SUMIFS('Cắt lồng'!$AC$327:$AC$515,'Cắt lồng'!$AA$327:$AA$515,'Cắt lồng'!$AA138,'Cắt lồng'!$AE$327:$AE$515,'Cắt lồng'!AW$4:AW$4)</f>
        <v>10800</v>
      </c>
      <c r="AX138" s="79">
        <f t="array" ref="AX138">SUMIFS('Cắt lồng'!$AH$327:$AH$515,'Cắt lồng'!$AA$327:$AA$515,'Cắt lồng'!$AA138,'Cắt lồng'!$AE$327:$AE$515,'Cắt lồng'!AX$4:AX$4)</f>
        <v>0</v>
      </c>
      <c r="AY138" s="78">
        <f t="shared" si="317"/>
        <v>0</v>
      </c>
      <c r="AZ138" s="79">
        <f t="array" ref="AZ138">SUMIFS('Cắt lồng'!$AC$327:$AC$515,'Cắt lồng'!$AA$327:$AA$515,'Cắt lồng'!$AA138,'Cắt lồng'!$AE$327:$AE$515,'Cắt lồng'!AZ$4:AZ$4)</f>
        <v>0</v>
      </c>
      <c r="BA138" s="79">
        <f t="array" ref="BA138">SUMIFS('Cắt lồng'!$AH$327:$AH$515,'Cắt lồng'!$AA$327:$AA$515,'Cắt lồng'!$AA138,'Cắt lồng'!$AE$327:$AE$515,'Cắt lồng'!BA$4:BA$4)</f>
        <v>0</v>
      </c>
      <c r="BB138" s="78" t="e">
        <f t="shared" si="318"/>
        <v>#DIV/0!</v>
      </c>
      <c r="BC138" s="79">
        <f t="array" ref="BC138">SUMIFS('Cắt lồng'!$AC$327:$AC$515,'Cắt lồng'!$AA$327:$AA$515,'Cắt lồng'!$AA138,'Cắt lồng'!$AE$327:$AE$515,'Cắt lồng'!BC$4:BC$4)</f>
        <v>0</v>
      </c>
      <c r="BD138" s="79">
        <f t="array" ref="BD138">SUMIFS('Cắt lồng'!$AH$327:$AH$515,'Cắt lồng'!$AA$327:$AA$515,'Cắt lồng'!$AA138,'Cắt lồng'!$AE$327:$AE$515,'Cắt lồng'!BD$4:BD$4)</f>
        <v>0</v>
      </c>
      <c r="BE138" s="78" t="e">
        <f t="shared" si="319"/>
        <v>#DIV/0!</v>
      </c>
      <c r="BF138" s="79">
        <f t="array" ref="BF138">SUMIFS('Cắt lồng'!$AC$327:$AC$515,'Cắt lồng'!$AA$327:$AA$515,'Cắt lồng'!$AA138,'Cắt lồng'!$AE$327:$AE$515,'Cắt lồng'!BF$4:BF$4)</f>
        <v>0</v>
      </c>
      <c r="BG138" s="79">
        <f t="array" ref="BG138">SUMIFS('Cắt lồng'!$AH$327:$AH$515,'Cắt lồng'!$AA$327:$AA$515,'Cắt lồng'!$AA138,'Cắt lồng'!$AE$327:$AE$515,'Cắt lồng'!BG$4:BG$4)</f>
        <v>0</v>
      </c>
      <c r="BH138" s="78" t="e">
        <f t="shared" si="320"/>
        <v>#DIV/0!</v>
      </c>
      <c r="BI138" s="79">
        <f t="array" ref="BI138">SUMIFS('Cắt lồng'!$AC$327:$AC$515,'Cắt lồng'!$AA$327:$AA$515,'Cắt lồng'!$AA138,'Cắt lồng'!$AE$327:$AE$515,'Cắt lồng'!BI$4:BI$4)</f>
        <v>0</v>
      </c>
      <c r="BJ138" s="79">
        <f t="array" ref="BJ138">SUMIFS('Cắt lồng'!$AH$327:$AH$515,'Cắt lồng'!$AA$327:$AA$515,'Cắt lồng'!$AA138,'Cắt lồng'!$AE$327:$AE$515,'Cắt lồng'!BJ$4:BJ$4)</f>
        <v>0</v>
      </c>
      <c r="BK138" s="78" t="e">
        <f t="shared" si="321"/>
        <v>#DIV/0!</v>
      </c>
      <c r="BL138" s="79">
        <f t="array" ref="BL138">SUMIFS('Cắt lồng'!$AC$327:$AC$515,'Cắt lồng'!$AA$327:$AA$515,'Cắt lồng'!$AA138,'Cắt lồng'!$AE$327:$AE$515,'Cắt lồng'!BL$4:BL$4)</f>
        <v>0</v>
      </c>
      <c r="BM138" s="79">
        <f t="array" ref="BM138">SUMIFS('Cắt lồng'!$AH$327:$AH$515,'Cắt lồng'!$AA$327:$AA$515,'Cắt lồng'!$AA138,'Cắt lồng'!$AE$327:$AE$515,'Cắt lồng'!BM$4:BM$4)</f>
        <v>0</v>
      </c>
      <c r="BN138" s="78" t="e">
        <f t="shared" si="322"/>
        <v>#DIV/0!</v>
      </c>
      <c r="BO138" s="79">
        <f t="array" ref="BO138">SUMIFS('Cắt lồng'!$AC$327:$AC$515,'Cắt lồng'!$AA$327:$AA$515,'Cắt lồng'!$AA138,'Cắt lồng'!$AE$327:$AE$515,'Cắt lồng'!BO$4:BO$4)</f>
        <v>0</v>
      </c>
      <c r="BP138" s="79">
        <f t="array" ref="BP138">SUMIFS('Cắt lồng'!$AH$327:$AH$515,'Cắt lồng'!$AA$327:$AA$515,'Cắt lồng'!$AA138,'Cắt lồng'!$AE$327:$AE$515,'Cắt lồng'!BP$4:BP$4)</f>
        <v>0</v>
      </c>
      <c r="BQ138" s="78" t="e">
        <f t="shared" si="323"/>
        <v>#DIV/0!</v>
      </c>
      <c r="BR138" s="79">
        <f t="array" ref="BR138">SUMIFS('Cắt lồng'!$AC$327:$AC$515,'Cắt lồng'!$AA$327:$AA$515,'Cắt lồng'!$AA138,'Cắt lồng'!$AE$327:$AE$515,'Cắt lồng'!BR$4:BR$4)</f>
        <v>0</v>
      </c>
      <c r="BS138" s="79">
        <f t="array" ref="BS138">SUMIFS('Cắt lồng'!$AH$327:$AH$515,'Cắt lồng'!$AA$327:$AA$515,'Cắt lồng'!$AA138,'Cắt lồng'!$AE$327:$AE$515,'Cắt lồng'!BS$4:BS$4)</f>
        <v>0</v>
      </c>
      <c r="BT138" s="78" t="e">
        <f t="shared" si="324"/>
        <v>#DIV/0!</v>
      </c>
      <c r="BU138" s="79">
        <f t="array" ref="BU138">SUMIFS('Cắt lồng'!$AC$327:$AC$515,'Cắt lồng'!$AA$327:$AA$515,'Cắt lồng'!$AA138,'Cắt lồng'!$AE$327:$AE$515,'Cắt lồng'!BU$4:BU$4)</f>
        <v>0</v>
      </c>
      <c r="BV138" s="79">
        <f t="array" ref="BV138">SUMIFS('Cắt lồng'!$AH$327:$AH$515,'Cắt lồng'!$AA$327:$AA$515,'Cắt lồng'!$AA138,'Cắt lồng'!$AE$327:$AE$515,'Cắt lồng'!BV$4:BV$4)</f>
        <v>0</v>
      </c>
      <c r="BW138" s="78" t="e">
        <f t="shared" si="325"/>
        <v>#DIV/0!</v>
      </c>
      <c r="BX138" s="79">
        <f t="array" ref="BX138">SUMIFS('Cắt lồng'!$AC$327:$AC$515,'Cắt lồng'!$AA$327:$AA$515,'Cắt lồng'!$AA138,'Cắt lồng'!$AE$327:$AE$515,'Cắt lồng'!BX$4:BX$4)</f>
        <v>0</v>
      </c>
      <c r="BY138" s="79">
        <f t="array" ref="BY138">SUMIFS('Cắt lồng'!$AH$327:$AH$515,'Cắt lồng'!$AA$327:$AA$515,'Cắt lồng'!$AA138,'Cắt lồng'!$AE$327:$AE$515,'Cắt lồng'!BY$4:BY$4)</f>
        <v>0</v>
      </c>
      <c r="BZ138" s="78" t="e">
        <f t="shared" si="326"/>
        <v>#DIV/0!</v>
      </c>
      <c r="CA138" s="79">
        <f t="array" ref="CA138">SUMIFS('Cắt lồng'!$AC$327:$AC$515,'Cắt lồng'!$AA$327:$AA$515,'Cắt lồng'!$AA138,'Cắt lồng'!$AE$327:$AE$515,'Cắt lồng'!CA$4:CA$4)</f>
        <v>0</v>
      </c>
      <c r="CB138" s="79">
        <f t="array" ref="CB138">SUMIFS('Cắt lồng'!$AH$327:$AH$515,'Cắt lồng'!$AA$327:$AA$515,'Cắt lồng'!$AA138,'Cắt lồng'!$AE$327:$AE$515,'Cắt lồng'!CB$4:CB$4)</f>
        <v>0</v>
      </c>
      <c r="CC138" s="78" t="e">
        <f t="shared" si="327"/>
        <v>#DIV/0!</v>
      </c>
      <c r="CD138" s="79">
        <f t="array" ref="CD138">SUMIFS('Cắt lồng'!$AC$327:$AC$515,'Cắt lồng'!$AA$327:$AA$515,'Cắt lồng'!$AA138,'Cắt lồng'!$AE$327:$AE$515,'Cắt lồng'!CD$4:CD$4)</f>
        <v>0</v>
      </c>
      <c r="CE138" s="79">
        <f t="array" ref="CE138">SUMIFS('Cắt lồng'!$AH$327:$AH$515,'Cắt lồng'!$AA$327:$AA$515,'Cắt lồng'!$AA138,'Cắt lồng'!$AE$327:$AE$515,'Cắt lồng'!CE$4:CE$4)</f>
        <v>0</v>
      </c>
      <c r="CF138" s="78" t="e">
        <f t="shared" si="328"/>
        <v>#DIV/0!</v>
      </c>
      <c r="CG138" s="79">
        <f t="array" ref="CG138">SUMIFS('Cắt lồng'!$AC$327:$AC$515,'Cắt lồng'!$AA$327:$AA$515,'Cắt lồng'!$AA138,'Cắt lồng'!$AE$327:$AE$515,'Cắt lồng'!CG$4:CG$4)</f>
        <v>0</v>
      </c>
      <c r="CH138" s="79">
        <f t="array" ref="CH138">SUMIFS('Cắt lồng'!$AH$327:$AH$515,'Cắt lồng'!$AA$327:$AA$515,'Cắt lồng'!$AA138,'Cắt lồng'!$AE$327:$AE$515,'Cắt lồng'!CH$4:CH$4)</f>
        <v>0</v>
      </c>
      <c r="CI138" s="78" t="e">
        <f t="shared" si="329"/>
        <v>#DIV/0!</v>
      </c>
      <c r="CJ138" s="79">
        <f t="array" ref="CJ138">SUMIFS('Cắt lồng'!$AC$327:$AC$515,'Cắt lồng'!$AA$327:$AA$515,'Cắt lồng'!$AA138,'Cắt lồng'!$AE$327:$AE$515,'Cắt lồng'!CJ$4:CJ$4)</f>
        <v>0</v>
      </c>
      <c r="CK138" s="79">
        <f t="array" ref="CK138">SUMIFS('Cắt lồng'!$AH$327:$AH$515,'Cắt lồng'!$AA$327:$AA$515,'Cắt lồng'!$AA138,'Cắt lồng'!$AE$327:$AE$515,'Cắt lồng'!CK$4:CK$4)</f>
        <v>0</v>
      </c>
      <c r="CL138" s="78" t="e">
        <f t="shared" si="330"/>
        <v>#DIV/0!</v>
      </c>
      <c r="CM138" s="79">
        <f t="array" ref="CM138">SUMIFS('Cắt lồng'!$AC$327:$AC$515,'Cắt lồng'!$AA$327:$AA$515,'Cắt lồng'!$AA138,'Cắt lồng'!$AE$327:$AE$515,'Cắt lồng'!CM$4:CM$4)</f>
        <v>0</v>
      </c>
      <c r="CN138" s="79">
        <f t="array" ref="CN138">SUMIFS('Cắt lồng'!$AH$327:$AH$515,'Cắt lồng'!$AA$327:$AA$515,'Cắt lồng'!$AA138,'Cắt lồng'!$AE$327:$AE$515,'Cắt lồng'!CN$4:CN$4)</f>
        <v>0</v>
      </c>
      <c r="CO138" s="78" t="e">
        <f t="shared" si="331"/>
        <v>#DIV/0!</v>
      </c>
      <c r="CP138" s="79">
        <f t="array" ref="CP138">SUMIFS('Cắt lồng'!$AC$327:$AC$515,'Cắt lồng'!$AA$327:$AA$515,'Cắt lồng'!$AA138,'Cắt lồng'!$AE$327:$AE$515,'Cắt lồng'!CP$4:CP$4)</f>
        <v>0</v>
      </c>
      <c r="CQ138" s="79">
        <f t="array" ref="CQ138">SUMIFS('Cắt lồng'!$AH$327:$AH$515,'Cắt lồng'!$AA$327:$AA$515,'Cắt lồng'!$AA138,'Cắt lồng'!$AE$327:$AE$515,'Cắt lồng'!CQ$4:CQ$4)</f>
        <v>0</v>
      </c>
      <c r="CR138" s="78" t="e">
        <f t="shared" si="332"/>
        <v>#DIV/0!</v>
      </c>
      <c r="CS138" s="79">
        <f t="array" ref="CS138">SUMIFS('Cắt lồng'!$AC$327:$AC$515,'Cắt lồng'!$AA$327:$AA$515,'Cắt lồng'!$AA138,'Cắt lồng'!$AE$327:$AE$515,'Cắt lồng'!CS$4:CS$4)</f>
        <v>0</v>
      </c>
      <c r="CT138" s="79">
        <f t="array" ref="CT138">SUMIFS('Cắt lồng'!$AH$327:$AH$515,'Cắt lồng'!$AA$327:$AA$515,'Cắt lồng'!$AA138,'Cắt lồng'!$AE$327:$AE$515,'Cắt lồng'!CT$4:CT$4)</f>
        <v>0</v>
      </c>
      <c r="CU138" s="78" t="e">
        <f t="shared" si="333"/>
        <v>#DIV/0!</v>
      </c>
      <c r="CV138" s="79">
        <f t="array" ref="CV138">SUMIFS('Cắt lồng'!$AC$327:$AC$515,'Cắt lồng'!$AA$327:$AA$515,'Cắt lồng'!$AA138,'Cắt lồng'!$AE$327:$AE$515,'Cắt lồng'!CV$4:CV$4)</f>
        <v>0</v>
      </c>
      <c r="CW138" s="79">
        <f t="array" ref="CW138">SUMIFS('Cắt lồng'!$AH$327:$AH$515,'Cắt lồng'!$AA$327:$AA$515,'Cắt lồng'!$AA138,'Cắt lồng'!$AE$327:$AE$515,'Cắt lồng'!CW$4:CW$4)</f>
        <v>0</v>
      </c>
      <c r="CX138" s="78" t="e">
        <f t="shared" si="334"/>
        <v>#DIV/0!</v>
      </c>
      <c r="CY138" s="79">
        <f t="array" ref="CY138">SUMIFS('Cắt lồng'!$AC$327:$AC$515,'Cắt lồng'!$AA$327:$AA$515,'Cắt lồng'!$AA138,'Cắt lồng'!$AE$327:$AE$515,'Cắt lồng'!CY$4:CY$4)</f>
        <v>0</v>
      </c>
      <c r="CZ138" s="79">
        <f t="array" ref="CZ138">SUMIFS('Cắt lồng'!$AH$327:$AH$515,'Cắt lồng'!$AA$327:$AA$515,'Cắt lồng'!$AA138,'Cắt lồng'!$AE$327:$AE$515,'Cắt lồng'!CZ$4:CZ$4)</f>
        <v>0</v>
      </c>
      <c r="DA138" s="78" t="e">
        <f t="shared" si="335"/>
        <v>#DIV/0!</v>
      </c>
      <c r="DB138" s="79">
        <f t="array" ref="DB138">SUMIFS('Cắt lồng'!$AC$327:$AC$515,'Cắt lồng'!$AA$327:$AA$515,'Cắt lồng'!$AA138,'Cắt lồng'!$AE$327:$AE$515,'Cắt lồng'!DB$4:DB$4)</f>
        <v>0</v>
      </c>
      <c r="DC138" s="79">
        <f t="array" ref="DC138">SUMIFS('Cắt lồng'!$AH$327:$AH$515,'Cắt lồng'!$AA$327:$AA$515,'Cắt lồng'!$AA138,'Cắt lồng'!$AE$327:$AE$515,'Cắt lồng'!DC$4:DC$4)</f>
        <v>0</v>
      </c>
      <c r="DD138" s="78" t="e">
        <f t="shared" si="336"/>
        <v>#DIV/0!</v>
      </c>
      <c r="DE138" s="79">
        <f t="array" ref="DE138">SUMIFS('Cắt lồng'!$AC$327:$AC$515,'Cắt lồng'!$AA$327:$AA$515,'Cắt lồng'!$AA138,'Cắt lồng'!$AE$327:$AE$515,'Cắt lồng'!DE$4:DE$4)</f>
        <v>0</v>
      </c>
      <c r="DF138" s="79">
        <f t="array" ref="DF138">SUMIFS('Cắt lồng'!$AH$327:$AH$515,'Cắt lồng'!$AA$327:$AA$515,'Cắt lồng'!$AA138,'Cắt lồng'!$AE$327:$AE$515,'Cắt lồng'!DF$4:DF$4)</f>
        <v>0</v>
      </c>
      <c r="DG138" s="78" t="e">
        <f t="shared" si="337"/>
        <v>#DIV/0!</v>
      </c>
      <c r="DH138" s="79">
        <f t="array" ref="DH138">SUMIFS('Cắt lồng'!$AC$327:$AC$515,'Cắt lồng'!$AA$327:$AA$515,'Cắt lồng'!$AA138,'Cắt lồng'!$AE$327:$AE$515,'Cắt lồng'!DH$4:DH$4)</f>
        <v>0</v>
      </c>
      <c r="DI138" s="79">
        <f t="array" ref="DI138">SUMIFS('Cắt lồng'!$AH$327:$AH$515,'Cắt lồng'!$AA$327:$AA$515,'Cắt lồng'!$AA138,'Cắt lồng'!$AE$327:$AE$515,'Cắt lồng'!DI$4:DI$4)</f>
        <v>0</v>
      </c>
      <c r="DJ138" s="78" t="e">
        <f t="shared" si="338"/>
        <v>#DIV/0!</v>
      </c>
      <c r="DK138" s="79">
        <f t="array" ref="DK138">SUMIFS('Cắt lồng'!$AC$327:$AC$515,'Cắt lồng'!$AA$327:$AA$515,'Cắt lồng'!$AA138,'Cắt lồng'!$AE$327:$AE$515,'Cắt lồng'!DK$4:DK$4)</f>
        <v>0</v>
      </c>
      <c r="DL138" s="79">
        <f t="array" ref="DL138">SUMIFS('Cắt lồng'!$AH$327:$AH$515,'Cắt lồng'!$AA$327:$AA$515,'Cắt lồng'!$AA138,'Cắt lồng'!$AE$327:$AE$515,'Cắt lồng'!DL$4:DL$4)</f>
        <v>0</v>
      </c>
      <c r="DM138" s="78" t="e">
        <f t="shared" si="339"/>
        <v>#DIV/0!</v>
      </c>
      <c r="DN138" s="79">
        <f t="array" ref="DN138">SUMIFS('Cắt lồng'!$AC$327:$AC$515,'Cắt lồng'!$AA$327:$AA$515,'Cắt lồng'!$AA138,'Cắt lồng'!$AE$327:$AE$515,'Cắt lồng'!DN$4:DN$4)</f>
        <v>0</v>
      </c>
      <c r="DO138" s="79">
        <f t="array" ref="DO138">SUMIFS('Cắt lồng'!$AH$327:$AH$515,'Cắt lồng'!$AA$327:$AA$515,'Cắt lồng'!$AA138,'Cắt lồng'!$AE$327:$AE$515,'Cắt lồng'!DO$4:DO$4)</f>
        <v>0</v>
      </c>
      <c r="DP138" s="78" t="e">
        <f t="shared" si="340"/>
        <v>#DIV/0!</v>
      </c>
      <c r="DQ138" s="79">
        <f t="array" ref="DQ138">SUMIFS('Cắt lồng'!$AC$327:$AC$515,'Cắt lồng'!$AA$327:$AA$515,'Cắt lồng'!$AA138,'Cắt lồng'!$AE$327:$AE$515,'Cắt lồng'!DQ$4:DQ$4)</f>
        <v>0</v>
      </c>
      <c r="DR138" s="79">
        <f t="array" ref="DR138">SUMIFS('Cắt lồng'!$AH$327:$AH$515,'Cắt lồng'!$AA$327:$AA$515,'Cắt lồng'!$AA138,'Cắt lồng'!$AE$327:$AE$515,'Cắt lồng'!DR$4:DR$4)</f>
        <v>0</v>
      </c>
      <c r="DS138" s="78" t="e">
        <f t="shared" si="341"/>
        <v>#DIV/0!</v>
      </c>
      <c r="DT138" s="79">
        <f t="array" ref="DT138">SUMIFS('Cắt lồng'!$AC$327:$AC$515,'Cắt lồng'!$AA$327:$AA$515,'Cắt lồng'!$AA138,'Cắt lồng'!$AE$327:$AE$515,'Cắt lồng'!DT$4:DT$4)</f>
        <v>0</v>
      </c>
      <c r="DU138" s="79">
        <f t="array" ref="DU138">SUMIFS('Cắt lồng'!$AH$327:$AH$515,'Cắt lồng'!$AA$327:$AA$515,'Cắt lồng'!$AA138,'Cắt lồng'!$AE$327:$AE$515,'Cắt lồng'!DU$4:DU$4)</f>
        <v>0</v>
      </c>
      <c r="DV138" s="78" t="e">
        <f t="shared" si="342"/>
        <v>#DIV/0!</v>
      </c>
      <c r="DW138" s="79">
        <f t="array" ref="DW138">SUMIFS('Cắt lồng'!$AC$327:$AC$515,'Cắt lồng'!$AA$327:$AA$515,'Cắt lồng'!$AA138,'Cắt lồng'!$AE$327:$AE$515,'Cắt lồng'!DW$4:DW$4)</f>
        <v>0</v>
      </c>
      <c r="DX138" s="79">
        <f t="array" ref="DX138">SUMIFS('Cắt lồng'!$AH$327:$AH$515,'Cắt lồng'!$AA$327:$AA$515,'Cắt lồng'!$AA138,'Cắt lồng'!$AE$327:$AE$515,'Cắt lồng'!DX$4:DX$4)</f>
        <v>0</v>
      </c>
      <c r="DY138" s="78" t="e">
        <f t="shared" si="343"/>
        <v>#DIV/0!</v>
      </c>
      <c r="DZ138" s="79">
        <f t="array" ref="DZ138">SUMIFS('Cắt lồng'!$AC$327:$AC$515,'Cắt lồng'!$AA$327:$AA$515,'Cắt lồng'!$AA138,'Cắt lồng'!$AE$327:$AE$515,'Cắt lồng'!DZ$4:DZ$4)</f>
        <v>0</v>
      </c>
      <c r="EA138" s="79">
        <f t="array" ref="EA138">SUMIFS('Cắt lồng'!$AH$327:$AH$515,'Cắt lồng'!$AA$327:$AA$515,'Cắt lồng'!$AA138,'Cắt lồng'!$AE$327:$AE$515,'Cắt lồng'!EA$4:EA$4)</f>
        <v>0</v>
      </c>
      <c r="EB138" s="78" t="e">
        <f t="shared" si="344"/>
        <v>#DIV/0!</v>
      </c>
      <c r="EC138" s="79">
        <f t="array" ref="EC138">SUMIFS('Cắt lồng'!$AC$327:$AC$515,'Cắt lồng'!$AA$327:$AA$515,'Cắt lồng'!$AA138,'Cắt lồng'!$AE$327:$AE$515,'Cắt lồng'!EC$4:EC$4)</f>
        <v>0</v>
      </c>
      <c r="ED138" s="79">
        <f t="array" ref="ED138">SUMIFS('Cắt lồng'!$AH$327:$AH$515,'Cắt lồng'!$AA$327:$AA$515,'Cắt lồng'!$AA138,'Cắt lồng'!$AE$327:$AE$515,'Cắt lồng'!ED$4:ED$4)</f>
        <v>0</v>
      </c>
      <c r="EE138" s="78" t="e">
        <f t="shared" si="345"/>
        <v>#DIV/0!</v>
      </c>
      <c r="EF138" s="79">
        <f t="array" ref="EF138">SUMIFS('Cắt lồng'!$AC$327:$AC$515,'Cắt lồng'!$AA$327:$AA$515,'Cắt lồng'!$AA138,'Cắt lồng'!$AE$327:$AE$515,'Cắt lồng'!EF$4:EF$4)</f>
        <v>0</v>
      </c>
      <c r="EG138" s="79">
        <f t="array" ref="EG138">SUMIFS('Cắt lồng'!$AH$327:$AH$515,'Cắt lồng'!$AA$327:$AA$515,'Cắt lồng'!$AA138,'Cắt lồng'!$AE$327:$AE$515,'Cắt lồng'!EG$4:EG$4)</f>
        <v>0</v>
      </c>
      <c r="EH138" s="78" t="e">
        <f t="shared" si="346"/>
        <v>#DIV/0!</v>
      </c>
      <c r="EI138" s="79">
        <f t="array" ref="EI138">SUMIFS('Cắt lồng'!$AC$327:$AC$515,'Cắt lồng'!$AA$327:$AA$515,'Cắt lồng'!$AA138,'Cắt lồng'!$AE$327:$AE$515,'Cắt lồng'!EI$4:EI$4)</f>
        <v>0</v>
      </c>
      <c r="EJ138" s="79">
        <f t="array" ref="EJ138">SUMIFS('Cắt lồng'!$AH$327:$AH$515,'Cắt lồng'!$AA$327:$AA$515,'Cắt lồng'!$AA138,'Cắt lồng'!$AE$327:$AE$515,'Cắt lồng'!EJ$4:EJ$4)</f>
        <v>0</v>
      </c>
      <c r="EK138" s="78" t="e">
        <f t="shared" si="347"/>
        <v>#DIV/0!</v>
      </c>
    </row>
    <row r="139" spans="1:141" s="12" customFormat="1" ht="14.25" hidden="1" customHeight="1">
      <c r="A139" s="30">
        <v>106</v>
      </c>
      <c r="B139" s="26"/>
      <c r="C139" s="25"/>
      <c r="D139" s="24"/>
      <c r="E139" s="60"/>
      <c r="F139" s="59"/>
      <c r="G139" s="82">
        <f t="shared" si="280"/>
        <v>0</v>
      </c>
      <c r="H139" s="81">
        <f t="shared" si="281"/>
        <v>0</v>
      </c>
      <c r="I139" s="19">
        <f t="shared" si="282"/>
        <v>0</v>
      </c>
      <c r="J139" s="11">
        <f t="shared" si="283"/>
        <v>0</v>
      </c>
      <c r="K139" s="19">
        <f t="shared" si="284"/>
        <v>0</v>
      </c>
      <c r="L139" s="19">
        <f t="shared" si="285"/>
        <v>0</v>
      </c>
      <c r="M139" s="19">
        <f t="shared" si="286"/>
        <v>0</v>
      </c>
      <c r="N139" s="19">
        <f t="shared" si="287"/>
        <v>0</v>
      </c>
      <c r="O139" s="19">
        <f t="shared" si="288"/>
        <v>0</v>
      </c>
      <c r="P139" s="19">
        <f t="shared" si="289"/>
        <v>0</v>
      </c>
      <c r="Q139" s="19">
        <f t="shared" si="290"/>
        <v>0</v>
      </c>
      <c r="R139" s="19">
        <f t="shared" si="291"/>
        <v>0</v>
      </c>
      <c r="S139" s="19">
        <f t="shared" si="292"/>
        <v>0</v>
      </c>
      <c r="T139" s="19">
        <f t="shared" si="293"/>
        <v>0</v>
      </c>
      <c r="U139" s="19">
        <f t="shared" si="294"/>
        <v>0</v>
      </c>
      <c r="V139" s="19">
        <f t="shared" si="295"/>
        <v>0</v>
      </c>
      <c r="W139" s="19">
        <f t="shared" si="296"/>
        <v>0</v>
      </c>
      <c r="X139" s="19">
        <f t="shared" si="297"/>
        <v>0</v>
      </c>
      <c r="Y139" s="19">
        <f t="shared" si="298"/>
        <v>0</v>
      </c>
      <c r="Z139" s="19">
        <f t="shared" si="299"/>
        <v>0</v>
      </c>
      <c r="AA139" s="143" t="s">
        <v>220</v>
      </c>
      <c r="AB139" s="17" t="e">
        <f>+H139*SUMIF('[1]KẾ HOẠCH'!$B$5:$CK$5,'Cắt lồng'!AA139,'[1]KẾ HOẠCH'!$B$6:$CK$6)+H139*SUMIF('[1]KẾ HOẠCH'!$B$7:$CK$7,'Cắt lồng'!AA139,'[1]KẾ HOẠCH'!$B$8:$CK$8)+H139*SUMIF('[1]KẾ HOẠCH'!$B$15:$CK$15,'Cắt lồng'!AA139,'[1]KẾ HOẠCH'!$B$16:$CK$16)</f>
        <v>#VALUE!</v>
      </c>
      <c r="AC139" s="16">
        <f t="shared" si="300"/>
        <v>0</v>
      </c>
      <c r="AD139" s="15" t="e">
        <f t="shared" si="301"/>
        <v>#VALUE!</v>
      </c>
      <c r="AE139" s="42"/>
      <c r="AF139" s="10" t="e">
        <f t="shared" si="302"/>
        <v>#DIV/0!</v>
      </c>
      <c r="AG139" s="10"/>
      <c r="AH139" s="152">
        <f t="shared" si="303"/>
        <v>0</v>
      </c>
      <c r="AI139" s="54" t="e">
        <f t="shared" si="304"/>
        <v>#DIV/0!</v>
      </c>
      <c r="AJ139" s="25">
        <f t="shared" si="305"/>
        <v>0</v>
      </c>
      <c r="AK139" s="25">
        <f t="shared" si="306"/>
        <v>0</v>
      </c>
      <c r="AL139" s="25">
        <f t="shared" si="307"/>
        <v>0</v>
      </c>
      <c r="AM139" s="30">
        <f t="shared" si="308"/>
        <v>0</v>
      </c>
      <c r="AN139" s="25">
        <f t="shared" si="309"/>
        <v>0</v>
      </c>
      <c r="AO139" s="25">
        <f t="shared" si="310"/>
        <v>0</v>
      </c>
      <c r="AP139" s="25">
        <f t="shared" si="311"/>
        <v>0</v>
      </c>
      <c r="AQ139" s="25">
        <f t="shared" si="312"/>
        <v>0</v>
      </c>
      <c r="AR139" s="25">
        <f t="shared" si="313"/>
        <v>0</v>
      </c>
      <c r="AS139" s="25">
        <f t="shared" si="314"/>
        <v>0</v>
      </c>
      <c r="AT139" s="25">
        <f t="shared" si="315"/>
        <v>0</v>
      </c>
      <c r="AV139" s="79">
        <f t="shared" si="316"/>
        <v>0</v>
      </c>
      <c r="AW139" s="79">
        <f t="array" ref="AW139">SUMIFS('Cắt lồng'!$AC$327:$AC$515,'Cắt lồng'!$AA$327:$AA$515,'Cắt lồng'!$AA139,'Cắt lồng'!$AE$327:$AE$515,'Cắt lồng'!AW$4:AW$4)</f>
        <v>0</v>
      </c>
      <c r="AX139" s="79">
        <f t="array" ref="AX139">SUMIFS('Cắt lồng'!$AH$327:$AH$515,'Cắt lồng'!$AA$327:$AA$515,'Cắt lồng'!$AA139,'Cắt lồng'!$AE$327:$AE$515,'Cắt lồng'!AX$4:AX$4)</f>
        <v>0</v>
      </c>
      <c r="AY139" s="78" t="e">
        <f t="shared" si="317"/>
        <v>#DIV/0!</v>
      </c>
      <c r="AZ139" s="79">
        <f t="array" ref="AZ139">SUMIFS('Cắt lồng'!$AC$327:$AC$515,'Cắt lồng'!$AA$327:$AA$515,'Cắt lồng'!$AA139,'Cắt lồng'!$AE$327:$AE$515,'Cắt lồng'!AZ$4:AZ$4)</f>
        <v>0</v>
      </c>
      <c r="BA139" s="79">
        <f t="array" ref="BA139">SUMIFS('Cắt lồng'!$AH$327:$AH$515,'Cắt lồng'!$AA$327:$AA$515,'Cắt lồng'!$AA139,'Cắt lồng'!$AE$327:$AE$515,'Cắt lồng'!BA$4:BA$4)</f>
        <v>0</v>
      </c>
      <c r="BB139" s="78" t="e">
        <f t="shared" si="318"/>
        <v>#DIV/0!</v>
      </c>
      <c r="BC139" s="79">
        <f t="array" ref="BC139">SUMIFS('Cắt lồng'!$AC$327:$AC$515,'Cắt lồng'!$AA$327:$AA$515,'Cắt lồng'!$AA139,'Cắt lồng'!$AE$327:$AE$515,'Cắt lồng'!BC$4:BC$4)</f>
        <v>0</v>
      </c>
      <c r="BD139" s="79">
        <f t="array" ref="BD139">SUMIFS('Cắt lồng'!$AH$327:$AH$515,'Cắt lồng'!$AA$327:$AA$515,'Cắt lồng'!$AA139,'Cắt lồng'!$AE$327:$AE$515,'Cắt lồng'!BD$4:BD$4)</f>
        <v>0</v>
      </c>
      <c r="BE139" s="78" t="e">
        <f t="shared" si="319"/>
        <v>#DIV/0!</v>
      </c>
      <c r="BF139" s="79">
        <f t="array" ref="BF139">SUMIFS('Cắt lồng'!$AC$327:$AC$515,'Cắt lồng'!$AA$327:$AA$515,'Cắt lồng'!$AA139,'Cắt lồng'!$AE$327:$AE$515,'Cắt lồng'!BF$4:BF$4)</f>
        <v>0</v>
      </c>
      <c r="BG139" s="79">
        <f t="array" ref="BG139">SUMIFS('Cắt lồng'!$AH$327:$AH$515,'Cắt lồng'!$AA$327:$AA$515,'Cắt lồng'!$AA139,'Cắt lồng'!$AE$327:$AE$515,'Cắt lồng'!BG$4:BG$4)</f>
        <v>0</v>
      </c>
      <c r="BH139" s="78" t="e">
        <f t="shared" si="320"/>
        <v>#DIV/0!</v>
      </c>
      <c r="BI139" s="79">
        <f t="array" ref="BI139">SUMIFS('Cắt lồng'!$AC$327:$AC$515,'Cắt lồng'!$AA$327:$AA$515,'Cắt lồng'!$AA139,'Cắt lồng'!$AE$327:$AE$515,'Cắt lồng'!BI$4:BI$4)</f>
        <v>0</v>
      </c>
      <c r="BJ139" s="79">
        <f t="array" ref="BJ139">SUMIFS('Cắt lồng'!$AH$327:$AH$515,'Cắt lồng'!$AA$327:$AA$515,'Cắt lồng'!$AA139,'Cắt lồng'!$AE$327:$AE$515,'Cắt lồng'!BJ$4:BJ$4)</f>
        <v>0</v>
      </c>
      <c r="BK139" s="78" t="e">
        <f t="shared" si="321"/>
        <v>#DIV/0!</v>
      </c>
      <c r="BL139" s="79">
        <f t="array" ref="BL139">SUMIFS('Cắt lồng'!$AC$327:$AC$515,'Cắt lồng'!$AA$327:$AA$515,'Cắt lồng'!$AA139,'Cắt lồng'!$AE$327:$AE$515,'Cắt lồng'!BL$4:BL$4)</f>
        <v>0</v>
      </c>
      <c r="BM139" s="79">
        <f t="array" ref="BM139">SUMIFS('Cắt lồng'!$AH$327:$AH$515,'Cắt lồng'!$AA$327:$AA$515,'Cắt lồng'!$AA139,'Cắt lồng'!$AE$327:$AE$515,'Cắt lồng'!BM$4:BM$4)</f>
        <v>0</v>
      </c>
      <c r="BN139" s="78" t="e">
        <f t="shared" si="322"/>
        <v>#DIV/0!</v>
      </c>
      <c r="BO139" s="79">
        <f t="array" ref="BO139">SUMIFS('Cắt lồng'!$AC$327:$AC$515,'Cắt lồng'!$AA$327:$AA$515,'Cắt lồng'!$AA139,'Cắt lồng'!$AE$327:$AE$515,'Cắt lồng'!BO$4:BO$4)</f>
        <v>0</v>
      </c>
      <c r="BP139" s="79">
        <f t="array" ref="BP139">SUMIFS('Cắt lồng'!$AH$327:$AH$515,'Cắt lồng'!$AA$327:$AA$515,'Cắt lồng'!$AA139,'Cắt lồng'!$AE$327:$AE$515,'Cắt lồng'!BP$4:BP$4)</f>
        <v>0</v>
      </c>
      <c r="BQ139" s="78" t="e">
        <f t="shared" si="323"/>
        <v>#DIV/0!</v>
      </c>
      <c r="BR139" s="79">
        <f t="array" ref="BR139">SUMIFS('Cắt lồng'!$AC$327:$AC$515,'Cắt lồng'!$AA$327:$AA$515,'Cắt lồng'!$AA139,'Cắt lồng'!$AE$327:$AE$515,'Cắt lồng'!BR$4:BR$4)</f>
        <v>0</v>
      </c>
      <c r="BS139" s="79">
        <f t="array" ref="BS139">SUMIFS('Cắt lồng'!$AH$327:$AH$515,'Cắt lồng'!$AA$327:$AA$515,'Cắt lồng'!$AA139,'Cắt lồng'!$AE$327:$AE$515,'Cắt lồng'!BS$4:BS$4)</f>
        <v>0</v>
      </c>
      <c r="BT139" s="78" t="e">
        <f t="shared" si="324"/>
        <v>#DIV/0!</v>
      </c>
      <c r="BU139" s="79">
        <f t="array" ref="BU139">SUMIFS('Cắt lồng'!$AC$327:$AC$515,'Cắt lồng'!$AA$327:$AA$515,'Cắt lồng'!$AA139,'Cắt lồng'!$AE$327:$AE$515,'Cắt lồng'!BU$4:BU$4)</f>
        <v>0</v>
      </c>
      <c r="BV139" s="79">
        <f t="array" ref="BV139">SUMIFS('Cắt lồng'!$AH$327:$AH$515,'Cắt lồng'!$AA$327:$AA$515,'Cắt lồng'!$AA139,'Cắt lồng'!$AE$327:$AE$515,'Cắt lồng'!BV$4:BV$4)</f>
        <v>0</v>
      </c>
      <c r="BW139" s="78" t="e">
        <f t="shared" si="325"/>
        <v>#DIV/0!</v>
      </c>
      <c r="BX139" s="79">
        <f t="array" ref="BX139">SUMIFS('Cắt lồng'!$AC$327:$AC$515,'Cắt lồng'!$AA$327:$AA$515,'Cắt lồng'!$AA139,'Cắt lồng'!$AE$327:$AE$515,'Cắt lồng'!BX$4:BX$4)</f>
        <v>0</v>
      </c>
      <c r="BY139" s="79">
        <f t="array" ref="BY139">SUMIFS('Cắt lồng'!$AH$327:$AH$515,'Cắt lồng'!$AA$327:$AA$515,'Cắt lồng'!$AA139,'Cắt lồng'!$AE$327:$AE$515,'Cắt lồng'!BY$4:BY$4)</f>
        <v>0</v>
      </c>
      <c r="BZ139" s="78" t="e">
        <f t="shared" si="326"/>
        <v>#DIV/0!</v>
      </c>
      <c r="CA139" s="79">
        <f t="array" ref="CA139">SUMIFS('Cắt lồng'!$AC$327:$AC$515,'Cắt lồng'!$AA$327:$AA$515,'Cắt lồng'!$AA139,'Cắt lồng'!$AE$327:$AE$515,'Cắt lồng'!CA$4:CA$4)</f>
        <v>0</v>
      </c>
      <c r="CB139" s="79">
        <f t="array" ref="CB139">SUMIFS('Cắt lồng'!$AH$327:$AH$515,'Cắt lồng'!$AA$327:$AA$515,'Cắt lồng'!$AA139,'Cắt lồng'!$AE$327:$AE$515,'Cắt lồng'!CB$4:CB$4)</f>
        <v>0</v>
      </c>
      <c r="CC139" s="78" t="e">
        <f t="shared" si="327"/>
        <v>#DIV/0!</v>
      </c>
      <c r="CD139" s="79">
        <f t="array" ref="CD139">SUMIFS('Cắt lồng'!$AC$327:$AC$515,'Cắt lồng'!$AA$327:$AA$515,'Cắt lồng'!$AA139,'Cắt lồng'!$AE$327:$AE$515,'Cắt lồng'!CD$4:CD$4)</f>
        <v>0</v>
      </c>
      <c r="CE139" s="79">
        <f t="array" ref="CE139">SUMIFS('Cắt lồng'!$AH$327:$AH$515,'Cắt lồng'!$AA$327:$AA$515,'Cắt lồng'!$AA139,'Cắt lồng'!$AE$327:$AE$515,'Cắt lồng'!CE$4:CE$4)</f>
        <v>0</v>
      </c>
      <c r="CF139" s="78" t="e">
        <f t="shared" si="328"/>
        <v>#DIV/0!</v>
      </c>
      <c r="CG139" s="79">
        <f t="array" ref="CG139">SUMIFS('Cắt lồng'!$AC$327:$AC$515,'Cắt lồng'!$AA$327:$AA$515,'Cắt lồng'!$AA139,'Cắt lồng'!$AE$327:$AE$515,'Cắt lồng'!CG$4:CG$4)</f>
        <v>0</v>
      </c>
      <c r="CH139" s="79">
        <f t="array" ref="CH139">SUMIFS('Cắt lồng'!$AH$327:$AH$515,'Cắt lồng'!$AA$327:$AA$515,'Cắt lồng'!$AA139,'Cắt lồng'!$AE$327:$AE$515,'Cắt lồng'!CH$4:CH$4)</f>
        <v>0</v>
      </c>
      <c r="CI139" s="78" t="e">
        <f t="shared" si="329"/>
        <v>#DIV/0!</v>
      </c>
      <c r="CJ139" s="79">
        <f t="array" ref="CJ139">SUMIFS('Cắt lồng'!$AC$327:$AC$515,'Cắt lồng'!$AA$327:$AA$515,'Cắt lồng'!$AA139,'Cắt lồng'!$AE$327:$AE$515,'Cắt lồng'!CJ$4:CJ$4)</f>
        <v>0</v>
      </c>
      <c r="CK139" s="79">
        <f t="array" ref="CK139">SUMIFS('Cắt lồng'!$AH$327:$AH$515,'Cắt lồng'!$AA$327:$AA$515,'Cắt lồng'!$AA139,'Cắt lồng'!$AE$327:$AE$515,'Cắt lồng'!CK$4:CK$4)</f>
        <v>0</v>
      </c>
      <c r="CL139" s="78" t="e">
        <f t="shared" si="330"/>
        <v>#DIV/0!</v>
      </c>
      <c r="CM139" s="79">
        <f t="array" ref="CM139">SUMIFS('Cắt lồng'!$AC$327:$AC$515,'Cắt lồng'!$AA$327:$AA$515,'Cắt lồng'!$AA139,'Cắt lồng'!$AE$327:$AE$515,'Cắt lồng'!CM$4:CM$4)</f>
        <v>0</v>
      </c>
      <c r="CN139" s="79">
        <f t="array" ref="CN139">SUMIFS('Cắt lồng'!$AH$327:$AH$515,'Cắt lồng'!$AA$327:$AA$515,'Cắt lồng'!$AA139,'Cắt lồng'!$AE$327:$AE$515,'Cắt lồng'!CN$4:CN$4)</f>
        <v>0</v>
      </c>
      <c r="CO139" s="78" t="e">
        <f t="shared" si="331"/>
        <v>#DIV/0!</v>
      </c>
      <c r="CP139" s="79">
        <f t="array" ref="CP139">SUMIFS('Cắt lồng'!$AC$327:$AC$515,'Cắt lồng'!$AA$327:$AA$515,'Cắt lồng'!$AA139,'Cắt lồng'!$AE$327:$AE$515,'Cắt lồng'!CP$4:CP$4)</f>
        <v>0</v>
      </c>
      <c r="CQ139" s="79">
        <f t="array" ref="CQ139">SUMIFS('Cắt lồng'!$AH$327:$AH$515,'Cắt lồng'!$AA$327:$AA$515,'Cắt lồng'!$AA139,'Cắt lồng'!$AE$327:$AE$515,'Cắt lồng'!CQ$4:CQ$4)</f>
        <v>0</v>
      </c>
      <c r="CR139" s="78" t="e">
        <f t="shared" si="332"/>
        <v>#DIV/0!</v>
      </c>
      <c r="CS139" s="79">
        <f t="array" ref="CS139">SUMIFS('Cắt lồng'!$AC$327:$AC$515,'Cắt lồng'!$AA$327:$AA$515,'Cắt lồng'!$AA139,'Cắt lồng'!$AE$327:$AE$515,'Cắt lồng'!CS$4:CS$4)</f>
        <v>0</v>
      </c>
      <c r="CT139" s="79">
        <f t="array" ref="CT139">SUMIFS('Cắt lồng'!$AH$327:$AH$515,'Cắt lồng'!$AA$327:$AA$515,'Cắt lồng'!$AA139,'Cắt lồng'!$AE$327:$AE$515,'Cắt lồng'!CT$4:CT$4)</f>
        <v>0</v>
      </c>
      <c r="CU139" s="78" t="e">
        <f t="shared" si="333"/>
        <v>#DIV/0!</v>
      </c>
      <c r="CV139" s="79">
        <f t="array" ref="CV139">SUMIFS('Cắt lồng'!$AC$327:$AC$515,'Cắt lồng'!$AA$327:$AA$515,'Cắt lồng'!$AA139,'Cắt lồng'!$AE$327:$AE$515,'Cắt lồng'!CV$4:CV$4)</f>
        <v>0</v>
      </c>
      <c r="CW139" s="79">
        <f t="array" ref="CW139">SUMIFS('Cắt lồng'!$AH$327:$AH$515,'Cắt lồng'!$AA$327:$AA$515,'Cắt lồng'!$AA139,'Cắt lồng'!$AE$327:$AE$515,'Cắt lồng'!CW$4:CW$4)</f>
        <v>0</v>
      </c>
      <c r="CX139" s="78" t="e">
        <f t="shared" si="334"/>
        <v>#DIV/0!</v>
      </c>
      <c r="CY139" s="79">
        <f t="array" ref="CY139">SUMIFS('Cắt lồng'!$AC$327:$AC$515,'Cắt lồng'!$AA$327:$AA$515,'Cắt lồng'!$AA139,'Cắt lồng'!$AE$327:$AE$515,'Cắt lồng'!CY$4:CY$4)</f>
        <v>0</v>
      </c>
      <c r="CZ139" s="79">
        <f t="array" ref="CZ139">SUMIFS('Cắt lồng'!$AH$327:$AH$515,'Cắt lồng'!$AA$327:$AA$515,'Cắt lồng'!$AA139,'Cắt lồng'!$AE$327:$AE$515,'Cắt lồng'!CZ$4:CZ$4)</f>
        <v>0</v>
      </c>
      <c r="DA139" s="78" t="e">
        <f t="shared" si="335"/>
        <v>#DIV/0!</v>
      </c>
      <c r="DB139" s="79">
        <f t="array" ref="DB139">SUMIFS('Cắt lồng'!$AC$327:$AC$515,'Cắt lồng'!$AA$327:$AA$515,'Cắt lồng'!$AA139,'Cắt lồng'!$AE$327:$AE$515,'Cắt lồng'!DB$4:DB$4)</f>
        <v>0</v>
      </c>
      <c r="DC139" s="79">
        <f t="array" ref="DC139">SUMIFS('Cắt lồng'!$AH$327:$AH$515,'Cắt lồng'!$AA$327:$AA$515,'Cắt lồng'!$AA139,'Cắt lồng'!$AE$327:$AE$515,'Cắt lồng'!DC$4:DC$4)</f>
        <v>0</v>
      </c>
      <c r="DD139" s="78" t="e">
        <f t="shared" si="336"/>
        <v>#DIV/0!</v>
      </c>
      <c r="DE139" s="79">
        <f t="array" ref="DE139">SUMIFS('Cắt lồng'!$AC$327:$AC$515,'Cắt lồng'!$AA$327:$AA$515,'Cắt lồng'!$AA139,'Cắt lồng'!$AE$327:$AE$515,'Cắt lồng'!DE$4:DE$4)</f>
        <v>0</v>
      </c>
      <c r="DF139" s="79">
        <f t="array" ref="DF139">SUMIFS('Cắt lồng'!$AH$327:$AH$515,'Cắt lồng'!$AA$327:$AA$515,'Cắt lồng'!$AA139,'Cắt lồng'!$AE$327:$AE$515,'Cắt lồng'!DF$4:DF$4)</f>
        <v>0</v>
      </c>
      <c r="DG139" s="78" t="e">
        <f t="shared" si="337"/>
        <v>#DIV/0!</v>
      </c>
      <c r="DH139" s="79">
        <f t="array" ref="DH139">SUMIFS('Cắt lồng'!$AC$327:$AC$515,'Cắt lồng'!$AA$327:$AA$515,'Cắt lồng'!$AA139,'Cắt lồng'!$AE$327:$AE$515,'Cắt lồng'!DH$4:DH$4)</f>
        <v>0</v>
      </c>
      <c r="DI139" s="79">
        <f t="array" ref="DI139">SUMIFS('Cắt lồng'!$AH$327:$AH$515,'Cắt lồng'!$AA$327:$AA$515,'Cắt lồng'!$AA139,'Cắt lồng'!$AE$327:$AE$515,'Cắt lồng'!DI$4:DI$4)</f>
        <v>0</v>
      </c>
      <c r="DJ139" s="78" t="e">
        <f t="shared" si="338"/>
        <v>#DIV/0!</v>
      </c>
      <c r="DK139" s="79">
        <f t="array" ref="DK139">SUMIFS('Cắt lồng'!$AC$327:$AC$515,'Cắt lồng'!$AA$327:$AA$515,'Cắt lồng'!$AA139,'Cắt lồng'!$AE$327:$AE$515,'Cắt lồng'!DK$4:DK$4)</f>
        <v>0</v>
      </c>
      <c r="DL139" s="79">
        <f t="array" ref="DL139">SUMIFS('Cắt lồng'!$AH$327:$AH$515,'Cắt lồng'!$AA$327:$AA$515,'Cắt lồng'!$AA139,'Cắt lồng'!$AE$327:$AE$515,'Cắt lồng'!DL$4:DL$4)</f>
        <v>0</v>
      </c>
      <c r="DM139" s="78" t="e">
        <f t="shared" si="339"/>
        <v>#DIV/0!</v>
      </c>
      <c r="DN139" s="79">
        <f t="array" ref="DN139">SUMIFS('Cắt lồng'!$AC$327:$AC$515,'Cắt lồng'!$AA$327:$AA$515,'Cắt lồng'!$AA139,'Cắt lồng'!$AE$327:$AE$515,'Cắt lồng'!DN$4:DN$4)</f>
        <v>0</v>
      </c>
      <c r="DO139" s="79">
        <f t="array" ref="DO139">SUMIFS('Cắt lồng'!$AH$327:$AH$515,'Cắt lồng'!$AA$327:$AA$515,'Cắt lồng'!$AA139,'Cắt lồng'!$AE$327:$AE$515,'Cắt lồng'!DO$4:DO$4)</f>
        <v>0</v>
      </c>
      <c r="DP139" s="78" t="e">
        <f t="shared" si="340"/>
        <v>#DIV/0!</v>
      </c>
      <c r="DQ139" s="79">
        <f t="array" ref="DQ139">SUMIFS('Cắt lồng'!$AC$327:$AC$515,'Cắt lồng'!$AA$327:$AA$515,'Cắt lồng'!$AA139,'Cắt lồng'!$AE$327:$AE$515,'Cắt lồng'!DQ$4:DQ$4)</f>
        <v>0</v>
      </c>
      <c r="DR139" s="79">
        <f t="array" ref="DR139">SUMIFS('Cắt lồng'!$AH$327:$AH$515,'Cắt lồng'!$AA$327:$AA$515,'Cắt lồng'!$AA139,'Cắt lồng'!$AE$327:$AE$515,'Cắt lồng'!DR$4:DR$4)</f>
        <v>0</v>
      </c>
      <c r="DS139" s="78" t="e">
        <f t="shared" si="341"/>
        <v>#DIV/0!</v>
      </c>
      <c r="DT139" s="79">
        <f t="array" ref="DT139">SUMIFS('Cắt lồng'!$AC$327:$AC$515,'Cắt lồng'!$AA$327:$AA$515,'Cắt lồng'!$AA139,'Cắt lồng'!$AE$327:$AE$515,'Cắt lồng'!DT$4:DT$4)</f>
        <v>0</v>
      </c>
      <c r="DU139" s="79">
        <f t="array" ref="DU139">SUMIFS('Cắt lồng'!$AH$327:$AH$515,'Cắt lồng'!$AA$327:$AA$515,'Cắt lồng'!$AA139,'Cắt lồng'!$AE$327:$AE$515,'Cắt lồng'!DU$4:DU$4)</f>
        <v>0</v>
      </c>
      <c r="DV139" s="78" t="e">
        <f t="shared" si="342"/>
        <v>#DIV/0!</v>
      </c>
      <c r="DW139" s="79">
        <f t="array" ref="DW139">SUMIFS('Cắt lồng'!$AC$327:$AC$515,'Cắt lồng'!$AA$327:$AA$515,'Cắt lồng'!$AA139,'Cắt lồng'!$AE$327:$AE$515,'Cắt lồng'!DW$4:DW$4)</f>
        <v>0</v>
      </c>
      <c r="DX139" s="79">
        <f t="array" ref="DX139">SUMIFS('Cắt lồng'!$AH$327:$AH$515,'Cắt lồng'!$AA$327:$AA$515,'Cắt lồng'!$AA139,'Cắt lồng'!$AE$327:$AE$515,'Cắt lồng'!DX$4:DX$4)</f>
        <v>0</v>
      </c>
      <c r="DY139" s="78" t="e">
        <f t="shared" si="343"/>
        <v>#DIV/0!</v>
      </c>
      <c r="DZ139" s="79">
        <f t="array" ref="DZ139">SUMIFS('Cắt lồng'!$AC$327:$AC$515,'Cắt lồng'!$AA$327:$AA$515,'Cắt lồng'!$AA139,'Cắt lồng'!$AE$327:$AE$515,'Cắt lồng'!DZ$4:DZ$4)</f>
        <v>0</v>
      </c>
      <c r="EA139" s="79">
        <f t="array" ref="EA139">SUMIFS('Cắt lồng'!$AH$327:$AH$515,'Cắt lồng'!$AA$327:$AA$515,'Cắt lồng'!$AA139,'Cắt lồng'!$AE$327:$AE$515,'Cắt lồng'!EA$4:EA$4)</f>
        <v>0</v>
      </c>
      <c r="EB139" s="78" t="e">
        <f t="shared" si="344"/>
        <v>#DIV/0!</v>
      </c>
      <c r="EC139" s="79">
        <f t="array" ref="EC139">SUMIFS('Cắt lồng'!$AC$327:$AC$515,'Cắt lồng'!$AA$327:$AA$515,'Cắt lồng'!$AA139,'Cắt lồng'!$AE$327:$AE$515,'Cắt lồng'!EC$4:EC$4)</f>
        <v>0</v>
      </c>
      <c r="ED139" s="79">
        <f t="array" ref="ED139">SUMIFS('Cắt lồng'!$AH$327:$AH$515,'Cắt lồng'!$AA$327:$AA$515,'Cắt lồng'!$AA139,'Cắt lồng'!$AE$327:$AE$515,'Cắt lồng'!ED$4:ED$4)</f>
        <v>0</v>
      </c>
      <c r="EE139" s="78" t="e">
        <f t="shared" si="345"/>
        <v>#DIV/0!</v>
      </c>
      <c r="EF139" s="79">
        <f t="array" ref="EF139">SUMIFS('Cắt lồng'!$AC$327:$AC$515,'Cắt lồng'!$AA$327:$AA$515,'Cắt lồng'!$AA139,'Cắt lồng'!$AE$327:$AE$515,'Cắt lồng'!EF$4:EF$4)</f>
        <v>0</v>
      </c>
      <c r="EG139" s="79">
        <f t="array" ref="EG139">SUMIFS('Cắt lồng'!$AH$327:$AH$515,'Cắt lồng'!$AA$327:$AA$515,'Cắt lồng'!$AA139,'Cắt lồng'!$AE$327:$AE$515,'Cắt lồng'!EG$4:EG$4)</f>
        <v>0</v>
      </c>
      <c r="EH139" s="78" t="e">
        <f t="shared" si="346"/>
        <v>#DIV/0!</v>
      </c>
      <c r="EI139" s="79">
        <f t="array" ref="EI139">SUMIFS('Cắt lồng'!$AC$327:$AC$515,'Cắt lồng'!$AA$327:$AA$515,'Cắt lồng'!$AA139,'Cắt lồng'!$AE$327:$AE$515,'Cắt lồng'!EI$4:EI$4)</f>
        <v>0</v>
      </c>
      <c r="EJ139" s="79">
        <f t="array" ref="EJ139">SUMIFS('Cắt lồng'!$AH$327:$AH$515,'Cắt lồng'!$AA$327:$AA$515,'Cắt lồng'!$AA139,'Cắt lồng'!$AE$327:$AE$515,'Cắt lồng'!EJ$4:EJ$4)</f>
        <v>0</v>
      </c>
      <c r="EK139" s="78" t="e">
        <f t="shared" si="347"/>
        <v>#DIV/0!</v>
      </c>
    </row>
    <row r="140" spans="1:141" s="80" customFormat="1" ht="14.25" hidden="1" customHeight="1">
      <c r="A140" s="30">
        <v>107</v>
      </c>
      <c r="B140" s="27"/>
      <c r="C140" s="30"/>
      <c r="D140" s="117"/>
      <c r="E140" s="119"/>
      <c r="F140" s="115"/>
      <c r="G140" s="82">
        <f t="shared" si="280"/>
        <v>0</v>
      </c>
      <c r="H140" s="81">
        <f t="shared" si="281"/>
        <v>0</v>
      </c>
      <c r="I140" s="19">
        <f t="shared" si="282"/>
        <v>0</v>
      </c>
      <c r="J140" s="11">
        <f t="shared" si="283"/>
        <v>0</v>
      </c>
      <c r="K140" s="19">
        <f t="shared" si="284"/>
        <v>0</v>
      </c>
      <c r="L140" s="19">
        <f t="shared" si="285"/>
        <v>0</v>
      </c>
      <c r="M140" s="19">
        <f t="shared" si="286"/>
        <v>0</v>
      </c>
      <c r="N140" s="19">
        <f t="shared" si="287"/>
        <v>0</v>
      </c>
      <c r="O140" s="19">
        <f t="shared" si="288"/>
        <v>0</v>
      </c>
      <c r="P140" s="19">
        <f t="shared" si="289"/>
        <v>0</v>
      </c>
      <c r="Q140" s="19">
        <f t="shared" si="290"/>
        <v>0</v>
      </c>
      <c r="R140" s="19">
        <f t="shared" si="291"/>
        <v>0</v>
      </c>
      <c r="S140" s="19">
        <f t="shared" si="292"/>
        <v>0</v>
      </c>
      <c r="T140" s="19">
        <f t="shared" si="293"/>
        <v>0</v>
      </c>
      <c r="U140" s="19">
        <f t="shared" si="294"/>
        <v>0</v>
      </c>
      <c r="V140" s="19">
        <f t="shared" si="295"/>
        <v>0</v>
      </c>
      <c r="W140" s="19">
        <f t="shared" si="296"/>
        <v>0</v>
      </c>
      <c r="X140" s="19">
        <f t="shared" si="297"/>
        <v>0</v>
      </c>
      <c r="Y140" s="19">
        <f t="shared" si="298"/>
        <v>0</v>
      </c>
      <c r="Z140" s="19">
        <f t="shared" si="299"/>
        <v>0</v>
      </c>
      <c r="AA140" s="143" t="s">
        <v>219</v>
      </c>
      <c r="AB140" s="17" t="e">
        <f>+H140*SUMIF('[1]KẾ HOẠCH'!$B$5:$CK$5,'Cắt lồng'!AA140,'[1]KẾ HOẠCH'!$B$6:$CK$6)+H140*SUMIF('[1]KẾ HOẠCH'!$B$7:$CK$7,'Cắt lồng'!AA140,'[1]KẾ HOẠCH'!$B$8:$CK$8)+H140*SUMIF('[1]KẾ HOẠCH'!$B$15:$CK$15,'Cắt lồng'!AA140,'[1]KẾ HOẠCH'!$B$16:$CK$16)</f>
        <v>#VALUE!</v>
      </c>
      <c r="AC140" s="16">
        <f t="shared" si="300"/>
        <v>0</v>
      </c>
      <c r="AD140" s="15" t="e">
        <f t="shared" si="301"/>
        <v>#VALUE!</v>
      </c>
      <c r="AE140" s="42"/>
      <c r="AF140" s="112" t="e">
        <f t="shared" si="302"/>
        <v>#DIV/0!</v>
      </c>
      <c r="AG140" s="112"/>
      <c r="AH140" s="112">
        <f t="shared" si="303"/>
        <v>0</v>
      </c>
      <c r="AI140" s="111" t="e">
        <f t="shared" si="304"/>
        <v>#DIV/0!</v>
      </c>
      <c r="AJ140" s="30">
        <f t="shared" si="305"/>
        <v>0</v>
      </c>
      <c r="AK140" s="30">
        <f t="shared" si="306"/>
        <v>0</v>
      </c>
      <c r="AL140" s="30">
        <f t="shared" si="307"/>
        <v>0</v>
      </c>
      <c r="AM140" s="30">
        <f t="shared" si="308"/>
        <v>0</v>
      </c>
      <c r="AN140" s="30">
        <f t="shared" si="309"/>
        <v>0</v>
      </c>
      <c r="AO140" s="30">
        <f t="shared" si="310"/>
        <v>0</v>
      </c>
      <c r="AP140" s="30">
        <f t="shared" si="311"/>
        <v>0</v>
      </c>
      <c r="AQ140" s="30">
        <f t="shared" si="312"/>
        <v>0</v>
      </c>
      <c r="AR140" s="25">
        <f t="shared" si="313"/>
        <v>0</v>
      </c>
      <c r="AS140" s="25">
        <f t="shared" si="314"/>
        <v>0</v>
      </c>
      <c r="AT140" s="30">
        <f t="shared" si="315"/>
        <v>0</v>
      </c>
      <c r="AV140" s="79">
        <f t="shared" si="316"/>
        <v>0</v>
      </c>
      <c r="AW140" s="79">
        <f t="array" ref="AW140">SUMIFS('Cắt lồng'!$AC$327:$AC$515,'Cắt lồng'!$AA$327:$AA$515,'Cắt lồng'!$AA140,'Cắt lồng'!$AE$327:$AE$515,'Cắt lồng'!AW$4:AW$4)</f>
        <v>0</v>
      </c>
      <c r="AX140" s="79">
        <f t="array" ref="AX140">SUMIFS('Cắt lồng'!$AH$327:$AH$515,'Cắt lồng'!$AA$327:$AA$515,'Cắt lồng'!$AA140,'Cắt lồng'!$AE$327:$AE$515,'Cắt lồng'!AX$4:AX$4)</f>
        <v>0</v>
      </c>
      <c r="AY140" s="109" t="e">
        <f t="shared" si="317"/>
        <v>#DIV/0!</v>
      </c>
      <c r="AZ140" s="79">
        <f t="array" ref="AZ140">SUMIFS('Cắt lồng'!$AC$327:$AC$515,'Cắt lồng'!$AA$327:$AA$515,'Cắt lồng'!$AA140,'Cắt lồng'!$AE$327:$AE$515,'Cắt lồng'!AZ$4:AZ$4)</f>
        <v>0</v>
      </c>
      <c r="BA140" s="79">
        <f t="array" ref="BA140">SUMIFS('Cắt lồng'!$AH$327:$AH$515,'Cắt lồng'!$AA$327:$AA$515,'Cắt lồng'!$AA140,'Cắt lồng'!$AE$327:$AE$515,'Cắt lồng'!BA$4:BA$4)</f>
        <v>0</v>
      </c>
      <c r="BB140" s="109" t="e">
        <f t="shared" si="318"/>
        <v>#DIV/0!</v>
      </c>
      <c r="BC140" s="79">
        <f t="array" ref="BC140">SUMIFS('Cắt lồng'!$AC$327:$AC$515,'Cắt lồng'!$AA$327:$AA$515,'Cắt lồng'!$AA140,'Cắt lồng'!$AE$327:$AE$515,'Cắt lồng'!BC$4:BC$4)</f>
        <v>0</v>
      </c>
      <c r="BD140" s="79">
        <f t="array" ref="BD140">SUMIFS('Cắt lồng'!$AH$327:$AH$515,'Cắt lồng'!$AA$327:$AA$515,'Cắt lồng'!$AA140,'Cắt lồng'!$AE$327:$AE$515,'Cắt lồng'!BD$4:BD$4)</f>
        <v>0</v>
      </c>
      <c r="BE140" s="109" t="e">
        <f t="shared" si="319"/>
        <v>#DIV/0!</v>
      </c>
      <c r="BF140" s="79">
        <f t="array" ref="BF140">SUMIFS('Cắt lồng'!$AC$327:$AC$515,'Cắt lồng'!$AA$327:$AA$515,'Cắt lồng'!$AA140,'Cắt lồng'!$AE$327:$AE$515,'Cắt lồng'!BF$4:BF$4)</f>
        <v>0</v>
      </c>
      <c r="BG140" s="79">
        <f t="array" ref="BG140">SUMIFS('Cắt lồng'!$AH$327:$AH$515,'Cắt lồng'!$AA$327:$AA$515,'Cắt lồng'!$AA140,'Cắt lồng'!$AE$327:$AE$515,'Cắt lồng'!BG$4:BG$4)</f>
        <v>0</v>
      </c>
      <c r="BH140" s="109" t="e">
        <f t="shared" si="320"/>
        <v>#DIV/0!</v>
      </c>
      <c r="BI140" s="79">
        <f t="array" ref="BI140">SUMIFS('Cắt lồng'!$AC$327:$AC$515,'Cắt lồng'!$AA$327:$AA$515,'Cắt lồng'!$AA140,'Cắt lồng'!$AE$327:$AE$515,'Cắt lồng'!BI$4:BI$4)</f>
        <v>0</v>
      </c>
      <c r="BJ140" s="79">
        <f t="array" ref="BJ140">SUMIFS('Cắt lồng'!$AH$327:$AH$515,'Cắt lồng'!$AA$327:$AA$515,'Cắt lồng'!$AA140,'Cắt lồng'!$AE$327:$AE$515,'Cắt lồng'!BJ$4:BJ$4)</f>
        <v>0</v>
      </c>
      <c r="BK140" s="109" t="e">
        <f t="shared" si="321"/>
        <v>#DIV/0!</v>
      </c>
      <c r="BL140" s="79">
        <f t="array" ref="BL140">SUMIFS('Cắt lồng'!$AC$327:$AC$515,'Cắt lồng'!$AA$327:$AA$515,'Cắt lồng'!$AA140,'Cắt lồng'!$AE$327:$AE$515,'Cắt lồng'!BL$4:BL$4)</f>
        <v>0</v>
      </c>
      <c r="BM140" s="79">
        <f t="array" ref="BM140">SUMIFS('Cắt lồng'!$AH$327:$AH$515,'Cắt lồng'!$AA$327:$AA$515,'Cắt lồng'!$AA140,'Cắt lồng'!$AE$327:$AE$515,'Cắt lồng'!BM$4:BM$4)</f>
        <v>0</v>
      </c>
      <c r="BN140" s="109" t="e">
        <f t="shared" si="322"/>
        <v>#DIV/0!</v>
      </c>
      <c r="BO140" s="79">
        <f t="array" ref="BO140">SUMIFS('Cắt lồng'!$AC$327:$AC$515,'Cắt lồng'!$AA$327:$AA$515,'Cắt lồng'!$AA140,'Cắt lồng'!$AE$327:$AE$515,'Cắt lồng'!BO$4:BO$4)</f>
        <v>0</v>
      </c>
      <c r="BP140" s="79">
        <f t="array" ref="BP140">SUMIFS('Cắt lồng'!$AH$327:$AH$515,'Cắt lồng'!$AA$327:$AA$515,'Cắt lồng'!$AA140,'Cắt lồng'!$AE$327:$AE$515,'Cắt lồng'!BP$4:BP$4)</f>
        <v>0</v>
      </c>
      <c r="BQ140" s="109" t="e">
        <f t="shared" si="323"/>
        <v>#DIV/0!</v>
      </c>
      <c r="BR140" s="79">
        <f t="array" ref="BR140">SUMIFS('Cắt lồng'!$AC$327:$AC$515,'Cắt lồng'!$AA$327:$AA$515,'Cắt lồng'!$AA140,'Cắt lồng'!$AE$327:$AE$515,'Cắt lồng'!BR$4:BR$4)</f>
        <v>0</v>
      </c>
      <c r="BS140" s="79">
        <f t="array" ref="BS140">SUMIFS('Cắt lồng'!$AH$327:$AH$515,'Cắt lồng'!$AA$327:$AA$515,'Cắt lồng'!$AA140,'Cắt lồng'!$AE$327:$AE$515,'Cắt lồng'!BS$4:BS$4)</f>
        <v>0</v>
      </c>
      <c r="BT140" s="109" t="e">
        <f t="shared" si="324"/>
        <v>#DIV/0!</v>
      </c>
      <c r="BU140" s="79">
        <f t="array" ref="BU140">SUMIFS('Cắt lồng'!$AC$327:$AC$515,'Cắt lồng'!$AA$327:$AA$515,'Cắt lồng'!$AA140,'Cắt lồng'!$AE$327:$AE$515,'Cắt lồng'!BU$4:BU$4)</f>
        <v>0</v>
      </c>
      <c r="BV140" s="79">
        <f t="array" ref="BV140">SUMIFS('Cắt lồng'!$AH$327:$AH$515,'Cắt lồng'!$AA$327:$AA$515,'Cắt lồng'!$AA140,'Cắt lồng'!$AE$327:$AE$515,'Cắt lồng'!BV$4:BV$4)</f>
        <v>0</v>
      </c>
      <c r="BW140" s="109" t="e">
        <f t="shared" si="325"/>
        <v>#DIV/0!</v>
      </c>
      <c r="BX140" s="79">
        <f t="array" ref="BX140">SUMIFS('Cắt lồng'!$AC$327:$AC$515,'Cắt lồng'!$AA$327:$AA$515,'Cắt lồng'!$AA140,'Cắt lồng'!$AE$327:$AE$515,'Cắt lồng'!BX$4:BX$4)</f>
        <v>0</v>
      </c>
      <c r="BY140" s="79">
        <f t="array" ref="BY140">SUMIFS('Cắt lồng'!$AH$327:$AH$515,'Cắt lồng'!$AA$327:$AA$515,'Cắt lồng'!$AA140,'Cắt lồng'!$AE$327:$AE$515,'Cắt lồng'!BY$4:BY$4)</f>
        <v>0</v>
      </c>
      <c r="BZ140" s="109" t="e">
        <f t="shared" si="326"/>
        <v>#DIV/0!</v>
      </c>
      <c r="CA140" s="79">
        <f t="array" ref="CA140">SUMIFS('Cắt lồng'!$AC$327:$AC$515,'Cắt lồng'!$AA$327:$AA$515,'Cắt lồng'!$AA140,'Cắt lồng'!$AE$327:$AE$515,'Cắt lồng'!CA$4:CA$4)</f>
        <v>0</v>
      </c>
      <c r="CB140" s="79">
        <f t="array" ref="CB140">SUMIFS('Cắt lồng'!$AH$327:$AH$515,'Cắt lồng'!$AA$327:$AA$515,'Cắt lồng'!$AA140,'Cắt lồng'!$AE$327:$AE$515,'Cắt lồng'!CB$4:CB$4)</f>
        <v>0</v>
      </c>
      <c r="CC140" s="109" t="e">
        <f t="shared" si="327"/>
        <v>#DIV/0!</v>
      </c>
      <c r="CD140" s="79">
        <f t="array" ref="CD140">SUMIFS('Cắt lồng'!$AC$327:$AC$515,'Cắt lồng'!$AA$327:$AA$515,'Cắt lồng'!$AA140,'Cắt lồng'!$AE$327:$AE$515,'Cắt lồng'!CD$4:CD$4)</f>
        <v>0</v>
      </c>
      <c r="CE140" s="79">
        <f t="array" ref="CE140">SUMIFS('Cắt lồng'!$AH$327:$AH$515,'Cắt lồng'!$AA$327:$AA$515,'Cắt lồng'!$AA140,'Cắt lồng'!$AE$327:$AE$515,'Cắt lồng'!CE$4:CE$4)</f>
        <v>0</v>
      </c>
      <c r="CF140" s="109" t="e">
        <f t="shared" si="328"/>
        <v>#DIV/0!</v>
      </c>
      <c r="CG140" s="79">
        <f t="array" ref="CG140">SUMIFS('Cắt lồng'!$AC$327:$AC$515,'Cắt lồng'!$AA$327:$AA$515,'Cắt lồng'!$AA140,'Cắt lồng'!$AE$327:$AE$515,'Cắt lồng'!CG$4:CG$4)</f>
        <v>0</v>
      </c>
      <c r="CH140" s="79">
        <f t="array" ref="CH140">SUMIFS('Cắt lồng'!$AH$327:$AH$515,'Cắt lồng'!$AA$327:$AA$515,'Cắt lồng'!$AA140,'Cắt lồng'!$AE$327:$AE$515,'Cắt lồng'!CH$4:CH$4)</f>
        <v>0</v>
      </c>
      <c r="CI140" s="109" t="e">
        <f t="shared" si="329"/>
        <v>#DIV/0!</v>
      </c>
      <c r="CJ140" s="79">
        <f t="array" ref="CJ140">SUMIFS('Cắt lồng'!$AC$327:$AC$515,'Cắt lồng'!$AA$327:$AA$515,'Cắt lồng'!$AA140,'Cắt lồng'!$AE$327:$AE$515,'Cắt lồng'!CJ$4:CJ$4)</f>
        <v>0</v>
      </c>
      <c r="CK140" s="79">
        <f t="array" ref="CK140">SUMIFS('Cắt lồng'!$AH$327:$AH$515,'Cắt lồng'!$AA$327:$AA$515,'Cắt lồng'!$AA140,'Cắt lồng'!$AE$327:$AE$515,'Cắt lồng'!CK$4:CK$4)</f>
        <v>0</v>
      </c>
      <c r="CL140" s="109" t="e">
        <f t="shared" si="330"/>
        <v>#DIV/0!</v>
      </c>
      <c r="CM140" s="79">
        <f t="array" ref="CM140">SUMIFS('Cắt lồng'!$AC$327:$AC$515,'Cắt lồng'!$AA$327:$AA$515,'Cắt lồng'!$AA140,'Cắt lồng'!$AE$327:$AE$515,'Cắt lồng'!CM$4:CM$4)</f>
        <v>0</v>
      </c>
      <c r="CN140" s="79">
        <f t="array" ref="CN140">SUMIFS('Cắt lồng'!$AH$327:$AH$515,'Cắt lồng'!$AA$327:$AA$515,'Cắt lồng'!$AA140,'Cắt lồng'!$AE$327:$AE$515,'Cắt lồng'!CN$4:CN$4)</f>
        <v>0</v>
      </c>
      <c r="CO140" s="109" t="e">
        <f t="shared" si="331"/>
        <v>#DIV/0!</v>
      </c>
      <c r="CP140" s="79">
        <f t="array" ref="CP140">SUMIFS('Cắt lồng'!$AC$327:$AC$515,'Cắt lồng'!$AA$327:$AA$515,'Cắt lồng'!$AA140,'Cắt lồng'!$AE$327:$AE$515,'Cắt lồng'!CP$4:CP$4)</f>
        <v>0</v>
      </c>
      <c r="CQ140" s="79">
        <f t="array" ref="CQ140">SUMIFS('Cắt lồng'!$AH$327:$AH$515,'Cắt lồng'!$AA$327:$AA$515,'Cắt lồng'!$AA140,'Cắt lồng'!$AE$327:$AE$515,'Cắt lồng'!CQ$4:CQ$4)</f>
        <v>0</v>
      </c>
      <c r="CR140" s="109" t="e">
        <f t="shared" si="332"/>
        <v>#DIV/0!</v>
      </c>
      <c r="CS140" s="79">
        <f t="array" ref="CS140">SUMIFS('Cắt lồng'!$AC$327:$AC$515,'Cắt lồng'!$AA$327:$AA$515,'Cắt lồng'!$AA140,'Cắt lồng'!$AE$327:$AE$515,'Cắt lồng'!CS$4:CS$4)</f>
        <v>0</v>
      </c>
      <c r="CT140" s="79">
        <f t="array" ref="CT140">SUMIFS('Cắt lồng'!$AH$327:$AH$515,'Cắt lồng'!$AA$327:$AA$515,'Cắt lồng'!$AA140,'Cắt lồng'!$AE$327:$AE$515,'Cắt lồng'!CT$4:CT$4)</f>
        <v>0</v>
      </c>
      <c r="CU140" s="109" t="e">
        <f t="shared" si="333"/>
        <v>#DIV/0!</v>
      </c>
      <c r="CV140" s="79">
        <f t="array" ref="CV140">SUMIFS('Cắt lồng'!$AC$327:$AC$515,'Cắt lồng'!$AA$327:$AA$515,'Cắt lồng'!$AA140,'Cắt lồng'!$AE$327:$AE$515,'Cắt lồng'!CV$4:CV$4)</f>
        <v>0</v>
      </c>
      <c r="CW140" s="79">
        <f t="array" ref="CW140">SUMIFS('Cắt lồng'!$AH$327:$AH$515,'Cắt lồng'!$AA$327:$AA$515,'Cắt lồng'!$AA140,'Cắt lồng'!$AE$327:$AE$515,'Cắt lồng'!CW$4:CW$4)</f>
        <v>0</v>
      </c>
      <c r="CX140" s="109" t="e">
        <f t="shared" si="334"/>
        <v>#DIV/0!</v>
      </c>
      <c r="CY140" s="79">
        <f t="array" ref="CY140">SUMIFS('Cắt lồng'!$AC$327:$AC$515,'Cắt lồng'!$AA$327:$AA$515,'Cắt lồng'!$AA140,'Cắt lồng'!$AE$327:$AE$515,'Cắt lồng'!CY$4:CY$4)</f>
        <v>0</v>
      </c>
      <c r="CZ140" s="79">
        <f t="array" ref="CZ140">SUMIFS('Cắt lồng'!$AH$327:$AH$515,'Cắt lồng'!$AA$327:$AA$515,'Cắt lồng'!$AA140,'Cắt lồng'!$AE$327:$AE$515,'Cắt lồng'!CZ$4:CZ$4)</f>
        <v>0</v>
      </c>
      <c r="DA140" s="109" t="e">
        <f t="shared" si="335"/>
        <v>#DIV/0!</v>
      </c>
      <c r="DB140" s="79">
        <f t="array" ref="DB140">SUMIFS('Cắt lồng'!$AC$327:$AC$515,'Cắt lồng'!$AA$327:$AA$515,'Cắt lồng'!$AA140,'Cắt lồng'!$AE$327:$AE$515,'Cắt lồng'!DB$4:DB$4)</f>
        <v>0</v>
      </c>
      <c r="DC140" s="79">
        <f t="array" ref="DC140">SUMIFS('Cắt lồng'!$AH$327:$AH$515,'Cắt lồng'!$AA$327:$AA$515,'Cắt lồng'!$AA140,'Cắt lồng'!$AE$327:$AE$515,'Cắt lồng'!DC$4:DC$4)</f>
        <v>0</v>
      </c>
      <c r="DD140" s="109" t="e">
        <f t="shared" si="336"/>
        <v>#DIV/0!</v>
      </c>
      <c r="DE140" s="79">
        <f t="array" ref="DE140">SUMIFS('Cắt lồng'!$AC$327:$AC$515,'Cắt lồng'!$AA$327:$AA$515,'Cắt lồng'!$AA140,'Cắt lồng'!$AE$327:$AE$515,'Cắt lồng'!DE$4:DE$4)</f>
        <v>0</v>
      </c>
      <c r="DF140" s="79">
        <f t="array" ref="DF140">SUMIFS('Cắt lồng'!$AH$327:$AH$515,'Cắt lồng'!$AA$327:$AA$515,'Cắt lồng'!$AA140,'Cắt lồng'!$AE$327:$AE$515,'Cắt lồng'!DF$4:DF$4)</f>
        <v>0</v>
      </c>
      <c r="DG140" s="109" t="e">
        <f t="shared" si="337"/>
        <v>#DIV/0!</v>
      </c>
      <c r="DH140" s="79">
        <f t="array" ref="DH140">SUMIFS('Cắt lồng'!$AC$327:$AC$515,'Cắt lồng'!$AA$327:$AA$515,'Cắt lồng'!$AA140,'Cắt lồng'!$AE$327:$AE$515,'Cắt lồng'!DH$4:DH$4)</f>
        <v>0</v>
      </c>
      <c r="DI140" s="79">
        <f t="array" ref="DI140">SUMIFS('Cắt lồng'!$AH$327:$AH$515,'Cắt lồng'!$AA$327:$AA$515,'Cắt lồng'!$AA140,'Cắt lồng'!$AE$327:$AE$515,'Cắt lồng'!DI$4:DI$4)</f>
        <v>0</v>
      </c>
      <c r="DJ140" s="109" t="e">
        <f t="shared" si="338"/>
        <v>#DIV/0!</v>
      </c>
      <c r="DK140" s="79">
        <f t="array" ref="DK140">SUMIFS('Cắt lồng'!$AC$327:$AC$515,'Cắt lồng'!$AA$327:$AA$515,'Cắt lồng'!$AA140,'Cắt lồng'!$AE$327:$AE$515,'Cắt lồng'!DK$4:DK$4)</f>
        <v>0</v>
      </c>
      <c r="DL140" s="79">
        <f t="array" ref="DL140">SUMIFS('Cắt lồng'!$AH$327:$AH$515,'Cắt lồng'!$AA$327:$AA$515,'Cắt lồng'!$AA140,'Cắt lồng'!$AE$327:$AE$515,'Cắt lồng'!DL$4:DL$4)</f>
        <v>0</v>
      </c>
      <c r="DM140" s="109" t="e">
        <f t="shared" si="339"/>
        <v>#DIV/0!</v>
      </c>
      <c r="DN140" s="79">
        <f t="array" ref="DN140">SUMIFS('Cắt lồng'!$AC$327:$AC$515,'Cắt lồng'!$AA$327:$AA$515,'Cắt lồng'!$AA140,'Cắt lồng'!$AE$327:$AE$515,'Cắt lồng'!DN$4:DN$4)</f>
        <v>0</v>
      </c>
      <c r="DO140" s="79">
        <f t="array" ref="DO140">SUMIFS('Cắt lồng'!$AH$327:$AH$515,'Cắt lồng'!$AA$327:$AA$515,'Cắt lồng'!$AA140,'Cắt lồng'!$AE$327:$AE$515,'Cắt lồng'!DO$4:DO$4)</f>
        <v>0</v>
      </c>
      <c r="DP140" s="109" t="e">
        <f t="shared" si="340"/>
        <v>#DIV/0!</v>
      </c>
      <c r="DQ140" s="79">
        <f t="array" ref="DQ140">SUMIFS('Cắt lồng'!$AC$327:$AC$515,'Cắt lồng'!$AA$327:$AA$515,'Cắt lồng'!$AA140,'Cắt lồng'!$AE$327:$AE$515,'Cắt lồng'!DQ$4:DQ$4)</f>
        <v>0</v>
      </c>
      <c r="DR140" s="79">
        <f t="array" ref="DR140">SUMIFS('Cắt lồng'!$AH$327:$AH$515,'Cắt lồng'!$AA$327:$AA$515,'Cắt lồng'!$AA140,'Cắt lồng'!$AE$327:$AE$515,'Cắt lồng'!DR$4:DR$4)</f>
        <v>0</v>
      </c>
      <c r="DS140" s="109" t="e">
        <f t="shared" si="341"/>
        <v>#DIV/0!</v>
      </c>
      <c r="DT140" s="79">
        <f t="array" ref="DT140">SUMIFS('Cắt lồng'!$AC$327:$AC$515,'Cắt lồng'!$AA$327:$AA$515,'Cắt lồng'!$AA140,'Cắt lồng'!$AE$327:$AE$515,'Cắt lồng'!DT$4:DT$4)</f>
        <v>0</v>
      </c>
      <c r="DU140" s="79">
        <f t="array" ref="DU140">SUMIFS('Cắt lồng'!$AH$327:$AH$515,'Cắt lồng'!$AA$327:$AA$515,'Cắt lồng'!$AA140,'Cắt lồng'!$AE$327:$AE$515,'Cắt lồng'!DU$4:DU$4)</f>
        <v>0</v>
      </c>
      <c r="DV140" s="109" t="e">
        <f t="shared" si="342"/>
        <v>#DIV/0!</v>
      </c>
      <c r="DW140" s="79">
        <f t="array" ref="DW140">SUMIFS('Cắt lồng'!$AC$327:$AC$515,'Cắt lồng'!$AA$327:$AA$515,'Cắt lồng'!$AA140,'Cắt lồng'!$AE$327:$AE$515,'Cắt lồng'!DW$4:DW$4)</f>
        <v>0</v>
      </c>
      <c r="DX140" s="79">
        <f t="array" ref="DX140">SUMIFS('Cắt lồng'!$AH$327:$AH$515,'Cắt lồng'!$AA$327:$AA$515,'Cắt lồng'!$AA140,'Cắt lồng'!$AE$327:$AE$515,'Cắt lồng'!DX$4:DX$4)</f>
        <v>0</v>
      </c>
      <c r="DY140" s="109" t="e">
        <f t="shared" si="343"/>
        <v>#DIV/0!</v>
      </c>
      <c r="DZ140" s="79">
        <f t="array" ref="DZ140">SUMIFS('Cắt lồng'!$AC$327:$AC$515,'Cắt lồng'!$AA$327:$AA$515,'Cắt lồng'!$AA140,'Cắt lồng'!$AE$327:$AE$515,'Cắt lồng'!DZ$4:DZ$4)</f>
        <v>0</v>
      </c>
      <c r="EA140" s="79">
        <f t="array" ref="EA140">SUMIFS('Cắt lồng'!$AH$327:$AH$515,'Cắt lồng'!$AA$327:$AA$515,'Cắt lồng'!$AA140,'Cắt lồng'!$AE$327:$AE$515,'Cắt lồng'!EA$4:EA$4)</f>
        <v>0</v>
      </c>
      <c r="EB140" s="109" t="e">
        <f t="shared" si="344"/>
        <v>#DIV/0!</v>
      </c>
      <c r="EC140" s="79">
        <f t="array" ref="EC140">SUMIFS('Cắt lồng'!$AC$327:$AC$515,'Cắt lồng'!$AA$327:$AA$515,'Cắt lồng'!$AA140,'Cắt lồng'!$AE$327:$AE$515,'Cắt lồng'!EC$4:EC$4)</f>
        <v>0</v>
      </c>
      <c r="ED140" s="79">
        <f t="array" ref="ED140">SUMIFS('Cắt lồng'!$AH$327:$AH$515,'Cắt lồng'!$AA$327:$AA$515,'Cắt lồng'!$AA140,'Cắt lồng'!$AE$327:$AE$515,'Cắt lồng'!ED$4:ED$4)</f>
        <v>0</v>
      </c>
      <c r="EE140" s="109" t="e">
        <f t="shared" si="345"/>
        <v>#DIV/0!</v>
      </c>
      <c r="EF140" s="79">
        <f t="array" ref="EF140">SUMIFS('Cắt lồng'!$AC$327:$AC$515,'Cắt lồng'!$AA$327:$AA$515,'Cắt lồng'!$AA140,'Cắt lồng'!$AE$327:$AE$515,'Cắt lồng'!EF$4:EF$4)</f>
        <v>0</v>
      </c>
      <c r="EG140" s="79">
        <f t="array" ref="EG140">SUMIFS('Cắt lồng'!$AH$327:$AH$515,'Cắt lồng'!$AA$327:$AA$515,'Cắt lồng'!$AA140,'Cắt lồng'!$AE$327:$AE$515,'Cắt lồng'!EG$4:EG$4)</f>
        <v>0</v>
      </c>
      <c r="EH140" s="109" t="e">
        <f t="shared" si="346"/>
        <v>#DIV/0!</v>
      </c>
      <c r="EI140" s="79">
        <f t="array" ref="EI140">SUMIFS('Cắt lồng'!$AC$327:$AC$515,'Cắt lồng'!$AA$327:$AA$515,'Cắt lồng'!$AA140,'Cắt lồng'!$AE$327:$AE$515,'Cắt lồng'!EI$4:EI$4)</f>
        <v>0</v>
      </c>
      <c r="EJ140" s="79">
        <f t="array" ref="EJ140">SUMIFS('Cắt lồng'!$AH$327:$AH$515,'Cắt lồng'!$AA$327:$AA$515,'Cắt lồng'!$AA140,'Cắt lồng'!$AE$327:$AE$515,'Cắt lồng'!EJ$4:EJ$4)</f>
        <v>0</v>
      </c>
      <c r="EK140" s="109" t="e">
        <f t="shared" si="347"/>
        <v>#DIV/0!</v>
      </c>
    </row>
    <row r="141" spans="1:141" s="80" customFormat="1" ht="14.25" hidden="1" customHeight="1">
      <c r="A141" s="30">
        <v>108</v>
      </c>
      <c r="B141" s="147"/>
      <c r="C141" s="144"/>
      <c r="D141" s="146"/>
      <c r="E141" s="145"/>
      <c r="F141" s="144"/>
      <c r="G141" s="82">
        <f t="shared" si="280"/>
        <v>0</v>
      </c>
      <c r="H141" s="81">
        <f t="shared" si="281"/>
        <v>0</v>
      </c>
      <c r="I141" s="19">
        <f t="shared" si="282"/>
        <v>0</v>
      </c>
      <c r="J141" s="11">
        <f t="shared" si="283"/>
        <v>0</v>
      </c>
      <c r="K141" s="19">
        <f t="shared" si="284"/>
        <v>0</v>
      </c>
      <c r="L141" s="19">
        <f t="shared" si="285"/>
        <v>0</v>
      </c>
      <c r="M141" s="19">
        <f t="shared" si="286"/>
        <v>0</v>
      </c>
      <c r="N141" s="19">
        <f t="shared" si="287"/>
        <v>0</v>
      </c>
      <c r="O141" s="19">
        <f t="shared" si="288"/>
        <v>0</v>
      </c>
      <c r="P141" s="19">
        <f t="shared" si="289"/>
        <v>0</v>
      </c>
      <c r="Q141" s="19">
        <f t="shared" si="290"/>
        <v>0</v>
      </c>
      <c r="R141" s="19">
        <f t="shared" si="291"/>
        <v>0</v>
      </c>
      <c r="S141" s="19">
        <f t="shared" si="292"/>
        <v>0</v>
      </c>
      <c r="T141" s="19">
        <f t="shared" si="293"/>
        <v>0</v>
      </c>
      <c r="U141" s="19">
        <f t="shared" si="294"/>
        <v>0</v>
      </c>
      <c r="V141" s="19">
        <f t="shared" si="295"/>
        <v>0</v>
      </c>
      <c r="W141" s="19">
        <f t="shared" si="296"/>
        <v>0</v>
      </c>
      <c r="X141" s="19">
        <f t="shared" si="297"/>
        <v>0</v>
      </c>
      <c r="Y141" s="19">
        <f t="shared" si="298"/>
        <v>0</v>
      </c>
      <c r="Z141" s="19">
        <f t="shared" si="299"/>
        <v>0</v>
      </c>
      <c r="AA141" s="143" t="s">
        <v>218</v>
      </c>
      <c r="AB141" s="17" t="e">
        <f>+H141*SUMIF('[1]KẾ HOẠCH'!$B$5:$CK$5,'Cắt lồng'!AA141,'[1]KẾ HOẠCH'!$B$6:$CK$6)+H141*SUMIF('[1]KẾ HOẠCH'!$B$7:$CK$7,'Cắt lồng'!AA141,'[1]KẾ HOẠCH'!$B$8:$CK$8)+H141*SUMIF('[1]KẾ HOẠCH'!$B$15:$CK$15,'Cắt lồng'!AA141,'[1]KẾ HOẠCH'!$B$16:$CK$16)</f>
        <v>#VALUE!</v>
      </c>
      <c r="AC141" s="16">
        <f t="shared" si="300"/>
        <v>0</v>
      </c>
      <c r="AD141" s="15" t="e">
        <f t="shared" si="301"/>
        <v>#VALUE!</v>
      </c>
      <c r="AE141" s="42"/>
      <c r="AF141" s="112" t="e">
        <f t="shared" si="302"/>
        <v>#DIV/0!</v>
      </c>
      <c r="AG141" s="112"/>
      <c r="AH141" s="112">
        <f t="shared" si="303"/>
        <v>0</v>
      </c>
      <c r="AI141" s="111" t="e">
        <f t="shared" si="304"/>
        <v>#DIV/0!</v>
      </c>
      <c r="AJ141" s="30">
        <f t="shared" si="305"/>
        <v>0</v>
      </c>
      <c r="AK141" s="30">
        <f t="shared" si="306"/>
        <v>0</v>
      </c>
      <c r="AL141" s="30">
        <f t="shared" si="307"/>
        <v>0</v>
      </c>
      <c r="AM141" s="30">
        <f t="shared" si="308"/>
        <v>0</v>
      </c>
      <c r="AN141" s="30">
        <f t="shared" si="309"/>
        <v>0</v>
      </c>
      <c r="AO141" s="30">
        <f t="shared" si="310"/>
        <v>0</v>
      </c>
      <c r="AP141" s="30">
        <f t="shared" si="311"/>
        <v>0</v>
      </c>
      <c r="AQ141" s="30">
        <f t="shared" si="312"/>
        <v>0</v>
      </c>
      <c r="AR141" s="25">
        <f t="shared" si="313"/>
        <v>0</v>
      </c>
      <c r="AS141" s="25">
        <f t="shared" si="314"/>
        <v>0</v>
      </c>
      <c r="AT141" s="30">
        <f t="shared" si="315"/>
        <v>0</v>
      </c>
      <c r="AV141" s="79">
        <f t="shared" si="316"/>
        <v>0</v>
      </c>
      <c r="AW141" s="79">
        <f t="array" ref="AW141">SUMIFS('Cắt lồng'!$AC$327:$AC$515,'Cắt lồng'!$AA$327:$AA$515,'Cắt lồng'!$AA141,'Cắt lồng'!$AE$327:$AE$515,'Cắt lồng'!AW$4:AW$4)</f>
        <v>0</v>
      </c>
      <c r="AX141" s="79">
        <f t="array" ref="AX141">SUMIFS('Cắt lồng'!$AH$327:$AH$515,'Cắt lồng'!$AA$327:$AA$515,'Cắt lồng'!$AA141,'Cắt lồng'!$AE$327:$AE$515,'Cắt lồng'!AX$4:AX$4)</f>
        <v>0</v>
      </c>
      <c r="AY141" s="109" t="e">
        <f t="shared" si="317"/>
        <v>#DIV/0!</v>
      </c>
      <c r="AZ141" s="79">
        <f t="array" ref="AZ141">SUMIFS('Cắt lồng'!$AC$327:$AC$515,'Cắt lồng'!$AA$327:$AA$515,'Cắt lồng'!$AA141,'Cắt lồng'!$AE$327:$AE$515,'Cắt lồng'!AZ$4:AZ$4)</f>
        <v>0</v>
      </c>
      <c r="BA141" s="79">
        <f t="array" ref="BA141">SUMIFS('Cắt lồng'!$AH$327:$AH$515,'Cắt lồng'!$AA$327:$AA$515,'Cắt lồng'!$AA141,'Cắt lồng'!$AE$327:$AE$515,'Cắt lồng'!BA$4:BA$4)</f>
        <v>0</v>
      </c>
      <c r="BB141" s="109" t="e">
        <f t="shared" si="318"/>
        <v>#DIV/0!</v>
      </c>
      <c r="BC141" s="79">
        <f t="array" ref="BC141">SUMIFS('Cắt lồng'!$AC$327:$AC$515,'Cắt lồng'!$AA$327:$AA$515,'Cắt lồng'!$AA141,'Cắt lồng'!$AE$327:$AE$515,'Cắt lồng'!BC$4:BC$4)</f>
        <v>0</v>
      </c>
      <c r="BD141" s="79">
        <f t="array" ref="BD141">SUMIFS('Cắt lồng'!$AH$327:$AH$515,'Cắt lồng'!$AA$327:$AA$515,'Cắt lồng'!$AA141,'Cắt lồng'!$AE$327:$AE$515,'Cắt lồng'!BD$4:BD$4)</f>
        <v>0</v>
      </c>
      <c r="BE141" s="109" t="e">
        <f t="shared" si="319"/>
        <v>#DIV/0!</v>
      </c>
      <c r="BF141" s="79">
        <f t="array" ref="BF141">SUMIFS('Cắt lồng'!$AC$327:$AC$515,'Cắt lồng'!$AA$327:$AA$515,'Cắt lồng'!$AA141,'Cắt lồng'!$AE$327:$AE$515,'Cắt lồng'!BF$4:BF$4)</f>
        <v>0</v>
      </c>
      <c r="BG141" s="79">
        <f t="array" ref="BG141">SUMIFS('Cắt lồng'!$AH$327:$AH$515,'Cắt lồng'!$AA$327:$AA$515,'Cắt lồng'!$AA141,'Cắt lồng'!$AE$327:$AE$515,'Cắt lồng'!BG$4:BG$4)</f>
        <v>0</v>
      </c>
      <c r="BH141" s="109" t="e">
        <f t="shared" si="320"/>
        <v>#DIV/0!</v>
      </c>
      <c r="BI141" s="79">
        <f t="array" ref="BI141">SUMIFS('Cắt lồng'!$AC$327:$AC$515,'Cắt lồng'!$AA$327:$AA$515,'Cắt lồng'!$AA141,'Cắt lồng'!$AE$327:$AE$515,'Cắt lồng'!BI$4:BI$4)</f>
        <v>0</v>
      </c>
      <c r="BJ141" s="79">
        <f t="array" ref="BJ141">SUMIFS('Cắt lồng'!$AH$327:$AH$515,'Cắt lồng'!$AA$327:$AA$515,'Cắt lồng'!$AA141,'Cắt lồng'!$AE$327:$AE$515,'Cắt lồng'!BJ$4:BJ$4)</f>
        <v>0</v>
      </c>
      <c r="BK141" s="109" t="e">
        <f t="shared" si="321"/>
        <v>#DIV/0!</v>
      </c>
      <c r="BL141" s="79">
        <f t="array" ref="BL141">SUMIFS('Cắt lồng'!$AC$327:$AC$515,'Cắt lồng'!$AA$327:$AA$515,'Cắt lồng'!$AA141,'Cắt lồng'!$AE$327:$AE$515,'Cắt lồng'!BL$4:BL$4)</f>
        <v>0</v>
      </c>
      <c r="BM141" s="79">
        <f t="array" ref="BM141">SUMIFS('Cắt lồng'!$AH$327:$AH$515,'Cắt lồng'!$AA$327:$AA$515,'Cắt lồng'!$AA141,'Cắt lồng'!$AE$327:$AE$515,'Cắt lồng'!BM$4:BM$4)</f>
        <v>0</v>
      </c>
      <c r="BN141" s="109" t="e">
        <f t="shared" si="322"/>
        <v>#DIV/0!</v>
      </c>
      <c r="BO141" s="79">
        <f t="array" ref="BO141">SUMIFS('Cắt lồng'!$AC$327:$AC$515,'Cắt lồng'!$AA$327:$AA$515,'Cắt lồng'!$AA141,'Cắt lồng'!$AE$327:$AE$515,'Cắt lồng'!BO$4:BO$4)</f>
        <v>0</v>
      </c>
      <c r="BP141" s="79">
        <f t="array" ref="BP141">SUMIFS('Cắt lồng'!$AH$327:$AH$515,'Cắt lồng'!$AA$327:$AA$515,'Cắt lồng'!$AA141,'Cắt lồng'!$AE$327:$AE$515,'Cắt lồng'!BP$4:BP$4)</f>
        <v>0</v>
      </c>
      <c r="BQ141" s="109" t="e">
        <f t="shared" si="323"/>
        <v>#DIV/0!</v>
      </c>
      <c r="BR141" s="79">
        <f t="array" ref="BR141">SUMIFS('Cắt lồng'!$AC$327:$AC$515,'Cắt lồng'!$AA$327:$AA$515,'Cắt lồng'!$AA141,'Cắt lồng'!$AE$327:$AE$515,'Cắt lồng'!BR$4:BR$4)</f>
        <v>0</v>
      </c>
      <c r="BS141" s="79">
        <f t="array" ref="BS141">SUMIFS('Cắt lồng'!$AH$327:$AH$515,'Cắt lồng'!$AA$327:$AA$515,'Cắt lồng'!$AA141,'Cắt lồng'!$AE$327:$AE$515,'Cắt lồng'!BS$4:BS$4)</f>
        <v>0</v>
      </c>
      <c r="BT141" s="109" t="e">
        <f t="shared" si="324"/>
        <v>#DIV/0!</v>
      </c>
      <c r="BU141" s="79">
        <f t="array" ref="BU141">SUMIFS('Cắt lồng'!$AC$327:$AC$515,'Cắt lồng'!$AA$327:$AA$515,'Cắt lồng'!$AA141,'Cắt lồng'!$AE$327:$AE$515,'Cắt lồng'!BU$4:BU$4)</f>
        <v>0</v>
      </c>
      <c r="BV141" s="79">
        <f t="array" ref="BV141">SUMIFS('Cắt lồng'!$AH$327:$AH$515,'Cắt lồng'!$AA$327:$AA$515,'Cắt lồng'!$AA141,'Cắt lồng'!$AE$327:$AE$515,'Cắt lồng'!BV$4:BV$4)</f>
        <v>0</v>
      </c>
      <c r="BW141" s="109" t="e">
        <f t="shared" si="325"/>
        <v>#DIV/0!</v>
      </c>
      <c r="BX141" s="79">
        <f t="array" ref="BX141">SUMIFS('Cắt lồng'!$AC$327:$AC$515,'Cắt lồng'!$AA$327:$AA$515,'Cắt lồng'!$AA141,'Cắt lồng'!$AE$327:$AE$515,'Cắt lồng'!BX$4:BX$4)</f>
        <v>0</v>
      </c>
      <c r="BY141" s="79">
        <f t="array" ref="BY141">SUMIFS('Cắt lồng'!$AH$327:$AH$515,'Cắt lồng'!$AA$327:$AA$515,'Cắt lồng'!$AA141,'Cắt lồng'!$AE$327:$AE$515,'Cắt lồng'!BY$4:BY$4)</f>
        <v>0</v>
      </c>
      <c r="BZ141" s="109" t="e">
        <f t="shared" si="326"/>
        <v>#DIV/0!</v>
      </c>
      <c r="CA141" s="79">
        <f t="array" ref="CA141">SUMIFS('Cắt lồng'!$AC$327:$AC$515,'Cắt lồng'!$AA$327:$AA$515,'Cắt lồng'!$AA141,'Cắt lồng'!$AE$327:$AE$515,'Cắt lồng'!CA$4:CA$4)</f>
        <v>0</v>
      </c>
      <c r="CB141" s="79">
        <f t="array" ref="CB141">SUMIFS('Cắt lồng'!$AH$327:$AH$515,'Cắt lồng'!$AA$327:$AA$515,'Cắt lồng'!$AA141,'Cắt lồng'!$AE$327:$AE$515,'Cắt lồng'!CB$4:CB$4)</f>
        <v>0</v>
      </c>
      <c r="CC141" s="109" t="e">
        <f t="shared" si="327"/>
        <v>#DIV/0!</v>
      </c>
      <c r="CD141" s="79">
        <f t="array" ref="CD141">SUMIFS('Cắt lồng'!$AC$327:$AC$515,'Cắt lồng'!$AA$327:$AA$515,'Cắt lồng'!$AA141,'Cắt lồng'!$AE$327:$AE$515,'Cắt lồng'!CD$4:CD$4)</f>
        <v>0</v>
      </c>
      <c r="CE141" s="79">
        <f t="array" ref="CE141">SUMIFS('Cắt lồng'!$AH$327:$AH$515,'Cắt lồng'!$AA$327:$AA$515,'Cắt lồng'!$AA141,'Cắt lồng'!$AE$327:$AE$515,'Cắt lồng'!CE$4:CE$4)</f>
        <v>0</v>
      </c>
      <c r="CF141" s="109" t="e">
        <f t="shared" si="328"/>
        <v>#DIV/0!</v>
      </c>
      <c r="CG141" s="79">
        <f t="array" ref="CG141">SUMIFS('Cắt lồng'!$AC$327:$AC$515,'Cắt lồng'!$AA$327:$AA$515,'Cắt lồng'!$AA141,'Cắt lồng'!$AE$327:$AE$515,'Cắt lồng'!CG$4:CG$4)</f>
        <v>0</v>
      </c>
      <c r="CH141" s="79">
        <f t="array" ref="CH141">SUMIFS('Cắt lồng'!$AH$327:$AH$515,'Cắt lồng'!$AA$327:$AA$515,'Cắt lồng'!$AA141,'Cắt lồng'!$AE$327:$AE$515,'Cắt lồng'!CH$4:CH$4)</f>
        <v>0</v>
      </c>
      <c r="CI141" s="109" t="e">
        <f t="shared" si="329"/>
        <v>#DIV/0!</v>
      </c>
      <c r="CJ141" s="79">
        <f t="array" ref="CJ141">SUMIFS('Cắt lồng'!$AC$327:$AC$515,'Cắt lồng'!$AA$327:$AA$515,'Cắt lồng'!$AA141,'Cắt lồng'!$AE$327:$AE$515,'Cắt lồng'!CJ$4:CJ$4)</f>
        <v>0</v>
      </c>
      <c r="CK141" s="79">
        <f t="array" ref="CK141">SUMIFS('Cắt lồng'!$AH$327:$AH$515,'Cắt lồng'!$AA$327:$AA$515,'Cắt lồng'!$AA141,'Cắt lồng'!$AE$327:$AE$515,'Cắt lồng'!CK$4:CK$4)</f>
        <v>0</v>
      </c>
      <c r="CL141" s="109" t="e">
        <f t="shared" si="330"/>
        <v>#DIV/0!</v>
      </c>
      <c r="CM141" s="79">
        <f t="array" ref="CM141">SUMIFS('Cắt lồng'!$AC$327:$AC$515,'Cắt lồng'!$AA$327:$AA$515,'Cắt lồng'!$AA141,'Cắt lồng'!$AE$327:$AE$515,'Cắt lồng'!CM$4:CM$4)</f>
        <v>0</v>
      </c>
      <c r="CN141" s="79">
        <f t="array" ref="CN141">SUMIFS('Cắt lồng'!$AH$327:$AH$515,'Cắt lồng'!$AA$327:$AA$515,'Cắt lồng'!$AA141,'Cắt lồng'!$AE$327:$AE$515,'Cắt lồng'!CN$4:CN$4)</f>
        <v>0</v>
      </c>
      <c r="CO141" s="109" t="e">
        <f t="shared" si="331"/>
        <v>#DIV/0!</v>
      </c>
      <c r="CP141" s="79">
        <f t="array" ref="CP141">SUMIFS('Cắt lồng'!$AC$327:$AC$515,'Cắt lồng'!$AA$327:$AA$515,'Cắt lồng'!$AA141,'Cắt lồng'!$AE$327:$AE$515,'Cắt lồng'!CP$4:CP$4)</f>
        <v>0</v>
      </c>
      <c r="CQ141" s="79">
        <f t="array" ref="CQ141">SUMIFS('Cắt lồng'!$AH$327:$AH$515,'Cắt lồng'!$AA$327:$AA$515,'Cắt lồng'!$AA141,'Cắt lồng'!$AE$327:$AE$515,'Cắt lồng'!CQ$4:CQ$4)</f>
        <v>0</v>
      </c>
      <c r="CR141" s="109" t="e">
        <f t="shared" si="332"/>
        <v>#DIV/0!</v>
      </c>
      <c r="CS141" s="79">
        <f t="array" ref="CS141">SUMIFS('Cắt lồng'!$AC$327:$AC$515,'Cắt lồng'!$AA$327:$AA$515,'Cắt lồng'!$AA141,'Cắt lồng'!$AE$327:$AE$515,'Cắt lồng'!CS$4:CS$4)</f>
        <v>0</v>
      </c>
      <c r="CT141" s="79">
        <f t="array" ref="CT141">SUMIFS('Cắt lồng'!$AH$327:$AH$515,'Cắt lồng'!$AA$327:$AA$515,'Cắt lồng'!$AA141,'Cắt lồng'!$AE$327:$AE$515,'Cắt lồng'!CT$4:CT$4)</f>
        <v>0</v>
      </c>
      <c r="CU141" s="109" t="e">
        <f t="shared" si="333"/>
        <v>#DIV/0!</v>
      </c>
      <c r="CV141" s="79">
        <f t="array" ref="CV141">SUMIFS('Cắt lồng'!$AC$327:$AC$515,'Cắt lồng'!$AA$327:$AA$515,'Cắt lồng'!$AA141,'Cắt lồng'!$AE$327:$AE$515,'Cắt lồng'!CV$4:CV$4)</f>
        <v>0</v>
      </c>
      <c r="CW141" s="79">
        <f t="array" ref="CW141">SUMIFS('Cắt lồng'!$AH$327:$AH$515,'Cắt lồng'!$AA$327:$AA$515,'Cắt lồng'!$AA141,'Cắt lồng'!$AE$327:$AE$515,'Cắt lồng'!CW$4:CW$4)</f>
        <v>0</v>
      </c>
      <c r="CX141" s="109" t="e">
        <f t="shared" si="334"/>
        <v>#DIV/0!</v>
      </c>
      <c r="CY141" s="79">
        <f t="array" ref="CY141">SUMIFS('Cắt lồng'!$AC$327:$AC$515,'Cắt lồng'!$AA$327:$AA$515,'Cắt lồng'!$AA141,'Cắt lồng'!$AE$327:$AE$515,'Cắt lồng'!CY$4:CY$4)</f>
        <v>0</v>
      </c>
      <c r="CZ141" s="79">
        <f t="array" ref="CZ141">SUMIFS('Cắt lồng'!$AH$327:$AH$515,'Cắt lồng'!$AA$327:$AA$515,'Cắt lồng'!$AA141,'Cắt lồng'!$AE$327:$AE$515,'Cắt lồng'!CZ$4:CZ$4)</f>
        <v>0</v>
      </c>
      <c r="DA141" s="109" t="e">
        <f t="shared" si="335"/>
        <v>#DIV/0!</v>
      </c>
      <c r="DB141" s="79">
        <f t="array" ref="DB141">SUMIFS('Cắt lồng'!$AC$327:$AC$515,'Cắt lồng'!$AA$327:$AA$515,'Cắt lồng'!$AA141,'Cắt lồng'!$AE$327:$AE$515,'Cắt lồng'!DB$4:DB$4)</f>
        <v>0</v>
      </c>
      <c r="DC141" s="79">
        <f t="array" ref="DC141">SUMIFS('Cắt lồng'!$AH$327:$AH$515,'Cắt lồng'!$AA$327:$AA$515,'Cắt lồng'!$AA141,'Cắt lồng'!$AE$327:$AE$515,'Cắt lồng'!DC$4:DC$4)</f>
        <v>0</v>
      </c>
      <c r="DD141" s="109" t="e">
        <f t="shared" si="336"/>
        <v>#DIV/0!</v>
      </c>
      <c r="DE141" s="79">
        <f t="array" ref="DE141">SUMIFS('Cắt lồng'!$AC$327:$AC$515,'Cắt lồng'!$AA$327:$AA$515,'Cắt lồng'!$AA141,'Cắt lồng'!$AE$327:$AE$515,'Cắt lồng'!DE$4:DE$4)</f>
        <v>0</v>
      </c>
      <c r="DF141" s="79">
        <f t="array" ref="DF141">SUMIFS('Cắt lồng'!$AH$327:$AH$515,'Cắt lồng'!$AA$327:$AA$515,'Cắt lồng'!$AA141,'Cắt lồng'!$AE$327:$AE$515,'Cắt lồng'!DF$4:DF$4)</f>
        <v>0</v>
      </c>
      <c r="DG141" s="109" t="e">
        <f t="shared" si="337"/>
        <v>#DIV/0!</v>
      </c>
      <c r="DH141" s="79">
        <f t="array" ref="DH141">SUMIFS('Cắt lồng'!$AC$327:$AC$515,'Cắt lồng'!$AA$327:$AA$515,'Cắt lồng'!$AA141,'Cắt lồng'!$AE$327:$AE$515,'Cắt lồng'!DH$4:DH$4)</f>
        <v>0</v>
      </c>
      <c r="DI141" s="79">
        <f t="array" ref="DI141">SUMIFS('Cắt lồng'!$AH$327:$AH$515,'Cắt lồng'!$AA$327:$AA$515,'Cắt lồng'!$AA141,'Cắt lồng'!$AE$327:$AE$515,'Cắt lồng'!DI$4:DI$4)</f>
        <v>0</v>
      </c>
      <c r="DJ141" s="109" t="e">
        <f t="shared" si="338"/>
        <v>#DIV/0!</v>
      </c>
      <c r="DK141" s="79">
        <f t="array" ref="DK141">SUMIFS('Cắt lồng'!$AC$327:$AC$515,'Cắt lồng'!$AA$327:$AA$515,'Cắt lồng'!$AA141,'Cắt lồng'!$AE$327:$AE$515,'Cắt lồng'!DK$4:DK$4)</f>
        <v>0</v>
      </c>
      <c r="DL141" s="79">
        <f t="array" ref="DL141">SUMIFS('Cắt lồng'!$AH$327:$AH$515,'Cắt lồng'!$AA$327:$AA$515,'Cắt lồng'!$AA141,'Cắt lồng'!$AE$327:$AE$515,'Cắt lồng'!DL$4:DL$4)</f>
        <v>0</v>
      </c>
      <c r="DM141" s="109" t="e">
        <f t="shared" si="339"/>
        <v>#DIV/0!</v>
      </c>
      <c r="DN141" s="79">
        <f t="array" ref="DN141">SUMIFS('Cắt lồng'!$AC$327:$AC$515,'Cắt lồng'!$AA$327:$AA$515,'Cắt lồng'!$AA141,'Cắt lồng'!$AE$327:$AE$515,'Cắt lồng'!DN$4:DN$4)</f>
        <v>0</v>
      </c>
      <c r="DO141" s="79">
        <f t="array" ref="DO141">SUMIFS('Cắt lồng'!$AH$327:$AH$515,'Cắt lồng'!$AA$327:$AA$515,'Cắt lồng'!$AA141,'Cắt lồng'!$AE$327:$AE$515,'Cắt lồng'!DO$4:DO$4)</f>
        <v>0</v>
      </c>
      <c r="DP141" s="109" t="e">
        <f t="shared" si="340"/>
        <v>#DIV/0!</v>
      </c>
      <c r="DQ141" s="79">
        <f t="array" ref="DQ141">SUMIFS('Cắt lồng'!$AC$327:$AC$515,'Cắt lồng'!$AA$327:$AA$515,'Cắt lồng'!$AA141,'Cắt lồng'!$AE$327:$AE$515,'Cắt lồng'!DQ$4:DQ$4)</f>
        <v>0</v>
      </c>
      <c r="DR141" s="79">
        <f t="array" ref="DR141">SUMIFS('Cắt lồng'!$AH$327:$AH$515,'Cắt lồng'!$AA$327:$AA$515,'Cắt lồng'!$AA141,'Cắt lồng'!$AE$327:$AE$515,'Cắt lồng'!DR$4:DR$4)</f>
        <v>0</v>
      </c>
      <c r="DS141" s="109" t="e">
        <f t="shared" si="341"/>
        <v>#DIV/0!</v>
      </c>
      <c r="DT141" s="79">
        <f t="array" ref="DT141">SUMIFS('Cắt lồng'!$AC$327:$AC$515,'Cắt lồng'!$AA$327:$AA$515,'Cắt lồng'!$AA141,'Cắt lồng'!$AE$327:$AE$515,'Cắt lồng'!DT$4:DT$4)</f>
        <v>0</v>
      </c>
      <c r="DU141" s="79">
        <f t="array" ref="DU141">SUMIFS('Cắt lồng'!$AH$327:$AH$515,'Cắt lồng'!$AA$327:$AA$515,'Cắt lồng'!$AA141,'Cắt lồng'!$AE$327:$AE$515,'Cắt lồng'!DU$4:DU$4)</f>
        <v>0</v>
      </c>
      <c r="DV141" s="109" t="e">
        <f t="shared" si="342"/>
        <v>#DIV/0!</v>
      </c>
      <c r="DW141" s="79">
        <f t="array" ref="DW141">SUMIFS('Cắt lồng'!$AC$327:$AC$515,'Cắt lồng'!$AA$327:$AA$515,'Cắt lồng'!$AA141,'Cắt lồng'!$AE$327:$AE$515,'Cắt lồng'!DW$4:DW$4)</f>
        <v>0</v>
      </c>
      <c r="DX141" s="79">
        <f t="array" ref="DX141">SUMIFS('Cắt lồng'!$AH$327:$AH$515,'Cắt lồng'!$AA$327:$AA$515,'Cắt lồng'!$AA141,'Cắt lồng'!$AE$327:$AE$515,'Cắt lồng'!DX$4:DX$4)</f>
        <v>0</v>
      </c>
      <c r="DY141" s="109" t="e">
        <f t="shared" si="343"/>
        <v>#DIV/0!</v>
      </c>
      <c r="DZ141" s="79">
        <f t="array" ref="DZ141">SUMIFS('Cắt lồng'!$AC$327:$AC$515,'Cắt lồng'!$AA$327:$AA$515,'Cắt lồng'!$AA141,'Cắt lồng'!$AE$327:$AE$515,'Cắt lồng'!DZ$4:DZ$4)</f>
        <v>0</v>
      </c>
      <c r="EA141" s="79">
        <f t="array" ref="EA141">SUMIFS('Cắt lồng'!$AH$327:$AH$515,'Cắt lồng'!$AA$327:$AA$515,'Cắt lồng'!$AA141,'Cắt lồng'!$AE$327:$AE$515,'Cắt lồng'!EA$4:EA$4)</f>
        <v>0</v>
      </c>
      <c r="EB141" s="109" t="e">
        <f t="shared" si="344"/>
        <v>#DIV/0!</v>
      </c>
      <c r="EC141" s="79">
        <f t="array" ref="EC141">SUMIFS('Cắt lồng'!$AC$327:$AC$515,'Cắt lồng'!$AA$327:$AA$515,'Cắt lồng'!$AA141,'Cắt lồng'!$AE$327:$AE$515,'Cắt lồng'!EC$4:EC$4)</f>
        <v>0</v>
      </c>
      <c r="ED141" s="79">
        <f t="array" ref="ED141">SUMIFS('Cắt lồng'!$AH$327:$AH$515,'Cắt lồng'!$AA$327:$AA$515,'Cắt lồng'!$AA141,'Cắt lồng'!$AE$327:$AE$515,'Cắt lồng'!ED$4:ED$4)</f>
        <v>0</v>
      </c>
      <c r="EE141" s="109" t="e">
        <f t="shared" si="345"/>
        <v>#DIV/0!</v>
      </c>
      <c r="EF141" s="79">
        <f t="array" ref="EF141">SUMIFS('Cắt lồng'!$AC$327:$AC$515,'Cắt lồng'!$AA$327:$AA$515,'Cắt lồng'!$AA141,'Cắt lồng'!$AE$327:$AE$515,'Cắt lồng'!EF$4:EF$4)</f>
        <v>0</v>
      </c>
      <c r="EG141" s="79">
        <f t="array" ref="EG141">SUMIFS('Cắt lồng'!$AH$327:$AH$515,'Cắt lồng'!$AA$327:$AA$515,'Cắt lồng'!$AA141,'Cắt lồng'!$AE$327:$AE$515,'Cắt lồng'!EG$4:EG$4)</f>
        <v>0</v>
      </c>
      <c r="EH141" s="109" t="e">
        <f t="shared" si="346"/>
        <v>#DIV/0!</v>
      </c>
      <c r="EI141" s="79">
        <f t="array" ref="EI141">SUMIFS('Cắt lồng'!$AC$327:$AC$515,'Cắt lồng'!$AA$327:$AA$515,'Cắt lồng'!$AA141,'Cắt lồng'!$AE$327:$AE$515,'Cắt lồng'!EI$4:EI$4)</f>
        <v>0</v>
      </c>
      <c r="EJ141" s="79">
        <f t="array" ref="EJ141">SUMIFS('Cắt lồng'!$AH$327:$AH$515,'Cắt lồng'!$AA$327:$AA$515,'Cắt lồng'!$AA141,'Cắt lồng'!$AE$327:$AE$515,'Cắt lồng'!EJ$4:EJ$4)</f>
        <v>0</v>
      </c>
      <c r="EK141" s="109" t="e">
        <f t="shared" si="347"/>
        <v>#DIV/0!</v>
      </c>
    </row>
    <row r="142" spans="1:141" s="80" customFormat="1" ht="14.25" hidden="1" customHeight="1">
      <c r="A142" s="30">
        <v>109</v>
      </c>
      <c r="B142" s="147"/>
      <c r="C142" s="144"/>
      <c r="D142" s="146"/>
      <c r="E142" s="145"/>
      <c r="F142" s="144"/>
      <c r="G142" s="82">
        <f t="shared" si="280"/>
        <v>0</v>
      </c>
      <c r="H142" s="81">
        <f t="shared" si="281"/>
        <v>8</v>
      </c>
      <c r="I142" s="19">
        <f t="shared" si="282"/>
        <v>0</v>
      </c>
      <c r="J142" s="11">
        <f t="shared" si="283"/>
        <v>2</v>
      </c>
      <c r="K142" s="19">
        <f t="shared" si="284"/>
        <v>0</v>
      </c>
      <c r="L142" s="19">
        <f t="shared" si="285"/>
        <v>0</v>
      </c>
      <c r="M142" s="19">
        <f t="shared" si="286"/>
        <v>0</v>
      </c>
      <c r="N142" s="19">
        <f t="shared" si="287"/>
        <v>0</v>
      </c>
      <c r="O142" s="19">
        <f t="shared" si="288"/>
        <v>0</v>
      </c>
      <c r="P142" s="19">
        <f t="shared" si="289"/>
        <v>0</v>
      </c>
      <c r="Q142" s="19">
        <f t="shared" si="290"/>
        <v>0</v>
      </c>
      <c r="R142" s="19">
        <f t="shared" si="291"/>
        <v>0</v>
      </c>
      <c r="S142" s="19">
        <f t="shared" si="292"/>
        <v>0</v>
      </c>
      <c r="T142" s="19">
        <f t="shared" si="293"/>
        <v>1</v>
      </c>
      <c r="U142" s="19">
        <f t="shared" si="294"/>
        <v>0</v>
      </c>
      <c r="V142" s="19">
        <f t="shared" si="295"/>
        <v>0</v>
      </c>
      <c r="W142" s="19">
        <f t="shared" si="296"/>
        <v>0</v>
      </c>
      <c r="X142" s="19">
        <f t="shared" si="297"/>
        <v>0.17</v>
      </c>
      <c r="Y142" s="19">
        <f t="shared" si="298"/>
        <v>0.83</v>
      </c>
      <c r="Z142" s="19">
        <f t="shared" si="299"/>
        <v>0</v>
      </c>
      <c r="AA142" s="143" t="s">
        <v>0</v>
      </c>
      <c r="AB142" s="17" t="e">
        <f>+H142*SUMIF('[1]KẾ HOẠCH'!$B$5:$CK$5,'Cắt lồng'!AA142,'[1]KẾ HOẠCH'!$B$6:$CK$6)+H142*SUMIF('[1]KẾ HOẠCH'!$B$7:$CK$7,'Cắt lồng'!AA142,'[1]KẾ HOẠCH'!$B$8:$CK$8)+H142*SUMIF('[1]KẾ HOẠCH'!$B$15:$CK$15,'Cắt lồng'!AA142,'[1]KẾ HOẠCH'!$B$16:$CK$16)</f>
        <v>#VALUE!</v>
      </c>
      <c r="AC142" s="16">
        <f t="shared" si="300"/>
        <v>8030</v>
      </c>
      <c r="AD142" s="15" t="e">
        <f t="shared" si="301"/>
        <v>#VALUE!</v>
      </c>
      <c r="AE142" s="42"/>
      <c r="AF142" s="112">
        <f t="shared" si="302"/>
        <v>1003.75</v>
      </c>
      <c r="AG142" s="112"/>
      <c r="AH142" s="112">
        <f t="shared" si="303"/>
        <v>0</v>
      </c>
      <c r="AI142" s="111">
        <f t="shared" si="304"/>
        <v>0</v>
      </c>
      <c r="AJ142" s="30">
        <f t="shared" si="305"/>
        <v>0</v>
      </c>
      <c r="AK142" s="30">
        <f t="shared" si="306"/>
        <v>0</v>
      </c>
      <c r="AL142" s="30">
        <f t="shared" si="307"/>
        <v>0</v>
      </c>
      <c r="AM142" s="30">
        <f t="shared" si="308"/>
        <v>0</v>
      </c>
      <c r="AN142" s="30">
        <f t="shared" si="309"/>
        <v>0</v>
      </c>
      <c r="AO142" s="30">
        <f t="shared" si="310"/>
        <v>0</v>
      </c>
      <c r="AP142" s="30">
        <f t="shared" si="311"/>
        <v>0</v>
      </c>
      <c r="AQ142" s="30">
        <f t="shared" si="312"/>
        <v>0</v>
      </c>
      <c r="AR142" s="25">
        <f t="shared" si="313"/>
        <v>0</v>
      </c>
      <c r="AS142" s="25">
        <f t="shared" si="314"/>
        <v>0</v>
      </c>
      <c r="AT142" s="30">
        <f t="shared" si="315"/>
        <v>0</v>
      </c>
      <c r="AW142" s="151"/>
      <c r="AX142" s="149"/>
      <c r="AY142" s="150"/>
      <c r="AZ142" s="149"/>
      <c r="BA142" s="149"/>
      <c r="BB142" s="150"/>
      <c r="BC142" s="149"/>
      <c r="BD142" s="149"/>
      <c r="BE142" s="148"/>
      <c r="BF142" s="142"/>
      <c r="BH142" s="141"/>
      <c r="BI142" s="142"/>
      <c r="BK142" s="141"/>
      <c r="BL142" s="142"/>
      <c r="BN142" s="141"/>
      <c r="BO142" s="142"/>
      <c r="BQ142" s="141"/>
      <c r="BR142" s="142"/>
      <c r="BT142" s="141"/>
      <c r="BU142" s="142"/>
      <c r="BW142" s="141"/>
      <c r="BX142" s="142"/>
      <c r="BZ142" s="141"/>
      <c r="CA142" s="142"/>
      <c r="CC142" s="141"/>
      <c r="CD142" s="142"/>
      <c r="CF142" s="141"/>
      <c r="CG142" s="142"/>
      <c r="CI142" s="141"/>
      <c r="CJ142" s="142"/>
      <c r="CL142" s="141"/>
      <c r="CM142" s="142"/>
      <c r="CO142" s="141"/>
      <c r="CP142" s="142"/>
      <c r="CR142" s="141"/>
      <c r="CS142" s="142"/>
      <c r="CU142" s="141"/>
      <c r="CV142" s="142"/>
      <c r="CX142" s="141"/>
      <c r="CY142" s="142"/>
      <c r="DA142" s="141"/>
      <c r="DB142" s="142"/>
      <c r="DD142" s="141"/>
      <c r="DE142" s="142"/>
      <c r="DG142" s="141"/>
      <c r="DH142" s="142"/>
      <c r="DJ142" s="141"/>
      <c r="DK142" s="142"/>
      <c r="DM142" s="141"/>
      <c r="DN142" s="142"/>
      <c r="DP142" s="141"/>
      <c r="DQ142" s="142"/>
      <c r="DS142" s="141"/>
      <c r="DT142" s="142"/>
      <c r="DV142" s="141"/>
      <c r="DW142" s="142"/>
      <c r="DY142" s="141"/>
      <c r="DZ142" s="142"/>
      <c r="EB142" s="141"/>
      <c r="EC142" s="142"/>
      <c r="EE142" s="141"/>
      <c r="EF142" s="142"/>
      <c r="EH142" s="141"/>
      <c r="EI142" s="142"/>
      <c r="EK142" s="141"/>
    </row>
    <row r="143" spans="1:141" s="80" customFormat="1" ht="14.25" hidden="1" customHeight="1">
      <c r="A143" s="30">
        <v>110</v>
      </c>
      <c r="B143" s="147"/>
      <c r="C143" s="144"/>
      <c r="D143" s="146"/>
      <c r="E143" s="145"/>
      <c r="F143" s="144"/>
      <c r="G143" s="82">
        <f t="shared" si="280"/>
        <v>0</v>
      </c>
      <c r="H143" s="81">
        <f t="shared" si="281"/>
        <v>4.17</v>
      </c>
      <c r="I143" s="19">
        <f t="shared" si="282"/>
        <v>0</v>
      </c>
      <c r="J143" s="11">
        <f t="shared" si="283"/>
        <v>2.17</v>
      </c>
      <c r="K143" s="19">
        <f t="shared" si="284"/>
        <v>0.83</v>
      </c>
      <c r="L143" s="19">
        <f t="shared" si="285"/>
        <v>0</v>
      </c>
      <c r="M143" s="19">
        <f t="shared" si="286"/>
        <v>0</v>
      </c>
      <c r="N143" s="19">
        <f t="shared" si="287"/>
        <v>0</v>
      </c>
      <c r="O143" s="19">
        <f t="shared" si="288"/>
        <v>0</v>
      </c>
      <c r="P143" s="19">
        <f t="shared" si="289"/>
        <v>0</v>
      </c>
      <c r="Q143" s="19">
        <f t="shared" si="290"/>
        <v>0</v>
      </c>
      <c r="R143" s="19">
        <f t="shared" si="291"/>
        <v>0</v>
      </c>
      <c r="S143" s="19">
        <f t="shared" si="292"/>
        <v>0</v>
      </c>
      <c r="T143" s="19">
        <f t="shared" si="293"/>
        <v>1.17</v>
      </c>
      <c r="U143" s="19">
        <f t="shared" si="294"/>
        <v>0</v>
      </c>
      <c r="V143" s="19">
        <f t="shared" si="295"/>
        <v>0</v>
      </c>
      <c r="W143" s="19">
        <f t="shared" si="296"/>
        <v>0</v>
      </c>
      <c r="X143" s="19">
        <f t="shared" si="297"/>
        <v>0.17</v>
      </c>
      <c r="Y143" s="19">
        <f t="shared" si="298"/>
        <v>0</v>
      </c>
      <c r="Z143" s="19">
        <f t="shared" si="299"/>
        <v>0</v>
      </c>
      <c r="AA143" s="143" t="s">
        <v>16</v>
      </c>
      <c r="AB143" s="17" t="e">
        <f>+H143*SUMIF('[1]KẾ HOẠCH'!$B$5:$CK$5,'Cắt lồng'!AA143,'[1]KẾ HOẠCH'!$B$6:$CK$6)+H143*SUMIF('[1]KẾ HOẠCH'!$B$7:$CK$7,'Cắt lồng'!AA143,'[1]KẾ HOẠCH'!$B$8:$CK$8)+H143*SUMIF('[1]KẾ HOẠCH'!$B$15:$CK$15,'Cắt lồng'!AA143,'[1]KẾ HOẠCH'!$B$16:$CK$16)</f>
        <v>#VALUE!</v>
      </c>
      <c r="AC143" s="16">
        <f t="shared" si="300"/>
        <v>4950</v>
      </c>
      <c r="AD143" s="15" t="e">
        <f t="shared" si="301"/>
        <v>#VALUE!</v>
      </c>
      <c r="AE143" s="42"/>
      <c r="AF143" s="112">
        <f t="shared" si="302"/>
        <v>1187.0503597122301</v>
      </c>
      <c r="AG143" s="112"/>
      <c r="AH143" s="112">
        <f t="shared" si="303"/>
        <v>0</v>
      </c>
      <c r="AI143" s="111">
        <f t="shared" si="304"/>
        <v>0</v>
      </c>
      <c r="AJ143" s="30">
        <f t="shared" si="305"/>
        <v>0</v>
      </c>
      <c r="AK143" s="30">
        <f t="shared" si="306"/>
        <v>0</v>
      </c>
      <c r="AL143" s="30">
        <f t="shared" si="307"/>
        <v>0</v>
      </c>
      <c r="AM143" s="30">
        <f t="shared" si="308"/>
        <v>0</v>
      </c>
      <c r="AN143" s="30">
        <f t="shared" si="309"/>
        <v>0</v>
      </c>
      <c r="AO143" s="30">
        <f t="shared" si="310"/>
        <v>0</v>
      </c>
      <c r="AP143" s="30">
        <f t="shared" si="311"/>
        <v>0</v>
      </c>
      <c r="AQ143" s="30">
        <f t="shared" si="312"/>
        <v>0</v>
      </c>
      <c r="AR143" s="25">
        <f t="shared" si="313"/>
        <v>0</v>
      </c>
      <c r="AS143" s="25">
        <f t="shared" si="314"/>
        <v>0</v>
      </c>
      <c r="AT143" s="30">
        <f t="shared" si="315"/>
        <v>0</v>
      </c>
      <c r="AW143" s="151"/>
      <c r="AX143" s="149"/>
      <c r="AY143" s="150"/>
      <c r="AZ143" s="149"/>
      <c r="BA143" s="149"/>
      <c r="BB143" s="150"/>
      <c r="BC143" s="149"/>
      <c r="BD143" s="149"/>
      <c r="BE143" s="148"/>
      <c r="BF143" s="142"/>
      <c r="BH143" s="141"/>
      <c r="BI143" s="142"/>
      <c r="BK143" s="141"/>
      <c r="BL143" s="142"/>
      <c r="BN143" s="141"/>
      <c r="BO143" s="142"/>
      <c r="BQ143" s="141"/>
      <c r="BR143" s="142"/>
      <c r="BT143" s="141"/>
      <c r="BU143" s="142"/>
      <c r="BW143" s="141"/>
      <c r="BX143" s="142"/>
      <c r="BZ143" s="141"/>
      <c r="CA143" s="142"/>
      <c r="CC143" s="141"/>
      <c r="CD143" s="142"/>
      <c r="CF143" s="141"/>
      <c r="CG143" s="142"/>
      <c r="CI143" s="141"/>
      <c r="CJ143" s="142"/>
      <c r="CL143" s="141"/>
      <c r="CM143" s="142"/>
      <c r="CO143" s="141"/>
      <c r="CP143" s="142"/>
      <c r="CR143" s="141"/>
      <c r="CS143" s="142"/>
      <c r="CU143" s="141"/>
      <c r="CV143" s="142"/>
      <c r="CX143" s="141"/>
      <c r="CY143" s="142"/>
      <c r="DA143" s="141"/>
      <c r="DB143" s="142"/>
      <c r="DD143" s="141"/>
      <c r="DE143" s="142"/>
      <c r="DG143" s="141"/>
      <c r="DH143" s="142"/>
      <c r="DJ143" s="141"/>
      <c r="DK143" s="142"/>
      <c r="DM143" s="141"/>
      <c r="DN143" s="142"/>
      <c r="DP143" s="141"/>
      <c r="DQ143" s="142"/>
      <c r="DS143" s="141"/>
      <c r="DT143" s="142"/>
      <c r="DV143" s="141"/>
      <c r="DW143" s="142"/>
      <c r="DY143" s="141"/>
      <c r="DZ143" s="142"/>
      <c r="EB143" s="141"/>
      <c r="EC143" s="142"/>
      <c r="EE143" s="141"/>
      <c r="EF143" s="142"/>
      <c r="EH143" s="141"/>
      <c r="EI143" s="142"/>
      <c r="EK143" s="141"/>
    </row>
    <row r="144" spans="1:141" s="80" customFormat="1" ht="14.25" hidden="1" customHeight="1">
      <c r="A144" s="30">
        <v>111</v>
      </c>
      <c r="B144" s="147"/>
      <c r="C144" s="144"/>
      <c r="D144" s="146"/>
      <c r="E144" s="145"/>
      <c r="F144" s="144"/>
      <c r="G144" s="82">
        <f t="shared" si="280"/>
        <v>0</v>
      </c>
      <c r="H144" s="81">
        <f t="shared" si="281"/>
        <v>0</v>
      </c>
      <c r="I144" s="19">
        <f t="shared" si="282"/>
        <v>0</v>
      </c>
      <c r="J144" s="11">
        <f t="shared" si="283"/>
        <v>0</v>
      </c>
      <c r="K144" s="19">
        <f t="shared" si="284"/>
        <v>0</v>
      </c>
      <c r="L144" s="19">
        <f t="shared" si="285"/>
        <v>0</v>
      </c>
      <c r="M144" s="19">
        <f t="shared" si="286"/>
        <v>0</v>
      </c>
      <c r="N144" s="19">
        <f t="shared" si="287"/>
        <v>0</v>
      </c>
      <c r="O144" s="19">
        <f t="shared" si="288"/>
        <v>0</v>
      </c>
      <c r="P144" s="19">
        <f t="shared" si="289"/>
        <v>0</v>
      </c>
      <c r="Q144" s="19">
        <f t="shared" si="290"/>
        <v>0</v>
      </c>
      <c r="R144" s="19">
        <f t="shared" si="291"/>
        <v>0</v>
      </c>
      <c r="S144" s="19">
        <f t="shared" si="292"/>
        <v>0</v>
      </c>
      <c r="T144" s="19">
        <f t="shared" si="293"/>
        <v>0</v>
      </c>
      <c r="U144" s="19">
        <f t="shared" si="294"/>
        <v>0</v>
      </c>
      <c r="V144" s="19">
        <f t="shared" si="295"/>
        <v>0</v>
      </c>
      <c r="W144" s="19">
        <f t="shared" si="296"/>
        <v>0</v>
      </c>
      <c r="X144" s="19">
        <f t="shared" si="297"/>
        <v>0</v>
      </c>
      <c r="Y144" s="19">
        <f t="shared" si="298"/>
        <v>0</v>
      </c>
      <c r="Z144" s="19">
        <f t="shared" si="299"/>
        <v>0</v>
      </c>
      <c r="AA144" s="143"/>
      <c r="AB144" s="17" t="e">
        <f>+H144*SUMIF('[1]KẾ HOẠCH'!$B$5:$CK$5,'Cắt lồng'!AA144,'[1]KẾ HOẠCH'!$B$6:$CK$6)+H144*SUMIF('[1]KẾ HOẠCH'!$B$7:$CK$7,'Cắt lồng'!AA144,'[1]KẾ HOẠCH'!$B$8:$CK$8)+H144*SUMIF('[1]KẾ HOẠCH'!$B$15:$CK$15,'Cắt lồng'!AA144,'[1]KẾ HOẠCH'!$B$16:$CK$16)</f>
        <v>#VALUE!</v>
      </c>
      <c r="AC144" s="16">
        <f t="shared" si="300"/>
        <v>0</v>
      </c>
      <c r="AD144" s="15" t="e">
        <f t="shared" si="301"/>
        <v>#VALUE!</v>
      </c>
      <c r="AE144" s="42"/>
      <c r="AF144" s="112" t="e">
        <f t="shared" si="302"/>
        <v>#DIV/0!</v>
      </c>
      <c r="AG144" s="112"/>
      <c r="AH144" s="112">
        <f t="shared" si="303"/>
        <v>0</v>
      </c>
      <c r="AI144" s="111" t="e">
        <f t="shared" si="304"/>
        <v>#DIV/0!</v>
      </c>
      <c r="AJ144" s="30">
        <f t="shared" si="305"/>
        <v>0</v>
      </c>
      <c r="AK144" s="30">
        <f t="shared" si="306"/>
        <v>0</v>
      </c>
      <c r="AL144" s="30">
        <f t="shared" si="307"/>
        <v>0</v>
      </c>
      <c r="AM144" s="30">
        <f t="shared" si="308"/>
        <v>0</v>
      </c>
      <c r="AN144" s="30">
        <f t="shared" si="309"/>
        <v>0</v>
      </c>
      <c r="AO144" s="30">
        <f t="shared" si="310"/>
        <v>0</v>
      </c>
      <c r="AP144" s="30">
        <f t="shared" si="311"/>
        <v>0</v>
      </c>
      <c r="AQ144" s="30">
        <f t="shared" si="312"/>
        <v>0</v>
      </c>
      <c r="AR144" s="25">
        <f t="shared" si="313"/>
        <v>0</v>
      </c>
      <c r="AS144" s="25">
        <f t="shared" si="314"/>
        <v>0</v>
      </c>
      <c r="AT144" s="30">
        <f t="shared" si="315"/>
        <v>0</v>
      </c>
      <c r="AW144" s="151"/>
      <c r="AX144" s="149"/>
      <c r="AY144" s="150"/>
      <c r="AZ144" s="149"/>
      <c r="BA144" s="149"/>
      <c r="BB144" s="150"/>
      <c r="BC144" s="149"/>
      <c r="BD144" s="149"/>
      <c r="BE144" s="148"/>
      <c r="BF144" s="142"/>
      <c r="BH144" s="141"/>
      <c r="BI144" s="142"/>
      <c r="BK144" s="141"/>
      <c r="BL144" s="142"/>
      <c r="BN144" s="141"/>
      <c r="BO144" s="142"/>
      <c r="BQ144" s="141"/>
      <c r="BR144" s="142"/>
      <c r="BT144" s="141"/>
      <c r="BU144" s="142"/>
      <c r="BW144" s="141"/>
      <c r="BX144" s="142"/>
      <c r="BZ144" s="141"/>
      <c r="CA144" s="142"/>
      <c r="CC144" s="141"/>
      <c r="CD144" s="142"/>
      <c r="CF144" s="141"/>
      <c r="CG144" s="142"/>
      <c r="CI144" s="141"/>
      <c r="CJ144" s="142"/>
      <c r="CL144" s="141"/>
      <c r="CM144" s="142"/>
      <c r="CO144" s="141"/>
      <c r="CP144" s="142"/>
      <c r="CR144" s="141"/>
      <c r="CS144" s="142"/>
      <c r="CU144" s="141"/>
      <c r="CV144" s="142"/>
      <c r="CX144" s="141"/>
      <c r="CY144" s="142"/>
      <c r="DA144" s="141"/>
      <c r="DB144" s="142"/>
      <c r="DD144" s="141"/>
      <c r="DE144" s="142"/>
      <c r="DG144" s="141"/>
      <c r="DH144" s="142"/>
      <c r="DJ144" s="141"/>
      <c r="DK144" s="142"/>
      <c r="DM144" s="141"/>
      <c r="DN144" s="142"/>
      <c r="DP144" s="141"/>
      <c r="DQ144" s="142"/>
      <c r="DS144" s="141"/>
      <c r="DT144" s="142"/>
      <c r="DV144" s="141"/>
      <c r="DW144" s="142"/>
      <c r="DY144" s="141"/>
      <c r="DZ144" s="142"/>
      <c r="EB144" s="141"/>
      <c r="EC144" s="142"/>
      <c r="EE144" s="141"/>
      <c r="EF144" s="142"/>
      <c r="EH144" s="141"/>
      <c r="EI144" s="142"/>
      <c r="EK144" s="141"/>
    </row>
    <row r="145" spans="1:141" s="80" customFormat="1" ht="14.25" hidden="1" customHeight="1">
      <c r="A145" s="30">
        <v>112</v>
      </c>
      <c r="B145" s="147"/>
      <c r="C145" s="144"/>
      <c r="D145" s="146"/>
      <c r="E145" s="145"/>
      <c r="F145" s="144"/>
      <c r="G145" s="82">
        <f t="shared" si="280"/>
        <v>0</v>
      </c>
      <c r="H145" s="81">
        <f t="shared" si="281"/>
        <v>0</v>
      </c>
      <c r="I145" s="19">
        <f t="shared" si="282"/>
        <v>0</v>
      </c>
      <c r="J145" s="11">
        <f t="shared" si="283"/>
        <v>0</v>
      </c>
      <c r="K145" s="19">
        <f t="shared" si="284"/>
        <v>0</v>
      </c>
      <c r="L145" s="19">
        <f t="shared" si="285"/>
        <v>0</v>
      </c>
      <c r="M145" s="19">
        <f t="shared" si="286"/>
        <v>0</v>
      </c>
      <c r="N145" s="19">
        <f t="shared" si="287"/>
        <v>0</v>
      </c>
      <c r="O145" s="19">
        <f t="shared" si="288"/>
        <v>0</v>
      </c>
      <c r="P145" s="19">
        <f t="shared" si="289"/>
        <v>0</v>
      </c>
      <c r="Q145" s="19">
        <f t="shared" si="290"/>
        <v>0</v>
      </c>
      <c r="R145" s="19">
        <f t="shared" si="291"/>
        <v>0</v>
      </c>
      <c r="S145" s="19">
        <f t="shared" si="292"/>
        <v>0</v>
      </c>
      <c r="T145" s="19">
        <f t="shared" si="293"/>
        <v>0</v>
      </c>
      <c r="U145" s="19">
        <f t="shared" si="294"/>
        <v>0</v>
      </c>
      <c r="V145" s="19">
        <f t="shared" si="295"/>
        <v>0</v>
      </c>
      <c r="W145" s="19">
        <f t="shared" si="296"/>
        <v>0</v>
      </c>
      <c r="X145" s="19">
        <f t="shared" si="297"/>
        <v>0</v>
      </c>
      <c r="Y145" s="19">
        <f t="shared" si="298"/>
        <v>0</v>
      </c>
      <c r="Z145" s="19">
        <f t="shared" si="299"/>
        <v>0</v>
      </c>
      <c r="AA145" s="143"/>
      <c r="AB145" s="17" t="e">
        <f>+H145*SUMIF('[1]KẾ HOẠCH'!$B$5:$CK$5,'Cắt lồng'!AA145,'[1]KẾ HOẠCH'!$B$6:$CK$6)+H145*SUMIF('[1]KẾ HOẠCH'!$B$7:$CK$7,'Cắt lồng'!AA145,'[1]KẾ HOẠCH'!$B$8:$CK$8)+H145*SUMIF('[1]KẾ HOẠCH'!$B$15:$CK$15,'Cắt lồng'!AA145,'[1]KẾ HOẠCH'!$B$16:$CK$16)</f>
        <v>#VALUE!</v>
      </c>
      <c r="AC145" s="16">
        <f t="shared" si="300"/>
        <v>0</v>
      </c>
      <c r="AD145" s="15" t="e">
        <f t="shared" si="301"/>
        <v>#VALUE!</v>
      </c>
      <c r="AE145" s="42"/>
      <c r="AF145" s="112" t="e">
        <f t="shared" si="302"/>
        <v>#DIV/0!</v>
      </c>
      <c r="AG145" s="112"/>
      <c r="AH145" s="112">
        <f t="shared" si="303"/>
        <v>0</v>
      </c>
      <c r="AI145" s="111" t="e">
        <f t="shared" si="304"/>
        <v>#DIV/0!</v>
      </c>
      <c r="AJ145" s="30">
        <f t="shared" si="305"/>
        <v>0</v>
      </c>
      <c r="AK145" s="30">
        <f t="shared" si="306"/>
        <v>0</v>
      </c>
      <c r="AL145" s="30">
        <f t="shared" si="307"/>
        <v>0</v>
      </c>
      <c r="AM145" s="30">
        <f t="shared" si="308"/>
        <v>0</v>
      </c>
      <c r="AN145" s="30">
        <f t="shared" si="309"/>
        <v>0</v>
      </c>
      <c r="AO145" s="30">
        <f t="shared" si="310"/>
        <v>0</v>
      </c>
      <c r="AP145" s="30">
        <f t="shared" si="311"/>
        <v>0</v>
      </c>
      <c r="AQ145" s="30">
        <f t="shared" si="312"/>
        <v>0</v>
      </c>
      <c r="AR145" s="25">
        <f t="shared" si="313"/>
        <v>0</v>
      </c>
      <c r="AS145" s="25">
        <f t="shared" si="314"/>
        <v>0</v>
      </c>
      <c r="AT145" s="30">
        <f t="shared" si="315"/>
        <v>0</v>
      </c>
      <c r="AW145" s="151"/>
      <c r="AX145" s="149"/>
      <c r="AY145" s="150"/>
      <c r="AZ145" s="149"/>
      <c r="BA145" s="149"/>
      <c r="BB145" s="150"/>
      <c r="BC145" s="149"/>
      <c r="BD145" s="149"/>
      <c r="BE145" s="148"/>
      <c r="BF145" s="142"/>
      <c r="BH145" s="141"/>
      <c r="BI145" s="142"/>
      <c r="BK145" s="141"/>
      <c r="BL145" s="142"/>
      <c r="BN145" s="141"/>
      <c r="BO145" s="142"/>
      <c r="BQ145" s="141"/>
      <c r="BR145" s="142"/>
      <c r="BT145" s="141"/>
      <c r="BU145" s="142"/>
      <c r="BW145" s="141"/>
      <c r="BX145" s="142"/>
      <c r="BZ145" s="141"/>
      <c r="CA145" s="142"/>
      <c r="CC145" s="141"/>
      <c r="CD145" s="142"/>
      <c r="CF145" s="141"/>
      <c r="CG145" s="142"/>
      <c r="CI145" s="141"/>
      <c r="CJ145" s="142"/>
      <c r="CL145" s="141"/>
      <c r="CM145" s="142"/>
      <c r="CO145" s="141"/>
      <c r="CP145" s="142"/>
      <c r="CR145" s="141"/>
      <c r="CS145" s="142"/>
      <c r="CU145" s="141"/>
      <c r="CV145" s="142"/>
      <c r="CX145" s="141"/>
      <c r="CY145" s="142"/>
      <c r="DA145" s="141"/>
      <c r="DB145" s="142"/>
      <c r="DD145" s="141"/>
      <c r="DE145" s="142"/>
      <c r="DG145" s="141"/>
      <c r="DH145" s="142"/>
      <c r="DJ145" s="141"/>
      <c r="DK145" s="142"/>
      <c r="DM145" s="141"/>
      <c r="DN145" s="142"/>
      <c r="DP145" s="141"/>
      <c r="DQ145" s="142"/>
      <c r="DS145" s="141"/>
      <c r="DT145" s="142"/>
      <c r="DV145" s="141"/>
      <c r="DW145" s="142"/>
      <c r="DY145" s="141"/>
      <c r="DZ145" s="142"/>
      <c r="EB145" s="141"/>
      <c r="EC145" s="142"/>
      <c r="EE145" s="141"/>
      <c r="EF145" s="142"/>
      <c r="EH145" s="141"/>
      <c r="EI145" s="142"/>
      <c r="EK145" s="141"/>
    </row>
    <row r="146" spans="1:141" s="80" customFormat="1" ht="14.25" hidden="1" customHeight="1">
      <c r="A146" s="30">
        <v>113</v>
      </c>
      <c r="B146" s="147"/>
      <c r="C146" s="144"/>
      <c r="D146" s="146"/>
      <c r="E146" s="145"/>
      <c r="F146" s="144"/>
      <c r="G146" s="82">
        <f t="shared" si="280"/>
        <v>0</v>
      </c>
      <c r="H146" s="81">
        <f t="shared" si="281"/>
        <v>0</v>
      </c>
      <c r="I146" s="19">
        <f t="shared" si="282"/>
        <v>0</v>
      </c>
      <c r="J146" s="11">
        <f t="shared" si="283"/>
        <v>0</v>
      </c>
      <c r="K146" s="19">
        <f t="shared" si="284"/>
        <v>0</v>
      </c>
      <c r="L146" s="19">
        <f t="shared" si="285"/>
        <v>0</v>
      </c>
      <c r="M146" s="19">
        <f t="shared" si="286"/>
        <v>0</v>
      </c>
      <c r="N146" s="19">
        <f t="shared" si="287"/>
        <v>0</v>
      </c>
      <c r="O146" s="19">
        <f t="shared" si="288"/>
        <v>0</v>
      </c>
      <c r="P146" s="19">
        <f t="shared" si="289"/>
        <v>0</v>
      </c>
      <c r="Q146" s="19">
        <f t="shared" si="290"/>
        <v>0</v>
      </c>
      <c r="R146" s="19">
        <f t="shared" si="291"/>
        <v>0</v>
      </c>
      <c r="S146" s="19">
        <f t="shared" si="292"/>
        <v>0</v>
      </c>
      <c r="T146" s="19">
        <f t="shared" si="293"/>
        <v>0</v>
      </c>
      <c r="U146" s="19">
        <f t="shared" si="294"/>
        <v>0</v>
      </c>
      <c r="V146" s="19">
        <f t="shared" si="295"/>
        <v>0</v>
      </c>
      <c r="W146" s="19">
        <f t="shared" si="296"/>
        <v>0</v>
      </c>
      <c r="X146" s="19">
        <f t="shared" si="297"/>
        <v>0</v>
      </c>
      <c r="Y146" s="19">
        <f t="shared" si="298"/>
        <v>0</v>
      </c>
      <c r="Z146" s="19">
        <f t="shared" si="299"/>
        <v>0</v>
      </c>
      <c r="AA146" s="143"/>
      <c r="AB146" s="17" t="e">
        <f>+H146*SUMIF('[1]KẾ HOẠCH'!$B$5:$CK$5,'Cắt lồng'!AA146,'[1]KẾ HOẠCH'!$B$6:$CK$6)+H146*SUMIF('[1]KẾ HOẠCH'!$B$7:$CK$7,'Cắt lồng'!AA146,'[1]KẾ HOẠCH'!$B$8:$CK$8)+H146*SUMIF('[1]KẾ HOẠCH'!$B$15:$CK$15,'Cắt lồng'!AA146,'[1]KẾ HOẠCH'!$B$16:$CK$16)</f>
        <v>#VALUE!</v>
      </c>
      <c r="AC146" s="16">
        <f t="shared" si="300"/>
        <v>0</v>
      </c>
      <c r="AD146" s="15" t="e">
        <f t="shared" si="301"/>
        <v>#VALUE!</v>
      </c>
      <c r="AE146" s="42"/>
      <c r="AF146" s="112" t="e">
        <f t="shared" si="302"/>
        <v>#DIV/0!</v>
      </c>
      <c r="AG146" s="112"/>
      <c r="AH146" s="112">
        <f t="shared" si="303"/>
        <v>0</v>
      </c>
      <c r="AI146" s="111" t="e">
        <f t="shared" si="304"/>
        <v>#DIV/0!</v>
      </c>
      <c r="AJ146" s="30">
        <f t="shared" si="305"/>
        <v>0</v>
      </c>
      <c r="AK146" s="30">
        <f t="shared" si="306"/>
        <v>0</v>
      </c>
      <c r="AL146" s="30">
        <f t="shared" si="307"/>
        <v>0</v>
      </c>
      <c r="AM146" s="30">
        <f t="shared" si="308"/>
        <v>0</v>
      </c>
      <c r="AN146" s="30">
        <f t="shared" si="309"/>
        <v>0</v>
      </c>
      <c r="AO146" s="30">
        <f t="shared" si="310"/>
        <v>0</v>
      </c>
      <c r="AP146" s="30">
        <f t="shared" si="311"/>
        <v>0</v>
      </c>
      <c r="AQ146" s="30">
        <f t="shared" si="312"/>
        <v>0</v>
      </c>
      <c r="AR146" s="25">
        <f t="shared" si="313"/>
        <v>0</v>
      </c>
      <c r="AS146" s="25">
        <f t="shared" si="314"/>
        <v>0</v>
      </c>
      <c r="AT146" s="30">
        <f t="shared" si="315"/>
        <v>0</v>
      </c>
      <c r="AW146" s="151"/>
      <c r="AX146" s="149"/>
      <c r="AY146" s="150"/>
      <c r="AZ146" s="149"/>
      <c r="BA146" s="149"/>
      <c r="BB146" s="150"/>
      <c r="BC146" s="149"/>
      <c r="BD146" s="149"/>
      <c r="BE146" s="148"/>
      <c r="BF146" s="142"/>
      <c r="BH146" s="141"/>
      <c r="BI146" s="142"/>
      <c r="BK146" s="141"/>
      <c r="BL146" s="142"/>
      <c r="BN146" s="141"/>
      <c r="BO146" s="142"/>
      <c r="BQ146" s="141"/>
      <c r="BR146" s="142"/>
      <c r="BT146" s="141"/>
      <c r="BU146" s="142"/>
      <c r="BW146" s="141"/>
      <c r="BX146" s="142"/>
      <c r="BZ146" s="141"/>
      <c r="CA146" s="142"/>
      <c r="CC146" s="141"/>
      <c r="CD146" s="142"/>
      <c r="CF146" s="141"/>
      <c r="CG146" s="142"/>
      <c r="CI146" s="141"/>
      <c r="CJ146" s="142"/>
      <c r="CL146" s="141"/>
      <c r="CM146" s="142"/>
      <c r="CO146" s="141"/>
      <c r="CP146" s="142"/>
      <c r="CR146" s="141"/>
      <c r="CS146" s="142"/>
      <c r="CU146" s="141"/>
      <c r="CV146" s="142"/>
      <c r="CX146" s="141"/>
      <c r="CY146" s="142"/>
      <c r="DA146" s="141"/>
      <c r="DB146" s="142"/>
      <c r="DD146" s="141"/>
      <c r="DE146" s="142"/>
      <c r="DG146" s="141"/>
      <c r="DH146" s="142"/>
      <c r="DJ146" s="141"/>
      <c r="DK146" s="142"/>
      <c r="DM146" s="141"/>
      <c r="DN146" s="142"/>
      <c r="DP146" s="141"/>
      <c r="DQ146" s="142"/>
      <c r="DS146" s="141"/>
      <c r="DT146" s="142"/>
      <c r="DV146" s="141"/>
      <c r="DW146" s="142"/>
      <c r="DY146" s="141"/>
      <c r="DZ146" s="142"/>
      <c r="EB146" s="141"/>
      <c r="EC146" s="142"/>
      <c r="EE146" s="141"/>
      <c r="EF146" s="142"/>
      <c r="EH146" s="141"/>
      <c r="EI146" s="142"/>
      <c r="EK146" s="141"/>
    </row>
    <row r="147" spans="1:141" s="80" customFormat="1" ht="14.25" hidden="1" customHeight="1">
      <c r="A147" s="30">
        <v>114</v>
      </c>
      <c r="B147" s="147"/>
      <c r="C147" s="144"/>
      <c r="D147" s="146"/>
      <c r="E147" s="145"/>
      <c r="F147" s="144"/>
      <c r="G147" s="82">
        <f t="shared" si="280"/>
        <v>0</v>
      </c>
      <c r="H147" s="81">
        <f t="shared" si="281"/>
        <v>0</v>
      </c>
      <c r="I147" s="19">
        <f t="shared" si="282"/>
        <v>0</v>
      </c>
      <c r="J147" s="11">
        <f t="shared" si="283"/>
        <v>0</v>
      </c>
      <c r="K147" s="19">
        <f t="shared" si="284"/>
        <v>0</v>
      </c>
      <c r="L147" s="19">
        <f t="shared" si="285"/>
        <v>0</v>
      </c>
      <c r="M147" s="19">
        <f t="shared" si="286"/>
        <v>0</v>
      </c>
      <c r="N147" s="19">
        <f t="shared" si="287"/>
        <v>0</v>
      </c>
      <c r="O147" s="19">
        <f t="shared" si="288"/>
        <v>0</v>
      </c>
      <c r="P147" s="19">
        <f t="shared" si="289"/>
        <v>0</v>
      </c>
      <c r="Q147" s="19">
        <f t="shared" si="290"/>
        <v>0</v>
      </c>
      <c r="R147" s="19">
        <f t="shared" si="291"/>
        <v>0</v>
      </c>
      <c r="S147" s="19">
        <f t="shared" si="292"/>
        <v>0</v>
      </c>
      <c r="T147" s="19">
        <f t="shared" si="293"/>
        <v>0</v>
      </c>
      <c r="U147" s="19">
        <f t="shared" si="294"/>
        <v>0</v>
      </c>
      <c r="V147" s="19">
        <f t="shared" si="295"/>
        <v>0</v>
      </c>
      <c r="W147" s="19">
        <f t="shared" si="296"/>
        <v>0</v>
      </c>
      <c r="X147" s="19">
        <f t="shared" si="297"/>
        <v>0</v>
      </c>
      <c r="Y147" s="19">
        <f t="shared" si="298"/>
        <v>0</v>
      </c>
      <c r="Z147" s="19">
        <f t="shared" si="299"/>
        <v>0</v>
      </c>
      <c r="AA147" s="143"/>
      <c r="AB147" s="17" t="e">
        <f>+H147*SUMIF('[1]KẾ HOẠCH'!$B$5:$CK$5,'Cắt lồng'!AA147,'[1]KẾ HOẠCH'!$B$6:$CK$6)+H147*SUMIF('[1]KẾ HOẠCH'!$B$7:$CK$7,'Cắt lồng'!AA147,'[1]KẾ HOẠCH'!$B$8:$CK$8)+H147*SUMIF('[1]KẾ HOẠCH'!$B$15:$CK$15,'Cắt lồng'!AA147,'[1]KẾ HOẠCH'!$B$16:$CK$16)</f>
        <v>#VALUE!</v>
      </c>
      <c r="AC147" s="16">
        <f t="shared" si="300"/>
        <v>0</v>
      </c>
      <c r="AD147" s="15" t="e">
        <f t="shared" si="301"/>
        <v>#VALUE!</v>
      </c>
      <c r="AE147" s="42"/>
      <c r="AF147" s="112" t="e">
        <f t="shared" si="302"/>
        <v>#DIV/0!</v>
      </c>
      <c r="AG147" s="112"/>
      <c r="AH147" s="112">
        <f t="shared" si="303"/>
        <v>0</v>
      </c>
      <c r="AI147" s="111" t="e">
        <f t="shared" si="304"/>
        <v>#DIV/0!</v>
      </c>
      <c r="AJ147" s="30">
        <f t="shared" si="305"/>
        <v>0</v>
      </c>
      <c r="AK147" s="30">
        <f t="shared" si="306"/>
        <v>0</v>
      </c>
      <c r="AL147" s="30">
        <f t="shared" si="307"/>
        <v>0</v>
      </c>
      <c r="AM147" s="30">
        <f t="shared" si="308"/>
        <v>0</v>
      </c>
      <c r="AN147" s="30">
        <f t="shared" si="309"/>
        <v>0</v>
      </c>
      <c r="AO147" s="30">
        <f t="shared" si="310"/>
        <v>0</v>
      </c>
      <c r="AP147" s="30">
        <f t="shared" si="311"/>
        <v>0</v>
      </c>
      <c r="AQ147" s="30">
        <f t="shared" si="312"/>
        <v>0</v>
      </c>
      <c r="AR147" s="25">
        <f t="shared" si="313"/>
        <v>0</v>
      </c>
      <c r="AS147" s="25">
        <f t="shared" si="314"/>
        <v>0</v>
      </c>
      <c r="AT147" s="30">
        <f t="shared" si="315"/>
        <v>0</v>
      </c>
      <c r="AW147" s="151"/>
      <c r="AX147" s="149"/>
      <c r="AY147" s="150"/>
      <c r="AZ147" s="149"/>
      <c r="BA147" s="149"/>
      <c r="BB147" s="150"/>
      <c r="BC147" s="149"/>
      <c r="BD147" s="149"/>
      <c r="BE147" s="148"/>
      <c r="BF147" s="142"/>
      <c r="BH147" s="141"/>
      <c r="BI147" s="142"/>
      <c r="BK147" s="141"/>
      <c r="BL147" s="142"/>
      <c r="BN147" s="141"/>
      <c r="BO147" s="142"/>
      <c r="BQ147" s="141"/>
      <c r="BR147" s="142"/>
      <c r="BT147" s="141"/>
      <c r="BU147" s="142"/>
      <c r="BW147" s="141"/>
      <c r="BX147" s="142"/>
      <c r="BZ147" s="141"/>
      <c r="CA147" s="142"/>
      <c r="CC147" s="141"/>
      <c r="CD147" s="142"/>
      <c r="CF147" s="141"/>
      <c r="CG147" s="142"/>
      <c r="CI147" s="141"/>
      <c r="CJ147" s="142"/>
      <c r="CL147" s="141"/>
      <c r="CM147" s="142"/>
      <c r="CO147" s="141"/>
      <c r="CP147" s="142"/>
      <c r="CR147" s="141"/>
      <c r="CS147" s="142"/>
      <c r="CU147" s="141"/>
      <c r="CV147" s="142"/>
      <c r="CX147" s="141"/>
      <c r="CY147" s="142"/>
      <c r="DA147" s="141"/>
      <c r="DB147" s="142"/>
      <c r="DD147" s="141"/>
      <c r="DE147" s="142"/>
      <c r="DG147" s="141"/>
      <c r="DH147" s="142"/>
      <c r="DJ147" s="141"/>
      <c r="DK147" s="142"/>
      <c r="DM147" s="141"/>
      <c r="DN147" s="142"/>
      <c r="DP147" s="141"/>
      <c r="DQ147" s="142"/>
      <c r="DS147" s="141"/>
      <c r="DT147" s="142"/>
      <c r="DV147" s="141"/>
      <c r="DW147" s="142"/>
      <c r="DY147" s="141"/>
      <c r="DZ147" s="142"/>
      <c r="EB147" s="141"/>
      <c r="EC147" s="142"/>
      <c r="EE147" s="141"/>
      <c r="EF147" s="142"/>
      <c r="EH147" s="141"/>
      <c r="EI147" s="142"/>
      <c r="EK147" s="141"/>
    </row>
    <row r="148" spans="1:141" s="80" customFormat="1" ht="14.25" hidden="1" customHeight="1">
      <c r="A148" s="30">
        <v>115</v>
      </c>
      <c r="B148" s="147"/>
      <c r="C148" s="144"/>
      <c r="D148" s="146"/>
      <c r="E148" s="145"/>
      <c r="F148" s="144"/>
      <c r="G148" s="82">
        <f t="shared" si="280"/>
        <v>0</v>
      </c>
      <c r="H148" s="81">
        <f t="shared" si="281"/>
        <v>0</v>
      </c>
      <c r="I148" s="19">
        <f t="shared" si="282"/>
        <v>0</v>
      </c>
      <c r="J148" s="11">
        <f t="shared" si="283"/>
        <v>0</v>
      </c>
      <c r="K148" s="19">
        <f t="shared" si="284"/>
        <v>0</v>
      </c>
      <c r="L148" s="19">
        <f t="shared" si="285"/>
        <v>0</v>
      </c>
      <c r="M148" s="19">
        <f t="shared" si="286"/>
        <v>0</v>
      </c>
      <c r="N148" s="19">
        <f t="shared" si="287"/>
        <v>0</v>
      </c>
      <c r="O148" s="19">
        <f t="shared" si="288"/>
        <v>0</v>
      </c>
      <c r="P148" s="19">
        <f t="shared" si="289"/>
        <v>0</v>
      </c>
      <c r="Q148" s="19">
        <f t="shared" si="290"/>
        <v>0</v>
      </c>
      <c r="R148" s="19">
        <f t="shared" si="291"/>
        <v>0</v>
      </c>
      <c r="S148" s="19">
        <f t="shared" si="292"/>
        <v>0</v>
      </c>
      <c r="T148" s="19">
        <f t="shared" si="293"/>
        <v>0</v>
      </c>
      <c r="U148" s="19">
        <f t="shared" si="294"/>
        <v>0</v>
      </c>
      <c r="V148" s="19">
        <f t="shared" si="295"/>
        <v>0</v>
      </c>
      <c r="W148" s="19">
        <f t="shared" si="296"/>
        <v>0</v>
      </c>
      <c r="X148" s="19">
        <f t="shared" si="297"/>
        <v>0</v>
      </c>
      <c r="Y148" s="19">
        <f t="shared" si="298"/>
        <v>0</v>
      </c>
      <c r="Z148" s="19">
        <f t="shared" si="299"/>
        <v>0</v>
      </c>
      <c r="AA148" s="143"/>
      <c r="AB148" s="17" t="e">
        <f>+H148*SUMIF('[1]KẾ HOẠCH'!$B$5:$CK$5,'Cắt lồng'!AA148,'[1]KẾ HOẠCH'!$B$6:$CK$6)+H148*SUMIF('[1]KẾ HOẠCH'!$B$7:$CK$7,'Cắt lồng'!AA148,'[1]KẾ HOẠCH'!$B$8:$CK$8)+H148*SUMIF('[1]KẾ HOẠCH'!$B$15:$CK$15,'Cắt lồng'!AA148,'[1]KẾ HOẠCH'!$B$16:$CK$16)</f>
        <v>#VALUE!</v>
      </c>
      <c r="AC148" s="16">
        <f t="shared" si="300"/>
        <v>0</v>
      </c>
      <c r="AD148" s="15" t="e">
        <f t="shared" si="301"/>
        <v>#VALUE!</v>
      </c>
      <c r="AE148" s="42"/>
      <c r="AF148" s="112" t="e">
        <f t="shared" si="302"/>
        <v>#DIV/0!</v>
      </c>
      <c r="AG148" s="112"/>
      <c r="AH148" s="112">
        <f t="shared" si="303"/>
        <v>0</v>
      </c>
      <c r="AI148" s="111" t="e">
        <f t="shared" si="304"/>
        <v>#DIV/0!</v>
      </c>
      <c r="AJ148" s="30">
        <f t="shared" si="305"/>
        <v>0</v>
      </c>
      <c r="AK148" s="30">
        <f t="shared" si="306"/>
        <v>0</v>
      </c>
      <c r="AL148" s="30">
        <f t="shared" si="307"/>
        <v>0</v>
      </c>
      <c r="AM148" s="30">
        <f t="shared" si="308"/>
        <v>0</v>
      </c>
      <c r="AN148" s="30">
        <f t="shared" si="309"/>
        <v>0</v>
      </c>
      <c r="AO148" s="30">
        <f t="shared" si="310"/>
        <v>0</v>
      </c>
      <c r="AP148" s="30">
        <f t="shared" si="311"/>
        <v>0</v>
      </c>
      <c r="AQ148" s="30">
        <f t="shared" si="312"/>
        <v>0</v>
      </c>
      <c r="AR148" s="25">
        <f t="shared" si="313"/>
        <v>0</v>
      </c>
      <c r="AS148" s="25">
        <f t="shared" si="314"/>
        <v>0</v>
      </c>
      <c r="AT148" s="30">
        <f t="shared" si="315"/>
        <v>0</v>
      </c>
      <c r="AW148" s="151"/>
      <c r="AX148" s="149"/>
      <c r="AY148" s="150"/>
      <c r="AZ148" s="149"/>
      <c r="BA148" s="149"/>
      <c r="BB148" s="150"/>
      <c r="BC148" s="149"/>
      <c r="BD148" s="149"/>
      <c r="BE148" s="148"/>
      <c r="BF148" s="142"/>
      <c r="BH148" s="141"/>
      <c r="BI148" s="142"/>
      <c r="BK148" s="141"/>
      <c r="BL148" s="142"/>
      <c r="BN148" s="141"/>
      <c r="BO148" s="142"/>
      <c r="BQ148" s="141"/>
      <c r="BR148" s="142"/>
      <c r="BT148" s="141"/>
      <c r="BU148" s="142"/>
      <c r="BW148" s="141"/>
      <c r="BX148" s="142"/>
      <c r="BZ148" s="141"/>
      <c r="CA148" s="142"/>
      <c r="CC148" s="141"/>
      <c r="CD148" s="142"/>
      <c r="CF148" s="141"/>
      <c r="CG148" s="142"/>
      <c r="CI148" s="141"/>
      <c r="CJ148" s="142"/>
      <c r="CL148" s="141"/>
      <c r="CM148" s="142"/>
      <c r="CO148" s="141"/>
      <c r="CP148" s="142"/>
      <c r="CR148" s="141"/>
      <c r="CS148" s="142"/>
      <c r="CU148" s="141"/>
      <c r="CV148" s="142"/>
      <c r="CX148" s="141"/>
      <c r="CY148" s="142"/>
      <c r="DA148" s="141"/>
      <c r="DB148" s="142"/>
      <c r="DD148" s="141"/>
      <c r="DE148" s="142"/>
      <c r="DG148" s="141"/>
      <c r="DH148" s="142"/>
      <c r="DJ148" s="141"/>
      <c r="DK148" s="142"/>
      <c r="DM148" s="141"/>
      <c r="DN148" s="142"/>
      <c r="DP148" s="141"/>
      <c r="DQ148" s="142"/>
      <c r="DS148" s="141"/>
      <c r="DT148" s="142"/>
      <c r="DV148" s="141"/>
      <c r="DW148" s="142"/>
      <c r="DY148" s="141"/>
      <c r="DZ148" s="142"/>
      <c r="EB148" s="141"/>
      <c r="EC148" s="142"/>
      <c r="EE148" s="141"/>
      <c r="EF148" s="142"/>
      <c r="EH148" s="141"/>
      <c r="EI148" s="142"/>
      <c r="EK148" s="141"/>
    </row>
    <row r="149" spans="1:141" s="80" customFormat="1" ht="14.25" hidden="1" customHeight="1">
      <c r="A149" s="30">
        <v>116</v>
      </c>
      <c r="B149" s="147"/>
      <c r="C149" s="144"/>
      <c r="D149" s="146"/>
      <c r="E149" s="145"/>
      <c r="F149" s="144"/>
      <c r="G149" s="82">
        <f t="shared" si="280"/>
        <v>0</v>
      </c>
      <c r="H149" s="81">
        <f t="shared" si="281"/>
        <v>0</v>
      </c>
      <c r="I149" s="19">
        <f t="shared" si="282"/>
        <v>0</v>
      </c>
      <c r="J149" s="11">
        <f t="shared" si="283"/>
        <v>0</v>
      </c>
      <c r="K149" s="19">
        <f t="shared" si="284"/>
        <v>0</v>
      </c>
      <c r="L149" s="19">
        <f t="shared" si="285"/>
        <v>0</v>
      </c>
      <c r="M149" s="19">
        <f t="shared" si="286"/>
        <v>0</v>
      </c>
      <c r="N149" s="19">
        <f t="shared" si="287"/>
        <v>0</v>
      </c>
      <c r="O149" s="19">
        <f t="shared" si="288"/>
        <v>0</v>
      </c>
      <c r="P149" s="19">
        <f t="shared" si="289"/>
        <v>0</v>
      </c>
      <c r="Q149" s="19">
        <f t="shared" si="290"/>
        <v>0</v>
      </c>
      <c r="R149" s="19">
        <f t="shared" si="291"/>
        <v>0</v>
      </c>
      <c r="S149" s="19">
        <f t="shared" si="292"/>
        <v>0</v>
      </c>
      <c r="T149" s="19">
        <f t="shared" si="293"/>
        <v>0</v>
      </c>
      <c r="U149" s="19">
        <f t="shared" si="294"/>
        <v>0</v>
      </c>
      <c r="V149" s="19">
        <f t="shared" si="295"/>
        <v>0</v>
      </c>
      <c r="W149" s="19">
        <f t="shared" si="296"/>
        <v>0</v>
      </c>
      <c r="X149" s="19">
        <f t="shared" si="297"/>
        <v>0</v>
      </c>
      <c r="Y149" s="19">
        <f t="shared" si="298"/>
        <v>0</v>
      </c>
      <c r="Z149" s="19">
        <f t="shared" si="299"/>
        <v>0</v>
      </c>
      <c r="AA149" s="143"/>
      <c r="AB149" s="17" t="e">
        <f>+H149*SUMIF('[1]KẾ HOẠCH'!$B$5:$CK$5,'Cắt lồng'!AA149,'[1]KẾ HOẠCH'!$B$6:$CK$6)+H149*SUMIF('[1]KẾ HOẠCH'!$B$7:$CK$7,'Cắt lồng'!AA149,'[1]KẾ HOẠCH'!$B$8:$CK$8)+H149*SUMIF('[1]KẾ HOẠCH'!$B$15:$CK$15,'Cắt lồng'!AA149,'[1]KẾ HOẠCH'!$B$16:$CK$16)</f>
        <v>#VALUE!</v>
      </c>
      <c r="AC149" s="16">
        <f t="shared" si="300"/>
        <v>0</v>
      </c>
      <c r="AD149" s="15" t="e">
        <f t="shared" si="301"/>
        <v>#VALUE!</v>
      </c>
      <c r="AE149" s="42"/>
      <c r="AF149" s="112" t="e">
        <f t="shared" si="302"/>
        <v>#DIV/0!</v>
      </c>
      <c r="AG149" s="112"/>
      <c r="AH149" s="112">
        <f t="shared" si="303"/>
        <v>0</v>
      </c>
      <c r="AI149" s="111" t="e">
        <f t="shared" si="304"/>
        <v>#DIV/0!</v>
      </c>
      <c r="AJ149" s="30">
        <f t="shared" si="305"/>
        <v>0</v>
      </c>
      <c r="AK149" s="30">
        <f t="shared" si="306"/>
        <v>0</v>
      </c>
      <c r="AL149" s="30">
        <f t="shared" si="307"/>
        <v>0</v>
      </c>
      <c r="AM149" s="30">
        <f t="shared" si="308"/>
        <v>0</v>
      </c>
      <c r="AN149" s="30">
        <f t="shared" si="309"/>
        <v>0</v>
      </c>
      <c r="AO149" s="30">
        <f t="shared" si="310"/>
        <v>0</v>
      </c>
      <c r="AP149" s="30">
        <f t="shared" si="311"/>
        <v>0</v>
      </c>
      <c r="AQ149" s="30">
        <f t="shared" si="312"/>
        <v>0</v>
      </c>
      <c r="AR149" s="25">
        <f t="shared" si="313"/>
        <v>0</v>
      </c>
      <c r="AS149" s="25">
        <f t="shared" si="314"/>
        <v>0</v>
      </c>
      <c r="AT149" s="30">
        <f t="shared" si="315"/>
        <v>0</v>
      </c>
      <c r="AW149" s="151"/>
      <c r="AX149" s="149"/>
      <c r="AY149" s="150"/>
      <c r="AZ149" s="149"/>
      <c r="BA149" s="149"/>
      <c r="BB149" s="150"/>
      <c r="BC149" s="149"/>
      <c r="BD149" s="149"/>
      <c r="BE149" s="148"/>
      <c r="BF149" s="142"/>
      <c r="BH149" s="141"/>
      <c r="BI149" s="142"/>
      <c r="BK149" s="141"/>
      <c r="BL149" s="142"/>
      <c r="BN149" s="141"/>
      <c r="BO149" s="142"/>
      <c r="BQ149" s="141"/>
      <c r="BR149" s="142"/>
      <c r="BT149" s="141"/>
      <c r="BU149" s="142"/>
      <c r="BW149" s="141"/>
      <c r="BX149" s="142"/>
      <c r="BZ149" s="141"/>
      <c r="CA149" s="142"/>
      <c r="CC149" s="141"/>
      <c r="CD149" s="142"/>
      <c r="CF149" s="141"/>
      <c r="CG149" s="142"/>
      <c r="CI149" s="141"/>
      <c r="CJ149" s="142"/>
      <c r="CL149" s="141"/>
      <c r="CM149" s="142"/>
      <c r="CO149" s="141"/>
      <c r="CP149" s="142"/>
      <c r="CR149" s="141"/>
      <c r="CS149" s="142"/>
      <c r="CU149" s="141"/>
      <c r="CV149" s="142"/>
      <c r="CX149" s="141"/>
      <c r="CY149" s="142"/>
      <c r="DA149" s="141"/>
      <c r="DB149" s="142"/>
      <c r="DD149" s="141"/>
      <c r="DE149" s="142"/>
      <c r="DG149" s="141"/>
      <c r="DH149" s="142"/>
      <c r="DJ149" s="141"/>
      <c r="DK149" s="142"/>
      <c r="DM149" s="141"/>
      <c r="DN149" s="142"/>
      <c r="DP149" s="141"/>
      <c r="DQ149" s="142"/>
      <c r="DS149" s="141"/>
      <c r="DT149" s="142"/>
      <c r="DV149" s="141"/>
      <c r="DW149" s="142"/>
      <c r="DY149" s="141"/>
      <c r="DZ149" s="142"/>
      <c r="EB149" s="141"/>
      <c r="EC149" s="142"/>
      <c r="EE149" s="141"/>
      <c r="EF149" s="142"/>
      <c r="EH149" s="141"/>
      <c r="EI149" s="142"/>
      <c r="EK149" s="141"/>
    </row>
    <row r="150" spans="1:141" s="80" customFormat="1" ht="14.25" hidden="1" customHeight="1">
      <c r="A150" s="30">
        <v>117</v>
      </c>
      <c r="B150" s="147"/>
      <c r="C150" s="144"/>
      <c r="D150" s="146"/>
      <c r="E150" s="145"/>
      <c r="F150" s="144"/>
      <c r="G150" s="82">
        <f t="shared" si="280"/>
        <v>0</v>
      </c>
      <c r="H150" s="81">
        <f t="shared" si="281"/>
        <v>0</v>
      </c>
      <c r="I150" s="19">
        <f t="shared" si="282"/>
        <v>0</v>
      </c>
      <c r="J150" s="11">
        <f t="shared" si="283"/>
        <v>0</v>
      </c>
      <c r="K150" s="19">
        <f t="shared" si="284"/>
        <v>0</v>
      </c>
      <c r="L150" s="19">
        <f t="shared" si="285"/>
        <v>0</v>
      </c>
      <c r="M150" s="19">
        <f t="shared" si="286"/>
        <v>0</v>
      </c>
      <c r="N150" s="19">
        <f t="shared" si="287"/>
        <v>0</v>
      </c>
      <c r="O150" s="19">
        <f t="shared" si="288"/>
        <v>0</v>
      </c>
      <c r="P150" s="19">
        <f t="shared" si="289"/>
        <v>0</v>
      </c>
      <c r="Q150" s="19">
        <f t="shared" si="290"/>
        <v>0</v>
      </c>
      <c r="R150" s="19">
        <f t="shared" si="291"/>
        <v>0</v>
      </c>
      <c r="S150" s="19">
        <f t="shared" si="292"/>
        <v>0</v>
      </c>
      <c r="T150" s="19">
        <f t="shared" si="293"/>
        <v>0</v>
      </c>
      <c r="U150" s="19">
        <f t="shared" si="294"/>
        <v>0</v>
      </c>
      <c r="V150" s="19">
        <f t="shared" si="295"/>
        <v>0</v>
      </c>
      <c r="W150" s="19">
        <f t="shared" si="296"/>
        <v>0</v>
      </c>
      <c r="X150" s="19">
        <f t="shared" si="297"/>
        <v>0</v>
      </c>
      <c r="Y150" s="19">
        <f t="shared" si="298"/>
        <v>0</v>
      </c>
      <c r="Z150" s="19">
        <f t="shared" si="299"/>
        <v>0</v>
      </c>
      <c r="AA150" s="143"/>
      <c r="AB150" s="17" t="e">
        <f>+H150*SUMIF('[1]KẾ HOẠCH'!$B$5:$CK$5,'Cắt lồng'!AA150,'[1]KẾ HOẠCH'!$B$6:$CK$6)+H150*SUMIF('[1]KẾ HOẠCH'!$B$7:$CK$7,'Cắt lồng'!AA150,'[1]KẾ HOẠCH'!$B$8:$CK$8)+H150*SUMIF('[1]KẾ HOẠCH'!$B$15:$CK$15,'Cắt lồng'!AA150,'[1]KẾ HOẠCH'!$B$16:$CK$16)</f>
        <v>#VALUE!</v>
      </c>
      <c r="AC150" s="16">
        <f t="shared" si="300"/>
        <v>0</v>
      </c>
      <c r="AD150" s="15" t="e">
        <f t="shared" si="301"/>
        <v>#VALUE!</v>
      </c>
      <c r="AE150" s="42"/>
      <c r="AF150" s="112" t="e">
        <f t="shared" si="302"/>
        <v>#DIV/0!</v>
      </c>
      <c r="AG150" s="112"/>
      <c r="AH150" s="112">
        <f t="shared" si="303"/>
        <v>0</v>
      </c>
      <c r="AI150" s="111" t="e">
        <f t="shared" si="304"/>
        <v>#DIV/0!</v>
      </c>
      <c r="AJ150" s="30">
        <f t="shared" si="305"/>
        <v>0</v>
      </c>
      <c r="AK150" s="30">
        <f t="shared" si="306"/>
        <v>0</v>
      </c>
      <c r="AL150" s="30">
        <f t="shared" si="307"/>
        <v>0</v>
      </c>
      <c r="AM150" s="30">
        <f t="shared" si="308"/>
        <v>0</v>
      </c>
      <c r="AN150" s="30">
        <f t="shared" si="309"/>
        <v>0</v>
      </c>
      <c r="AO150" s="30">
        <f t="shared" si="310"/>
        <v>0</v>
      </c>
      <c r="AP150" s="30">
        <f t="shared" si="311"/>
        <v>0</v>
      </c>
      <c r="AQ150" s="30">
        <f t="shared" si="312"/>
        <v>0</v>
      </c>
      <c r="AR150" s="25">
        <f t="shared" si="313"/>
        <v>0</v>
      </c>
      <c r="AS150" s="25">
        <f t="shared" si="314"/>
        <v>0</v>
      </c>
      <c r="AT150" s="30">
        <f t="shared" si="315"/>
        <v>0</v>
      </c>
      <c r="AW150" s="151"/>
      <c r="AX150" s="149"/>
      <c r="AY150" s="150"/>
      <c r="AZ150" s="149"/>
      <c r="BA150" s="149"/>
      <c r="BB150" s="150"/>
      <c r="BC150" s="149"/>
      <c r="BD150" s="149"/>
      <c r="BE150" s="148"/>
      <c r="BF150" s="142"/>
      <c r="BH150" s="141"/>
      <c r="BI150" s="142"/>
      <c r="BK150" s="141"/>
      <c r="BL150" s="142"/>
      <c r="BN150" s="141"/>
      <c r="BO150" s="142"/>
      <c r="BQ150" s="141"/>
      <c r="BR150" s="142"/>
      <c r="BT150" s="141"/>
      <c r="BU150" s="142"/>
      <c r="BW150" s="141"/>
      <c r="BX150" s="142"/>
      <c r="BZ150" s="141"/>
      <c r="CA150" s="142"/>
      <c r="CC150" s="141"/>
      <c r="CD150" s="142"/>
      <c r="CF150" s="141"/>
      <c r="CG150" s="142"/>
      <c r="CI150" s="141"/>
      <c r="CJ150" s="142"/>
      <c r="CL150" s="141"/>
      <c r="CM150" s="142"/>
      <c r="CO150" s="141"/>
      <c r="CP150" s="142"/>
      <c r="CR150" s="141"/>
      <c r="CS150" s="142"/>
      <c r="CU150" s="141"/>
      <c r="CV150" s="142"/>
      <c r="CX150" s="141"/>
      <c r="CY150" s="142"/>
      <c r="DA150" s="141"/>
      <c r="DB150" s="142"/>
      <c r="DD150" s="141"/>
      <c r="DE150" s="142"/>
      <c r="DG150" s="141"/>
      <c r="DH150" s="142"/>
      <c r="DJ150" s="141"/>
      <c r="DK150" s="142"/>
      <c r="DM150" s="141"/>
      <c r="DN150" s="142"/>
      <c r="DP150" s="141"/>
      <c r="DQ150" s="142"/>
      <c r="DS150" s="141"/>
      <c r="DT150" s="142"/>
      <c r="DV150" s="141"/>
      <c r="DW150" s="142"/>
      <c r="DY150" s="141"/>
      <c r="DZ150" s="142"/>
      <c r="EB150" s="141"/>
      <c r="EC150" s="142"/>
      <c r="EE150" s="141"/>
      <c r="EF150" s="142"/>
      <c r="EH150" s="141"/>
      <c r="EI150" s="142"/>
      <c r="EK150" s="141"/>
    </row>
    <row r="151" spans="1:141" s="12" customFormat="1" ht="14.25" hidden="1" customHeight="1">
      <c r="A151" s="30">
        <v>118</v>
      </c>
      <c r="B151" s="147"/>
      <c r="C151" s="144"/>
      <c r="D151" s="146"/>
      <c r="E151" s="145"/>
      <c r="F151" s="144"/>
      <c r="G151" s="82">
        <f t="shared" si="280"/>
        <v>0</v>
      </c>
      <c r="H151" s="81">
        <f t="shared" si="281"/>
        <v>0</v>
      </c>
      <c r="I151" s="19">
        <f t="shared" si="282"/>
        <v>0</v>
      </c>
      <c r="J151" s="11">
        <f t="shared" si="283"/>
        <v>0</v>
      </c>
      <c r="K151" s="19">
        <f t="shared" si="284"/>
        <v>0</v>
      </c>
      <c r="L151" s="19">
        <f t="shared" si="285"/>
        <v>0</v>
      </c>
      <c r="M151" s="19">
        <f t="shared" si="286"/>
        <v>0</v>
      </c>
      <c r="N151" s="19">
        <f t="shared" si="287"/>
        <v>0</v>
      </c>
      <c r="O151" s="19">
        <f t="shared" si="288"/>
        <v>0</v>
      </c>
      <c r="P151" s="19">
        <f t="shared" si="289"/>
        <v>0</v>
      </c>
      <c r="Q151" s="19">
        <f t="shared" si="290"/>
        <v>0</v>
      </c>
      <c r="R151" s="19">
        <f t="shared" si="291"/>
        <v>0</v>
      </c>
      <c r="S151" s="19">
        <f t="shared" si="292"/>
        <v>0</v>
      </c>
      <c r="T151" s="19">
        <f t="shared" si="293"/>
        <v>0</v>
      </c>
      <c r="U151" s="19">
        <f t="shared" si="294"/>
        <v>0</v>
      </c>
      <c r="V151" s="19">
        <f t="shared" si="295"/>
        <v>0</v>
      </c>
      <c r="W151" s="19">
        <f t="shared" si="296"/>
        <v>0</v>
      </c>
      <c r="X151" s="19">
        <f t="shared" si="297"/>
        <v>0</v>
      </c>
      <c r="Y151" s="19">
        <f t="shared" si="298"/>
        <v>0</v>
      </c>
      <c r="Z151" s="19">
        <f t="shared" si="299"/>
        <v>0</v>
      </c>
      <c r="AA151" s="143"/>
      <c r="AB151" s="17" t="e">
        <f>+H151*SUMIF('[1]KẾ HOẠCH'!$B$5:$CK$5,'Cắt lồng'!AA151,'[1]KẾ HOẠCH'!$B$6:$CK$6)+H151*SUMIF('[1]KẾ HOẠCH'!$B$7:$CK$7,'Cắt lồng'!AA151,'[1]KẾ HOẠCH'!$B$8:$CK$8)+H151*SUMIF('[1]KẾ HOẠCH'!$B$15:$CK$15,'Cắt lồng'!AA151,'[1]KẾ HOẠCH'!$B$16:$CK$16)</f>
        <v>#VALUE!</v>
      </c>
      <c r="AC151" s="16">
        <f t="shared" si="300"/>
        <v>0</v>
      </c>
      <c r="AD151" s="15" t="e">
        <f t="shared" si="301"/>
        <v>#VALUE!</v>
      </c>
      <c r="AE151" s="42"/>
      <c r="AF151" s="112" t="e">
        <f t="shared" si="302"/>
        <v>#DIV/0!</v>
      </c>
      <c r="AG151" s="112"/>
      <c r="AH151" s="112">
        <f t="shared" si="303"/>
        <v>0</v>
      </c>
      <c r="AI151" s="111" t="e">
        <f t="shared" si="304"/>
        <v>#DIV/0!</v>
      </c>
      <c r="AJ151" s="30">
        <f t="shared" si="305"/>
        <v>0</v>
      </c>
      <c r="AK151" s="30">
        <f t="shared" si="306"/>
        <v>0</v>
      </c>
      <c r="AL151" s="30">
        <f t="shared" si="307"/>
        <v>0</v>
      </c>
      <c r="AM151" s="30">
        <f t="shared" si="308"/>
        <v>0</v>
      </c>
      <c r="AN151" s="30">
        <f t="shared" si="309"/>
        <v>0</v>
      </c>
      <c r="AO151" s="30">
        <f t="shared" si="310"/>
        <v>0</v>
      </c>
      <c r="AP151" s="30">
        <f t="shared" si="311"/>
        <v>0</v>
      </c>
      <c r="AQ151" s="30">
        <f t="shared" si="312"/>
        <v>0</v>
      </c>
      <c r="AR151" s="25">
        <f t="shared" si="313"/>
        <v>0</v>
      </c>
      <c r="AS151" s="25">
        <f t="shared" si="314"/>
        <v>0</v>
      </c>
      <c r="AT151" s="30">
        <f t="shared" si="315"/>
        <v>0</v>
      </c>
      <c r="AW151" s="227" t="s">
        <v>217</v>
      </c>
      <c r="AX151" s="228"/>
      <c r="AY151" s="228"/>
      <c r="AZ151" s="228"/>
      <c r="BA151" s="228"/>
      <c r="BB151" s="228"/>
      <c r="BC151" s="228"/>
      <c r="BD151" s="228"/>
      <c r="BE151" s="229"/>
      <c r="BF151" s="142"/>
      <c r="BG151" s="80"/>
      <c r="BH151" s="141"/>
      <c r="BI151" s="142"/>
      <c r="BJ151" s="80"/>
      <c r="BK151" s="141"/>
      <c r="BL151" s="142"/>
      <c r="BM151" s="80"/>
      <c r="BN151" s="141"/>
      <c r="BO151" s="142"/>
      <c r="BP151" s="80"/>
      <c r="BQ151" s="141"/>
      <c r="BR151" s="142"/>
      <c r="BS151" s="80"/>
      <c r="BT151" s="141"/>
      <c r="BU151" s="142"/>
      <c r="BV151" s="80"/>
      <c r="BW151" s="141"/>
      <c r="BX151" s="142"/>
      <c r="BY151" s="80"/>
      <c r="BZ151" s="141"/>
      <c r="CA151" s="142"/>
      <c r="CB151" s="80"/>
      <c r="CC151" s="141"/>
      <c r="CD151" s="142"/>
      <c r="CE151" s="80"/>
      <c r="CF151" s="141"/>
      <c r="CG151" s="142"/>
      <c r="CH151" s="80"/>
      <c r="CI151" s="141"/>
      <c r="CJ151" s="142"/>
      <c r="CK151" s="80"/>
      <c r="CL151" s="141"/>
      <c r="CM151" s="142"/>
      <c r="CN151" s="80"/>
      <c r="CO151" s="141"/>
      <c r="CP151" s="142"/>
      <c r="CQ151" s="80"/>
      <c r="CR151" s="141"/>
      <c r="CS151" s="142"/>
      <c r="CT151" s="80"/>
      <c r="CU151" s="141"/>
      <c r="CV151" s="142"/>
      <c r="CW151" s="80"/>
      <c r="CX151" s="141"/>
      <c r="CY151" s="142"/>
      <c r="CZ151" s="80"/>
      <c r="DA151" s="141"/>
      <c r="DB151" s="142"/>
      <c r="DC151" s="80"/>
      <c r="DD151" s="141"/>
      <c r="DE151" s="142"/>
      <c r="DF151" s="80"/>
      <c r="DG151" s="141"/>
      <c r="DH151" s="142"/>
      <c r="DI151" s="80"/>
      <c r="DJ151" s="141"/>
      <c r="DK151" s="142"/>
      <c r="DL151" s="80"/>
      <c r="DM151" s="141"/>
      <c r="DN151" s="142"/>
      <c r="DO151" s="80"/>
      <c r="DP151" s="141"/>
      <c r="DQ151" s="142"/>
      <c r="DR151" s="80"/>
      <c r="DS151" s="141"/>
      <c r="DT151" s="142"/>
      <c r="DU151" s="80"/>
      <c r="DV151" s="141"/>
      <c r="DW151" s="142"/>
      <c r="DX151" s="80"/>
      <c r="DY151" s="141"/>
      <c r="DZ151" s="142"/>
      <c r="EA151" s="80"/>
      <c r="EB151" s="141"/>
      <c r="EC151" s="142"/>
      <c r="ED151" s="80"/>
      <c r="EE151" s="141"/>
      <c r="EF151" s="142"/>
      <c r="EG151" s="80"/>
      <c r="EH151" s="141"/>
      <c r="EI151" s="142"/>
      <c r="EJ151" s="80"/>
      <c r="EK151" s="141"/>
    </row>
    <row r="152" spans="1:141" s="12" customFormat="1" ht="14.25" hidden="1" customHeight="1">
      <c r="A152" s="30">
        <v>119</v>
      </c>
      <c r="B152" s="147"/>
      <c r="C152" s="144"/>
      <c r="D152" s="146"/>
      <c r="E152" s="145"/>
      <c r="F152" s="144"/>
      <c r="G152" s="82">
        <f t="shared" si="280"/>
        <v>0</v>
      </c>
      <c r="H152" s="81">
        <f t="shared" si="281"/>
        <v>0</v>
      </c>
      <c r="I152" s="19">
        <f t="shared" si="282"/>
        <v>0</v>
      </c>
      <c r="J152" s="11">
        <f t="shared" si="283"/>
        <v>0</v>
      </c>
      <c r="K152" s="19">
        <f t="shared" si="284"/>
        <v>0</v>
      </c>
      <c r="L152" s="19">
        <f t="shared" si="285"/>
        <v>0</v>
      </c>
      <c r="M152" s="19">
        <f t="shared" si="286"/>
        <v>0</v>
      </c>
      <c r="N152" s="19">
        <f t="shared" si="287"/>
        <v>0</v>
      </c>
      <c r="O152" s="19">
        <f t="shared" si="288"/>
        <v>0</v>
      </c>
      <c r="P152" s="19">
        <f t="shared" si="289"/>
        <v>0</v>
      </c>
      <c r="Q152" s="19">
        <f t="shared" si="290"/>
        <v>0</v>
      </c>
      <c r="R152" s="19">
        <f t="shared" si="291"/>
        <v>0</v>
      </c>
      <c r="S152" s="19">
        <f t="shared" si="292"/>
        <v>0</v>
      </c>
      <c r="T152" s="19">
        <f t="shared" si="293"/>
        <v>0</v>
      </c>
      <c r="U152" s="19">
        <f t="shared" si="294"/>
        <v>0</v>
      </c>
      <c r="V152" s="19">
        <f t="shared" si="295"/>
        <v>0</v>
      </c>
      <c r="W152" s="19">
        <f t="shared" si="296"/>
        <v>0</v>
      </c>
      <c r="X152" s="19">
        <f t="shared" si="297"/>
        <v>0</v>
      </c>
      <c r="Y152" s="19">
        <f t="shared" si="298"/>
        <v>0</v>
      </c>
      <c r="Z152" s="19">
        <f t="shared" si="299"/>
        <v>0</v>
      </c>
      <c r="AA152" s="143"/>
      <c r="AB152" s="17" t="e">
        <f>+H152*SUMIF('[1]KẾ HOẠCH'!$B$5:$CK$5,'Cắt lồng'!AA152,'[1]KẾ HOẠCH'!$B$6:$CK$6)+H152*SUMIF('[1]KẾ HOẠCH'!$B$7:$CK$7,'Cắt lồng'!AA152,'[1]KẾ HOẠCH'!$B$8:$CK$8)+H152*SUMIF('[1]KẾ HOẠCH'!$B$15:$CK$15,'Cắt lồng'!AA152,'[1]KẾ HOẠCH'!$B$16:$CK$16)</f>
        <v>#VALUE!</v>
      </c>
      <c r="AC152" s="16">
        <f>+SUM(AC68:AC142)</f>
        <v>108205</v>
      </c>
      <c r="AD152" s="15" t="e">
        <f t="shared" si="301"/>
        <v>#VALUE!</v>
      </c>
      <c r="AE152" s="42"/>
      <c r="AF152" s="112" t="e">
        <f t="shared" si="302"/>
        <v>#DIV/0!</v>
      </c>
      <c r="AG152" s="112"/>
      <c r="AH152" s="112">
        <f t="shared" si="303"/>
        <v>0</v>
      </c>
      <c r="AI152" s="111">
        <f t="shared" si="304"/>
        <v>0</v>
      </c>
      <c r="AJ152" s="30">
        <f t="shared" si="305"/>
        <v>0</v>
      </c>
      <c r="AK152" s="30">
        <f t="shared" si="306"/>
        <v>0</v>
      </c>
      <c r="AL152" s="30">
        <f t="shared" si="307"/>
        <v>0</v>
      </c>
      <c r="AM152" s="30">
        <f t="shared" si="308"/>
        <v>0</v>
      </c>
      <c r="AN152" s="30">
        <f t="shared" si="309"/>
        <v>0</v>
      </c>
      <c r="AO152" s="30">
        <f t="shared" si="310"/>
        <v>0</v>
      </c>
      <c r="AP152" s="30">
        <f t="shared" si="311"/>
        <v>0</v>
      </c>
      <c r="AQ152" s="30">
        <f t="shared" si="312"/>
        <v>0</v>
      </c>
      <c r="AR152" s="25">
        <f t="shared" si="313"/>
        <v>0</v>
      </c>
      <c r="AS152" s="25">
        <f t="shared" si="314"/>
        <v>0</v>
      </c>
      <c r="AT152" s="30">
        <f t="shared" si="315"/>
        <v>0</v>
      </c>
      <c r="AW152" s="230"/>
      <c r="AX152" s="231"/>
      <c r="AY152" s="231"/>
      <c r="AZ152" s="231"/>
      <c r="BA152" s="231"/>
      <c r="BB152" s="231"/>
      <c r="BC152" s="231"/>
      <c r="BD152" s="231"/>
      <c r="BE152" s="232"/>
      <c r="BF152" s="142"/>
      <c r="BG152" s="80"/>
      <c r="BH152" s="141"/>
      <c r="BI152" s="142"/>
      <c r="BJ152" s="80"/>
      <c r="BK152" s="141"/>
      <c r="BL152" s="142"/>
      <c r="BM152" s="80"/>
      <c r="BN152" s="141"/>
      <c r="BO152" s="142"/>
      <c r="BP152" s="80"/>
      <c r="BQ152" s="141"/>
      <c r="BR152" s="142"/>
      <c r="BS152" s="80"/>
      <c r="BT152" s="141"/>
      <c r="BU152" s="142"/>
      <c r="BV152" s="80"/>
      <c r="BW152" s="141"/>
      <c r="BX152" s="142"/>
      <c r="BY152" s="80"/>
      <c r="BZ152" s="141"/>
      <c r="CA152" s="142"/>
      <c r="CB152" s="80"/>
      <c r="CC152" s="141"/>
      <c r="CD152" s="142"/>
      <c r="CE152" s="80"/>
      <c r="CF152" s="141"/>
      <c r="CG152" s="142"/>
      <c r="CH152" s="80"/>
      <c r="CI152" s="141"/>
      <c r="CJ152" s="142"/>
      <c r="CK152" s="80"/>
      <c r="CL152" s="141"/>
      <c r="CM152" s="142"/>
      <c r="CN152" s="80"/>
      <c r="CO152" s="141"/>
      <c r="CP152" s="142"/>
      <c r="CQ152" s="80"/>
      <c r="CR152" s="141"/>
      <c r="CS152" s="142"/>
      <c r="CT152" s="80"/>
      <c r="CU152" s="141"/>
      <c r="CV152" s="142"/>
      <c r="CW152" s="80"/>
      <c r="CX152" s="141"/>
      <c r="CY152" s="142"/>
      <c r="CZ152" s="80"/>
      <c r="DA152" s="141"/>
      <c r="DB152" s="142"/>
      <c r="DC152" s="80"/>
      <c r="DD152" s="141"/>
      <c r="DE152" s="142"/>
      <c r="DF152" s="80"/>
      <c r="DG152" s="141"/>
      <c r="DH152" s="142"/>
      <c r="DI152" s="80"/>
      <c r="DJ152" s="141"/>
      <c r="DK152" s="142"/>
      <c r="DL152" s="80"/>
      <c r="DM152" s="141"/>
      <c r="DN152" s="142"/>
      <c r="DO152" s="80"/>
      <c r="DP152" s="141"/>
      <c r="DQ152" s="142"/>
      <c r="DR152" s="80"/>
      <c r="DS152" s="141"/>
      <c r="DT152" s="142"/>
      <c r="DU152" s="80"/>
      <c r="DV152" s="141"/>
      <c r="DW152" s="142"/>
      <c r="DX152" s="80"/>
      <c r="DY152" s="141"/>
      <c r="DZ152" s="142"/>
      <c r="EA152" s="80"/>
      <c r="EB152" s="141"/>
      <c r="EC152" s="142"/>
      <c r="ED152" s="80"/>
      <c r="EE152" s="141"/>
      <c r="EF152" s="142"/>
      <c r="EG152" s="80"/>
      <c r="EH152" s="141"/>
      <c r="EI152" s="142"/>
      <c r="EJ152" s="80"/>
      <c r="EK152" s="141"/>
    </row>
    <row r="153" spans="1:141" s="12" customFormat="1" ht="14.25" hidden="1" customHeight="1" thickBot="1">
      <c r="B153" s="47"/>
      <c r="D153" s="236" t="s">
        <v>216</v>
      </c>
      <c r="E153" s="236"/>
      <c r="F153" s="236"/>
      <c r="G153" s="236"/>
      <c r="H153" s="236"/>
      <c r="I153" s="236"/>
      <c r="J153" s="236"/>
      <c r="K153" s="236"/>
      <c r="L153" s="236"/>
      <c r="M153" s="236"/>
      <c r="N153" s="236"/>
      <c r="O153" s="236"/>
      <c r="P153" s="236"/>
      <c r="Q153" s="236"/>
      <c r="R153" s="236"/>
      <c r="S153" s="236"/>
      <c r="T153" s="236"/>
      <c r="U153" s="236"/>
      <c r="V153" s="236"/>
      <c r="W153" s="236"/>
      <c r="X153" s="236"/>
      <c r="Y153" s="236"/>
      <c r="Z153" s="236"/>
      <c r="AA153" s="236"/>
      <c r="AB153" s="236"/>
      <c r="AC153" s="236"/>
      <c r="AD153" s="236"/>
      <c r="AE153" s="42"/>
      <c r="AW153" s="233"/>
      <c r="AX153" s="234"/>
      <c r="AY153" s="234"/>
      <c r="AZ153" s="234"/>
      <c r="BA153" s="234"/>
      <c r="BB153" s="234"/>
      <c r="BC153" s="234"/>
      <c r="BD153" s="234"/>
      <c r="BE153" s="235"/>
      <c r="BF153" s="140"/>
      <c r="BG153" s="139"/>
      <c r="BH153" s="138"/>
      <c r="BI153" s="140"/>
      <c r="BJ153" s="139"/>
      <c r="BK153" s="138"/>
      <c r="BL153" s="140"/>
      <c r="BM153" s="139"/>
      <c r="BN153" s="138"/>
      <c r="BO153" s="140"/>
      <c r="BP153" s="139"/>
      <c r="BQ153" s="138"/>
      <c r="BR153" s="140"/>
      <c r="BS153" s="139"/>
      <c r="BT153" s="138"/>
      <c r="BU153" s="140"/>
      <c r="BV153" s="139"/>
      <c r="BW153" s="138"/>
      <c r="BX153" s="140"/>
      <c r="BY153" s="139"/>
      <c r="BZ153" s="138"/>
      <c r="CA153" s="140"/>
      <c r="CB153" s="139"/>
      <c r="CC153" s="138"/>
      <c r="CD153" s="140"/>
      <c r="CE153" s="139"/>
      <c r="CF153" s="138"/>
      <c r="CG153" s="140"/>
      <c r="CH153" s="139"/>
      <c r="CI153" s="138"/>
      <c r="CJ153" s="140"/>
      <c r="CK153" s="139"/>
      <c r="CL153" s="138"/>
      <c r="CM153" s="140"/>
      <c r="CN153" s="139"/>
      <c r="CO153" s="138"/>
      <c r="CP153" s="140"/>
      <c r="CQ153" s="139"/>
      <c r="CR153" s="138"/>
      <c r="CS153" s="140"/>
      <c r="CT153" s="139"/>
      <c r="CU153" s="138"/>
      <c r="CV153" s="140"/>
      <c r="CW153" s="139"/>
      <c r="CX153" s="138"/>
      <c r="CY153" s="140"/>
      <c r="CZ153" s="139"/>
      <c r="DA153" s="138"/>
      <c r="DB153" s="140"/>
      <c r="DC153" s="139"/>
      <c r="DD153" s="138"/>
      <c r="DE153" s="140"/>
      <c r="DF153" s="139"/>
      <c r="DG153" s="138"/>
      <c r="DH153" s="140"/>
      <c r="DI153" s="139"/>
      <c r="DJ153" s="138"/>
      <c r="DK153" s="140"/>
      <c r="DL153" s="139"/>
      <c r="DM153" s="138"/>
      <c r="DN153" s="140"/>
      <c r="DO153" s="139"/>
      <c r="DP153" s="138"/>
      <c r="DQ153" s="140"/>
      <c r="DR153" s="139"/>
      <c r="DS153" s="138"/>
      <c r="DT153" s="140"/>
      <c r="DU153" s="139"/>
      <c r="DV153" s="138"/>
      <c r="DW153" s="140"/>
      <c r="DX153" s="139"/>
      <c r="DY153" s="138"/>
      <c r="DZ153" s="140"/>
      <c r="EA153" s="139"/>
      <c r="EB153" s="138"/>
      <c r="EC153" s="140"/>
      <c r="ED153" s="139"/>
      <c r="EE153" s="138"/>
      <c r="EF153" s="140"/>
      <c r="EG153" s="139"/>
      <c r="EH153" s="138"/>
      <c r="EI153" s="140"/>
      <c r="EJ153" s="139"/>
      <c r="EK153" s="138"/>
    </row>
    <row r="154" spans="1:141" s="12" customFormat="1" ht="14.25" hidden="1" customHeight="1" thickBot="1">
      <c r="A154" s="12" t="s">
        <v>215</v>
      </c>
      <c r="B154" s="47"/>
      <c r="D154" s="236"/>
      <c r="E154" s="236"/>
      <c r="F154" s="236"/>
      <c r="G154" s="236"/>
      <c r="H154" s="236"/>
      <c r="I154" s="236"/>
      <c r="J154" s="236"/>
      <c r="K154" s="236"/>
      <c r="L154" s="236"/>
      <c r="M154" s="236"/>
      <c r="N154" s="236"/>
      <c r="O154" s="236"/>
      <c r="P154" s="236"/>
      <c r="Q154" s="236"/>
      <c r="R154" s="236"/>
      <c r="S154" s="236"/>
      <c r="T154" s="236"/>
      <c r="U154" s="236"/>
      <c r="V154" s="236"/>
      <c r="W154" s="236"/>
      <c r="X154" s="236"/>
      <c r="Y154" s="236"/>
      <c r="Z154" s="236"/>
      <c r="AA154" s="236"/>
      <c r="AB154" s="236"/>
      <c r="AC154" s="236"/>
      <c r="AD154" s="236"/>
      <c r="AE154" s="42"/>
      <c r="AW154" s="237">
        <f>+AW4</f>
        <v>46113</v>
      </c>
      <c r="AX154" s="238"/>
      <c r="AY154" s="239"/>
      <c r="AZ154" s="222">
        <f>+AW154+1</f>
        <v>46114</v>
      </c>
      <c r="BA154" s="223"/>
      <c r="BB154" s="224"/>
      <c r="BC154" s="222">
        <f>+AZ154+1</f>
        <v>46115</v>
      </c>
      <c r="BD154" s="223"/>
      <c r="BE154" s="224"/>
      <c r="BF154" s="222">
        <f>+BC154+1</f>
        <v>46116</v>
      </c>
      <c r="BG154" s="223"/>
      <c r="BH154" s="224"/>
      <c r="BI154" s="222">
        <f>+BF154+1</f>
        <v>46117</v>
      </c>
      <c r="BJ154" s="223"/>
      <c r="BK154" s="224"/>
      <c r="BL154" s="222">
        <f>+BI154+1</f>
        <v>46118</v>
      </c>
      <c r="BM154" s="223"/>
      <c r="BN154" s="224"/>
      <c r="BO154" s="222">
        <f>+BL154+1</f>
        <v>46119</v>
      </c>
      <c r="BP154" s="223"/>
      <c r="BQ154" s="224"/>
      <c r="BR154" s="222">
        <f>+BO154+1</f>
        <v>46120</v>
      </c>
      <c r="BS154" s="223"/>
      <c r="BT154" s="224"/>
      <c r="BU154" s="222">
        <f>+BR154+1</f>
        <v>46121</v>
      </c>
      <c r="BV154" s="223"/>
      <c r="BW154" s="224"/>
      <c r="BX154" s="222">
        <f>+BU154+1</f>
        <v>46122</v>
      </c>
      <c r="BY154" s="223"/>
      <c r="BZ154" s="224"/>
      <c r="CA154" s="222">
        <f>+BX154+1</f>
        <v>46123</v>
      </c>
      <c r="CB154" s="223"/>
      <c r="CC154" s="224"/>
      <c r="CD154" s="222">
        <f>+CA154+1</f>
        <v>46124</v>
      </c>
      <c r="CE154" s="223"/>
      <c r="CF154" s="224"/>
      <c r="CG154" s="222">
        <f>+CD154+1</f>
        <v>46125</v>
      </c>
      <c r="CH154" s="223"/>
      <c r="CI154" s="224"/>
      <c r="CJ154" s="222">
        <f>+CG154+1</f>
        <v>46126</v>
      </c>
      <c r="CK154" s="223"/>
      <c r="CL154" s="224"/>
      <c r="CM154" s="222">
        <f>+CJ154+1</f>
        <v>46127</v>
      </c>
      <c r="CN154" s="223"/>
      <c r="CO154" s="224"/>
      <c r="CP154" s="222">
        <f>+CM154+1</f>
        <v>46128</v>
      </c>
      <c r="CQ154" s="223"/>
      <c r="CR154" s="224"/>
      <c r="CS154" s="222">
        <f>+CP154+1</f>
        <v>46129</v>
      </c>
      <c r="CT154" s="223"/>
      <c r="CU154" s="224"/>
      <c r="CV154" s="222">
        <f>+CS154+1</f>
        <v>46130</v>
      </c>
      <c r="CW154" s="223"/>
      <c r="CX154" s="224"/>
      <c r="CY154" s="222">
        <f>+CV154+1</f>
        <v>46131</v>
      </c>
      <c r="CZ154" s="223"/>
      <c r="DA154" s="224"/>
      <c r="DB154" s="222">
        <f>+CY154+1</f>
        <v>46132</v>
      </c>
      <c r="DC154" s="223"/>
      <c r="DD154" s="224"/>
      <c r="DE154" s="222">
        <f>+DB154+1</f>
        <v>46133</v>
      </c>
      <c r="DF154" s="223"/>
      <c r="DG154" s="224"/>
      <c r="DH154" s="222">
        <f>+DE154+1</f>
        <v>46134</v>
      </c>
      <c r="DI154" s="223"/>
      <c r="DJ154" s="224"/>
      <c r="DK154" s="222">
        <f>+DH154+1</f>
        <v>46135</v>
      </c>
      <c r="DL154" s="223"/>
      <c r="DM154" s="224"/>
      <c r="DN154" s="222">
        <f>+DK154+1</f>
        <v>46136</v>
      </c>
      <c r="DO154" s="223"/>
      <c r="DP154" s="224"/>
      <c r="DQ154" s="222">
        <f>+DN154+1</f>
        <v>46137</v>
      </c>
      <c r="DR154" s="223"/>
      <c r="DS154" s="224"/>
      <c r="DT154" s="222">
        <f>+DQ154+1</f>
        <v>46138</v>
      </c>
      <c r="DU154" s="223"/>
      <c r="DV154" s="224"/>
      <c r="DW154" s="222">
        <f>+DT154+1</f>
        <v>46139</v>
      </c>
      <c r="DX154" s="223"/>
      <c r="DY154" s="224"/>
      <c r="DZ154" s="222">
        <f>+DW154+1</f>
        <v>46140</v>
      </c>
      <c r="EA154" s="223"/>
      <c r="EB154" s="224"/>
      <c r="EC154" s="222">
        <f>+DZ154+1</f>
        <v>46141</v>
      </c>
      <c r="ED154" s="223"/>
      <c r="EE154" s="224"/>
      <c r="EF154" s="222">
        <f>+EC154+1</f>
        <v>46142</v>
      </c>
      <c r="EG154" s="223"/>
      <c r="EH154" s="224"/>
      <c r="EI154" s="222">
        <f>+EF154+1</f>
        <v>46143</v>
      </c>
      <c r="EJ154" s="223"/>
      <c r="EK154" s="224"/>
    </row>
    <row r="155" spans="1:141" s="12" customFormat="1" ht="51" hidden="1" customHeight="1" thickBot="1">
      <c r="A155" s="49" t="s">
        <v>113</v>
      </c>
      <c r="B155" s="53"/>
      <c r="C155" s="137"/>
      <c r="D155" s="136" t="s">
        <v>214</v>
      </c>
      <c r="E155" s="34"/>
      <c r="F155" s="39"/>
      <c r="G155" s="38" t="s">
        <v>110</v>
      </c>
      <c r="H155" s="37" t="s">
        <v>110</v>
      </c>
      <c r="I155" s="19" t="s">
        <v>109</v>
      </c>
      <c r="J155" s="11" t="s">
        <v>108</v>
      </c>
      <c r="K155" s="19" t="str">
        <f t="shared" ref="K155:Z155" si="348">+K3</f>
        <v>Thiếu sản lượng</v>
      </c>
      <c r="L155" s="19" t="str">
        <f t="shared" si="348"/>
        <v>Bật máy, xét máy</v>
      </c>
      <c r="M155" s="19" t="str">
        <f t="shared" si="348"/>
        <v>Chuyển mã</v>
      </c>
      <c r="N155" s="19" t="str">
        <f t="shared" si="348"/>
        <v>Chỉnh máy</v>
      </c>
      <c r="O155" s="19" t="str">
        <f t="shared" si="348"/>
        <v>Chờ chỉnh máy</v>
      </c>
      <c r="P155" s="19" t="str">
        <f t="shared" si="348"/>
        <v>Mất điện</v>
      </c>
      <c r="Q155" s="19" t="str">
        <f t="shared" si="348"/>
        <v>Mất khí</v>
      </c>
      <c r="R155" s="19" t="str">
        <f t="shared" si="348"/>
        <v>Chờ hàng</v>
      </c>
      <c r="S155" s="19" t="str">
        <f t="shared" si="348"/>
        <v>bảo dưỡng máy</v>
      </c>
      <c r="T155" s="19" t="str">
        <f t="shared" si="348"/>
        <v>Nghỉ giải lao</v>
      </c>
      <c r="U155" s="19" t="str">
        <f t="shared" si="348"/>
        <v>Giao ca</v>
      </c>
      <c r="V155" s="19" t="str">
        <f t="shared" si="348"/>
        <v>Dừng máy đi hỗ trợ</v>
      </c>
      <c r="W155" s="19" t="str">
        <f t="shared" si="348"/>
        <v>Giặt cs/cân cs, tuốt-tái pp, GL</v>
      </c>
      <c r="X155" s="19" t="str">
        <f t="shared" si="348"/>
        <v>5s</v>
      </c>
      <c r="Y155" s="19" t="str">
        <f t="shared" si="348"/>
        <v>Học việc, đào tạo</v>
      </c>
      <c r="Z155" s="19" t="str">
        <f t="shared" si="348"/>
        <v>Đi muộn về sớm</v>
      </c>
      <c r="AA155" s="71" t="s">
        <v>107</v>
      </c>
      <c r="AB155" s="70" t="s">
        <v>106</v>
      </c>
      <c r="AC155" s="69" t="s">
        <v>105</v>
      </c>
      <c r="AE155" s="42"/>
      <c r="AF155" s="10" t="s">
        <v>104</v>
      </c>
      <c r="AG155" s="10"/>
      <c r="AH155" s="10" t="s">
        <v>103</v>
      </c>
      <c r="AI155" s="54"/>
      <c r="AJ155" s="68" t="s">
        <v>102</v>
      </c>
      <c r="AK155" s="43" t="s">
        <v>101</v>
      </c>
      <c r="AL155" s="43" t="s">
        <v>100</v>
      </c>
      <c r="AM155" s="67" t="s">
        <v>99</v>
      </c>
      <c r="AN155" s="67" t="s">
        <v>98</v>
      </c>
      <c r="AO155" s="66" t="s">
        <v>97</v>
      </c>
      <c r="AP155" s="67" t="s">
        <v>96</v>
      </c>
      <c r="AQ155" s="66" t="s">
        <v>95</v>
      </c>
      <c r="AR155" s="66" t="s">
        <v>94</v>
      </c>
      <c r="AS155" s="66" t="s">
        <v>93</v>
      </c>
      <c r="AT155" s="66" t="s">
        <v>92</v>
      </c>
      <c r="AU155" s="135"/>
      <c r="AV155" s="134" t="s">
        <v>213</v>
      </c>
      <c r="AW155" s="133" t="s">
        <v>28</v>
      </c>
      <c r="AX155" s="25" t="s">
        <v>212</v>
      </c>
      <c r="AY155" s="132" t="s">
        <v>211</v>
      </c>
      <c r="AZ155" s="133" t="s">
        <v>28</v>
      </c>
      <c r="BA155" s="25" t="s">
        <v>212</v>
      </c>
      <c r="BB155" s="132" t="s">
        <v>211</v>
      </c>
      <c r="BC155" s="133" t="s">
        <v>28</v>
      </c>
      <c r="BD155" s="25" t="s">
        <v>212</v>
      </c>
      <c r="BE155" s="132" t="s">
        <v>211</v>
      </c>
      <c r="BF155" s="133" t="s">
        <v>28</v>
      </c>
      <c r="BG155" s="25" t="s">
        <v>212</v>
      </c>
      <c r="BH155" s="132" t="s">
        <v>211</v>
      </c>
      <c r="BI155" s="133" t="s">
        <v>28</v>
      </c>
      <c r="BJ155" s="25" t="s">
        <v>212</v>
      </c>
      <c r="BK155" s="132" t="s">
        <v>211</v>
      </c>
      <c r="BL155" s="133" t="s">
        <v>28</v>
      </c>
      <c r="BM155" s="25" t="s">
        <v>212</v>
      </c>
      <c r="BN155" s="132" t="s">
        <v>211</v>
      </c>
      <c r="BO155" s="133" t="s">
        <v>28</v>
      </c>
      <c r="BP155" s="25" t="s">
        <v>212</v>
      </c>
      <c r="BQ155" s="132" t="s">
        <v>211</v>
      </c>
      <c r="BR155" s="133" t="s">
        <v>28</v>
      </c>
      <c r="BS155" s="25" t="s">
        <v>212</v>
      </c>
      <c r="BT155" s="132" t="s">
        <v>211</v>
      </c>
      <c r="BU155" s="133" t="s">
        <v>28</v>
      </c>
      <c r="BV155" s="25" t="s">
        <v>212</v>
      </c>
      <c r="BW155" s="132" t="s">
        <v>211</v>
      </c>
      <c r="BX155" s="133" t="s">
        <v>28</v>
      </c>
      <c r="BY155" s="25" t="s">
        <v>212</v>
      </c>
      <c r="BZ155" s="132" t="s">
        <v>211</v>
      </c>
      <c r="CA155" s="133" t="s">
        <v>28</v>
      </c>
      <c r="CB155" s="25" t="s">
        <v>212</v>
      </c>
      <c r="CC155" s="132" t="s">
        <v>211</v>
      </c>
      <c r="CD155" s="133" t="s">
        <v>28</v>
      </c>
      <c r="CE155" s="25" t="s">
        <v>212</v>
      </c>
      <c r="CF155" s="132" t="s">
        <v>211</v>
      </c>
      <c r="CG155" s="133" t="s">
        <v>28</v>
      </c>
      <c r="CH155" s="25" t="s">
        <v>212</v>
      </c>
      <c r="CI155" s="132" t="s">
        <v>211</v>
      </c>
      <c r="CJ155" s="133" t="s">
        <v>28</v>
      </c>
      <c r="CK155" s="25" t="s">
        <v>212</v>
      </c>
      <c r="CL155" s="132" t="s">
        <v>211</v>
      </c>
      <c r="CM155" s="133" t="s">
        <v>28</v>
      </c>
      <c r="CN155" s="25" t="s">
        <v>212</v>
      </c>
      <c r="CO155" s="132" t="s">
        <v>211</v>
      </c>
      <c r="CP155" s="133" t="s">
        <v>28</v>
      </c>
      <c r="CQ155" s="25" t="s">
        <v>212</v>
      </c>
      <c r="CR155" s="132" t="s">
        <v>211</v>
      </c>
      <c r="CS155" s="133" t="s">
        <v>28</v>
      </c>
      <c r="CT155" s="25" t="s">
        <v>212</v>
      </c>
      <c r="CU155" s="132" t="s">
        <v>211</v>
      </c>
      <c r="CV155" s="133" t="s">
        <v>28</v>
      </c>
      <c r="CW155" s="25" t="s">
        <v>212</v>
      </c>
      <c r="CX155" s="132" t="s">
        <v>211</v>
      </c>
      <c r="CY155" s="133" t="s">
        <v>28</v>
      </c>
      <c r="CZ155" s="25" t="s">
        <v>212</v>
      </c>
      <c r="DA155" s="132" t="s">
        <v>211</v>
      </c>
      <c r="DB155" s="133" t="s">
        <v>28</v>
      </c>
      <c r="DC155" s="25" t="s">
        <v>212</v>
      </c>
      <c r="DD155" s="132" t="s">
        <v>211</v>
      </c>
      <c r="DE155" s="133" t="s">
        <v>28</v>
      </c>
      <c r="DF155" s="25" t="s">
        <v>212</v>
      </c>
      <c r="DG155" s="132" t="s">
        <v>211</v>
      </c>
      <c r="DH155" s="133" t="s">
        <v>28</v>
      </c>
      <c r="DI155" s="25" t="s">
        <v>212</v>
      </c>
      <c r="DJ155" s="132" t="s">
        <v>211</v>
      </c>
      <c r="DK155" s="133" t="s">
        <v>28</v>
      </c>
      <c r="DL155" s="25" t="s">
        <v>212</v>
      </c>
      <c r="DM155" s="132" t="s">
        <v>211</v>
      </c>
      <c r="DN155" s="133" t="s">
        <v>28</v>
      </c>
      <c r="DO155" s="25" t="s">
        <v>212</v>
      </c>
      <c r="DP155" s="132" t="s">
        <v>211</v>
      </c>
      <c r="DQ155" s="133" t="s">
        <v>28</v>
      </c>
      <c r="DR155" s="25" t="s">
        <v>212</v>
      </c>
      <c r="DS155" s="132" t="s">
        <v>211</v>
      </c>
      <c r="DT155" s="133" t="s">
        <v>28</v>
      </c>
      <c r="DU155" s="25" t="s">
        <v>212</v>
      </c>
      <c r="DV155" s="132" t="s">
        <v>211</v>
      </c>
      <c r="DW155" s="133" t="s">
        <v>28</v>
      </c>
      <c r="DX155" s="25" t="s">
        <v>212</v>
      </c>
      <c r="DY155" s="132" t="s">
        <v>211</v>
      </c>
      <c r="DZ155" s="133" t="s">
        <v>28</v>
      </c>
      <c r="EA155" s="25" t="s">
        <v>212</v>
      </c>
      <c r="EB155" s="132" t="s">
        <v>211</v>
      </c>
      <c r="EC155" s="133" t="s">
        <v>28</v>
      </c>
      <c r="ED155" s="25" t="s">
        <v>212</v>
      </c>
      <c r="EE155" s="132" t="s">
        <v>211</v>
      </c>
      <c r="EF155" s="133" t="s">
        <v>28</v>
      </c>
      <c r="EG155" s="25" t="s">
        <v>212</v>
      </c>
      <c r="EH155" s="132" t="s">
        <v>211</v>
      </c>
      <c r="EI155" s="133" t="s">
        <v>28</v>
      </c>
      <c r="EJ155" s="25" t="s">
        <v>212</v>
      </c>
      <c r="EK155" s="132" t="s">
        <v>211</v>
      </c>
    </row>
    <row r="156" spans="1:141" s="12" customFormat="1" ht="14.25" hidden="1" customHeight="1">
      <c r="A156" s="25">
        <v>1</v>
      </c>
      <c r="B156" s="26">
        <v>8016</v>
      </c>
      <c r="C156" s="121" t="s">
        <v>210</v>
      </c>
      <c r="D156" s="88" t="s">
        <v>12</v>
      </c>
      <c r="E156" s="23" t="s">
        <v>195</v>
      </c>
      <c r="F156" s="25"/>
      <c r="G156" s="81">
        <f t="shared" ref="G156:G187" si="349">+SUMIF($D$327:$D$515,C156,$H$327:$H$515)</f>
        <v>0</v>
      </c>
      <c r="H156" s="81">
        <f t="shared" ref="H156:H187" si="350">+SUMIF($D$327:$D$515,D156,$H$327:$H$515)</f>
        <v>20</v>
      </c>
      <c r="I156" s="19">
        <f t="shared" ref="I156:I187" si="351">+SUMIF($AA$327:$AA$515,AA156,$I$327:$I$515)</f>
        <v>0</v>
      </c>
      <c r="J156" s="11">
        <f t="shared" ref="J156:J187" si="352">SUM(K156:Z156)</f>
        <v>3.84</v>
      </c>
      <c r="K156" s="19">
        <f t="shared" ref="K156:K187" si="353">+SUMIF($D$327:$D$515,D156,$K$327:$K$515)</f>
        <v>0</v>
      </c>
      <c r="L156" s="19">
        <f t="shared" ref="L156:L187" si="354">+SUMIF($D$327:$D$515,D156,$L$327:$L$515)</f>
        <v>0</v>
      </c>
      <c r="M156" s="19">
        <f t="shared" ref="M156:M187" si="355">+SUMIF($D$327:$D$515,D156,$M$327:$M$515)</f>
        <v>0</v>
      </c>
      <c r="N156" s="19">
        <f t="shared" ref="N156:N187" si="356">+SUMIF($D$327:$D$515,D156,$N$327:$N$515)</f>
        <v>1</v>
      </c>
      <c r="O156" s="19">
        <f t="shared" ref="O156:O187" si="357">+SUMIF($D$327:$D$515,D156,$O$327:$O$515)</f>
        <v>0</v>
      </c>
      <c r="P156" s="19">
        <f t="shared" ref="P156:P187" si="358">+SUMIF($D$327:$D$515,D156,$P$327:$P$515)</f>
        <v>0</v>
      </c>
      <c r="Q156" s="19">
        <f t="shared" ref="Q156:Q187" si="359">+SUMIF($D$327:$D$515,D156,$Q$327:$Q$515)</f>
        <v>0</v>
      </c>
      <c r="R156" s="19">
        <f t="shared" ref="R156:R187" si="360">+SUMIF($D$327:$D$515,D156,$R$327:$R$515)</f>
        <v>0</v>
      </c>
      <c r="S156" s="19">
        <f t="shared" ref="S156:S187" si="361">+SUMIF($D$327:$D$515,D156,$S$327:$S$515)</f>
        <v>0</v>
      </c>
      <c r="T156" s="19">
        <f t="shared" ref="T156:T187" si="362">+SUMIF($D$327:$D$515,D156,$T$327:$T$515)</f>
        <v>2.5</v>
      </c>
      <c r="U156" s="19">
        <f t="shared" ref="U156:U187" si="363">+SUMIF($D$327:$D$515,D156,$U$327:$U$515)</f>
        <v>0</v>
      </c>
      <c r="V156" s="19">
        <f t="shared" ref="V156:V187" si="364">+SUMIF($D$327:$D$515,D156,$V$327:$V$515)</f>
        <v>0</v>
      </c>
      <c r="W156" s="19">
        <f t="shared" ref="W156:W187" si="365">+SUMIF($D$327:$D$515,D156,$W$327:$W$515)</f>
        <v>0</v>
      </c>
      <c r="X156" s="19">
        <f t="shared" ref="X156:X187" si="366">+SUMIF($D$327:$D$515,D156,$X$327:$X$515)</f>
        <v>0.34</v>
      </c>
      <c r="Y156" s="19">
        <f t="shared" ref="Y156:Y187" si="367">+SUMIF($D$327:$D$515,D156,$Y$327:$Y$515)</f>
        <v>0</v>
      </c>
      <c r="Z156" s="19">
        <f t="shared" ref="Z156:Z187" si="368">+SUMIF($D$327:$D$515,E156,$Y$327:$Y$515)</f>
        <v>0</v>
      </c>
      <c r="AA156" s="20"/>
      <c r="AB156" s="129" t="e">
        <f t="shared" ref="AB156:AB187" si="369">+SUMIF($D$327:$D$515,D156,$AB$327:$AB$515)</f>
        <v>#VALUE!</v>
      </c>
      <c r="AC156" s="129">
        <f t="shared" ref="AC156:AC187" si="370">+SUMIF($D$327:$D$515,D156,$AC$327:$AC$515)</f>
        <v>52160</v>
      </c>
      <c r="AD156" s="128" t="e">
        <f t="shared" ref="AD156:AD187" si="371">+AC156/AB156</f>
        <v>#VALUE!</v>
      </c>
      <c r="AE156" s="42"/>
      <c r="AF156" s="127">
        <f t="shared" ref="AF156:AF187" si="372">+AC156/H156</f>
        <v>2608</v>
      </c>
      <c r="AG156" s="127"/>
      <c r="AH156" s="20">
        <f t="shared" ref="AH156:AH187" si="373">+SUMIF($D$327:$D$515,D156,$AH$327:$AH$515)</f>
        <v>32</v>
      </c>
      <c r="AI156" s="126">
        <f t="shared" ref="AI156:AI187" si="374">+AH156/AC156</f>
        <v>6.1349693251533746E-4</v>
      </c>
      <c r="AJ156" s="25">
        <f t="shared" ref="AJ156:AJ187" si="375">+SUMIF($D$327:$D$515,D156,$AJ$327:$AJ$515)</f>
        <v>0</v>
      </c>
      <c r="AK156" s="25">
        <f t="shared" ref="AK156:AK187" si="376">+SUMIF($D$327:$D$515,D156,$AK$327:$AK$515)</f>
        <v>0</v>
      </c>
      <c r="AL156" s="25">
        <f t="shared" ref="AL156:AL187" si="377">+SUMIF($D$327:$D$515,D156,$AL$327:$AL$515)</f>
        <v>0</v>
      </c>
      <c r="AM156" s="20">
        <f t="shared" ref="AM156:AM187" si="378">+SUMIF($D$327:$D$515,D156,$AM$327:$AM$515)</f>
        <v>32</v>
      </c>
      <c r="AN156" s="20">
        <f t="shared" ref="AN156:AN187" si="379">+SUMIF($D$327:$D$515,D156,$AN$327:$AN$515)</f>
        <v>0</v>
      </c>
      <c r="AO156" s="20">
        <f t="shared" ref="AO156:AO187" si="380">+SUMIF($D$327:$D$515,D156,$AO$327:$AO$515)</f>
        <v>0</v>
      </c>
      <c r="AP156" s="20">
        <f t="shared" ref="AP156:AP187" si="381">+SUMIF($D$327:$D$515,D156,$AP$327:$AP$515)</f>
        <v>0</v>
      </c>
      <c r="AQ156" s="20">
        <f t="shared" ref="AQ156:AQ187" si="382">+SUMIF($D$327:$D$515,D156,$AQ$327:$AQ$515)</f>
        <v>0</v>
      </c>
      <c r="AR156" s="20">
        <f t="shared" ref="AR156:AR187" si="383">+SUMIF($AB$327:$AB$515,AA156,$AR$327:$AR$515)</f>
        <v>0</v>
      </c>
      <c r="AS156" s="20">
        <f t="shared" ref="AS156:AS187" si="384">+SUMIF($AC$327:$AC$515,AA156,$AS$327:$AS$515)</f>
        <v>0</v>
      </c>
      <c r="AT156" s="20">
        <f t="shared" ref="AT156:AT187" si="385">+SUMIF($D$327:$D$515,D156,$AT$327:$AT$515)</f>
        <v>0</v>
      </c>
      <c r="AU156" s="80"/>
      <c r="AV156" s="131">
        <f t="shared" ref="AV156:AV187" si="386">+SUMIF($B$6:$B$42,B156,$AV$6:$AV$42)</f>
        <v>0</v>
      </c>
      <c r="AW156" s="79">
        <f ca="1">+SUMIF($C$6:$C$63,$C156,AW$6:AW$62)</f>
        <v>0</v>
      </c>
      <c r="AX156" s="30">
        <f t="shared" ref="AX156:AX198" si="387">+SUMIF($B$6:$B$59,$C156,AX$6:AX$59)</f>
        <v>0</v>
      </c>
      <c r="AY156" s="78" t="e">
        <f t="shared" ref="AY156:AY187" ca="1" si="388">+AX156/AW156</f>
        <v>#DIV/0!</v>
      </c>
      <c r="AZ156" s="79">
        <f t="shared" ref="AZ156:AZ198" si="389">+SUMIF($C$6:$C$63,$C156,AZ$6:AZ$63)</f>
        <v>0</v>
      </c>
      <c r="BA156" s="30">
        <f t="shared" ref="BA156:BA198" si="390">+SUMIF($B$6:$B$59,$C156,BA$6:BA$59)</f>
        <v>0</v>
      </c>
      <c r="BB156" s="78" t="e">
        <f t="shared" ref="BB156:BB187" si="391">+BA156/AZ156</f>
        <v>#DIV/0!</v>
      </c>
      <c r="BC156" s="79">
        <f t="shared" ref="BC156:BC198" si="392">+SUMIF($C$6:$C$63,$C156,BC$6:BC$63)</f>
        <v>0</v>
      </c>
      <c r="BD156" s="30">
        <f t="shared" ref="BD156:BD198" si="393">+SUMIF($B$6:$B$59,$C156,BD$6:BD$59)</f>
        <v>0</v>
      </c>
      <c r="BE156" s="78" t="e">
        <f t="shared" ref="BE156:BE187" si="394">+BD156/BC156</f>
        <v>#DIV/0!</v>
      </c>
      <c r="BF156" s="79">
        <f t="shared" ref="BF156:BF198" si="395">+SUMIF($C$6:$C$63,$C156,BF$6:BF$63)</f>
        <v>0</v>
      </c>
      <c r="BG156" s="30">
        <f t="shared" ref="BG156:BG198" si="396">+SUMIF($B$6:$B$59,$C156,BG$6:BG$59)</f>
        <v>0</v>
      </c>
      <c r="BH156" s="78" t="e">
        <f t="shared" ref="BH156:BH187" si="397">+BG156/BF156</f>
        <v>#DIV/0!</v>
      </c>
      <c r="BI156" s="79">
        <f t="shared" ref="BI156:BI198" si="398">+SUMIF($C$6:$C$63,$C156,BI$6:BI$63)</f>
        <v>0</v>
      </c>
      <c r="BJ156" s="30">
        <f t="shared" ref="BJ156:BJ198" si="399">+SUMIF($B$6:$B$59,$C156,BJ$6:BJ$59)</f>
        <v>0</v>
      </c>
      <c r="BK156" s="78" t="e">
        <f t="shared" ref="BK156:BK187" si="400">+BJ156/BI156</f>
        <v>#DIV/0!</v>
      </c>
      <c r="BL156" s="79">
        <f t="shared" ref="BL156:BL198" si="401">+SUMIF($C$6:$C$63,$C156,BL$6:BL$63)</f>
        <v>0</v>
      </c>
      <c r="BM156" s="30">
        <f t="shared" ref="BM156:BM198" si="402">+SUMIF($B$6:$B$59,$C156,BM$6:BM$59)</f>
        <v>0</v>
      </c>
      <c r="BN156" s="78" t="e">
        <f t="shared" ref="BN156:BN187" si="403">+BM156/BL156</f>
        <v>#DIV/0!</v>
      </c>
      <c r="BO156" s="79">
        <f t="shared" ref="BO156:BO198" si="404">+SUMIF($C$6:$C$63,$C156,BO$6:BO$63)</f>
        <v>0</v>
      </c>
      <c r="BP156" s="30">
        <f t="shared" ref="BP156:BP198" si="405">+SUMIF($B$6:$B$59,$C156,BP$6:BP$59)</f>
        <v>0</v>
      </c>
      <c r="BQ156" s="78" t="e">
        <f t="shared" ref="BQ156:BQ187" si="406">+BP156/BO156</f>
        <v>#DIV/0!</v>
      </c>
      <c r="BR156" s="79">
        <f t="shared" ref="BR156:BR198" si="407">+SUMIF($C$6:$C$63,$C156,BR$6:BR$63)</f>
        <v>0</v>
      </c>
      <c r="BS156" s="30">
        <f t="shared" ref="BS156:BS198" si="408">+SUMIF($B$6:$B$59,$C156,BS$6:BS$59)</f>
        <v>0</v>
      </c>
      <c r="BT156" s="78" t="e">
        <f t="shared" ref="BT156:BT187" si="409">+BS156/BR156</f>
        <v>#DIV/0!</v>
      </c>
      <c r="BU156" s="79">
        <f t="shared" ref="BU156:BU198" si="410">+SUMIF($C$6:$C$63,$C156,BU$6:BU$63)</f>
        <v>0</v>
      </c>
      <c r="BV156" s="30">
        <f t="shared" ref="BV156:BV198" si="411">+SUMIF($B$6:$B$59,$C156,BV$6:BV$59)</f>
        <v>0</v>
      </c>
      <c r="BW156" s="78" t="e">
        <f t="shared" ref="BW156:BW187" si="412">+BV156/BU156</f>
        <v>#DIV/0!</v>
      </c>
      <c r="BX156" s="79">
        <f t="shared" ref="BX156:BX198" si="413">+SUMIF($C$6:$C$63,$C156,BX$6:BX$63)</f>
        <v>0</v>
      </c>
      <c r="BY156" s="30">
        <f t="shared" ref="BY156:BY198" si="414">+SUMIF($B$6:$B$59,$C156,BY$6:BY$59)</f>
        <v>0</v>
      </c>
      <c r="BZ156" s="78" t="e">
        <f t="shared" ref="BZ156:BZ187" si="415">+BY156/BX156</f>
        <v>#DIV/0!</v>
      </c>
      <c r="CA156" s="79">
        <f t="shared" ref="CA156:CA198" si="416">+SUMIF($C$6:$C$63,$C156,CA$6:CA$63)</f>
        <v>0</v>
      </c>
      <c r="CB156" s="30">
        <f t="shared" ref="CB156:CB198" si="417">+SUMIF($B$6:$B$59,$C156,CB$6:CB$59)</f>
        <v>0</v>
      </c>
      <c r="CC156" s="78" t="e">
        <f t="shared" ref="CC156:CC187" si="418">+CB156/CA156</f>
        <v>#DIV/0!</v>
      </c>
      <c r="CD156" s="79">
        <f t="shared" ref="CD156:CD198" si="419">+SUMIF($C$6:$C$63,$C156,CD$6:CD$63)</f>
        <v>0</v>
      </c>
      <c r="CE156" s="30">
        <f t="shared" ref="CE156:CE198" si="420">+SUMIF($B$6:$B$59,$C156,CE$6:CE$59)</f>
        <v>0</v>
      </c>
      <c r="CF156" s="78" t="e">
        <f t="shared" ref="CF156:CF187" si="421">+CE156/CD156</f>
        <v>#DIV/0!</v>
      </c>
      <c r="CG156" s="79">
        <f t="shared" ref="CG156:CG198" si="422">+SUMIF($C$6:$C$63,$C156,CG$6:CG$63)</f>
        <v>0</v>
      </c>
      <c r="CH156" s="30">
        <f t="shared" ref="CH156:CH198" si="423">+SUMIF($B$6:$B$59,$C156,CH$6:CH$59)</f>
        <v>0</v>
      </c>
      <c r="CI156" s="78" t="e">
        <f t="shared" ref="CI156:CI187" si="424">+CH156/CG156</f>
        <v>#DIV/0!</v>
      </c>
      <c r="CJ156" s="79">
        <f t="shared" ref="CJ156:CJ198" si="425">+SUMIF($C$6:$C$63,$C156,CJ$6:CJ$63)</f>
        <v>0</v>
      </c>
      <c r="CK156" s="30">
        <f t="shared" ref="CK156:CK198" si="426">+SUMIF($B$6:$B$59,$C156,CK$6:CK$59)</f>
        <v>0</v>
      </c>
      <c r="CL156" s="78" t="e">
        <f t="shared" ref="CL156:CL187" si="427">+CK156/CJ156</f>
        <v>#DIV/0!</v>
      </c>
      <c r="CM156" s="79">
        <f t="shared" ref="CM156:CM198" si="428">+SUMIF($C$6:$C$63,$C156,CM$6:CM$63)</f>
        <v>0</v>
      </c>
      <c r="CN156" s="30">
        <f t="shared" ref="CN156:CN198" si="429">+SUMIF($B$6:$B$59,$C156,CN$6:CN$59)</f>
        <v>0</v>
      </c>
      <c r="CO156" s="78" t="e">
        <f t="shared" ref="CO156:CO187" si="430">+CN156/CM156</f>
        <v>#DIV/0!</v>
      </c>
      <c r="CP156" s="79">
        <f t="shared" ref="CP156:CP198" si="431">+SUMIF($C$6:$C$63,$C156,CP$6:CP$63)</f>
        <v>0</v>
      </c>
      <c r="CQ156" s="30">
        <f t="shared" ref="CQ156:CQ198" si="432">+SUMIF($B$6:$B$59,$C156,CQ$6:CQ$59)</f>
        <v>0</v>
      </c>
      <c r="CR156" s="78" t="e">
        <f t="shared" ref="CR156:CR187" si="433">+CQ156/CP156</f>
        <v>#DIV/0!</v>
      </c>
      <c r="CS156" s="79">
        <f t="shared" ref="CS156:CS198" si="434">+SUMIF($C$6:$C$63,$C156,CS$6:CS$63)</f>
        <v>0</v>
      </c>
      <c r="CT156" s="30">
        <f t="shared" ref="CT156:CT198" si="435">+SUMIF($B$6:$B$59,$C156,CT$6:CT$59)</f>
        <v>0</v>
      </c>
      <c r="CU156" s="78" t="e">
        <f t="shared" ref="CU156:CU187" si="436">+CT156/CS156</f>
        <v>#DIV/0!</v>
      </c>
      <c r="CV156" s="79">
        <f t="shared" ref="CV156:CV198" si="437">+SUMIF($C$6:$C$63,$C156,CV$6:CV$63)</f>
        <v>0</v>
      </c>
      <c r="CW156" s="30">
        <f t="shared" ref="CW156:CW198" si="438">+SUMIF($B$6:$B$59,$C156,CW$6:CW$59)</f>
        <v>0</v>
      </c>
      <c r="CX156" s="78" t="e">
        <f t="shared" ref="CX156:CX187" si="439">+CW156/CV156</f>
        <v>#DIV/0!</v>
      </c>
      <c r="CY156" s="79">
        <f t="shared" ref="CY156:CY198" si="440">+SUMIF($C$6:$C$63,$C156,CY$6:CY$63)</f>
        <v>0</v>
      </c>
      <c r="CZ156" s="30">
        <f t="shared" ref="CZ156:CZ198" si="441">+SUMIF($B$6:$B$59,$C156,CZ$6:CZ$59)</f>
        <v>0</v>
      </c>
      <c r="DA156" s="78" t="e">
        <f t="shared" ref="DA156:DA187" si="442">+CZ156/CY156</f>
        <v>#DIV/0!</v>
      </c>
      <c r="DB156" s="79">
        <f t="shared" ref="DB156:DB198" si="443">+SUMIF($C$6:$C$63,$C156,DB$6:DB$63)</f>
        <v>0</v>
      </c>
      <c r="DC156" s="30">
        <f t="shared" ref="DC156:DC198" si="444">+SUMIF($B$6:$B$59,$C156,DC$6:DC$59)</f>
        <v>0</v>
      </c>
      <c r="DD156" s="78" t="e">
        <f t="shared" ref="DD156:DD187" si="445">+DC156/DB156</f>
        <v>#DIV/0!</v>
      </c>
      <c r="DE156" s="79">
        <f t="shared" ref="DE156:DE198" si="446">+SUMIF($C$6:$C$63,$C156,DE$6:DE$63)</f>
        <v>0</v>
      </c>
      <c r="DF156" s="30">
        <f t="shared" ref="DF156:DF198" si="447">+SUMIF($B$6:$B$59,$C156,DF$6:DF$59)</f>
        <v>0</v>
      </c>
      <c r="DG156" s="78" t="e">
        <f t="shared" ref="DG156:DG187" si="448">+DF156/DE156</f>
        <v>#DIV/0!</v>
      </c>
      <c r="DH156" s="79">
        <f t="shared" ref="DH156:DH198" si="449">+SUMIF($C$6:$C$63,$C156,DH$6:DH$63)</f>
        <v>0</v>
      </c>
      <c r="DI156" s="30">
        <f t="shared" ref="DI156:DI198" si="450">+SUMIF($B$6:$B$59,$C156,DI$6:DI$59)</f>
        <v>0</v>
      </c>
      <c r="DJ156" s="78" t="e">
        <f t="shared" ref="DJ156:DJ187" si="451">+DI156/DH156</f>
        <v>#DIV/0!</v>
      </c>
      <c r="DK156" s="79">
        <f t="shared" ref="DK156:DK198" si="452">+SUMIF($C$6:$C$63,$C156,DK$6:DK$63)</f>
        <v>0</v>
      </c>
      <c r="DL156" s="30">
        <f t="shared" ref="DL156:DL198" si="453">+SUMIF($B$6:$B$59,$C156,DL$6:DL$59)</f>
        <v>0</v>
      </c>
      <c r="DM156" s="78" t="e">
        <f t="shared" ref="DM156:DM187" si="454">+DL156/DK156</f>
        <v>#DIV/0!</v>
      </c>
      <c r="DN156" s="79">
        <f t="shared" ref="DN156:DN187" si="455">+SUMIF($C$6:$C$63,$C156,DN$6:DN$63)</f>
        <v>0</v>
      </c>
      <c r="DO156" s="30">
        <f t="shared" ref="DO156:DO187" si="456">+SUMIF($B$6:$B$59,$C156,DO$6:DO$59)</f>
        <v>0</v>
      </c>
      <c r="DP156" s="78" t="e">
        <f t="shared" ref="DP156:DP187" si="457">+DO156/DN156</f>
        <v>#DIV/0!</v>
      </c>
      <c r="DQ156" s="79">
        <f t="shared" ref="DQ156:DQ198" si="458">+SUMIF($C$6:$C$63,$C156,DQ$6:DQ$63)</f>
        <v>0</v>
      </c>
      <c r="DR156" s="30">
        <f t="shared" ref="DR156:DR198" si="459">+SUMIF($B$6:$B$59,$C156,DR$6:DR$59)</f>
        <v>0</v>
      </c>
      <c r="DS156" s="78" t="e">
        <f t="shared" ref="DS156:DS187" si="460">+DR156/DQ156</f>
        <v>#DIV/0!</v>
      </c>
      <c r="DT156" s="79">
        <f t="shared" ref="DT156:DT198" si="461">+SUMIF($C$6:$C$63,$C156,DT$6:DT$63)</f>
        <v>0</v>
      </c>
      <c r="DU156" s="30">
        <f t="shared" ref="DU156:DU198" si="462">+SUMIF($B$6:$B$59,$C156,DU$6:DU$59)</f>
        <v>0</v>
      </c>
      <c r="DV156" s="78" t="e">
        <f t="shared" ref="DV156:DV187" si="463">+DU156/DT156</f>
        <v>#DIV/0!</v>
      </c>
      <c r="DW156" s="79">
        <f t="shared" ref="DW156:DW198" si="464">+SUMIF($C$6:$C$63,$C156,DW$6:DW$63)</f>
        <v>0</v>
      </c>
      <c r="DX156" s="30">
        <f t="shared" ref="DX156:DX198" si="465">+SUMIF($B$6:$B$59,$C156,DX$6:DX$59)</f>
        <v>0</v>
      </c>
      <c r="DY156" s="78" t="e">
        <f t="shared" ref="DY156:DY187" si="466">+DX156/DW156</f>
        <v>#DIV/0!</v>
      </c>
      <c r="DZ156" s="79">
        <f t="shared" ref="DZ156:DZ198" si="467">+SUMIF($C$6:$C$63,$C156,DZ$6:DZ$63)</f>
        <v>0</v>
      </c>
      <c r="EA156" s="30">
        <f t="shared" ref="EA156:EA198" si="468">+SUMIF($B$6:$B$59,$C156,EA$6:EA$59)</f>
        <v>0</v>
      </c>
      <c r="EB156" s="78" t="e">
        <f t="shared" ref="EB156:EB187" si="469">+EA156/DZ156</f>
        <v>#DIV/0!</v>
      </c>
      <c r="EC156" s="79">
        <f t="shared" ref="EC156:EC198" si="470">+SUMIF($C$6:$C$63,$C156,EC$6:EC$63)</f>
        <v>0</v>
      </c>
      <c r="ED156" s="30">
        <f t="shared" ref="ED156:ED198" si="471">+SUMIF($B$6:$B$59,$C156,ED$6:ED$59)</f>
        <v>0</v>
      </c>
      <c r="EE156" s="78" t="e">
        <f t="shared" ref="EE156:EE187" si="472">+ED156/EC156</f>
        <v>#DIV/0!</v>
      </c>
      <c r="EF156" s="79">
        <f t="shared" ref="EF156:EF198" si="473">+SUMIF($C$6:$C$63,$C156,EF$6:EF$63)</f>
        <v>0</v>
      </c>
      <c r="EG156" s="30">
        <f t="shared" ref="EG156:EG198" si="474">+SUMIF($B$6:$B$59,$C156,EG$6:EG$59)</f>
        <v>0</v>
      </c>
      <c r="EH156" s="78" t="e">
        <f t="shared" ref="EH156:EH187" si="475">+EG156/EF156</f>
        <v>#DIV/0!</v>
      </c>
      <c r="EI156" s="79">
        <f t="shared" ref="EI156:EI198" si="476">+SUMIF($C$6:$C$63,$C156,EI$6:EI$63)</f>
        <v>0</v>
      </c>
      <c r="EJ156" s="30">
        <f t="shared" ref="EJ156:EJ198" si="477">+SUMIF($B$6:$B$59,$C156,EJ$6:EJ$59)</f>
        <v>0</v>
      </c>
      <c r="EK156" s="78" t="e">
        <f t="shared" ref="EK156:EK187" si="478">+EJ156/EI156</f>
        <v>#DIV/0!</v>
      </c>
    </row>
    <row r="157" spans="1:141" s="12" customFormat="1" ht="14.25" hidden="1" customHeight="1">
      <c r="A157" s="25">
        <v>2</v>
      </c>
      <c r="B157" s="26">
        <v>9118</v>
      </c>
      <c r="C157" s="121" t="s">
        <v>209</v>
      </c>
      <c r="D157" s="88" t="s">
        <v>5</v>
      </c>
      <c r="E157" s="23" t="s">
        <v>192</v>
      </c>
      <c r="F157" s="25"/>
      <c r="G157" s="81">
        <f t="shared" si="349"/>
        <v>0</v>
      </c>
      <c r="H157" s="81">
        <f t="shared" si="350"/>
        <v>20.16</v>
      </c>
      <c r="I157" s="19">
        <f t="shared" si="351"/>
        <v>0</v>
      </c>
      <c r="J157" s="11">
        <f t="shared" si="352"/>
        <v>3.1799999999999997</v>
      </c>
      <c r="K157" s="19">
        <f t="shared" si="353"/>
        <v>0</v>
      </c>
      <c r="L157" s="19">
        <f t="shared" si="354"/>
        <v>0</v>
      </c>
      <c r="M157" s="19">
        <f t="shared" si="355"/>
        <v>0</v>
      </c>
      <c r="N157" s="19">
        <f t="shared" si="356"/>
        <v>0.17</v>
      </c>
      <c r="O157" s="19">
        <f t="shared" si="357"/>
        <v>0</v>
      </c>
      <c r="P157" s="19">
        <f t="shared" si="358"/>
        <v>0</v>
      </c>
      <c r="Q157" s="19">
        <f t="shared" si="359"/>
        <v>0</v>
      </c>
      <c r="R157" s="19">
        <f t="shared" si="360"/>
        <v>0</v>
      </c>
      <c r="S157" s="19">
        <f t="shared" si="361"/>
        <v>0</v>
      </c>
      <c r="T157" s="19">
        <f t="shared" si="362"/>
        <v>2.5</v>
      </c>
      <c r="U157" s="19">
        <f t="shared" si="363"/>
        <v>0</v>
      </c>
      <c r="V157" s="19">
        <f t="shared" si="364"/>
        <v>0</v>
      </c>
      <c r="W157" s="19">
        <f t="shared" si="365"/>
        <v>0</v>
      </c>
      <c r="X157" s="19">
        <f t="shared" si="366"/>
        <v>0.51</v>
      </c>
      <c r="Y157" s="19">
        <f t="shared" si="367"/>
        <v>0</v>
      </c>
      <c r="Z157" s="19">
        <f t="shared" si="368"/>
        <v>0</v>
      </c>
      <c r="AA157" s="20"/>
      <c r="AB157" s="129" t="e">
        <f t="shared" si="369"/>
        <v>#VALUE!</v>
      </c>
      <c r="AC157" s="129">
        <f t="shared" si="370"/>
        <v>30452</v>
      </c>
      <c r="AD157" s="128" t="e">
        <f t="shared" si="371"/>
        <v>#VALUE!</v>
      </c>
      <c r="AE157" s="42"/>
      <c r="AF157" s="127">
        <f t="shared" si="372"/>
        <v>1510.515873015873</v>
      </c>
      <c r="AG157" s="127"/>
      <c r="AH157" s="20">
        <f t="shared" si="373"/>
        <v>20</v>
      </c>
      <c r="AI157" s="126">
        <f t="shared" si="374"/>
        <v>6.5677131222908179E-4</v>
      </c>
      <c r="AJ157" s="25">
        <f t="shared" si="375"/>
        <v>0</v>
      </c>
      <c r="AK157" s="25">
        <f t="shared" si="376"/>
        <v>0</v>
      </c>
      <c r="AL157" s="25">
        <f t="shared" si="377"/>
        <v>0</v>
      </c>
      <c r="AM157" s="20">
        <f t="shared" si="378"/>
        <v>20</v>
      </c>
      <c r="AN157" s="20">
        <f t="shared" si="379"/>
        <v>0</v>
      </c>
      <c r="AO157" s="20">
        <f t="shared" si="380"/>
        <v>0</v>
      </c>
      <c r="AP157" s="20">
        <f t="shared" si="381"/>
        <v>0</v>
      </c>
      <c r="AQ157" s="20">
        <f t="shared" si="382"/>
        <v>0</v>
      </c>
      <c r="AR157" s="20">
        <f t="shared" si="383"/>
        <v>0</v>
      </c>
      <c r="AS157" s="20">
        <f t="shared" si="384"/>
        <v>0</v>
      </c>
      <c r="AT157" s="20">
        <f t="shared" si="385"/>
        <v>0</v>
      </c>
      <c r="AU157" s="80"/>
      <c r="AV157" s="79">
        <f t="shared" si="386"/>
        <v>0</v>
      </c>
      <c r="AW157" s="79">
        <f t="shared" ref="AW157:AW198" si="479">+SUMIF($C$6:$C$63,$C157,AW$6:AW$63)</f>
        <v>0</v>
      </c>
      <c r="AX157" s="30">
        <f t="shared" si="387"/>
        <v>0</v>
      </c>
      <c r="AY157" s="78" t="e">
        <f t="shared" si="388"/>
        <v>#DIV/0!</v>
      </c>
      <c r="AZ157" s="79">
        <f t="shared" si="389"/>
        <v>0</v>
      </c>
      <c r="BA157" s="30">
        <f t="shared" si="390"/>
        <v>0</v>
      </c>
      <c r="BB157" s="78" t="e">
        <f t="shared" si="391"/>
        <v>#DIV/0!</v>
      </c>
      <c r="BC157" s="79">
        <f t="shared" si="392"/>
        <v>0</v>
      </c>
      <c r="BD157" s="30">
        <f t="shared" si="393"/>
        <v>0</v>
      </c>
      <c r="BE157" s="78" t="e">
        <f t="shared" si="394"/>
        <v>#DIV/0!</v>
      </c>
      <c r="BF157" s="79">
        <f t="shared" si="395"/>
        <v>0</v>
      </c>
      <c r="BG157" s="30">
        <f t="shared" si="396"/>
        <v>0</v>
      </c>
      <c r="BH157" s="78" t="e">
        <f t="shared" si="397"/>
        <v>#DIV/0!</v>
      </c>
      <c r="BI157" s="79">
        <f t="shared" si="398"/>
        <v>0</v>
      </c>
      <c r="BJ157" s="30">
        <f t="shared" si="399"/>
        <v>0</v>
      </c>
      <c r="BK157" s="78" t="e">
        <f t="shared" si="400"/>
        <v>#DIV/0!</v>
      </c>
      <c r="BL157" s="79">
        <f t="shared" si="401"/>
        <v>0</v>
      </c>
      <c r="BM157" s="30">
        <f t="shared" si="402"/>
        <v>0</v>
      </c>
      <c r="BN157" s="78" t="e">
        <f t="shared" si="403"/>
        <v>#DIV/0!</v>
      </c>
      <c r="BO157" s="79">
        <f t="shared" si="404"/>
        <v>0</v>
      </c>
      <c r="BP157" s="30">
        <f t="shared" si="405"/>
        <v>0</v>
      </c>
      <c r="BQ157" s="78" t="e">
        <f t="shared" si="406"/>
        <v>#DIV/0!</v>
      </c>
      <c r="BR157" s="79">
        <f t="shared" si="407"/>
        <v>0</v>
      </c>
      <c r="BS157" s="30">
        <f t="shared" si="408"/>
        <v>0</v>
      </c>
      <c r="BT157" s="78" t="e">
        <f t="shared" si="409"/>
        <v>#DIV/0!</v>
      </c>
      <c r="BU157" s="79">
        <f t="shared" si="410"/>
        <v>0</v>
      </c>
      <c r="BV157" s="30">
        <f t="shared" si="411"/>
        <v>0</v>
      </c>
      <c r="BW157" s="78" t="e">
        <f t="shared" si="412"/>
        <v>#DIV/0!</v>
      </c>
      <c r="BX157" s="79">
        <f t="shared" si="413"/>
        <v>0</v>
      </c>
      <c r="BY157" s="30">
        <f t="shared" si="414"/>
        <v>0</v>
      </c>
      <c r="BZ157" s="78" t="e">
        <f t="shared" si="415"/>
        <v>#DIV/0!</v>
      </c>
      <c r="CA157" s="79">
        <f t="shared" si="416"/>
        <v>0</v>
      </c>
      <c r="CB157" s="30">
        <f t="shared" si="417"/>
        <v>0</v>
      </c>
      <c r="CC157" s="78" t="e">
        <f t="shared" si="418"/>
        <v>#DIV/0!</v>
      </c>
      <c r="CD157" s="79">
        <f t="shared" si="419"/>
        <v>0</v>
      </c>
      <c r="CE157" s="30">
        <f t="shared" si="420"/>
        <v>0</v>
      </c>
      <c r="CF157" s="78" t="e">
        <f t="shared" si="421"/>
        <v>#DIV/0!</v>
      </c>
      <c r="CG157" s="79">
        <f t="shared" si="422"/>
        <v>0</v>
      </c>
      <c r="CH157" s="30">
        <f t="shared" si="423"/>
        <v>0</v>
      </c>
      <c r="CI157" s="78" t="e">
        <f t="shared" si="424"/>
        <v>#DIV/0!</v>
      </c>
      <c r="CJ157" s="79">
        <f t="shared" si="425"/>
        <v>0</v>
      </c>
      <c r="CK157" s="30">
        <f t="shared" si="426"/>
        <v>0</v>
      </c>
      <c r="CL157" s="78" t="e">
        <f t="shared" si="427"/>
        <v>#DIV/0!</v>
      </c>
      <c r="CM157" s="79">
        <f t="shared" si="428"/>
        <v>0</v>
      </c>
      <c r="CN157" s="30">
        <f t="shared" si="429"/>
        <v>0</v>
      </c>
      <c r="CO157" s="78" t="e">
        <f t="shared" si="430"/>
        <v>#DIV/0!</v>
      </c>
      <c r="CP157" s="79">
        <f t="shared" si="431"/>
        <v>0</v>
      </c>
      <c r="CQ157" s="30">
        <f t="shared" si="432"/>
        <v>0</v>
      </c>
      <c r="CR157" s="78" t="e">
        <f t="shared" si="433"/>
        <v>#DIV/0!</v>
      </c>
      <c r="CS157" s="79">
        <f t="shared" si="434"/>
        <v>0</v>
      </c>
      <c r="CT157" s="30">
        <f t="shared" si="435"/>
        <v>0</v>
      </c>
      <c r="CU157" s="78" t="e">
        <f t="shared" si="436"/>
        <v>#DIV/0!</v>
      </c>
      <c r="CV157" s="79">
        <f t="shared" si="437"/>
        <v>0</v>
      </c>
      <c r="CW157" s="30">
        <f t="shared" si="438"/>
        <v>0</v>
      </c>
      <c r="CX157" s="78" t="e">
        <f t="shared" si="439"/>
        <v>#DIV/0!</v>
      </c>
      <c r="CY157" s="79">
        <f t="shared" si="440"/>
        <v>0</v>
      </c>
      <c r="CZ157" s="30">
        <f t="shared" si="441"/>
        <v>0</v>
      </c>
      <c r="DA157" s="78" t="e">
        <f t="shared" si="442"/>
        <v>#DIV/0!</v>
      </c>
      <c r="DB157" s="79">
        <f t="shared" si="443"/>
        <v>0</v>
      </c>
      <c r="DC157" s="30">
        <f t="shared" si="444"/>
        <v>0</v>
      </c>
      <c r="DD157" s="78" t="e">
        <f t="shared" si="445"/>
        <v>#DIV/0!</v>
      </c>
      <c r="DE157" s="79">
        <f t="shared" si="446"/>
        <v>0</v>
      </c>
      <c r="DF157" s="30">
        <f t="shared" si="447"/>
        <v>0</v>
      </c>
      <c r="DG157" s="78" t="e">
        <f t="shared" si="448"/>
        <v>#DIV/0!</v>
      </c>
      <c r="DH157" s="79">
        <f t="shared" si="449"/>
        <v>0</v>
      </c>
      <c r="DI157" s="30">
        <f t="shared" si="450"/>
        <v>0</v>
      </c>
      <c r="DJ157" s="78" t="e">
        <f t="shared" si="451"/>
        <v>#DIV/0!</v>
      </c>
      <c r="DK157" s="79">
        <f t="shared" si="452"/>
        <v>0</v>
      </c>
      <c r="DL157" s="30">
        <f t="shared" si="453"/>
        <v>0</v>
      </c>
      <c r="DM157" s="78" t="e">
        <f t="shared" si="454"/>
        <v>#DIV/0!</v>
      </c>
      <c r="DN157" s="79">
        <f t="shared" si="455"/>
        <v>0</v>
      </c>
      <c r="DO157" s="30">
        <f t="shared" si="456"/>
        <v>0</v>
      </c>
      <c r="DP157" s="78" t="e">
        <f t="shared" si="457"/>
        <v>#DIV/0!</v>
      </c>
      <c r="DQ157" s="79">
        <f t="shared" si="458"/>
        <v>0</v>
      </c>
      <c r="DR157" s="30">
        <f t="shared" si="459"/>
        <v>0</v>
      </c>
      <c r="DS157" s="78" t="e">
        <f t="shared" si="460"/>
        <v>#DIV/0!</v>
      </c>
      <c r="DT157" s="79">
        <f t="shared" si="461"/>
        <v>0</v>
      </c>
      <c r="DU157" s="30">
        <f t="shared" si="462"/>
        <v>0</v>
      </c>
      <c r="DV157" s="78" t="e">
        <f t="shared" si="463"/>
        <v>#DIV/0!</v>
      </c>
      <c r="DW157" s="79">
        <f t="shared" si="464"/>
        <v>0</v>
      </c>
      <c r="DX157" s="30">
        <f t="shared" si="465"/>
        <v>0</v>
      </c>
      <c r="DY157" s="78" t="e">
        <f t="shared" si="466"/>
        <v>#DIV/0!</v>
      </c>
      <c r="DZ157" s="79">
        <f t="shared" si="467"/>
        <v>0</v>
      </c>
      <c r="EA157" s="30">
        <f t="shared" si="468"/>
        <v>0</v>
      </c>
      <c r="EB157" s="78" t="e">
        <f t="shared" si="469"/>
        <v>#DIV/0!</v>
      </c>
      <c r="EC157" s="79">
        <f t="shared" si="470"/>
        <v>0</v>
      </c>
      <c r="ED157" s="30">
        <f t="shared" si="471"/>
        <v>0</v>
      </c>
      <c r="EE157" s="78" t="e">
        <f t="shared" si="472"/>
        <v>#DIV/0!</v>
      </c>
      <c r="EF157" s="79">
        <f t="shared" si="473"/>
        <v>0</v>
      </c>
      <c r="EG157" s="30">
        <f t="shared" si="474"/>
        <v>0</v>
      </c>
      <c r="EH157" s="78" t="e">
        <f t="shared" si="475"/>
        <v>#DIV/0!</v>
      </c>
      <c r="EI157" s="79">
        <f t="shared" si="476"/>
        <v>0</v>
      </c>
      <c r="EJ157" s="30">
        <f t="shared" si="477"/>
        <v>0</v>
      </c>
      <c r="EK157" s="78" t="e">
        <f t="shared" si="478"/>
        <v>#DIV/0!</v>
      </c>
    </row>
    <row r="158" spans="1:141" s="12" customFormat="1" ht="14.25" hidden="1" customHeight="1">
      <c r="A158" s="25">
        <v>3</v>
      </c>
      <c r="B158" s="26">
        <v>9142</v>
      </c>
      <c r="C158" s="121" t="s">
        <v>208</v>
      </c>
      <c r="D158" s="87" t="s">
        <v>207</v>
      </c>
      <c r="E158" s="23" t="s">
        <v>189</v>
      </c>
      <c r="F158" s="25"/>
      <c r="G158" s="81">
        <f t="shared" si="349"/>
        <v>0</v>
      </c>
      <c r="H158" s="81">
        <f t="shared" si="350"/>
        <v>21.16</v>
      </c>
      <c r="I158" s="19">
        <f t="shared" si="351"/>
        <v>0</v>
      </c>
      <c r="J158" s="11">
        <f t="shared" si="352"/>
        <v>2.84</v>
      </c>
      <c r="K158" s="19">
        <f t="shared" si="353"/>
        <v>0</v>
      </c>
      <c r="L158" s="19">
        <f t="shared" si="354"/>
        <v>0</v>
      </c>
      <c r="M158" s="19">
        <f t="shared" si="355"/>
        <v>0</v>
      </c>
      <c r="N158" s="19">
        <f t="shared" si="356"/>
        <v>0</v>
      </c>
      <c r="O158" s="19">
        <f t="shared" si="357"/>
        <v>0</v>
      </c>
      <c r="P158" s="19">
        <f t="shared" si="358"/>
        <v>0</v>
      </c>
      <c r="Q158" s="19">
        <f t="shared" si="359"/>
        <v>0</v>
      </c>
      <c r="R158" s="19">
        <f t="shared" si="360"/>
        <v>0</v>
      </c>
      <c r="S158" s="19">
        <f t="shared" si="361"/>
        <v>0</v>
      </c>
      <c r="T158" s="19">
        <f t="shared" si="362"/>
        <v>2.5</v>
      </c>
      <c r="U158" s="19">
        <f t="shared" si="363"/>
        <v>0</v>
      </c>
      <c r="V158" s="19">
        <f t="shared" si="364"/>
        <v>0</v>
      </c>
      <c r="W158" s="19">
        <f t="shared" si="365"/>
        <v>0</v>
      </c>
      <c r="X158" s="19">
        <f t="shared" si="366"/>
        <v>0.34</v>
      </c>
      <c r="Y158" s="19">
        <f t="shared" si="367"/>
        <v>0</v>
      </c>
      <c r="Z158" s="19">
        <f t="shared" si="368"/>
        <v>0</v>
      </c>
      <c r="AA158" s="20"/>
      <c r="AB158" s="129" t="e">
        <f t="shared" si="369"/>
        <v>#VALUE!</v>
      </c>
      <c r="AC158" s="129">
        <f t="shared" si="370"/>
        <v>17000</v>
      </c>
      <c r="AD158" s="128" t="e">
        <f t="shared" si="371"/>
        <v>#VALUE!</v>
      </c>
      <c r="AE158" s="42"/>
      <c r="AF158" s="127">
        <f t="shared" si="372"/>
        <v>803.40264650283552</v>
      </c>
      <c r="AG158" s="127"/>
      <c r="AH158" s="20">
        <f t="shared" si="373"/>
        <v>49</v>
      </c>
      <c r="AI158" s="126">
        <f t="shared" si="374"/>
        <v>2.8823529411764704E-3</v>
      </c>
      <c r="AJ158" s="25">
        <f t="shared" si="375"/>
        <v>0</v>
      </c>
      <c r="AK158" s="25">
        <f t="shared" si="376"/>
        <v>0</v>
      </c>
      <c r="AL158" s="25">
        <f t="shared" si="377"/>
        <v>0</v>
      </c>
      <c r="AM158" s="20">
        <f t="shared" si="378"/>
        <v>0</v>
      </c>
      <c r="AN158" s="20">
        <f t="shared" si="379"/>
        <v>0</v>
      </c>
      <c r="AO158" s="20">
        <f t="shared" si="380"/>
        <v>0</v>
      </c>
      <c r="AP158" s="20">
        <f t="shared" si="381"/>
        <v>0</v>
      </c>
      <c r="AQ158" s="20">
        <f t="shared" si="382"/>
        <v>5</v>
      </c>
      <c r="AR158" s="20">
        <f t="shared" si="383"/>
        <v>0</v>
      </c>
      <c r="AS158" s="20">
        <f t="shared" si="384"/>
        <v>0</v>
      </c>
      <c r="AT158" s="20">
        <f t="shared" si="385"/>
        <v>44</v>
      </c>
      <c r="AU158" s="80"/>
      <c r="AV158" s="79">
        <f t="shared" si="386"/>
        <v>0</v>
      </c>
      <c r="AW158" s="79">
        <f t="shared" si="479"/>
        <v>34200</v>
      </c>
      <c r="AX158" s="30">
        <f t="shared" si="387"/>
        <v>0</v>
      </c>
      <c r="AY158" s="78">
        <f t="shared" si="388"/>
        <v>0</v>
      </c>
      <c r="AZ158" s="79">
        <f t="shared" si="389"/>
        <v>0</v>
      </c>
      <c r="BA158" s="30">
        <f t="shared" si="390"/>
        <v>0</v>
      </c>
      <c r="BB158" s="78" t="e">
        <f t="shared" si="391"/>
        <v>#DIV/0!</v>
      </c>
      <c r="BC158" s="79">
        <f t="shared" si="392"/>
        <v>0</v>
      </c>
      <c r="BD158" s="30">
        <f t="shared" si="393"/>
        <v>0</v>
      </c>
      <c r="BE158" s="78" t="e">
        <f t="shared" si="394"/>
        <v>#DIV/0!</v>
      </c>
      <c r="BF158" s="79">
        <f t="shared" si="395"/>
        <v>0</v>
      </c>
      <c r="BG158" s="30">
        <f t="shared" si="396"/>
        <v>0</v>
      </c>
      <c r="BH158" s="78" t="e">
        <f t="shared" si="397"/>
        <v>#DIV/0!</v>
      </c>
      <c r="BI158" s="79">
        <f t="shared" si="398"/>
        <v>0</v>
      </c>
      <c r="BJ158" s="30">
        <f t="shared" si="399"/>
        <v>0</v>
      </c>
      <c r="BK158" s="78" t="e">
        <f t="shared" si="400"/>
        <v>#DIV/0!</v>
      </c>
      <c r="BL158" s="79">
        <f t="shared" si="401"/>
        <v>0</v>
      </c>
      <c r="BM158" s="30">
        <f t="shared" si="402"/>
        <v>0</v>
      </c>
      <c r="BN158" s="78" t="e">
        <f t="shared" si="403"/>
        <v>#DIV/0!</v>
      </c>
      <c r="BO158" s="79">
        <f t="shared" si="404"/>
        <v>0</v>
      </c>
      <c r="BP158" s="30">
        <f t="shared" si="405"/>
        <v>0</v>
      </c>
      <c r="BQ158" s="78" t="e">
        <f t="shared" si="406"/>
        <v>#DIV/0!</v>
      </c>
      <c r="BR158" s="79">
        <f t="shared" si="407"/>
        <v>0</v>
      </c>
      <c r="BS158" s="30">
        <f t="shared" si="408"/>
        <v>0</v>
      </c>
      <c r="BT158" s="78" t="e">
        <f t="shared" si="409"/>
        <v>#DIV/0!</v>
      </c>
      <c r="BU158" s="79">
        <f t="shared" si="410"/>
        <v>0</v>
      </c>
      <c r="BV158" s="30">
        <f t="shared" si="411"/>
        <v>0</v>
      </c>
      <c r="BW158" s="78" t="e">
        <f t="shared" si="412"/>
        <v>#DIV/0!</v>
      </c>
      <c r="BX158" s="79">
        <f t="shared" si="413"/>
        <v>0</v>
      </c>
      <c r="BY158" s="30">
        <f t="shared" si="414"/>
        <v>0</v>
      </c>
      <c r="BZ158" s="78" t="e">
        <f t="shared" si="415"/>
        <v>#DIV/0!</v>
      </c>
      <c r="CA158" s="79">
        <f t="shared" si="416"/>
        <v>0</v>
      </c>
      <c r="CB158" s="30">
        <f t="shared" si="417"/>
        <v>0</v>
      </c>
      <c r="CC158" s="78" t="e">
        <f t="shared" si="418"/>
        <v>#DIV/0!</v>
      </c>
      <c r="CD158" s="79">
        <f t="shared" si="419"/>
        <v>0</v>
      </c>
      <c r="CE158" s="30">
        <f t="shared" si="420"/>
        <v>0</v>
      </c>
      <c r="CF158" s="78" t="e">
        <f t="shared" si="421"/>
        <v>#DIV/0!</v>
      </c>
      <c r="CG158" s="79">
        <f t="shared" si="422"/>
        <v>0</v>
      </c>
      <c r="CH158" s="30">
        <f t="shared" si="423"/>
        <v>0</v>
      </c>
      <c r="CI158" s="78" t="e">
        <f t="shared" si="424"/>
        <v>#DIV/0!</v>
      </c>
      <c r="CJ158" s="79">
        <f t="shared" si="425"/>
        <v>0</v>
      </c>
      <c r="CK158" s="30">
        <f t="shared" si="426"/>
        <v>0</v>
      </c>
      <c r="CL158" s="78" t="e">
        <f t="shared" si="427"/>
        <v>#DIV/0!</v>
      </c>
      <c r="CM158" s="79">
        <f t="shared" si="428"/>
        <v>0</v>
      </c>
      <c r="CN158" s="30">
        <f t="shared" si="429"/>
        <v>0</v>
      </c>
      <c r="CO158" s="78" t="e">
        <f t="shared" si="430"/>
        <v>#DIV/0!</v>
      </c>
      <c r="CP158" s="79">
        <f t="shared" si="431"/>
        <v>0</v>
      </c>
      <c r="CQ158" s="30">
        <f t="shared" si="432"/>
        <v>0</v>
      </c>
      <c r="CR158" s="78" t="e">
        <f t="shared" si="433"/>
        <v>#DIV/0!</v>
      </c>
      <c r="CS158" s="79">
        <f t="shared" si="434"/>
        <v>0</v>
      </c>
      <c r="CT158" s="30">
        <f t="shared" si="435"/>
        <v>0</v>
      </c>
      <c r="CU158" s="78" t="e">
        <f t="shared" si="436"/>
        <v>#DIV/0!</v>
      </c>
      <c r="CV158" s="79">
        <f t="shared" si="437"/>
        <v>0</v>
      </c>
      <c r="CW158" s="30">
        <f t="shared" si="438"/>
        <v>0</v>
      </c>
      <c r="CX158" s="78" t="e">
        <f t="shared" si="439"/>
        <v>#DIV/0!</v>
      </c>
      <c r="CY158" s="79">
        <f t="shared" si="440"/>
        <v>0</v>
      </c>
      <c r="CZ158" s="30">
        <f t="shared" si="441"/>
        <v>0</v>
      </c>
      <c r="DA158" s="78" t="e">
        <f t="shared" si="442"/>
        <v>#DIV/0!</v>
      </c>
      <c r="DB158" s="79">
        <f t="shared" si="443"/>
        <v>0</v>
      </c>
      <c r="DC158" s="30">
        <f t="shared" si="444"/>
        <v>0</v>
      </c>
      <c r="DD158" s="78" t="e">
        <f t="shared" si="445"/>
        <v>#DIV/0!</v>
      </c>
      <c r="DE158" s="79">
        <f t="shared" si="446"/>
        <v>0</v>
      </c>
      <c r="DF158" s="30">
        <f t="shared" si="447"/>
        <v>0</v>
      </c>
      <c r="DG158" s="78" t="e">
        <f t="shared" si="448"/>
        <v>#DIV/0!</v>
      </c>
      <c r="DH158" s="79">
        <f t="shared" si="449"/>
        <v>0</v>
      </c>
      <c r="DI158" s="30">
        <f t="shared" si="450"/>
        <v>0</v>
      </c>
      <c r="DJ158" s="78" t="e">
        <f t="shared" si="451"/>
        <v>#DIV/0!</v>
      </c>
      <c r="DK158" s="79">
        <f t="shared" si="452"/>
        <v>0</v>
      </c>
      <c r="DL158" s="30">
        <f t="shared" si="453"/>
        <v>0</v>
      </c>
      <c r="DM158" s="78" t="e">
        <f t="shared" si="454"/>
        <v>#DIV/0!</v>
      </c>
      <c r="DN158" s="79">
        <f t="shared" si="455"/>
        <v>0</v>
      </c>
      <c r="DO158" s="30">
        <f t="shared" si="456"/>
        <v>0</v>
      </c>
      <c r="DP158" s="78" t="e">
        <f t="shared" si="457"/>
        <v>#DIV/0!</v>
      </c>
      <c r="DQ158" s="79">
        <f t="shared" si="458"/>
        <v>0</v>
      </c>
      <c r="DR158" s="30">
        <f t="shared" si="459"/>
        <v>0</v>
      </c>
      <c r="DS158" s="78" t="e">
        <f t="shared" si="460"/>
        <v>#DIV/0!</v>
      </c>
      <c r="DT158" s="79">
        <f t="shared" si="461"/>
        <v>0</v>
      </c>
      <c r="DU158" s="30">
        <f t="shared" si="462"/>
        <v>0</v>
      </c>
      <c r="DV158" s="78" t="e">
        <f t="shared" si="463"/>
        <v>#DIV/0!</v>
      </c>
      <c r="DW158" s="79">
        <f t="shared" si="464"/>
        <v>0</v>
      </c>
      <c r="DX158" s="30">
        <f t="shared" si="465"/>
        <v>0</v>
      </c>
      <c r="DY158" s="78" t="e">
        <f t="shared" si="466"/>
        <v>#DIV/0!</v>
      </c>
      <c r="DZ158" s="79">
        <f t="shared" si="467"/>
        <v>0</v>
      </c>
      <c r="EA158" s="30">
        <f t="shared" si="468"/>
        <v>0</v>
      </c>
      <c r="EB158" s="78" t="e">
        <f t="shared" si="469"/>
        <v>#DIV/0!</v>
      </c>
      <c r="EC158" s="79">
        <f t="shared" si="470"/>
        <v>0</v>
      </c>
      <c r="ED158" s="30">
        <f t="shared" si="471"/>
        <v>0</v>
      </c>
      <c r="EE158" s="78" t="e">
        <f t="shared" si="472"/>
        <v>#DIV/0!</v>
      </c>
      <c r="EF158" s="79">
        <f t="shared" si="473"/>
        <v>0</v>
      </c>
      <c r="EG158" s="30">
        <f t="shared" si="474"/>
        <v>0</v>
      </c>
      <c r="EH158" s="78" t="e">
        <f t="shared" si="475"/>
        <v>#DIV/0!</v>
      </c>
      <c r="EI158" s="79">
        <f t="shared" si="476"/>
        <v>0</v>
      </c>
      <c r="EJ158" s="30">
        <f t="shared" si="477"/>
        <v>0</v>
      </c>
      <c r="EK158" s="78" t="e">
        <f t="shared" si="478"/>
        <v>#DIV/0!</v>
      </c>
    </row>
    <row r="159" spans="1:141" s="12" customFormat="1" ht="14.25" hidden="1" customHeight="1">
      <c r="A159" s="25">
        <v>4</v>
      </c>
      <c r="B159" s="26"/>
      <c r="C159" s="121" t="s">
        <v>206</v>
      </c>
      <c r="D159" s="87" t="s">
        <v>205</v>
      </c>
      <c r="E159" s="23" t="s">
        <v>187</v>
      </c>
      <c r="F159" s="25"/>
      <c r="G159" s="81">
        <f t="shared" si="349"/>
        <v>0</v>
      </c>
      <c r="H159" s="81">
        <f t="shared" si="350"/>
        <v>25.83</v>
      </c>
      <c r="I159" s="19">
        <f t="shared" si="351"/>
        <v>0</v>
      </c>
      <c r="J159" s="11">
        <f t="shared" si="352"/>
        <v>6.17</v>
      </c>
      <c r="K159" s="19">
        <f t="shared" si="353"/>
        <v>0</v>
      </c>
      <c r="L159" s="19">
        <f t="shared" si="354"/>
        <v>0</v>
      </c>
      <c r="M159" s="19">
        <f t="shared" si="355"/>
        <v>1</v>
      </c>
      <c r="N159" s="19">
        <f t="shared" si="356"/>
        <v>0.83000000000000007</v>
      </c>
      <c r="O159" s="19">
        <f t="shared" si="357"/>
        <v>0</v>
      </c>
      <c r="P159" s="19">
        <f t="shared" si="358"/>
        <v>0</v>
      </c>
      <c r="Q159" s="19">
        <f t="shared" si="359"/>
        <v>0</v>
      </c>
      <c r="R159" s="19">
        <f t="shared" si="360"/>
        <v>0</v>
      </c>
      <c r="S159" s="19">
        <f t="shared" si="361"/>
        <v>0</v>
      </c>
      <c r="T159" s="19">
        <f t="shared" si="362"/>
        <v>3.83</v>
      </c>
      <c r="U159" s="19">
        <f t="shared" si="363"/>
        <v>0</v>
      </c>
      <c r="V159" s="19">
        <f t="shared" si="364"/>
        <v>0</v>
      </c>
      <c r="W159" s="19">
        <f t="shared" si="365"/>
        <v>0</v>
      </c>
      <c r="X159" s="19">
        <f t="shared" si="366"/>
        <v>0.51</v>
      </c>
      <c r="Y159" s="19">
        <f t="shared" si="367"/>
        <v>0</v>
      </c>
      <c r="Z159" s="19">
        <f t="shared" si="368"/>
        <v>0</v>
      </c>
      <c r="AA159" s="20"/>
      <c r="AB159" s="129" t="e">
        <f t="shared" si="369"/>
        <v>#VALUE!</v>
      </c>
      <c r="AC159" s="129">
        <f t="shared" si="370"/>
        <v>52920</v>
      </c>
      <c r="AD159" s="128" t="e">
        <f t="shared" si="371"/>
        <v>#VALUE!</v>
      </c>
      <c r="AE159" s="42"/>
      <c r="AF159" s="127">
        <f t="shared" si="372"/>
        <v>2048.7804878048782</v>
      </c>
      <c r="AG159" s="127"/>
      <c r="AH159" s="20">
        <f t="shared" si="373"/>
        <v>3</v>
      </c>
      <c r="AI159" s="126">
        <f t="shared" si="374"/>
        <v>5.6689342403628121E-5</v>
      </c>
      <c r="AJ159" s="25">
        <f t="shared" si="375"/>
        <v>0</v>
      </c>
      <c r="AK159" s="25">
        <f t="shared" si="376"/>
        <v>0</v>
      </c>
      <c r="AL159" s="25">
        <f t="shared" si="377"/>
        <v>0</v>
      </c>
      <c r="AM159" s="20">
        <f t="shared" si="378"/>
        <v>3</v>
      </c>
      <c r="AN159" s="20">
        <f t="shared" si="379"/>
        <v>0</v>
      </c>
      <c r="AO159" s="20">
        <f t="shared" si="380"/>
        <v>0</v>
      </c>
      <c r="AP159" s="20">
        <f t="shared" si="381"/>
        <v>0</v>
      </c>
      <c r="AQ159" s="20">
        <f t="shared" si="382"/>
        <v>0</v>
      </c>
      <c r="AR159" s="20">
        <f t="shared" si="383"/>
        <v>0</v>
      </c>
      <c r="AS159" s="20">
        <f t="shared" si="384"/>
        <v>0</v>
      </c>
      <c r="AT159" s="20">
        <f t="shared" si="385"/>
        <v>0</v>
      </c>
      <c r="AU159" s="80"/>
      <c r="AV159" s="79">
        <f t="shared" si="386"/>
        <v>0</v>
      </c>
      <c r="AW159" s="79">
        <f t="shared" si="479"/>
        <v>0</v>
      </c>
      <c r="AX159" s="30">
        <f t="shared" si="387"/>
        <v>0</v>
      </c>
      <c r="AY159" s="78" t="e">
        <f t="shared" si="388"/>
        <v>#DIV/0!</v>
      </c>
      <c r="AZ159" s="79">
        <f t="shared" si="389"/>
        <v>0</v>
      </c>
      <c r="BA159" s="30">
        <f t="shared" si="390"/>
        <v>0</v>
      </c>
      <c r="BB159" s="78" t="e">
        <f t="shared" si="391"/>
        <v>#DIV/0!</v>
      </c>
      <c r="BC159" s="79">
        <f t="shared" si="392"/>
        <v>0</v>
      </c>
      <c r="BD159" s="30">
        <f t="shared" si="393"/>
        <v>0</v>
      </c>
      <c r="BE159" s="78" t="e">
        <f t="shared" si="394"/>
        <v>#DIV/0!</v>
      </c>
      <c r="BF159" s="79">
        <f t="shared" si="395"/>
        <v>0</v>
      </c>
      <c r="BG159" s="30">
        <f t="shared" si="396"/>
        <v>0</v>
      </c>
      <c r="BH159" s="78" t="e">
        <f t="shared" si="397"/>
        <v>#DIV/0!</v>
      </c>
      <c r="BI159" s="79">
        <f t="shared" si="398"/>
        <v>0</v>
      </c>
      <c r="BJ159" s="30">
        <f t="shared" si="399"/>
        <v>0</v>
      </c>
      <c r="BK159" s="78" t="e">
        <f t="shared" si="400"/>
        <v>#DIV/0!</v>
      </c>
      <c r="BL159" s="79">
        <f t="shared" si="401"/>
        <v>0</v>
      </c>
      <c r="BM159" s="30">
        <f t="shared" si="402"/>
        <v>0</v>
      </c>
      <c r="BN159" s="78" t="e">
        <f t="shared" si="403"/>
        <v>#DIV/0!</v>
      </c>
      <c r="BO159" s="79">
        <f t="shared" si="404"/>
        <v>0</v>
      </c>
      <c r="BP159" s="30">
        <f t="shared" si="405"/>
        <v>0</v>
      </c>
      <c r="BQ159" s="78" t="e">
        <f t="shared" si="406"/>
        <v>#DIV/0!</v>
      </c>
      <c r="BR159" s="79">
        <f t="shared" si="407"/>
        <v>0</v>
      </c>
      <c r="BS159" s="30">
        <f t="shared" si="408"/>
        <v>0</v>
      </c>
      <c r="BT159" s="78" t="e">
        <f t="shared" si="409"/>
        <v>#DIV/0!</v>
      </c>
      <c r="BU159" s="79">
        <f t="shared" si="410"/>
        <v>0</v>
      </c>
      <c r="BV159" s="30">
        <f t="shared" si="411"/>
        <v>0</v>
      </c>
      <c r="BW159" s="78" t="e">
        <f t="shared" si="412"/>
        <v>#DIV/0!</v>
      </c>
      <c r="BX159" s="79">
        <f t="shared" si="413"/>
        <v>0</v>
      </c>
      <c r="BY159" s="30">
        <f t="shared" si="414"/>
        <v>0</v>
      </c>
      <c r="BZ159" s="78" t="e">
        <f t="shared" si="415"/>
        <v>#DIV/0!</v>
      </c>
      <c r="CA159" s="79">
        <f t="shared" si="416"/>
        <v>0</v>
      </c>
      <c r="CB159" s="30">
        <f t="shared" si="417"/>
        <v>0</v>
      </c>
      <c r="CC159" s="78" t="e">
        <f t="shared" si="418"/>
        <v>#DIV/0!</v>
      </c>
      <c r="CD159" s="79">
        <f t="shared" si="419"/>
        <v>0</v>
      </c>
      <c r="CE159" s="30">
        <f t="shared" si="420"/>
        <v>0</v>
      </c>
      <c r="CF159" s="78" t="e">
        <f t="shared" si="421"/>
        <v>#DIV/0!</v>
      </c>
      <c r="CG159" s="79">
        <f t="shared" si="422"/>
        <v>0</v>
      </c>
      <c r="CH159" s="30">
        <f t="shared" si="423"/>
        <v>0</v>
      </c>
      <c r="CI159" s="78" t="e">
        <f t="shared" si="424"/>
        <v>#DIV/0!</v>
      </c>
      <c r="CJ159" s="79">
        <f t="shared" si="425"/>
        <v>0</v>
      </c>
      <c r="CK159" s="30">
        <f t="shared" si="426"/>
        <v>0</v>
      </c>
      <c r="CL159" s="78" t="e">
        <f t="shared" si="427"/>
        <v>#DIV/0!</v>
      </c>
      <c r="CM159" s="79">
        <f t="shared" si="428"/>
        <v>0</v>
      </c>
      <c r="CN159" s="30">
        <f t="shared" si="429"/>
        <v>0</v>
      </c>
      <c r="CO159" s="78" t="e">
        <f t="shared" si="430"/>
        <v>#DIV/0!</v>
      </c>
      <c r="CP159" s="79">
        <f t="shared" si="431"/>
        <v>0</v>
      </c>
      <c r="CQ159" s="30">
        <f t="shared" si="432"/>
        <v>0</v>
      </c>
      <c r="CR159" s="78" t="e">
        <f t="shared" si="433"/>
        <v>#DIV/0!</v>
      </c>
      <c r="CS159" s="79">
        <f t="shared" si="434"/>
        <v>0</v>
      </c>
      <c r="CT159" s="30">
        <f t="shared" si="435"/>
        <v>0</v>
      </c>
      <c r="CU159" s="78" t="e">
        <f t="shared" si="436"/>
        <v>#DIV/0!</v>
      </c>
      <c r="CV159" s="79">
        <f t="shared" si="437"/>
        <v>0</v>
      </c>
      <c r="CW159" s="30">
        <f t="shared" si="438"/>
        <v>0</v>
      </c>
      <c r="CX159" s="78" t="e">
        <f t="shared" si="439"/>
        <v>#DIV/0!</v>
      </c>
      <c r="CY159" s="79">
        <f t="shared" si="440"/>
        <v>0</v>
      </c>
      <c r="CZ159" s="30">
        <f t="shared" si="441"/>
        <v>0</v>
      </c>
      <c r="DA159" s="78" t="e">
        <f t="shared" si="442"/>
        <v>#DIV/0!</v>
      </c>
      <c r="DB159" s="79">
        <f t="shared" si="443"/>
        <v>0</v>
      </c>
      <c r="DC159" s="30">
        <f t="shared" si="444"/>
        <v>0</v>
      </c>
      <c r="DD159" s="78" t="e">
        <f t="shared" si="445"/>
        <v>#DIV/0!</v>
      </c>
      <c r="DE159" s="79">
        <f t="shared" si="446"/>
        <v>0</v>
      </c>
      <c r="DF159" s="30">
        <f t="shared" si="447"/>
        <v>0</v>
      </c>
      <c r="DG159" s="78" t="e">
        <f t="shared" si="448"/>
        <v>#DIV/0!</v>
      </c>
      <c r="DH159" s="79">
        <f t="shared" si="449"/>
        <v>0</v>
      </c>
      <c r="DI159" s="30">
        <f t="shared" si="450"/>
        <v>0</v>
      </c>
      <c r="DJ159" s="78" t="e">
        <f t="shared" si="451"/>
        <v>#DIV/0!</v>
      </c>
      <c r="DK159" s="79">
        <f t="shared" si="452"/>
        <v>0</v>
      </c>
      <c r="DL159" s="30">
        <f t="shared" si="453"/>
        <v>0</v>
      </c>
      <c r="DM159" s="78" t="e">
        <f t="shared" si="454"/>
        <v>#DIV/0!</v>
      </c>
      <c r="DN159" s="79">
        <f t="shared" si="455"/>
        <v>0</v>
      </c>
      <c r="DO159" s="30">
        <f t="shared" si="456"/>
        <v>0</v>
      </c>
      <c r="DP159" s="78" t="e">
        <f t="shared" si="457"/>
        <v>#DIV/0!</v>
      </c>
      <c r="DQ159" s="79">
        <f t="shared" si="458"/>
        <v>0</v>
      </c>
      <c r="DR159" s="30">
        <f t="shared" si="459"/>
        <v>0</v>
      </c>
      <c r="DS159" s="78" t="e">
        <f t="shared" si="460"/>
        <v>#DIV/0!</v>
      </c>
      <c r="DT159" s="79">
        <f t="shared" si="461"/>
        <v>0</v>
      </c>
      <c r="DU159" s="30">
        <f t="shared" si="462"/>
        <v>0</v>
      </c>
      <c r="DV159" s="78" t="e">
        <f t="shared" si="463"/>
        <v>#DIV/0!</v>
      </c>
      <c r="DW159" s="79">
        <f t="shared" si="464"/>
        <v>0</v>
      </c>
      <c r="DX159" s="30">
        <f t="shared" si="465"/>
        <v>0</v>
      </c>
      <c r="DY159" s="78" t="e">
        <f t="shared" si="466"/>
        <v>#DIV/0!</v>
      </c>
      <c r="DZ159" s="79">
        <f t="shared" si="467"/>
        <v>0</v>
      </c>
      <c r="EA159" s="30">
        <f t="shared" si="468"/>
        <v>0</v>
      </c>
      <c r="EB159" s="78" t="e">
        <f t="shared" si="469"/>
        <v>#DIV/0!</v>
      </c>
      <c r="EC159" s="79">
        <f t="shared" si="470"/>
        <v>0</v>
      </c>
      <c r="ED159" s="30">
        <f t="shared" si="471"/>
        <v>0</v>
      </c>
      <c r="EE159" s="78" t="e">
        <f t="shared" si="472"/>
        <v>#DIV/0!</v>
      </c>
      <c r="EF159" s="79">
        <f t="shared" si="473"/>
        <v>0</v>
      </c>
      <c r="EG159" s="30">
        <f t="shared" si="474"/>
        <v>0</v>
      </c>
      <c r="EH159" s="78" t="e">
        <f t="shared" si="475"/>
        <v>#DIV/0!</v>
      </c>
      <c r="EI159" s="79">
        <f t="shared" si="476"/>
        <v>0</v>
      </c>
      <c r="EJ159" s="30">
        <f t="shared" si="477"/>
        <v>0</v>
      </c>
      <c r="EK159" s="78" t="e">
        <f t="shared" si="478"/>
        <v>#DIV/0!</v>
      </c>
    </row>
    <row r="160" spans="1:141" s="12" customFormat="1" ht="14.25" hidden="1" customHeight="1">
      <c r="A160" s="25">
        <v>5</v>
      </c>
      <c r="B160" s="26">
        <v>7236</v>
      </c>
      <c r="C160" s="121" t="s">
        <v>204</v>
      </c>
      <c r="D160" s="88" t="s">
        <v>3</v>
      </c>
      <c r="E160" s="23" t="s">
        <v>181</v>
      </c>
      <c r="F160" s="25"/>
      <c r="G160" s="81">
        <f t="shared" si="349"/>
        <v>0</v>
      </c>
      <c r="H160" s="81">
        <f t="shared" si="350"/>
        <v>17.490000000000002</v>
      </c>
      <c r="I160" s="19">
        <f t="shared" si="351"/>
        <v>0</v>
      </c>
      <c r="J160" s="11">
        <f t="shared" si="352"/>
        <v>4.17</v>
      </c>
      <c r="K160" s="19">
        <f t="shared" si="353"/>
        <v>0</v>
      </c>
      <c r="L160" s="19">
        <f t="shared" si="354"/>
        <v>0</v>
      </c>
      <c r="M160" s="19">
        <f t="shared" si="355"/>
        <v>0</v>
      </c>
      <c r="N160" s="19">
        <f t="shared" si="356"/>
        <v>0.33</v>
      </c>
      <c r="O160" s="19">
        <f t="shared" si="357"/>
        <v>0</v>
      </c>
      <c r="P160" s="19">
        <f t="shared" si="358"/>
        <v>0</v>
      </c>
      <c r="Q160" s="19">
        <f t="shared" si="359"/>
        <v>0</v>
      </c>
      <c r="R160" s="19">
        <f t="shared" si="360"/>
        <v>0</v>
      </c>
      <c r="S160" s="19">
        <f t="shared" si="361"/>
        <v>0</v>
      </c>
      <c r="T160" s="19">
        <f t="shared" si="362"/>
        <v>2.5</v>
      </c>
      <c r="U160" s="19">
        <f t="shared" si="363"/>
        <v>0</v>
      </c>
      <c r="V160" s="19">
        <f t="shared" si="364"/>
        <v>1</v>
      </c>
      <c r="W160" s="19">
        <f t="shared" si="365"/>
        <v>0</v>
      </c>
      <c r="X160" s="19">
        <f t="shared" si="366"/>
        <v>0.34</v>
      </c>
      <c r="Y160" s="19">
        <f t="shared" si="367"/>
        <v>0</v>
      </c>
      <c r="Z160" s="19">
        <f t="shared" si="368"/>
        <v>0</v>
      </c>
      <c r="AA160" s="20"/>
      <c r="AB160" s="129" t="e">
        <f t="shared" si="369"/>
        <v>#VALUE!</v>
      </c>
      <c r="AC160" s="129">
        <f t="shared" si="370"/>
        <v>27972</v>
      </c>
      <c r="AD160" s="128" t="e">
        <f t="shared" si="371"/>
        <v>#VALUE!</v>
      </c>
      <c r="AE160" s="42"/>
      <c r="AF160" s="127">
        <f t="shared" si="372"/>
        <v>1599.3138936535161</v>
      </c>
      <c r="AG160" s="127"/>
      <c r="AH160" s="20">
        <f t="shared" si="373"/>
        <v>34</v>
      </c>
      <c r="AI160" s="126">
        <f t="shared" si="374"/>
        <v>1.2155012155012155E-3</v>
      </c>
      <c r="AJ160" s="25">
        <f t="shared" si="375"/>
        <v>0</v>
      </c>
      <c r="AK160" s="25">
        <f t="shared" si="376"/>
        <v>0</v>
      </c>
      <c r="AL160" s="25">
        <f t="shared" si="377"/>
        <v>0</v>
      </c>
      <c r="AM160" s="20">
        <f t="shared" si="378"/>
        <v>34</v>
      </c>
      <c r="AN160" s="20">
        <f t="shared" si="379"/>
        <v>0</v>
      </c>
      <c r="AO160" s="20">
        <f t="shared" si="380"/>
        <v>0</v>
      </c>
      <c r="AP160" s="20">
        <f t="shared" si="381"/>
        <v>0</v>
      </c>
      <c r="AQ160" s="20">
        <f t="shared" si="382"/>
        <v>0</v>
      </c>
      <c r="AR160" s="20">
        <f t="shared" si="383"/>
        <v>0</v>
      </c>
      <c r="AS160" s="20">
        <f t="shared" si="384"/>
        <v>0</v>
      </c>
      <c r="AT160" s="20">
        <f t="shared" si="385"/>
        <v>0</v>
      </c>
      <c r="AU160" s="80"/>
      <c r="AV160" s="79">
        <f t="shared" si="386"/>
        <v>0</v>
      </c>
      <c r="AW160" s="79">
        <f t="shared" si="479"/>
        <v>14960</v>
      </c>
      <c r="AX160" s="30">
        <f t="shared" si="387"/>
        <v>0</v>
      </c>
      <c r="AY160" s="78">
        <f t="shared" si="388"/>
        <v>0</v>
      </c>
      <c r="AZ160" s="79">
        <f t="shared" si="389"/>
        <v>0</v>
      </c>
      <c r="BA160" s="30">
        <f t="shared" si="390"/>
        <v>0</v>
      </c>
      <c r="BB160" s="78" t="e">
        <f t="shared" si="391"/>
        <v>#DIV/0!</v>
      </c>
      <c r="BC160" s="79">
        <f t="shared" si="392"/>
        <v>0</v>
      </c>
      <c r="BD160" s="30">
        <f t="shared" si="393"/>
        <v>0</v>
      </c>
      <c r="BE160" s="78" t="e">
        <f t="shared" si="394"/>
        <v>#DIV/0!</v>
      </c>
      <c r="BF160" s="79">
        <f t="shared" si="395"/>
        <v>0</v>
      </c>
      <c r="BG160" s="30">
        <f t="shared" si="396"/>
        <v>0</v>
      </c>
      <c r="BH160" s="78" t="e">
        <f t="shared" si="397"/>
        <v>#DIV/0!</v>
      </c>
      <c r="BI160" s="79">
        <f t="shared" si="398"/>
        <v>0</v>
      </c>
      <c r="BJ160" s="30">
        <f t="shared" si="399"/>
        <v>0</v>
      </c>
      <c r="BK160" s="78" t="e">
        <f t="shared" si="400"/>
        <v>#DIV/0!</v>
      </c>
      <c r="BL160" s="79">
        <f t="shared" si="401"/>
        <v>0</v>
      </c>
      <c r="BM160" s="30">
        <f t="shared" si="402"/>
        <v>0</v>
      </c>
      <c r="BN160" s="78" t="e">
        <f t="shared" si="403"/>
        <v>#DIV/0!</v>
      </c>
      <c r="BO160" s="79">
        <f t="shared" si="404"/>
        <v>0</v>
      </c>
      <c r="BP160" s="30">
        <f t="shared" si="405"/>
        <v>0</v>
      </c>
      <c r="BQ160" s="78" t="e">
        <f t="shared" si="406"/>
        <v>#DIV/0!</v>
      </c>
      <c r="BR160" s="79">
        <f t="shared" si="407"/>
        <v>0</v>
      </c>
      <c r="BS160" s="30">
        <f t="shared" si="408"/>
        <v>0</v>
      </c>
      <c r="BT160" s="78" t="e">
        <f t="shared" si="409"/>
        <v>#DIV/0!</v>
      </c>
      <c r="BU160" s="79">
        <f t="shared" si="410"/>
        <v>0</v>
      </c>
      <c r="BV160" s="30">
        <f t="shared" si="411"/>
        <v>0</v>
      </c>
      <c r="BW160" s="78" t="e">
        <f t="shared" si="412"/>
        <v>#DIV/0!</v>
      </c>
      <c r="BX160" s="79">
        <f t="shared" si="413"/>
        <v>0</v>
      </c>
      <c r="BY160" s="30">
        <f t="shared" si="414"/>
        <v>0</v>
      </c>
      <c r="BZ160" s="78" t="e">
        <f t="shared" si="415"/>
        <v>#DIV/0!</v>
      </c>
      <c r="CA160" s="79">
        <f t="shared" si="416"/>
        <v>0</v>
      </c>
      <c r="CB160" s="30">
        <f t="shared" si="417"/>
        <v>0</v>
      </c>
      <c r="CC160" s="78" t="e">
        <f t="shared" si="418"/>
        <v>#DIV/0!</v>
      </c>
      <c r="CD160" s="79">
        <f t="shared" si="419"/>
        <v>0</v>
      </c>
      <c r="CE160" s="30">
        <f t="shared" si="420"/>
        <v>0</v>
      </c>
      <c r="CF160" s="78" t="e">
        <f t="shared" si="421"/>
        <v>#DIV/0!</v>
      </c>
      <c r="CG160" s="79">
        <f t="shared" si="422"/>
        <v>0</v>
      </c>
      <c r="CH160" s="30">
        <f t="shared" si="423"/>
        <v>0</v>
      </c>
      <c r="CI160" s="78" t="e">
        <f t="shared" si="424"/>
        <v>#DIV/0!</v>
      </c>
      <c r="CJ160" s="79">
        <f t="shared" si="425"/>
        <v>0</v>
      </c>
      <c r="CK160" s="30">
        <f t="shared" si="426"/>
        <v>0</v>
      </c>
      <c r="CL160" s="78" t="e">
        <f t="shared" si="427"/>
        <v>#DIV/0!</v>
      </c>
      <c r="CM160" s="79">
        <f t="shared" si="428"/>
        <v>0</v>
      </c>
      <c r="CN160" s="30">
        <f t="shared" si="429"/>
        <v>0</v>
      </c>
      <c r="CO160" s="78" t="e">
        <f t="shared" si="430"/>
        <v>#DIV/0!</v>
      </c>
      <c r="CP160" s="79">
        <f t="shared" si="431"/>
        <v>0</v>
      </c>
      <c r="CQ160" s="30">
        <f t="shared" si="432"/>
        <v>0</v>
      </c>
      <c r="CR160" s="78" t="e">
        <f t="shared" si="433"/>
        <v>#DIV/0!</v>
      </c>
      <c r="CS160" s="79">
        <f t="shared" si="434"/>
        <v>0</v>
      </c>
      <c r="CT160" s="30">
        <f t="shared" si="435"/>
        <v>0</v>
      </c>
      <c r="CU160" s="78" t="e">
        <f t="shared" si="436"/>
        <v>#DIV/0!</v>
      </c>
      <c r="CV160" s="79">
        <f t="shared" si="437"/>
        <v>0</v>
      </c>
      <c r="CW160" s="30">
        <f t="shared" si="438"/>
        <v>0</v>
      </c>
      <c r="CX160" s="78" t="e">
        <f t="shared" si="439"/>
        <v>#DIV/0!</v>
      </c>
      <c r="CY160" s="79">
        <f t="shared" si="440"/>
        <v>0</v>
      </c>
      <c r="CZ160" s="30">
        <f t="shared" si="441"/>
        <v>0</v>
      </c>
      <c r="DA160" s="78" t="e">
        <f t="shared" si="442"/>
        <v>#DIV/0!</v>
      </c>
      <c r="DB160" s="79">
        <f t="shared" si="443"/>
        <v>0</v>
      </c>
      <c r="DC160" s="30">
        <f t="shared" si="444"/>
        <v>0</v>
      </c>
      <c r="DD160" s="78" t="e">
        <f t="shared" si="445"/>
        <v>#DIV/0!</v>
      </c>
      <c r="DE160" s="79">
        <f t="shared" si="446"/>
        <v>0</v>
      </c>
      <c r="DF160" s="30">
        <f t="shared" si="447"/>
        <v>0</v>
      </c>
      <c r="DG160" s="78" t="e">
        <f t="shared" si="448"/>
        <v>#DIV/0!</v>
      </c>
      <c r="DH160" s="79">
        <f t="shared" si="449"/>
        <v>0</v>
      </c>
      <c r="DI160" s="30">
        <f t="shared" si="450"/>
        <v>0</v>
      </c>
      <c r="DJ160" s="78" t="e">
        <f t="shared" si="451"/>
        <v>#DIV/0!</v>
      </c>
      <c r="DK160" s="79">
        <f t="shared" si="452"/>
        <v>0</v>
      </c>
      <c r="DL160" s="30">
        <f t="shared" si="453"/>
        <v>0</v>
      </c>
      <c r="DM160" s="78" t="e">
        <f t="shared" si="454"/>
        <v>#DIV/0!</v>
      </c>
      <c r="DN160" s="79">
        <f t="shared" si="455"/>
        <v>0</v>
      </c>
      <c r="DO160" s="30">
        <f t="shared" si="456"/>
        <v>0</v>
      </c>
      <c r="DP160" s="78" t="e">
        <f t="shared" si="457"/>
        <v>#DIV/0!</v>
      </c>
      <c r="DQ160" s="79">
        <f t="shared" si="458"/>
        <v>0</v>
      </c>
      <c r="DR160" s="30">
        <f t="shared" si="459"/>
        <v>0</v>
      </c>
      <c r="DS160" s="78" t="e">
        <f t="shared" si="460"/>
        <v>#DIV/0!</v>
      </c>
      <c r="DT160" s="79">
        <f t="shared" si="461"/>
        <v>0</v>
      </c>
      <c r="DU160" s="30">
        <f t="shared" si="462"/>
        <v>0</v>
      </c>
      <c r="DV160" s="78" t="e">
        <f t="shared" si="463"/>
        <v>#DIV/0!</v>
      </c>
      <c r="DW160" s="79">
        <f t="shared" si="464"/>
        <v>0</v>
      </c>
      <c r="DX160" s="30">
        <f t="shared" si="465"/>
        <v>0</v>
      </c>
      <c r="DY160" s="78" t="e">
        <f t="shared" si="466"/>
        <v>#DIV/0!</v>
      </c>
      <c r="DZ160" s="79">
        <f t="shared" si="467"/>
        <v>0</v>
      </c>
      <c r="EA160" s="30">
        <f t="shared" si="468"/>
        <v>0</v>
      </c>
      <c r="EB160" s="78" t="e">
        <f t="shared" si="469"/>
        <v>#DIV/0!</v>
      </c>
      <c r="EC160" s="79">
        <f t="shared" si="470"/>
        <v>0</v>
      </c>
      <c r="ED160" s="30">
        <f t="shared" si="471"/>
        <v>0</v>
      </c>
      <c r="EE160" s="78" t="e">
        <f t="shared" si="472"/>
        <v>#DIV/0!</v>
      </c>
      <c r="EF160" s="79">
        <f t="shared" si="473"/>
        <v>0</v>
      </c>
      <c r="EG160" s="30">
        <f t="shared" si="474"/>
        <v>0</v>
      </c>
      <c r="EH160" s="78" t="e">
        <f t="shared" si="475"/>
        <v>#DIV/0!</v>
      </c>
      <c r="EI160" s="79">
        <f t="shared" si="476"/>
        <v>0</v>
      </c>
      <c r="EJ160" s="30">
        <f t="shared" si="477"/>
        <v>0</v>
      </c>
      <c r="EK160" s="78" t="e">
        <f t="shared" si="478"/>
        <v>#DIV/0!</v>
      </c>
    </row>
    <row r="161" spans="1:141" s="12" customFormat="1" ht="14.25" hidden="1" customHeight="1">
      <c r="A161" s="25">
        <v>6</v>
      </c>
      <c r="B161" s="26">
        <v>2453</v>
      </c>
      <c r="C161" s="121" t="s">
        <v>203</v>
      </c>
      <c r="D161" s="88" t="s">
        <v>15</v>
      </c>
      <c r="E161" s="23" t="s">
        <v>179</v>
      </c>
      <c r="F161" s="25"/>
      <c r="G161" s="81">
        <f t="shared" si="349"/>
        <v>0</v>
      </c>
      <c r="H161" s="81">
        <f t="shared" si="350"/>
        <v>10</v>
      </c>
      <c r="I161" s="19">
        <f t="shared" si="351"/>
        <v>0</v>
      </c>
      <c r="J161" s="11">
        <f t="shared" si="352"/>
        <v>2</v>
      </c>
      <c r="K161" s="19">
        <f t="shared" si="353"/>
        <v>0</v>
      </c>
      <c r="L161" s="19">
        <f t="shared" si="354"/>
        <v>0</v>
      </c>
      <c r="M161" s="19">
        <f t="shared" si="355"/>
        <v>0</v>
      </c>
      <c r="N161" s="19">
        <f t="shared" si="356"/>
        <v>0.5</v>
      </c>
      <c r="O161" s="19">
        <f t="shared" si="357"/>
        <v>0</v>
      </c>
      <c r="P161" s="19">
        <f t="shared" si="358"/>
        <v>0</v>
      </c>
      <c r="Q161" s="19">
        <f t="shared" si="359"/>
        <v>0</v>
      </c>
      <c r="R161" s="19">
        <f t="shared" si="360"/>
        <v>0</v>
      </c>
      <c r="S161" s="19">
        <f t="shared" si="361"/>
        <v>0</v>
      </c>
      <c r="T161" s="19">
        <f t="shared" si="362"/>
        <v>1.33</v>
      </c>
      <c r="U161" s="19">
        <f t="shared" si="363"/>
        <v>0</v>
      </c>
      <c r="V161" s="19">
        <f t="shared" si="364"/>
        <v>0</v>
      </c>
      <c r="W161" s="19">
        <f t="shared" si="365"/>
        <v>0</v>
      </c>
      <c r="X161" s="19">
        <f t="shared" si="366"/>
        <v>0.17</v>
      </c>
      <c r="Y161" s="19">
        <f t="shared" si="367"/>
        <v>0</v>
      </c>
      <c r="Z161" s="19">
        <f t="shared" si="368"/>
        <v>0</v>
      </c>
      <c r="AA161" s="20"/>
      <c r="AB161" s="129" t="e">
        <f t="shared" si="369"/>
        <v>#VALUE!</v>
      </c>
      <c r="AC161" s="129">
        <f t="shared" si="370"/>
        <v>55816</v>
      </c>
      <c r="AD161" s="128" t="e">
        <f t="shared" si="371"/>
        <v>#VALUE!</v>
      </c>
      <c r="AE161" s="42"/>
      <c r="AF161" s="127">
        <f t="shared" si="372"/>
        <v>5581.6</v>
      </c>
      <c r="AG161" s="127"/>
      <c r="AH161" s="20">
        <f t="shared" si="373"/>
        <v>184</v>
      </c>
      <c r="AI161" s="126">
        <f t="shared" si="374"/>
        <v>3.2965457933209117E-3</v>
      </c>
      <c r="AJ161" s="25">
        <f t="shared" si="375"/>
        <v>0</v>
      </c>
      <c r="AK161" s="25">
        <f t="shared" si="376"/>
        <v>0</v>
      </c>
      <c r="AL161" s="25">
        <f t="shared" si="377"/>
        <v>0</v>
      </c>
      <c r="AM161" s="20">
        <f t="shared" si="378"/>
        <v>64</v>
      </c>
      <c r="AN161" s="20">
        <f t="shared" si="379"/>
        <v>120</v>
      </c>
      <c r="AO161" s="20">
        <f t="shared" si="380"/>
        <v>0</v>
      </c>
      <c r="AP161" s="20">
        <f t="shared" si="381"/>
        <v>0</v>
      </c>
      <c r="AQ161" s="20">
        <f t="shared" si="382"/>
        <v>0</v>
      </c>
      <c r="AR161" s="20">
        <f t="shared" si="383"/>
        <v>0</v>
      </c>
      <c r="AS161" s="20">
        <f t="shared" si="384"/>
        <v>0</v>
      </c>
      <c r="AT161" s="20">
        <f t="shared" si="385"/>
        <v>0</v>
      </c>
      <c r="AU161" s="80"/>
      <c r="AV161" s="79">
        <f t="shared" si="386"/>
        <v>0</v>
      </c>
      <c r="AW161" s="79">
        <f t="shared" si="479"/>
        <v>0</v>
      </c>
      <c r="AX161" s="30">
        <f t="shared" si="387"/>
        <v>0</v>
      </c>
      <c r="AY161" s="78" t="e">
        <f t="shared" si="388"/>
        <v>#DIV/0!</v>
      </c>
      <c r="AZ161" s="79">
        <f t="shared" si="389"/>
        <v>0</v>
      </c>
      <c r="BA161" s="30">
        <f t="shared" si="390"/>
        <v>0</v>
      </c>
      <c r="BB161" s="78" t="e">
        <f t="shared" si="391"/>
        <v>#DIV/0!</v>
      </c>
      <c r="BC161" s="79">
        <f t="shared" si="392"/>
        <v>0</v>
      </c>
      <c r="BD161" s="30">
        <f t="shared" si="393"/>
        <v>0</v>
      </c>
      <c r="BE161" s="78" t="e">
        <f t="shared" si="394"/>
        <v>#DIV/0!</v>
      </c>
      <c r="BF161" s="79">
        <f t="shared" si="395"/>
        <v>0</v>
      </c>
      <c r="BG161" s="30">
        <f t="shared" si="396"/>
        <v>0</v>
      </c>
      <c r="BH161" s="78" t="e">
        <f t="shared" si="397"/>
        <v>#DIV/0!</v>
      </c>
      <c r="BI161" s="79">
        <f t="shared" si="398"/>
        <v>0</v>
      </c>
      <c r="BJ161" s="30">
        <f t="shared" si="399"/>
        <v>0</v>
      </c>
      <c r="BK161" s="78" t="e">
        <f t="shared" si="400"/>
        <v>#DIV/0!</v>
      </c>
      <c r="BL161" s="79">
        <f t="shared" si="401"/>
        <v>0</v>
      </c>
      <c r="BM161" s="30">
        <f t="shared" si="402"/>
        <v>0</v>
      </c>
      <c r="BN161" s="78" t="e">
        <f t="shared" si="403"/>
        <v>#DIV/0!</v>
      </c>
      <c r="BO161" s="79">
        <f t="shared" si="404"/>
        <v>0</v>
      </c>
      <c r="BP161" s="30">
        <f t="shared" si="405"/>
        <v>0</v>
      </c>
      <c r="BQ161" s="78" t="e">
        <f t="shared" si="406"/>
        <v>#DIV/0!</v>
      </c>
      <c r="BR161" s="79">
        <f t="shared" si="407"/>
        <v>0</v>
      </c>
      <c r="BS161" s="30">
        <f t="shared" si="408"/>
        <v>0</v>
      </c>
      <c r="BT161" s="78" t="e">
        <f t="shared" si="409"/>
        <v>#DIV/0!</v>
      </c>
      <c r="BU161" s="79">
        <f t="shared" si="410"/>
        <v>0</v>
      </c>
      <c r="BV161" s="30">
        <f t="shared" si="411"/>
        <v>0</v>
      </c>
      <c r="BW161" s="78" t="e">
        <f t="shared" si="412"/>
        <v>#DIV/0!</v>
      </c>
      <c r="BX161" s="79">
        <f t="shared" si="413"/>
        <v>0</v>
      </c>
      <c r="BY161" s="30">
        <f t="shared" si="414"/>
        <v>0</v>
      </c>
      <c r="BZ161" s="78" t="e">
        <f t="shared" si="415"/>
        <v>#DIV/0!</v>
      </c>
      <c r="CA161" s="79">
        <f t="shared" si="416"/>
        <v>0</v>
      </c>
      <c r="CB161" s="30">
        <f t="shared" si="417"/>
        <v>0</v>
      </c>
      <c r="CC161" s="78" t="e">
        <f t="shared" si="418"/>
        <v>#DIV/0!</v>
      </c>
      <c r="CD161" s="79">
        <f t="shared" si="419"/>
        <v>0</v>
      </c>
      <c r="CE161" s="30">
        <f t="shared" si="420"/>
        <v>0</v>
      </c>
      <c r="CF161" s="78" t="e">
        <f t="shared" si="421"/>
        <v>#DIV/0!</v>
      </c>
      <c r="CG161" s="79">
        <f t="shared" si="422"/>
        <v>0</v>
      </c>
      <c r="CH161" s="30">
        <f t="shared" si="423"/>
        <v>0</v>
      </c>
      <c r="CI161" s="78" t="e">
        <f t="shared" si="424"/>
        <v>#DIV/0!</v>
      </c>
      <c r="CJ161" s="79">
        <f t="shared" si="425"/>
        <v>0</v>
      </c>
      <c r="CK161" s="30">
        <f t="shared" si="426"/>
        <v>0</v>
      </c>
      <c r="CL161" s="78" t="e">
        <f t="shared" si="427"/>
        <v>#DIV/0!</v>
      </c>
      <c r="CM161" s="79">
        <f t="shared" si="428"/>
        <v>0</v>
      </c>
      <c r="CN161" s="30">
        <f t="shared" si="429"/>
        <v>0</v>
      </c>
      <c r="CO161" s="78" t="e">
        <f t="shared" si="430"/>
        <v>#DIV/0!</v>
      </c>
      <c r="CP161" s="79">
        <f t="shared" si="431"/>
        <v>0</v>
      </c>
      <c r="CQ161" s="30">
        <f t="shared" si="432"/>
        <v>0</v>
      </c>
      <c r="CR161" s="78" t="e">
        <f t="shared" si="433"/>
        <v>#DIV/0!</v>
      </c>
      <c r="CS161" s="79">
        <f t="shared" si="434"/>
        <v>0</v>
      </c>
      <c r="CT161" s="30">
        <f t="shared" si="435"/>
        <v>0</v>
      </c>
      <c r="CU161" s="78" t="e">
        <f t="shared" si="436"/>
        <v>#DIV/0!</v>
      </c>
      <c r="CV161" s="79">
        <f t="shared" si="437"/>
        <v>0</v>
      </c>
      <c r="CW161" s="30">
        <f t="shared" si="438"/>
        <v>0</v>
      </c>
      <c r="CX161" s="78" t="e">
        <f t="shared" si="439"/>
        <v>#DIV/0!</v>
      </c>
      <c r="CY161" s="79">
        <f t="shared" si="440"/>
        <v>0</v>
      </c>
      <c r="CZ161" s="30">
        <f t="shared" si="441"/>
        <v>0</v>
      </c>
      <c r="DA161" s="78" t="e">
        <f t="shared" si="442"/>
        <v>#DIV/0!</v>
      </c>
      <c r="DB161" s="79">
        <f t="shared" si="443"/>
        <v>0</v>
      </c>
      <c r="DC161" s="30">
        <f t="shared" si="444"/>
        <v>0</v>
      </c>
      <c r="DD161" s="78" t="e">
        <f t="shared" si="445"/>
        <v>#DIV/0!</v>
      </c>
      <c r="DE161" s="79">
        <f t="shared" si="446"/>
        <v>0</v>
      </c>
      <c r="DF161" s="30">
        <f t="shared" si="447"/>
        <v>0</v>
      </c>
      <c r="DG161" s="78" t="e">
        <f t="shared" si="448"/>
        <v>#DIV/0!</v>
      </c>
      <c r="DH161" s="79">
        <f t="shared" si="449"/>
        <v>0</v>
      </c>
      <c r="DI161" s="30">
        <f t="shared" si="450"/>
        <v>0</v>
      </c>
      <c r="DJ161" s="78" t="e">
        <f t="shared" si="451"/>
        <v>#DIV/0!</v>
      </c>
      <c r="DK161" s="79">
        <f t="shared" si="452"/>
        <v>0</v>
      </c>
      <c r="DL161" s="30">
        <f t="shared" si="453"/>
        <v>0</v>
      </c>
      <c r="DM161" s="78" t="e">
        <f t="shared" si="454"/>
        <v>#DIV/0!</v>
      </c>
      <c r="DN161" s="79">
        <f t="shared" si="455"/>
        <v>0</v>
      </c>
      <c r="DO161" s="30">
        <f t="shared" si="456"/>
        <v>0</v>
      </c>
      <c r="DP161" s="78" t="e">
        <f t="shared" si="457"/>
        <v>#DIV/0!</v>
      </c>
      <c r="DQ161" s="79">
        <f t="shared" si="458"/>
        <v>0</v>
      </c>
      <c r="DR161" s="30">
        <f t="shared" si="459"/>
        <v>0</v>
      </c>
      <c r="DS161" s="78" t="e">
        <f t="shared" si="460"/>
        <v>#DIV/0!</v>
      </c>
      <c r="DT161" s="79">
        <f t="shared" si="461"/>
        <v>0</v>
      </c>
      <c r="DU161" s="30">
        <f t="shared" si="462"/>
        <v>0</v>
      </c>
      <c r="DV161" s="78" t="e">
        <f t="shared" si="463"/>
        <v>#DIV/0!</v>
      </c>
      <c r="DW161" s="79">
        <f t="shared" si="464"/>
        <v>0</v>
      </c>
      <c r="DX161" s="30">
        <f t="shared" si="465"/>
        <v>0</v>
      </c>
      <c r="DY161" s="78" t="e">
        <f t="shared" si="466"/>
        <v>#DIV/0!</v>
      </c>
      <c r="DZ161" s="79">
        <f t="shared" si="467"/>
        <v>0</v>
      </c>
      <c r="EA161" s="30">
        <f t="shared" si="468"/>
        <v>0</v>
      </c>
      <c r="EB161" s="78" t="e">
        <f t="shared" si="469"/>
        <v>#DIV/0!</v>
      </c>
      <c r="EC161" s="79">
        <f t="shared" si="470"/>
        <v>0</v>
      </c>
      <c r="ED161" s="30">
        <f t="shared" si="471"/>
        <v>0</v>
      </c>
      <c r="EE161" s="78" t="e">
        <f t="shared" si="472"/>
        <v>#DIV/0!</v>
      </c>
      <c r="EF161" s="79">
        <f t="shared" si="473"/>
        <v>0</v>
      </c>
      <c r="EG161" s="30">
        <f t="shared" si="474"/>
        <v>0</v>
      </c>
      <c r="EH161" s="78" t="e">
        <f t="shared" si="475"/>
        <v>#DIV/0!</v>
      </c>
      <c r="EI161" s="79">
        <f t="shared" si="476"/>
        <v>0</v>
      </c>
      <c r="EJ161" s="30">
        <f t="shared" si="477"/>
        <v>0</v>
      </c>
      <c r="EK161" s="78" t="e">
        <f t="shared" si="478"/>
        <v>#DIV/0!</v>
      </c>
    </row>
    <row r="162" spans="1:141" s="12" customFormat="1" ht="14.25" hidden="1" customHeight="1">
      <c r="A162" s="25">
        <v>7</v>
      </c>
      <c r="B162" s="26"/>
      <c r="C162" s="121" t="s">
        <v>202</v>
      </c>
      <c r="D162" s="88" t="s">
        <v>18</v>
      </c>
      <c r="E162" s="23" t="s">
        <v>175</v>
      </c>
      <c r="F162" s="25"/>
      <c r="G162" s="81">
        <f t="shared" si="349"/>
        <v>0</v>
      </c>
      <c r="H162" s="81">
        <f t="shared" si="350"/>
        <v>10.33</v>
      </c>
      <c r="I162" s="19">
        <f t="shared" si="351"/>
        <v>0</v>
      </c>
      <c r="J162" s="11">
        <f t="shared" si="352"/>
        <v>1.67</v>
      </c>
      <c r="K162" s="19">
        <f t="shared" si="353"/>
        <v>0</v>
      </c>
      <c r="L162" s="19">
        <f t="shared" si="354"/>
        <v>0</v>
      </c>
      <c r="M162" s="19">
        <f t="shared" si="355"/>
        <v>0</v>
      </c>
      <c r="N162" s="19">
        <f t="shared" si="356"/>
        <v>0.17</v>
      </c>
      <c r="O162" s="19">
        <f t="shared" si="357"/>
        <v>0</v>
      </c>
      <c r="P162" s="19">
        <f t="shared" si="358"/>
        <v>0</v>
      </c>
      <c r="Q162" s="19">
        <f t="shared" si="359"/>
        <v>0</v>
      </c>
      <c r="R162" s="19">
        <f t="shared" si="360"/>
        <v>0</v>
      </c>
      <c r="S162" s="19">
        <f t="shared" si="361"/>
        <v>0</v>
      </c>
      <c r="T162" s="19">
        <f t="shared" si="362"/>
        <v>1.17</v>
      </c>
      <c r="U162" s="19">
        <f t="shared" si="363"/>
        <v>0</v>
      </c>
      <c r="V162" s="19">
        <f t="shared" si="364"/>
        <v>0</v>
      </c>
      <c r="W162" s="19">
        <f t="shared" si="365"/>
        <v>0</v>
      </c>
      <c r="X162" s="19">
        <f t="shared" si="366"/>
        <v>0.33</v>
      </c>
      <c r="Y162" s="19">
        <f t="shared" si="367"/>
        <v>0</v>
      </c>
      <c r="Z162" s="19">
        <f t="shared" si="368"/>
        <v>0</v>
      </c>
      <c r="AA162" s="20"/>
      <c r="AB162" s="129" t="e">
        <f t="shared" si="369"/>
        <v>#VALUE!</v>
      </c>
      <c r="AC162" s="129">
        <f t="shared" si="370"/>
        <v>46812</v>
      </c>
      <c r="AD162" s="128" t="e">
        <f t="shared" si="371"/>
        <v>#VALUE!</v>
      </c>
      <c r="AE162" s="42"/>
      <c r="AF162" s="127">
        <f t="shared" si="372"/>
        <v>4531.6553727008713</v>
      </c>
      <c r="AG162" s="127"/>
      <c r="AH162" s="20">
        <f t="shared" si="373"/>
        <v>156</v>
      </c>
      <c r="AI162" s="126">
        <f t="shared" si="374"/>
        <v>3.3324788515765188E-3</v>
      </c>
      <c r="AJ162" s="25">
        <f t="shared" si="375"/>
        <v>0</v>
      </c>
      <c r="AK162" s="25">
        <f t="shared" si="376"/>
        <v>0</v>
      </c>
      <c r="AL162" s="25">
        <f t="shared" si="377"/>
        <v>0</v>
      </c>
      <c r="AM162" s="20">
        <f t="shared" si="378"/>
        <v>156</v>
      </c>
      <c r="AN162" s="20">
        <f t="shared" si="379"/>
        <v>0</v>
      </c>
      <c r="AO162" s="20">
        <f t="shared" si="380"/>
        <v>0</v>
      </c>
      <c r="AP162" s="20">
        <f t="shared" si="381"/>
        <v>0</v>
      </c>
      <c r="AQ162" s="20">
        <f t="shared" si="382"/>
        <v>0</v>
      </c>
      <c r="AR162" s="20">
        <f t="shared" si="383"/>
        <v>0</v>
      </c>
      <c r="AS162" s="20">
        <f t="shared" si="384"/>
        <v>0</v>
      </c>
      <c r="AT162" s="20">
        <f t="shared" si="385"/>
        <v>0</v>
      </c>
      <c r="AU162" s="80"/>
      <c r="AV162" s="79">
        <f t="shared" si="386"/>
        <v>0</v>
      </c>
      <c r="AW162" s="79">
        <f t="shared" si="479"/>
        <v>0</v>
      </c>
      <c r="AX162" s="30">
        <f t="shared" si="387"/>
        <v>0</v>
      </c>
      <c r="AY162" s="78" t="e">
        <f t="shared" si="388"/>
        <v>#DIV/0!</v>
      </c>
      <c r="AZ162" s="79">
        <f t="shared" si="389"/>
        <v>0</v>
      </c>
      <c r="BA162" s="30">
        <f t="shared" si="390"/>
        <v>0</v>
      </c>
      <c r="BB162" s="78" t="e">
        <f t="shared" si="391"/>
        <v>#DIV/0!</v>
      </c>
      <c r="BC162" s="79">
        <f t="shared" si="392"/>
        <v>0</v>
      </c>
      <c r="BD162" s="30">
        <f t="shared" si="393"/>
        <v>0</v>
      </c>
      <c r="BE162" s="78" t="e">
        <f t="shared" si="394"/>
        <v>#DIV/0!</v>
      </c>
      <c r="BF162" s="79">
        <f t="shared" si="395"/>
        <v>0</v>
      </c>
      <c r="BG162" s="30">
        <f t="shared" si="396"/>
        <v>0</v>
      </c>
      <c r="BH162" s="78" t="e">
        <f t="shared" si="397"/>
        <v>#DIV/0!</v>
      </c>
      <c r="BI162" s="79">
        <f t="shared" si="398"/>
        <v>0</v>
      </c>
      <c r="BJ162" s="30">
        <f t="shared" si="399"/>
        <v>0</v>
      </c>
      <c r="BK162" s="78" t="e">
        <f t="shared" si="400"/>
        <v>#DIV/0!</v>
      </c>
      <c r="BL162" s="79">
        <f t="shared" si="401"/>
        <v>0</v>
      </c>
      <c r="BM162" s="30">
        <f t="shared" si="402"/>
        <v>0</v>
      </c>
      <c r="BN162" s="78" t="e">
        <f t="shared" si="403"/>
        <v>#DIV/0!</v>
      </c>
      <c r="BO162" s="79">
        <f t="shared" si="404"/>
        <v>0</v>
      </c>
      <c r="BP162" s="30">
        <f t="shared" si="405"/>
        <v>0</v>
      </c>
      <c r="BQ162" s="78" t="e">
        <f t="shared" si="406"/>
        <v>#DIV/0!</v>
      </c>
      <c r="BR162" s="79">
        <f t="shared" si="407"/>
        <v>0</v>
      </c>
      <c r="BS162" s="30">
        <f t="shared" si="408"/>
        <v>0</v>
      </c>
      <c r="BT162" s="78" t="e">
        <f t="shared" si="409"/>
        <v>#DIV/0!</v>
      </c>
      <c r="BU162" s="79">
        <f t="shared" si="410"/>
        <v>0</v>
      </c>
      <c r="BV162" s="30">
        <f t="shared" si="411"/>
        <v>0</v>
      </c>
      <c r="BW162" s="78" t="e">
        <f t="shared" si="412"/>
        <v>#DIV/0!</v>
      </c>
      <c r="BX162" s="79">
        <f t="shared" si="413"/>
        <v>0</v>
      </c>
      <c r="BY162" s="30">
        <f t="shared" si="414"/>
        <v>0</v>
      </c>
      <c r="BZ162" s="78" t="e">
        <f t="shared" si="415"/>
        <v>#DIV/0!</v>
      </c>
      <c r="CA162" s="79">
        <f t="shared" si="416"/>
        <v>0</v>
      </c>
      <c r="CB162" s="30">
        <f t="shared" si="417"/>
        <v>0</v>
      </c>
      <c r="CC162" s="78" t="e">
        <f t="shared" si="418"/>
        <v>#DIV/0!</v>
      </c>
      <c r="CD162" s="79">
        <f t="shared" si="419"/>
        <v>0</v>
      </c>
      <c r="CE162" s="30">
        <f t="shared" si="420"/>
        <v>0</v>
      </c>
      <c r="CF162" s="78" t="e">
        <f t="shared" si="421"/>
        <v>#DIV/0!</v>
      </c>
      <c r="CG162" s="79">
        <f t="shared" si="422"/>
        <v>0</v>
      </c>
      <c r="CH162" s="30">
        <f t="shared" si="423"/>
        <v>0</v>
      </c>
      <c r="CI162" s="78" t="e">
        <f t="shared" si="424"/>
        <v>#DIV/0!</v>
      </c>
      <c r="CJ162" s="79">
        <f t="shared" si="425"/>
        <v>0</v>
      </c>
      <c r="CK162" s="30">
        <f t="shared" si="426"/>
        <v>0</v>
      </c>
      <c r="CL162" s="78" t="e">
        <f t="shared" si="427"/>
        <v>#DIV/0!</v>
      </c>
      <c r="CM162" s="79">
        <f t="shared" si="428"/>
        <v>0</v>
      </c>
      <c r="CN162" s="30">
        <f t="shared" si="429"/>
        <v>0</v>
      </c>
      <c r="CO162" s="78" t="e">
        <f t="shared" si="430"/>
        <v>#DIV/0!</v>
      </c>
      <c r="CP162" s="79">
        <f t="shared" si="431"/>
        <v>0</v>
      </c>
      <c r="CQ162" s="30">
        <f t="shared" si="432"/>
        <v>0</v>
      </c>
      <c r="CR162" s="78" t="e">
        <f t="shared" si="433"/>
        <v>#DIV/0!</v>
      </c>
      <c r="CS162" s="79">
        <f t="shared" si="434"/>
        <v>0</v>
      </c>
      <c r="CT162" s="30">
        <f t="shared" si="435"/>
        <v>0</v>
      </c>
      <c r="CU162" s="78" t="e">
        <f t="shared" si="436"/>
        <v>#DIV/0!</v>
      </c>
      <c r="CV162" s="79">
        <f t="shared" si="437"/>
        <v>0</v>
      </c>
      <c r="CW162" s="30">
        <f t="shared" si="438"/>
        <v>0</v>
      </c>
      <c r="CX162" s="78" t="e">
        <f t="shared" si="439"/>
        <v>#DIV/0!</v>
      </c>
      <c r="CY162" s="79">
        <f t="shared" si="440"/>
        <v>0</v>
      </c>
      <c r="CZ162" s="30">
        <f t="shared" si="441"/>
        <v>0</v>
      </c>
      <c r="DA162" s="78" t="e">
        <f t="shared" si="442"/>
        <v>#DIV/0!</v>
      </c>
      <c r="DB162" s="79">
        <f t="shared" si="443"/>
        <v>0</v>
      </c>
      <c r="DC162" s="30">
        <f t="shared" si="444"/>
        <v>0</v>
      </c>
      <c r="DD162" s="78" t="e">
        <f t="shared" si="445"/>
        <v>#DIV/0!</v>
      </c>
      <c r="DE162" s="79">
        <f t="shared" si="446"/>
        <v>0</v>
      </c>
      <c r="DF162" s="30">
        <f t="shared" si="447"/>
        <v>0</v>
      </c>
      <c r="DG162" s="78" t="e">
        <f t="shared" si="448"/>
        <v>#DIV/0!</v>
      </c>
      <c r="DH162" s="79">
        <f t="shared" si="449"/>
        <v>0</v>
      </c>
      <c r="DI162" s="30">
        <f t="shared" si="450"/>
        <v>0</v>
      </c>
      <c r="DJ162" s="78" t="e">
        <f t="shared" si="451"/>
        <v>#DIV/0!</v>
      </c>
      <c r="DK162" s="79">
        <f t="shared" si="452"/>
        <v>0</v>
      </c>
      <c r="DL162" s="30">
        <f t="shared" si="453"/>
        <v>0</v>
      </c>
      <c r="DM162" s="78" t="e">
        <f t="shared" si="454"/>
        <v>#DIV/0!</v>
      </c>
      <c r="DN162" s="79">
        <f t="shared" si="455"/>
        <v>0</v>
      </c>
      <c r="DO162" s="30">
        <f t="shared" si="456"/>
        <v>0</v>
      </c>
      <c r="DP162" s="78" t="e">
        <f t="shared" si="457"/>
        <v>#DIV/0!</v>
      </c>
      <c r="DQ162" s="79">
        <f t="shared" si="458"/>
        <v>0</v>
      </c>
      <c r="DR162" s="30">
        <f t="shared" si="459"/>
        <v>0</v>
      </c>
      <c r="DS162" s="78" t="e">
        <f t="shared" si="460"/>
        <v>#DIV/0!</v>
      </c>
      <c r="DT162" s="79">
        <f t="shared" si="461"/>
        <v>0</v>
      </c>
      <c r="DU162" s="30">
        <f t="shared" si="462"/>
        <v>0</v>
      </c>
      <c r="DV162" s="78" t="e">
        <f t="shared" si="463"/>
        <v>#DIV/0!</v>
      </c>
      <c r="DW162" s="79">
        <f t="shared" si="464"/>
        <v>0</v>
      </c>
      <c r="DX162" s="30">
        <f t="shared" si="465"/>
        <v>0</v>
      </c>
      <c r="DY162" s="78" t="e">
        <f t="shared" si="466"/>
        <v>#DIV/0!</v>
      </c>
      <c r="DZ162" s="79">
        <f t="shared" si="467"/>
        <v>0</v>
      </c>
      <c r="EA162" s="30">
        <f t="shared" si="468"/>
        <v>0</v>
      </c>
      <c r="EB162" s="78" t="e">
        <f t="shared" si="469"/>
        <v>#DIV/0!</v>
      </c>
      <c r="EC162" s="79">
        <f t="shared" si="470"/>
        <v>0</v>
      </c>
      <c r="ED162" s="30">
        <f t="shared" si="471"/>
        <v>0</v>
      </c>
      <c r="EE162" s="78" t="e">
        <f t="shared" si="472"/>
        <v>#DIV/0!</v>
      </c>
      <c r="EF162" s="79">
        <f t="shared" si="473"/>
        <v>0</v>
      </c>
      <c r="EG162" s="30">
        <f t="shared" si="474"/>
        <v>0</v>
      </c>
      <c r="EH162" s="78" t="e">
        <f t="shared" si="475"/>
        <v>#DIV/0!</v>
      </c>
      <c r="EI162" s="79">
        <f t="shared" si="476"/>
        <v>0</v>
      </c>
      <c r="EJ162" s="30">
        <f t="shared" si="477"/>
        <v>0</v>
      </c>
      <c r="EK162" s="78" t="e">
        <f t="shared" si="478"/>
        <v>#DIV/0!</v>
      </c>
    </row>
    <row r="163" spans="1:141" s="12" customFormat="1" ht="14.25" hidden="1" customHeight="1">
      <c r="A163" s="25">
        <v>8</v>
      </c>
      <c r="B163" s="26">
        <v>4268</v>
      </c>
      <c r="C163" s="121" t="s">
        <v>201</v>
      </c>
      <c r="D163" s="130" t="s">
        <v>200</v>
      </c>
      <c r="E163" s="23" t="s">
        <v>173</v>
      </c>
      <c r="F163" s="25"/>
      <c r="G163" s="81">
        <f t="shared" si="349"/>
        <v>0</v>
      </c>
      <c r="H163" s="81">
        <f t="shared" si="350"/>
        <v>8.33</v>
      </c>
      <c r="I163" s="19">
        <f t="shared" si="351"/>
        <v>0</v>
      </c>
      <c r="J163" s="11">
        <f t="shared" si="352"/>
        <v>1.6700000000000002</v>
      </c>
      <c r="K163" s="19">
        <f t="shared" si="353"/>
        <v>0</v>
      </c>
      <c r="L163" s="19">
        <f t="shared" si="354"/>
        <v>0</v>
      </c>
      <c r="M163" s="19">
        <f t="shared" si="355"/>
        <v>0</v>
      </c>
      <c r="N163" s="19">
        <f t="shared" si="356"/>
        <v>0</v>
      </c>
      <c r="O163" s="19">
        <f t="shared" si="357"/>
        <v>0</v>
      </c>
      <c r="P163" s="19">
        <f t="shared" si="358"/>
        <v>0</v>
      </c>
      <c r="Q163" s="19">
        <f t="shared" si="359"/>
        <v>0</v>
      </c>
      <c r="R163" s="19">
        <f t="shared" si="360"/>
        <v>0</v>
      </c>
      <c r="S163" s="19">
        <f t="shared" si="361"/>
        <v>0</v>
      </c>
      <c r="T163" s="19">
        <f t="shared" si="362"/>
        <v>1.33</v>
      </c>
      <c r="U163" s="19">
        <f t="shared" si="363"/>
        <v>0</v>
      </c>
      <c r="V163" s="19">
        <f t="shared" si="364"/>
        <v>0</v>
      </c>
      <c r="W163" s="19">
        <f t="shared" si="365"/>
        <v>0</v>
      </c>
      <c r="X163" s="19">
        <f t="shared" si="366"/>
        <v>0.34</v>
      </c>
      <c r="Y163" s="19">
        <f t="shared" si="367"/>
        <v>0</v>
      </c>
      <c r="Z163" s="19">
        <f t="shared" si="368"/>
        <v>0</v>
      </c>
      <c r="AA163" s="20"/>
      <c r="AB163" s="56" t="e">
        <f t="shared" si="369"/>
        <v>#VALUE!</v>
      </c>
      <c r="AC163" s="129">
        <f t="shared" si="370"/>
        <v>34200</v>
      </c>
      <c r="AD163" s="128" t="e">
        <f t="shared" si="371"/>
        <v>#VALUE!</v>
      </c>
      <c r="AE163" s="42"/>
      <c r="AF163" s="127">
        <f t="shared" si="372"/>
        <v>4105.6422569027609</v>
      </c>
      <c r="AG163" s="127"/>
      <c r="AH163" s="20">
        <f t="shared" si="373"/>
        <v>0</v>
      </c>
      <c r="AI163" s="126">
        <f t="shared" si="374"/>
        <v>0</v>
      </c>
      <c r="AJ163" s="25">
        <f t="shared" si="375"/>
        <v>0</v>
      </c>
      <c r="AK163" s="25">
        <f t="shared" si="376"/>
        <v>0</v>
      </c>
      <c r="AL163" s="25">
        <f t="shared" si="377"/>
        <v>0</v>
      </c>
      <c r="AM163" s="20">
        <f t="shared" si="378"/>
        <v>0</v>
      </c>
      <c r="AN163" s="20">
        <f t="shared" si="379"/>
        <v>0</v>
      </c>
      <c r="AO163" s="20">
        <f t="shared" si="380"/>
        <v>0</v>
      </c>
      <c r="AP163" s="20">
        <f t="shared" si="381"/>
        <v>0</v>
      </c>
      <c r="AQ163" s="20">
        <f t="shared" si="382"/>
        <v>0</v>
      </c>
      <c r="AR163" s="20">
        <f t="shared" si="383"/>
        <v>0</v>
      </c>
      <c r="AS163" s="20">
        <f t="shared" si="384"/>
        <v>0</v>
      </c>
      <c r="AT163" s="20">
        <f t="shared" si="385"/>
        <v>0</v>
      </c>
      <c r="AU163" s="80"/>
      <c r="AV163" s="79">
        <f t="shared" si="386"/>
        <v>0</v>
      </c>
      <c r="AW163" s="79">
        <f t="shared" si="479"/>
        <v>0</v>
      </c>
      <c r="AX163" s="30">
        <f t="shared" si="387"/>
        <v>0</v>
      </c>
      <c r="AY163" s="78" t="e">
        <f t="shared" si="388"/>
        <v>#DIV/0!</v>
      </c>
      <c r="AZ163" s="79">
        <f t="shared" si="389"/>
        <v>0</v>
      </c>
      <c r="BA163" s="30">
        <f t="shared" si="390"/>
        <v>0</v>
      </c>
      <c r="BB163" s="78" t="e">
        <f t="shared" si="391"/>
        <v>#DIV/0!</v>
      </c>
      <c r="BC163" s="79">
        <f t="shared" si="392"/>
        <v>0</v>
      </c>
      <c r="BD163" s="30">
        <f t="shared" si="393"/>
        <v>0</v>
      </c>
      <c r="BE163" s="78" t="e">
        <f t="shared" si="394"/>
        <v>#DIV/0!</v>
      </c>
      <c r="BF163" s="79">
        <f t="shared" si="395"/>
        <v>0</v>
      </c>
      <c r="BG163" s="30">
        <f t="shared" si="396"/>
        <v>0</v>
      </c>
      <c r="BH163" s="78" t="e">
        <f t="shared" si="397"/>
        <v>#DIV/0!</v>
      </c>
      <c r="BI163" s="79">
        <f t="shared" si="398"/>
        <v>0</v>
      </c>
      <c r="BJ163" s="30">
        <f t="shared" si="399"/>
        <v>0</v>
      </c>
      <c r="BK163" s="78" t="e">
        <f t="shared" si="400"/>
        <v>#DIV/0!</v>
      </c>
      <c r="BL163" s="79">
        <f t="shared" si="401"/>
        <v>0</v>
      </c>
      <c r="BM163" s="30">
        <f t="shared" si="402"/>
        <v>0</v>
      </c>
      <c r="BN163" s="78" t="e">
        <f t="shared" si="403"/>
        <v>#DIV/0!</v>
      </c>
      <c r="BO163" s="79">
        <f t="shared" si="404"/>
        <v>0</v>
      </c>
      <c r="BP163" s="30">
        <f t="shared" si="405"/>
        <v>0</v>
      </c>
      <c r="BQ163" s="78" t="e">
        <f t="shared" si="406"/>
        <v>#DIV/0!</v>
      </c>
      <c r="BR163" s="79">
        <f t="shared" si="407"/>
        <v>0</v>
      </c>
      <c r="BS163" s="30">
        <f t="shared" si="408"/>
        <v>0</v>
      </c>
      <c r="BT163" s="78" t="e">
        <f t="shared" si="409"/>
        <v>#DIV/0!</v>
      </c>
      <c r="BU163" s="79">
        <f t="shared" si="410"/>
        <v>0</v>
      </c>
      <c r="BV163" s="30">
        <f t="shared" si="411"/>
        <v>0</v>
      </c>
      <c r="BW163" s="78" t="e">
        <f t="shared" si="412"/>
        <v>#DIV/0!</v>
      </c>
      <c r="BX163" s="79">
        <f t="shared" si="413"/>
        <v>0</v>
      </c>
      <c r="BY163" s="30">
        <f t="shared" si="414"/>
        <v>0</v>
      </c>
      <c r="BZ163" s="78" t="e">
        <f t="shared" si="415"/>
        <v>#DIV/0!</v>
      </c>
      <c r="CA163" s="79">
        <f t="shared" si="416"/>
        <v>0</v>
      </c>
      <c r="CB163" s="30">
        <f t="shared" si="417"/>
        <v>0</v>
      </c>
      <c r="CC163" s="78" t="e">
        <f t="shared" si="418"/>
        <v>#DIV/0!</v>
      </c>
      <c r="CD163" s="79">
        <f t="shared" si="419"/>
        <v>0</v>
      </c>
      <c r="CE163" s="30">
        <f t="shared" si="420"/>
        <v>0</v>
      </c>
      <c r="CF163" s="78" t="e">
        <f t="shared" si="421"/>
        <v>#DIV/0!</v>
      </c>
      <c r="CG163" s="79">
        <f t="shared" si="422"/>
        <v>0</v>
      </c>
      <c r="CH163" s="30">
        <f t="shared" si="423"/>
        <v>0</v>
      </c>
      <c r="CI163" s="78" t="e">
        <f t="shared" si="424"/>
        <v>#DIV/0!</v>
      </c>
      <c r="CJ163" s="79">
        <f t="shared" si="425"/>
        <v>0</v>
      </c>
      <c r="CK163" s="30">
        <f t="shared" si="426"/>
        <v>0</v>
      </c>
      <c r="CL163" s="78" t="e">
        <f t="shared" si="427"/>
        <v>#DIV/0!</v>
      </c>
      <c r="CM163" s="79">
        <f t="shared" si="428"/>
        <v>0</v>
      </c>
      <c r="CN163" s="30">
        <f t="shared" si="429"/>
        <v>0</v>
      </c>
      <c r="CO163" s="78" t="e">
        <f t="shared" si="430"/>
        <v>#DIV/0!</v>
      </c>
      <c r="CP163" s="79">
        <f t="shared" si="431"/>
        <v>0</v>
      </c>
      <c r="CQ163" s="30">
        <f t="shared" si="432"/>
        <v>0</v>
      </c>
      <c r="CR163" s="78" t="e">
        <f t="shared" si="433"/>
        <v>#DIV/0!</v>
      </c>
      <c r="CS163" s="79">
        <f t="shared" si="434"/>
        <v>0</v>
      </c>
      <c r="CT163" s="30">
        <f t="shared" si="435"/>
        <v>0</v>
      </c>
      <c r="CU163" s="78" t="e">
        <f t="shared" si="436"/>
        <v>#DIV/0!</v>
      </c>
      <c r="CV163" s="79">
        <f t="shared" si="437"/>
        <v>0</v>
      </c>
      <c r="CW163" s="30">
        <f t="shared" si="438"/>
        <v>0</v>
      </c>
      <c r="CX163" s="78" t="e">
        <f t="shared" si="439"/>
        <v>#DIV/0!</v>
      </c>
      <c r="CY163" s="79">
        <f t="shared" si="440"/>
        <v>0</v>
      </c>
      <c r="CZ163" s="30">
        <f t="shared" si="441"/>
        <v>0</v>
      </c>
      <c r="DA163" s="78" t="e">
        <f t="shared" si="442"/>
        <v>#DIV/0!</v>
      </c>
      <c r="DB163" s="79">
        <f t="shared" si="443"/>
        <v>0</v>
      </c>
      <c r="DC163" s="30">
        <f t="shared" si="444"/>
        <v>0</v>
      </c>
      <c r="DD163" s="78" t="e">
        <f t="shared" si="445"/>
        <v>#DIV/0!</v>
      </c>
      <c r="DE163" s="79">
        <f t="shared" si="446"/>
        <v>0</v>
      </c>
      <c r="DF163" s="30">
        <f t="shared" si="447"/>
        <v>0</v>
      </c>
      <c r="DG163" s="78" t="e">
        <f t="shared" si="448"/>
        <v>#DIV/0!</v>
      </c>
      <c r="DH163" s="79">
        <f t="shared" si="449"/>
        <v>0</v>
      </c>
      <c r="DI163" s="30">
        <f t="shared" si="450"/>
        <v>0</v>
      </c>
      <c r="DJ163" s="78" t="e">
        <f t="shared" si="451"/>
        <v>#DIV/0!</v>
      </c>
      <c r="DK163" s="79">
        <f t="shared" si="452"/>
        <v>0</v>
      </c>
      <c r="DL163" s="30">
        <f t="shared" si="453"/>
        <v>0</v>
      </c>
      <c r="DM163" s="78" t="e">
        <f t="shared" si="454"/>
        <v>#DIV/0!</v>
      </c>
      <c r="DN163" s="79">
        <f t="shared" si="455"/>
        <v>0</v>
      </c>
      <c r="DO163" s="30">
        <f t="shared" si="456"/>
        <v>0</v>
      </c>
      <c r="DP163" s="78" t="e">
        <f t="shared" si="457"/>
        <v>#DIV/0!</v>
      </c>
      <c r="DQ163" s="79">
        <f t="shared" si="458"/>
        <v>0</v>
      </c>
      <c r="DR163" s="30">
        <f t="shared" si="459"/>
        <v>0</v>
      </c>
      <c r="DS163" s="78" t="e">
        <f t="shared" si="460"/>
        <v>#DIV/0!</v>
      </c>
      <c r="DT163" s="79">
        <f t="shared" si="461"/>
        <v>0</v>
      </c>
      <c r="DU163" s="30">
        <f t="shared" si="462"/>
        <v>0</v>
      </c>
      <c r="DV163" s="78" t="e">
        <f t="shared" si="463"/>
        <v>#DIV/0!</v>
      </c>
      <c r="DW163" s="79">
        <f t="shared" si="464"/>
        <v>0</v>
      </c>
      <c r="DX163" s="30">
        <f t="shared" si="465"/>
        <v>0</v>
      </c>
      <c r="DY163" s="78" t="e">
        <f t="shared" si="466"/>
        <v>#DIV/0!</v>
      </c>
      <c r="DZ163" s="79">
        <f t="shared" si="467"/>
        <v>0</v>
      </c>
      <c r="EA163" s="30">
        <f t="shared" si="468"/>
        <v>0</v>
      </c>
      <c r="EB163" s="78" t="e">
        <f t="shared" si="469"/>
        <v>#DIV/0!</v>
      </c>
      <c r="EC163" s="79">
        <f t="shared" si="470"/>
        <v>0</v>
      </c>
      <c r="ED163" s="30">
        <f t="shared" si="471"/>
        <v>0</v>
      </c>
      <c r="EE163" s="78" t="e">
        <f t="shared" si="472"/>
        <v>#DIV/0!</v>
      </c>
      <c r="EF163" s="79">
        <f t="shared" si="473"/>
        <v>0</v>
      </c>
      <c r="EG163" s="30">
        <f t="shared" si="474"/>
        <v>0</v>
      </c>
      <c r="EH163" s="78" t="e">
        <f t="shared" si="475"/>
        <v>#DIV/0!</v>
      </c>
      <c r="EI163" s="79">
        <f t="shared" si="476"/>
        <v>0</v>
      </c>
      <c r="EJ163" s="30">
        <f t="shared" si="477"/>
        <v>0</v>
      </c>
      <c r="EK163" s="78" t="e">
        <f t="shared" si="478"/>
        <v>#DIV/0!</v>
      </c>
    </row>
    <row r="164" spans="1:141" s="12" customFormat="1" ht="14.25" hidden="1" customHeight="1">
      <c r="A164" s="25">
        <v>9</v>
      </c>
      <c r="B164" s="26"/>
      <c r="C164" s="121" t="s">
        <v>199</v>
      </c>
      <c r="D164" s="130" t="s">
        <v>198</v>
      </c>
      <c r="E164" s="23" t="s">
        <v>197</v>
      </c>
      <c r="F164" s="25"/>
      <c r="G164" s="81">
        <f t="shared" si="349"/>
        <v>0</v>
      </c>
      <c r="H164" s="81">
        <f t="shared" si="350"/>
        <v>17.829999999999998</v>
      </c>
      <c r="I164" s="19">
        <f t="shared" si="351"/>
        <v>0</v>
      </c>
      <c r="J164" s="11">
        <f t="shared" si="352"/>
        <v>4.17</v>
      </c>
      <c r="K164" s="19">
        <f t="shared" si="353"/>
        <v>0</v>
      </c>
      <c r="L164" s="19">
        <f t="shared" si="354"/>
        <v>0</v>
      </c>
      <c r="M164" s="19">
        <f t="shared" si="355"/>
        <v>0</v>
      </c>
      <c r="N164" s="19">
        <f t="shared" si="356"/>
        <v>0.67</v>
      </c>
      <c r="O164" s="19">
        <f t="shared" si="357"/>
        <v>0</v>
      </c>
      <c r="P164" s="19">
        <f t="shared" si="358"/>
        <v>0</v>
      </c>
      <c r="Q164" s="19">
        <f t="shared" si="359"/>
        <v>0</v>
      </c>
      <c r="R164" s="19">
        <f t="shared" si="360"/>
        <v>0</v>
      </c>
      <c r="S164" s="19">
        <f t="shared" si="361"/>
        <v>0</v>
      </c>
      <c r="T164" s="19">
        <f t="shared" si="362"/>
        <v>2.5</v>
      </c>
      <c r="U164" s="19">
        <f t="shared" si="363"/>
        <v>0</v>
      </c>
      <c r="V164" s="19">
        <f t="shared" si="364"/>
        <v>0</v>
      </c>
      <c r="W164" s="19">
        <f t="shared" si="365"/>
        <v>0</v>
      </c>
      <c r="X164" s="19">
        <f t="shared" si="366"/>
        <v>1</v>
      </c>
      <c r="Y164" s="19">
        <f t="shared" si="367"/>
        <v>0</v>
      </c>
      <c r="Z164" s="19">
        <f t="shared" si="368"/>
        <v>0</v>
      </c>
      <c r="AA164" s="20"/>
      <c r="AB164" s="56" t="e">
        <f t="shared" si="369"/>
        <v>#VALUE!</v>
      </c>
      <c r="AC164" s="129">
        <f t="shared" si="370"/>
        <v>14960</v>
      </c>
      <c r="AD164" s="128" t="e">
        <f t="shared" si="371"/>
        <v>#VALUE!</v>
      </c>
      <c r="AE164" s="42"/>
      <c r="AF164" s="127">
        <f t="shared" si="372"/>
        <v>839.03533370723505</v>
      </c>
      <c r="AG164" s="127"/>
      <c r="AH164" s="20">
        <f t="shared" si="373"/>
        <v>69</v>
      </c>
      <c r="AI164" s="126">
        <f t="shared" si="374"/>
        <v>4.6122994652406414E-3</v>
      </c>
      <c r="AJ164" s="25">
        <f t="shared" si="375"/>
        <v>0</v>
      </c>
      <c r="AK164" s="25">
        <f t="shared" si="376"/>
        <v>0</v>
      </c>
      <c r="AL164" s="25">
        <f t="shared" si="377"/>
        <v>0</v>
      </c>
      <c r="AM164" s="20">
        <f t="shared" si="378"/>
        <v>10</v>
      </c>
      <c r="AN164" s="20">
        <f t="shared" si="379"/>
        <v>0</v>
      </c>
      <c r="AO164" s="20">
        <f t="shared" si="380"/>
        <v>0</v>
      </c>
      <c r="AP164" s="20">
        <f t="shared" si="381"/>
        <v>0</v>
      </c>
      <c r="AQ164" s="20">
        <f t="shared" si="382"/>
        <v>20</v>
      </c>
      <c r="AR164" s="20">
        <f t="shared" si="383"/>
        <v>0</v>
      </c>
      <c r="AS164" s="20">
        <f t="shared" si="384"/>
        <v>0</v>
      </c>
      <c r="AT164" s="20">
        <f t="shared" si="385"/>
        <v>39</v>
      </c>
      <c r="AU164" s="80"/>
      <c r="AV164" s="79">
        <f t="shared" si="386"/>
        <v>0</v>
      </c>
      <c r="AW164" s="79">
        <f t="shared" si="479"/>
        <v>0</v>
      </c>
      <c r="AX164" s="30">
        <f t="shared" si="387"/>
        <v>0</v>
      </c>
      <c r="AY164" s="78" t="e">
        <f t="shared" si="388"/>
        <v>#DIV/0!</v>
      </c>
      <c r="AZ164" s="79">
        <f t="shared" si="389"/>
        <v>0</v>
      </c>
      <c r="BA164" s="30">
        <f t="shared" si="390"/>
        <v>0</v>
      </c>
      <c r="BB164" s="78" t="e">
        <f t="shared" si="391"/>
        <v>#DIV/0!</v>
      </c>
      <c r="BC164" s="79">
        <f t="shared" si="392"/>
        <v>0</v>
      </c>
      <c r="BD164" s="30">
        <f t="shared" si="393"/>
        <v>0</v>
      </c>
      <c r="BE164" s="78" t="e">
        <f t="shared" si="394"/>
        <v>#DIV/0!</v>
      </c>
      <c r="BF164" s="79">
        <f t="shared" si="395"/>
        <v>0</v>
      </c>
      <c r="BG164" s="30">
        <f t="shared" si="396"/>
        <v>0</v>
      </c>
      <c r="BH164" s="78" t="e">
        <f t="shared" si="397"/>
        <v>#DIV/0!</v>
      </c>
      <c r="BI164" s="79">
        <f t="shared" si="398"/>
        <v>0</v>
      </c>
      <c r="BJ164" s="30">
        <f t="shared" si="399"/>
        <v>0</v>
      </c>
      <c r="BK164" s="78" t="e">
        <f t="shared" si="400"/>
        <v>#DIV/0!</v>
      </c>
      <c r="BL164" s="79">
        <f t="shared" si="401"/>
        <v>0</v>
      </c>
      <c r="BM164" s="30">
        <f t="shared" si="402"/>
        <v>0</v>
      </c>
      <c r="BN164" s="78" t="e">
        <f t="shared" si="403"/>
        <v>#DIV/0!</v>
      </c>
      <c r="BO164" s="79">
        <f t="shared" si="404"/>
        <v>0</v>
      </c>
      <c r="BP164" s="30">
        <f t="shared" si="405"/>
        <v>0</v>
      </c>
      <c r="BQ164" s="78" t="e">
        <f t="shared" si="406"/>
        <v>#DIV/0!</v>
      </c>
      <c r="BR164" s="79">
        <f t="shared" si="407"/>
        <v>0</v>
      </c>
      <c r="BS164" s="30">
        <f t="shared" si="408"/>
        <v>0</v>
      </c>
      <c r="BT164" s="78" t="e">
        <f t="shared" si="409"/>
        <v>#DIV/0!</v>
      </c>
      <c r="BU164" s="79">
        <f t="shared" si="410"/>
        <v>0</v>
      </c>
      <c r="BV164" s="30">
        <f t="shared" si="411"/>
        <v>0</v>
      </c>
      <c r="BW164" s="78" t="e">
        <f t="shared" si="412"/>
        <v>#DIV/0!</v>
      </c>
      <c r="BX164" s="79">
        <f t="shared" si="413"/>
        <v>0</v>
      </c>
      <c r="BY164" s="30">
        <f t="shared" si="414"/>
        <v>0</v>
      </c>
      <c r="BZ164" s="78" t="e">
        <f t="shared" si="415"/>
        <v>#DIV/0!</v>
      </c>
      <c r="CA164" s="79">
        <f t="shared" si="416"/>
        <v>0</v>
      </c>
      <c r="CB164" s="30">
        <f t="shared" si="417"/>
        <v>0</v>
      </c>
      <c r="CC164" s="78" t="e">
        <f t="shared" si="418"/>
        <v>#DIV/0!</v>
      </c>
      <c r="CD164" s="79">
        <f t="shared" si="419"/>
        <v>0</v>
      </c>
      <c r="CE164" s="30">
        <f t="shared" si="420"/>
        <v>0</v>
      </c>
      <c r="CF164" s="78" t="e">
        <f t="shared" si="421"/>
        <v>#DIV/0!</v>
      </c>
      <c r="CG164" s="79">
        <f t="shared" si="422"/>
        <v>0</v>
      </c>
      <c r="CH164" s="30">
        <f t="shared" si="423"/>
        <v>0</v>
      </c>
      <c r="CI164" s="78" t="e">
        <f t="shared" si="424"/>
        <v>#DIV/0!</v>
      </c>
      <c r="CJ164" s="79">
        <f t="shared" si="425"/>
        <v>0</v>
      </c>
      <c r="CK164" s="30">
        <f t="shared" si="426"/>
        <v>0</v>
      </c>
      <c r="CL164" s="78" t="e">
        <f t="shared" si="427"/>
        <v>#DIV/0!</v>
      </c>
      <c r="CM164" s="79">
        <f t="shared" si="428"/>
        <v>0</v>
      </c>
      <c r="CN164" s="30">
        <f t="shared" si="429"/>
        <v>0</v>
      </c>
      <c r="CO164" s="78" t="e">
        <f t="shared" si="430"/>
        <v>#DIV/0!</v>
      </c>
      <c r="CP164" s="79">
        <f t="shared" si="431"/>
        <v>0</v>
      </c>
      <c r="CQ164" s="30">
        <f t="shared" si="432"/>
        <v>0</v>
      </c>
      <c r="CR164" s="78" t="e">
        <f t="shared" si="433"/>
        <v>#DIV/0!</v>
      </c>
      <c r="CS164" s="79">
        <f t="shared" si="434"/>
        <v>0</v>
      </c>
      <c r="CT164" s="30">
        <f t="shared" si="435"/>
        <v>0</v>
      </c>
      <c r="CU164" s="78" t="e">
        <f t="shared" si="436"/>
        <v>#DIV/0!</v>
      </c>
      <c r="CV164" s="79">
        <f t="shared" si="437"/>
        <v>0</v>
      </c>
      <c r="CW164" s="30">
        <f t="shared" si="438"/>
        <v>0</v>
      </c>
      <c r="CX164" s="78" t="e">
        <f t="shared" si="439"/>
        <v>#DIV/0!</v>
      </c>
      <c r="CY164" s="79">
        <f t="shared" si="440"/>
        <v>0</v>
      </c>
      <c r="CZ164" s="30">
        <f t="shared" si="441"/>
        <v>0</v>
      </c>
      <c r="DA164" s="78" t="e">
        <f t="shared" si="442"/>
        <v>#DIV/0!</v>
      </c>
      <c r="DB164" s="79">
        <f t="shared" si="443"/>
        <v>0</v>
      </c>
      <c r="DC164" s="30">
        <f t="shared" si="444"/>
        <v>0</v>
      </c>
      <c r="DD164" s="78" t="e">
        <f t="shared" si="445"/>
        <v>#DIV/0!</v>
      </c>
      <c r="DE164" s="79">
        <f t="shared" si="446"/>
        <v>0</v>
      </c>
      <c r="DF164" s="30">
        <f t="shared" si="447"/>
        <v>0</v>
      </c>
      <c r="DG164" s="78" t="e">
        <f t="shared" si="448"/>
        <v>#DIV/0!</v>
      </c>
      <c r="DH164" s="79">
        <f t="shared" si="449"/>
        <v>0</v>
      </c>
      <c r="DI164" s="30">
        <f t="shared" si="450"/>
        <v>0</v>
      </c>
      <c r="DJ164" s="78" t="e">
        <f t="shared" si="451"/>
        <v>#DIV/0!</v>
      </c>
      <c r="DK164" s="79">
        <f t="shared" si="452"/>
        <v>0</v>
      </c>
      <c r="DL164" s="30">
        <f t="shared" si="453"/>
        <v>0</v>
      </c>
      <c r="DM164" s="78" t="e">
        <f t="shared" si="454"/>
        <v>#DIV/0!</v>
      </c>
      <c r="DN164" s="79">
        <f t="shared" si="455"/>
        <v>0</v>
      </c>
      <c r="DO164" s="30">
        <f t="shared" si="456"/>
        <v>0</v>
      </c>
      <c r="DP164" s="78" t="e">
        <f t="shared" si="457"/>
        <v>#DIV/0!</v>
      </c>
      <c r="DQ164" s="79">
        <f t="shared" si="458"/>
        <v>0</v>
      </c>
      <c r="DR164" s="30">
        <f t="shared" si="459"/>
        <v>0</v>
      </c>
      <c r="DS164" s="78" t="e">
        <f t="shared" si="460"/>
        <v>#DIV/0!</v>
      </c>
      <c r="DT164" s="79">
        <f t="shared" si="461"/>
        <v>0</v>
      </c>
      <c r="DU164" s="30">
        <f t="shared" si="462"/>
        <v>0</v>
      </c>
      <c r="DV164" s="78" t="e">
        <f t="shared" si="463"/>
        <v>#DIV/0!</v>
      </c>
      <c r="DW164" s="79">
        <f t="shared" si="464"/>
        <v>0</v>
      </c>
      <c r="DX164" s="30">
        <f t="shared" si="465"/>
        <v>0</v>
      </c>
      <c r="DY164" s="78" t="e">
        <f t="shared" si="466"/>
        <v>#DIV/0!</v>
      </c>
      <c r="DZ164" s="79">
        <f t="shared" si="467"/>
        <v>0</v>
      </c>
      <c r="EA164" s="30">
        <f t="shared" si="468"/>
        <v>0</v>
      </c>
      <c r="EB164" s="78" t="e">
        <f t="shared" si="469"/>
        <v>#DIV/0!</v>
      </c>
      <c r="EC164" s="79">
        <f t="shared" si="470"/>
        <v>0</v>
      </c>
      <c r="ED164" s="30">
        <f t="shared" si="471"/>
        <v>0</v>
      </c>
      <c r="EE164" s="78" t="e">
        <f t="shared" si="472"/>
        <v>#DIV/0!</v>
      </c>
      <c r="EF164" s="79">
        <f t="shared" si="473"/>
        <v>0</v>
      </c>
      <c r="EG164" s="30">
        <f t="shared" si="474"/>
        <v>0</v>
      </c>
      <c r="EH164" s="78" t="e">
        <f t="shared" si="475"/>
        <v>#DIV/0!</v>
      </c>
      <c r="EI164" s="79">
        <f t="shared" si="476"/>
        <v>0</v>
      </c>
      <c r="EJ164" s="30">
        <f t="shared" si="477"/>
        <v>0</v>
      </c>
      <c r="EK164" s="78" t="e">
        <f t="shared" si="478"/>
        <v>#DIV/0!</v>
      </c>
    </row>
    <row r="165" spans="1:141" s="12" customFormat="1" ht="14.25" hidden="1" customHeight="1">
      <c r="A165" s="25">
        <v>10</v>
      </c>
      <c r="B165" s="26">
        <v>129</v>
      </c>
      <c r="C165" s="121" t="s">
        <v>196</v>
      </c>
      <c r="D165" s="122">
        <v>1</v>
      </c>
      <c r="E165" s="23" t="s">
        <v>195</v>
      </c>
      <c r="F165" s="25"/>
      <c r="G165" s="82">
        <f t="shared" si="349"/>
        <v>0</v>
      </c>
      <c r="H165" s="81">
        <f t="shared" si="350"/>
        <v>13.32</v>
      </c>
      <c r="I165" s="19">
        <f t="shared" si="351"/>
        <v>0</v>
      </c>
      <c r="J165" s="11">
        <f t="shared" si="352"/>
        <v>4.66</v>
      </c>
      <c r="K165" s="19">
        <f t="shared" si="353"/>
        <v>0</v>
      </c>
      <c r="L165" s="19">
        <f t="shared" si="354"/>
        <v>0</v>
      </c>
      <c r="M165" s="19">
        <f t="shared" si="355"/>
        <v>0</v>
      </c>
      <c r="N165" s="19">
        <f t="shared" si="356"/>
        <v>0.66</v>
      </c>
      <c r="O165" s="19">
        <f t="shared" si="357"/>
        <v>0</v>
      </c>
      <c r="P165" s="19">
        <f t="shared" si="358"/>
        <v>0</v>
      </c>
      <c r="Q165" s="19">
        <f t="shared" si="359"/>
        <v>0</v>
      </c>
      <c r="R165" s="19">
        <f t="shared" si="360"/>
        <v>0</v>
      </c>
      <c r="S165" s="19">
        <f t="shared" si="361"/>
        <v>0</v>
      </c>
      <c r="T165" s="19">
        <f t="shared" si="362"/>
        <v>2</v>
      </c>
      <c r="U165" s="19">
        <f t="shared" si="363"/>
        <v>0</v>
      </c>
      <c r="V165" s="19">
        <f t="shared" si="364"/>
        <v>1.66</v>
      </c>
      <c r="W165" s="19">
        <f t="shared" si="365"/>
        <v>0</v>
      </c>
      <c r="X165" s="19">
        <f t="shared" si="366"/>
        <v>0.34</v>
      </c>
      <c r="Y165" s="19">
        <f t="shared" si="367"/>
        <v>0</v>
      </c>
      <c r="Z165" s="19">
        <f t="shared" si="368"/>
        <v>0</v>
      </c>
      <c r="AA165" s="18"/>
      <c r="AB165" s="56" t="e">
        <f t="shared" si="369"/>
        <v>#VALUE!</v>
      </c>
      <c r="AC165" s="16">
        <f t="shared" si="370"/>
        <v>3420</v>
      </c>
      <c r="AD165" s="15" t="e">
        <f t="shared" si="371"/>
        <v>#VALUE!</v>
      </c>
      <c r="AE165" s="42"/>
      <c r="AF165" s="10">
        <f t="shared" si="372"/>
        <v>256.75675675675677</v>
      </c>
      <c r="AG165" s="10"/>
      <c r="AH165" s="21">
        <f t="shared" si="373"/>
        <v>0</v>
      </c>
      <c r="AI165" s="54">
        <f t="shared" si="374"/>
        <v>0</v>
      </c>
      <c r="AJ165" s="18">
        <f t="shared" si="375"/>
        <v>0</v>
      </c>
      <c r="AK165" s="18">
        <f t="shared" si="376"/>
        <v>0</v>
      </c>
      <c r="AL165" s="18">
        <f t="shared" si="377"/>
        <v>0</v>
      </c>
      <c r="AM165" s="25">
        <f t="shared" si="378"/>
        <v>0</v>
      </c>
      <c r="AN165" s="25">
        <f t="shared" si="379"/>
        <v>0</v>
      </c>
      <c r="AO165" s="25">
        <f t="shared" si="380"/>
        <v>0</v>
      </c>
      <c r="AP165" s="25">
        <f t="shared" si="381"/>
        <v>0</v>
      </c>
      <c r="AQ165" s="25">
        <f t="shared" si="382"/>
        <v>0</v>
      </c>
      <c r="AR165" s="25">
        <f t="shared" si="383"/>
        <v>0</v>
      </c>
      <c r="AS165" s="25">
        <f t="shared" si="384"/>
        <v>0</v>
      </c>
      <c r="AT165" s="25">
        <f t="shared" si="385"/>
        <v>0</v>
      </c>
      <c r="AU165" s="80"/>
      <c r="AV165" s="79">
        <f t="shared" si="386"/>
        <v>0</v>
      </c>
      <c r="AW165" s="79">
        <f t="shared" si="479"/>
        <v>0</v>
      </c>
      <c r="AX165" s="30">
        <f t="shared" si="387"/>
        <v>0</v>
      </c>
      <c r="AY165" s="78" t="e">
        <f t="shared" si="388"/>
        <v>#DIV/0!</v>
      </c>
      <c r="AZ165" s="79">
        <f t="shared" si="389"/>
        <v>0</v>
      </c>
      <c r="BA165" s="30">
        <f t="shared" si="390"/>
        <v>0</v>
      </c>
      <c r="BB165" s="78" t="e">
        <f t="shared" si="391"/>
        <v>#DIV/0!</v>
      </c>
      <c r="BC165" s="79">
        <f t="shared" si="392"/>
        <v>0</v>
      </c>
      <c r="BD165" s="30">
        <f t="shared" si="393"/>
        <v>0</v>
      </c>
      <c r="BE165" s="78" t="e">
        <f t="shared" si="394"/>
        <v>#DIV/0!</v>
      </c>
      <c r="BF165" s="79">
        <f t="shared" si="395"/>
        <v>0</v>
      </c>
      <c r="BG165" s="30">
        <f t="shared" si="396"/>
        <v>0</v>
      </c>
      <c r="BH165" s="78" t="e">
        <f t="shared" si="397"/>
        <v>#DIV/0!</v>
      </c>
      <c r="BI165" s="79">
        <f t="shared" si="398"/>
        <v>0</v>
      </c>
      <c r="BJ165" s="30">
        <f t="shared" si="399"/>
        <v>0</v>
      </c>
      <c r="BK165" s="78" t="e">
        <f t="shared" si="400"/>
        <v>#DIV/0!</v>
      </c>
      <c r="BL165" s="79">
        <f t="shared" si="401"/>
        <v>0</v>
      </c>
      <c r="BM165" s="30">
        <f t="shared" si="402"/>
        <v>0</v>
      </c>
      <c r="BN165" s="78" t="e">
        <f t="shared" si="403"/>
        <v>#DIV/0!</v>
      </c>
      <c r="BO165" s="79">
        <f t="shared" si="404"/>
        <v>0</v>
      </c>
      <c r="BP165" s="30">
        <f t="shared" si="405"/>
        <v>0</v>
      </c>
      <c r="BQ165" s="78" t="e">
        <f t="shared" si="406"/>
        <v>#DIV/0!</v>
      </c>
      <c r="BR165" s="79">
        <f t="shared" si="407"/>
        <v>0</v>
      </c>
      <c r="BS165" s="30">
        <f t="shared" si="408"/>
        <v>0</v>
      </c>
      <c r="BT165" s="78" t="e">
        <f t="shared" si="409"/>
        <v>#DIV/0!</v>
      </c>
      <c r="BU165" s="79">
        <f t="shared" si="410"/>
        <v>0</v>
      </c>
      <c r="BV165" s="30">
        <f t="shared" si="411"/>
        <v>0</v>
      </c>
      <c r="BW165" s="78" t="e">
        <f t="shared" si="412"/>
        <v>#DIV/0!</v>
      </c>
      <c r="BX165" s="79">
        <f t="shared" si="413"/>
        <v>0</v>
      </c>
      <c r="BY165" s="30">
        <f t="shared" si="414"/>
        <v>0</v>
      </c>
      <c r="BZ165" s="78" t="e">
        <f t="shared" si="415"/>
        <v>#DIV/0!</v>
      </c>
      <c r="CA165" s="79">
        <f t="shared" si="416"/>
        <v>0</v>
      </c>
      <c r="CB165" s="30">
        <f t="shared" si="417"/>
        <v>0</v>
      </c>
      <c r="CC165" s="78" t="e">
        <f t="shared" si="418"/>
        <v>#DIV/0!</v>
      </c>
      <c r="CD165" s="79">
        <f t="shared" si="419"/>
        <v>0</v>
      </c>
      <c r="CE165" s="30">
        <f t="shared" si="420"/>
        <v>0</v>
      </c>
      <c r="CF165" s="78" t="e">
        <f t="shared" si="421"/>
        <v>#DIV/0!</v>
      </c>
      <c r="CG165" s="79">
        <f t="shared" si="422"/>
        <v>0</v>
      </c>
      <c r="CH165" s="30">
        <f t="shared" si="423"/>
        <v>0</v>
      </c>
      <c r="CI165" s="78" t="e">
        <f t="shared" si="424"/>
        <v>#DIV/0!</v>
      </c>
      <c r="CJ165" s="79">
        <f t="shared" si="425"/>
        <v>0</v>
      </c>
      <c r="CK165" s="30">
        <f t="shared" si="426"/>
        <v>0</v>
      </c>
      <c r="CL165" s="78" t="e">
        <f t="shared" si="427"/>
        <v>#DIV/0!</v>
      </c>
      <c r="CM165" s="79">
        <f t="shared" si="428"/>
        <v>0</v>
      </c>
      <c r="CN165" s="30">
        <f t="shared" si="429"/>
        <v>0</v>
      </c>
      <c r="CO165" s="78" t="e">
        <f t="shared" si="430"/>
        <v>#DIV/0!</v>
      </c>
      <c r="CP165" s="79">
        <f t="shared" si="431"/>
        <v>0</v>
      </c>
      <c r="CQ165" s="30">
        <f t="shared" si="432"/>
        <v>0</v>
      </c>
      <c r="CR165" s="78" t="e">
        <f t="shared" si="433"/>
        <v>#DIV/0!</v>
      </c>
      <c r="CS165" s="79">
        <f t="shared" si="434"/>
        <v>0</v>
      </c>
      <c r="CT165" s="30">
        <f t="shared" si="435"/>
        <v>0</v>
      </c>
      <c r="CU165" s="78" t="e">
        <f t="shared" si="436"/>
        <v>#DIV/0!</v>
      </c>
      <c r="CV165" s="79">
        <f t="shared" si="437"/>
        <v>0</v>
      </c>
      <c r="CW165" s="30">
        <f t="shared" si="438"/>
        <v>0</v>
      </c>
      <c r="CX165" s="78" t="e">
        <f t="shared" si="439"/>
        <v>#DIV/0!</v>
      </c>
      <c r="CY165" s="79">
        <f t="shared" si="440"/>
        <v>0</v>
      </c>
      <c r="CZ165" s="30">
        <f t="shared" si="441"/>
        <v>0</v>
      </c>
      <c r="DA165" s="78" t="e">
        <f t="shared" si="442"/>
        <v>#DIV/0!</v>
      </c>
      <c r="DB165" s="79">
        <f t="shared" si="443"/>
        <v>0</v>
      </c>
      <c r="DC165" s="30">
        <f t="shared" si="444"/>
        <v>0</v>
      </c>
      <c r="DD165" s="78" t="e">
        <f t="shared" si="445"/>
        <v>#DIV/0!</v>
      </c>
      <c r="DE165" s="79">
        <f t="shared" si="446"/>
        <v>0</v>
      </c>
      <c r="DF165" s="30">
        <f t="shared" si="447"/>
        <v>0</v>
      </c>
      <c r="DG165" s="78" t="e">
        <f t="shared" si="448"/>
        <v>#DIV/0!</v>
      </c>
      <c r="DH165" s="79">
        <f t="shared" si="449"/>
        <v>0</v>
      </c>
      <c r="DI165" s="30">
        <f t="shared" si="450"/>
        <v>0</v>
      </c>
      <c r="DJ165" s="78" t="e">
        <f t="shared" si="451"/>
        <v>#DIV/0!</v>
      </c>
      <c r="DK165" s="79">
        <f t="shared" si="452"/>
        <v>0</v>
      </c>
      <c r="DL165" s="30">
        <f t="shared" si="453"/>
        <v>0</v>
      </c>
      <c r="DM165" s="78" t="e">
        <f t="shared" si="454"/>
        <v>#DIV/0!</v>
      </c>
      <c r="DN165" s="79">
        <f t="shared" si="455"/>
        <v>0</v>
      </c>
      <c r="DO165" s="30">
        <f t="shared" si="456"/>
        <v>0</v>
      </c>
      <c r="DP165" s="78" t="e">
        <f t="shared" si="457"/>
        <v>#DIV/0!</v>
      </c>
      <c r="DQ165" s="79">
        <f t="shared" si="458"/>
        <v>0</v>
      </c>
      <c r="DR165" s="30">
        <f t="shared" si="459"/>
        <v>0</v>
      </c>
      <c r="DS165" s="78" t="e">
        <f t="shared" si="460"/>
        <v>#DIV/0!</v>
      </c>
      <c r="DT165" s="79">
        <f t="shared" si="461"/>
        <v>0</v>
      </c>
      <c r="DU165" s="30">
        <f t="shared" si="462"/>
        <v>0</v>
      </c>
      <c r="DV165" s="78" t="e">
        <f t="shared" si="463"/>
        <v>#DIV/0!</v>
      </c>
      <c r="DW165" s="79">
        <f t="shared" si="464"/>
        <v>0</v>
      </c>
      <c r="DX165" s="30">
        <f t="shared" si="465"/>
        <v>0</v>
      </c>
      <c r="DY165" s="78" t="e">
        <f t="shared" si="466"/>
        <v>#DIV/0!</v>
      </c>
      <c r="DZ165" s="79">
        <f t="shared" si="467"/>
        <v>0</v>
      </c>
      <c r="EA165" s="30">
        <f t="shared" si="468"/>
        <v>0</v>
      </c>
      <c r="EB165" s="78" t="e">
        <f t="shared" si="469"/>
        <v>#DIV/0!</v>
      </c>
      <c r="EC165" s="79">
        <f t="shared" si="470"/>
        <v>0</v>
      </c>
      <c r="ED165" s="30">
        <f t="shared" si="471"/>
        <v>0</v>
      </c>
      <c r="EE165" s="78" t="e">
        <f t="shared" si="472"/>
        <v>#DIV/0!</v>
      </c>
      <c r="EF165" s="79">
        <f t="shared" si="473"/>
        <v>0</v>
      </c>
      <c r="EG165" s="30">
        <f t="shared" si="474"/>
        <v>0</v>
      </c>
      <c r="EH165" s="78" t="e">
        <f t="shared" si="475"/>
        <v>#DIV/0!</v>
      </c>
      <c r="EI165" s="79">
        <f t="shared" si="476"/>
        <v>0</v>
      </c>
      <c r="EJ165" s="30">
        <f t="shared" si="477"/>
        <v>0</v>
      </c>
      <c r="EK165" s="78" t="e">
        <f t="shared" si="478"/>
        <v>#DIV/0!</v>
      </c>
    </row>
    <row r="166" spans="1:141" s="12" customFormat="1" ht="14.25" hidden="1" customHeight="1">
      <c r="A166" s="25">
        <v>11</v>
      </c>
      <c r="B166" s="26" t="s">
        <v>194</v>
      </c>
      <c r="C166" s="121" t="s">
        <v>193</v>
      </c>
      <c r="D166" s="124">
        <v>2</v>
      </c>
      <c r="E166" s="23" t="s">
        <v>192</v>
      </c>
      <c r="F166" s="25"/>
      <c r="G166" s="82">
        <f t="shared" si="349"/>
        <v>0</v>
      </c>
      <c r="H166" s="81">
        <f t="shared" si="350"/>
        <v>12</v>
      </c>
      <c r="I166" s="19">
        <f t="shared" si="351"/>
        <v>0</v>
      </c>
      <c r="J166" s="11">
        <f t="shared" si="352"/>
        <v>4.5</v>
      </c>
      <c r="K166" s="19">
        <f t="shared" si="353"/>
        <v>0</v>
      </c>
      <c r="L166" s="19">
        <f t="shared" si="354"/>
        <v>0</v>
      </c>
      <c r="M166" s="19">
        <f t="shared" si="355"/>
        <v>0</v>
      </c>
      <c r="N166" s="19">
        <f t="shared" si="356"/>
        <v>0</v>
      </c>
      <c r="O166" s="19">
        <f t="shared" si="357"/>
        <v>0</v>
      </c>
      <c r="P166" s="19">
        <f t="shared" si="358"/>
        <v>0</v>
      </c>
      <c r="Q166" s="19">
        <f t="shared" si="359"/>
        <v>0</v>
      </c>
      <c r="R166" s="19">
        <f t="shared" si="360"/>
        <v>0</v>
      </c>
      <c r="S166" s="19">
        <f t="shared" si="361"/>
        <v>0</v>
      </c>
      <c r="T166" s="19">
        <f t="shared" si="362"/>
        <v>2.17</v>
      </c>
      <c r="U166" s="19">
        <f t="shared" si="363"/>
        <v>0</v>
      </c>
      <c r="V166" s="19">
        <f t="shared" si="364"/>
        <v>0</v>
      </c>
      <c r="W166" s="19">
        <f t="shared" si="365"/>
        <v>0.99</v>
      </c>
      <c r="X166" s="19">
        <f t="shared" si="366"/>
        <v>0.51</v>
      </c>
      <c r="Y166" s="19">
        <f t="shared" si="367"/>
        <v>0.83</v>
      </c>
      <c r="Z166" s="19">
        <f t="shared" si="368"/>
        <v>0</v>
      </c>
      <c r="AA166" s="18"/>
      <c r="AB166" s="56" t="e">
        <f t="shared" si="369"/>
        <v>#VALUE!</v>
      </c>
      <c r="AC166" s="16">
        <f t="shared" si="370"/>
        <v>4962</v>
      </c>
      <c r="AD166" s="15" t="e">
        <f t="shared" si="371"/>
        <v>#VALUE!</v>
      </c>
      <c r="AE166" s="42"/>
      <c r="AF166" s="10">
        <f t="shared" si="372"/>
        <v>413.5</v>
      </c>
      <c r="AG166" s="10"/>
      <c r="AH166" s="21">
        <f t="shared" si="373"/>
        <v>0</v>
      </c>
      <c r="AI166" s="54">
        <f t="shared" si="374"/>
        <v>0</v>
      </c>
      <c r="AJ166" s="18">
        <f t="shared" si="375"/>
        <v>0</v>
      </c>
      <c r="AK166" s="18">
        <f t="shared" si="376"/>
        <v>0</v>
      </c>
      <c r="AL166" s="18">
        <f t="shared" si="377"/>
        <v>0</v>
      </c>
      <c r="AM166" s="25">
        <f t="shared" si="378"/>
        <v>0</v>
      </c>
      <c r="AN166" s="25">
        <f t="shared" si="379"/>
        <v>0</v>
      </c>
      <c r="AO166" s="25">
        <f t="shared" si="380"/>
        <v>0</v>
      </c>
      <c r="AP166" s="25">
        <f t="shared" si="381"/>
        <v>0</v>
      </c>
      <c r="AQ166" s="25">
        <f t="shared" si="382"/>
        <v>0</v>
      </c>
      <c r="AR166" s="25">
        <f t="shared" si="383"/>
        <v>0</v>
      </c>
      <c r="AS166" s="25">
        <f t="shared" si="384"/>
        <v>0</v>
      </c>
      <c r="AT166" s="25">
        <f t="shared" si="385"/>
        <v>0</v>
      </c>
      <c r="AU166" s="80"/>
      <c r="AV166" s="79">
        <f t="shared" si="386"/>
        <v>0</v>
      </c>
      <c r="AW166" s="79">
        <f t="shared" si="479"/>
        <v>0</v>
      </c>
      <c r="AX166" s="30">
        <f t="shared" si="387"/>
        <v>0</v>
      </c>
      <c r="AY166" s="78" t="e">
        <f t="shared" si="388"/>
        <v>#DIV/0!</v>
      </c>
      <c r="AZ166" s="79">
        <f t="shared" si="389"/>
        <v>0</v>
      </c>
      <c r="BA166" s="30">
        <f t="shared" si="390"/>
        <v>0</v>
      </c>
      <c r="BB166" s="78" t="e">
        <f t="shared" si="391"/>
        <v>#DIV/0!</v>
      </c>
      <c r="BC166" s="79">
        <f t="shared" si="392"/>
        <v>0</v>
      </c>
      <c r="BD166" s="30">
        <f t="shared" si="393"/>
        <v>0</v>
      </c>
      <c r="BE166" s="78" t="e">
        <f t="shared" si="394"/>
        <v>#DIV/0!</v>
      </c>
      <c r="BF166" s="79">
        <f t="shared" si="395"/>
        <v>0</v>
      </c>
      <c r="BG166" s="30">
        <f t="shared" si="396"/>
        <v>0</v>
      </c>
      <c r="BH166" s="78" t="e">
        <f t="shared" si="397"/>
        <v>#DIV/0!</v>
      </c>
      <c r="BI166" s="79">
        <f t="shared" si="398"/>
        <v>0</v>
      </c>
      <c r="BJ166" s="30">
        <f t="shared" si="399"/>
        <v>0</v>
      </c>
      <c r="BK166" s="78" t="e">
        <f t="shared" si="400"/>
        <v>#DIV/0!</v>
      </c>
      <c r="BL166" s="79">
        <f t="shared" si="401"/>
        <v>0</v>
      </c>
      <c r="BM166" s="30">
        <f t="shared" si="402"/>
        <v>0</v>
      </c>
      <c r="BN166" s="78" t="e">
        <f t="shared" si="403"/>
        <v>#DIV/0!</v>
      </c>
      <c r="BO166" s="79">
        <f t="shared" si="404"/>
        <v>0</v>
      </c>
      <c r="BP166" s="30">
        <f t="shared" si="405"/>
        <v>0</v>
      </c>
      <c r="BQ166" s="78" t="e">
        <f t="shared" si="406"/>
        <v>#DIV/0!</v>
      </c>
      <c r="BR166" s="79">
        <f t="shared" si="407"/>
        <v>0</v>
      </c>
      <c r="BS166" s="30">
        <f t="shared" si="408"/>
        <v>0</v>
      </c>
      <c r="BT166" s="78" t="e">
        <f t="shared" si="409"/>
        <v>#DIV/0!</v>
      </c>
      <c r="BU166" s="79">
        <f t="shared" si="410"/>
        <v>0</v>
      </c>
      <c r="BV166" s="30">
        <f t="shared" si="411"/>
        <v>0</v>
      </c>
      <c r="BW166" s="78" t="e">
        <f t="shared" si="412"/>
        <v>#DIV/0!</v>
      </c>
      <c r="BX166" s="79">
        <f t="shared" si="413"/>
        <v>0</v>
      </c>
      <c r="BY166" s="30">
        <f t="shared" si="414"/>
        <v>0</v>
      </c>
      <c r="BZ166" s="78" t="e">
        <f t="shared" si="415"/>
        <v>#DIV/0!</v>
      </c>
      <c r="CA166" s="79">
        <f t="shared" si="416"/>
        <v>0</v>
      </c>
      <c r="CB166" s="30">
        <f t="shared" si="417"/>
        <v>0</v>
      </c>
      <c r="CC166" s="78" t="e">
        <f t="shared" si="418"/>
        <v>#DIV/0!</v>
      </c>
      <c r="CD166" s="79">
        <f t="shared" si="419"/>
        <v>0</v>
      </c>
      <c r="CE166" s="30">
        <f t="shared" si="420"/>
        <v>0</v>
      </c>
      <c r="CF166" s="78" t="e">
        <f t="shared" si="421"/>
        <v>#DIV/0!</v>
      </c>
      <c r="CG166" s="79">
        <f t="shared" si="422"/>
        <v>0</v>
      </c>
      <c r="CH166" s="30">
        <f t="shared" si="423"/>
        <v>0</v>
      </c>
      <c r="CI166" s="78" t="e">
        <f t="shared" si="424"/>
        <v>#DIV/0!</v>
      </c>
      <c r="CJ166" s="79">
        <f t="shared" si="425"/>
        <v>0</v>
      </c>
      <c r="CK166" s="30">
        <f t="shared" si="426"/>
        <v>0</v>
      </c>
      <c r="CL166" s="78" t="e">
        <f t="shared" si="427"/>
        <v>#DIV/0!</v>
      </c>
      <c r="CM166" s="79">
        <f t="shared" si="428"/>
        <v>0</v>
      </c>
      <c r="CN166" s="30">
        <f t="shared" si="429"/>
        <v>0</v>
      </c>
      <c r="CO166" s="78" t="e">
        <f t="shared" si="430"/>
        <v>#DIV/0!</v>
      </c>
      <c r="CP166" s="79">
        <f t="shared" si="431"/>
        <v>0</v>
      </c>
      <c r="CQ166" s="30">
        <f t="shared" si="432"/>
        <v>0</v>
      </c>
      <c r="CR166" s="78" t="e">
        <f t="shared" si="433"/>
        <v>#DIV/0!</v>
      </c>
      <c r="CS166" s="79">
        <f t="shared" si="434"/>
        <v>0</v>
      </c>
      <c r="CT166" s="30">
        <f t="shared" si="435"/>
        <v>0</v>
      </c>
      <c r="CU166" s="78" t="e">
        <f t="shared" si="436"/>
        <v>#DIV/0!</v>
      </c>
      <c r="CV166" s="79">
        <f t="shared" si="437"/>
        <v>0</v>
      </c>
      <c r="CW166" s="30">
        <f t="shared" si="438"/>
        <v>0</v>
      </c>
      <c r="CX166" s="78" t="e">
        <f t="shared" si="439"/>
        <v>#DIV/0!</v>
      </c>
      <c r="CY166" s="79">
        <f t="shared" si="440"/>
        <v>0</v>
      </c>
      <c r="CZ166" s="30">
        <f t="shared" si="441"/>
        <v>0</v>
      </c>
      <c r="DA166" s="78" t="e">
        <f t="shared" si="442"/>
        <v>#DIV/0!</v>
      </c>
      <c r="DB166" s="79">
        <f t="shared" si="443"/>
        <v>0</v>
      </c>
      <c r="DC166" s="30">
        <f t="shared" si="444"/>
        <v>0</v>
      </c>
      <c r="DD166" s="78" t="e">
        <f t="shared" si="445"/>
        <v>#DIV/0!</v>
      </c>
      <c r="DE166" s="79">
        <f t="shared" si="446"/>
        <v>0</v>
      </c>
      <c r="DF166" s="30">
        <f t="shared" si="447"/>
        <v>0</v>
      </c>
      <c r="DG166" s="78" t="e">
        <f t="shared" si="448"/>
        <v>#DIV/0!</v>
      </c>
      <c r="DH166" s="79">
        <f t="shared" si="449"/>
        <v>0</v>
      </c>
      <c r="DI166" s="30">
        <f t="shared" si="450"/>
        <v>0</v>
      </c>
      <c r="DJ166" s="78" t="e">
        <f t="shared" si="451"/>
        <v>#DIV/0!</v>
      </c>
      <c r="DK166" s="79">
        <f t="shared" si="452"/>
        <v>0</v>
      </c>
      <c r="DL166" s="30">
        <f t="shared" si="453"/>
        <v>0</v>
      </c>
      <c r="DM166" s="78" t="e">
        <f t="shared" si="454"/>
        <v>#DIV/0!</v>
      </c>
      <c r="DN166" s="79">
        <f t="shared" si="455"/>
        <v>0</v>
      </c>
      <c r="DO166" s="30">
        <f t="shared" si="456"/>
        <v>0</v>
      </c>
      <c r="DP166" s="78" t="e">
        <f t="shared" si="457"/>
        <v>#DIV/0!</v>
      </c>
      <c r="DQ166" s="79">
        <f t="shared" si="458"/>
        <v>0</v>
      </c>
      <c r="DR166" s="30">
        <f t="shared" si="459"/>
        <v>0</v>
      </c>
      <c r="DS166" s="78" t="e">
        <f t="shared" si="460"/>
        <v>#DIV/0!</v>
      </c>
      <c r="DT166" s="79">
        <f t="shared" si="461"/>
        <v>0</v>
      </c>
      <c r="DU166" s="30">
        <f t="shared" si="462"/>
        <v>0</v>
      </c>
      <c r="DV166" s="78" t="e">
        <f t="shared" si="463"/>
        <v>#DIV/0!</v>
      </c>
      <c r="DW166" s="79">
        <f t="shared" si="464"/>
        <v>0</v>
      </c>
      <c r="DX166" s="30">
        <f t="shared" si="465"/>
        <v>0</v>
      </c>
      <c r="DY166" s="78" t="e">
        <f t="shared" si="466"/>
        <v>#DIV/0!</v>
      </c>
      <c r="DZ166" s="79">
        <f t="shared" si="467"/>
        <v>0</v>
      </c>
      <c r="EA166" s="30">
        <f t="shared" si="468"/>
        <v>0</v>
      </c>
      <c r="EB166" s="78" t="e">
        <f t="shared" si="469"/>
        <v>#DIV/0!</v>
      </c>
      <c r="EC166" s="79">
        <f t="shared" si="470"/>
        <v>0</v>
      </c>
      <c r="ED166" s="30">
        <f t="shared" si="471"/>
        <v>0</v>
      </c>
      <c r="EE166" s="78" t="e">
        <f t="shared" si="472"/>
        <v>#DIV/0!</v>
      </c>
      <c r="EF166" s="79">
        <f t="shared" si="473"/>
        <v>0</v>
      </c>
      <c r="EG166" s="30">
        <f t="shared" si="474"/>
        <v>0</v>
      </c>
      <c r="EH166" s="78" t="e">
        <f t="shared" si="475"/>
        <v>#DIV/0!</v>
      </c>
      <c r="EI166" s="79">
        <f t="shared" si="476"/>
        <v>0</v>
      </c>
      <c r="EJ166" s="30">
        <f t="shared" si="477"/>
        <v>0</v>
      </c>
      <c r="EK166" s="78" t="e">
        <f t="shared" si="478"/>
        <v>#DIV/0!</v>
      </c>
    </row>
    <row r="167" spans="1:141" s="12" customFormat="1" ht="14.25" hidden="1" customHeight="1">
      <c r="A167" s="25">
        <v>12</v>
      </c>
      <c r="B167" s="26" t="s">
        <v>191</v>
      </c>
      <c r="C167" s="121" t="s">
        <v>190</v>
      </c>
      <c r="D167" s="124">
        <v>3</v>
      </c>
      <c r="E167" s="23" t="s">
        <v>189</v>
      </c>
      <c r="F167" s="25"/>
      <c r="G167" s="82">
        <f t="shared" si="349"/>
        <v>0</v>
      </c>
      <c r="H167" s="81">
        <f t="shared" si="350"/>
        <v>1.17</v>
      </c>
      <c r="I167" s="19">
        <f t="shared" si="351"/>
        <v>0</v>
      </c>
      <c r="J167" s="11">
        <f t="shared" si="352"/>
        <v>0.5</v>
      </c>
      <c r="K167" s="19">
        <f t="shared" si="353"/>
        <v>0</v>
      </c>
      <c r="L167" s="19">
        <f t="shared" si="354"/>
        <v>0</v>
      </c>
      <c r="M167" s="19">
        <f t="shared" si="355"/>
        <v>0.17</v>
      </c>
      <c r="N167" s="19">
        <f t="shared" si="356"/>
        <v>0</v>
      </c>
      <c r="O167" s="19">
        <f t="shared" si="357"/>
        <v>0</v>
      </c>
      <c r="P167" s="19">
        <f t="shared" si="358"/>
        <v>0</v>
      </c>
      <c r="Q167" s="19">
        <f t="shared" si="359"/>
        <v>0</v>
      </c>
      <c r="R167" s="19">
        <f t="shared" si="360"/>
        <v>0</v>
      </c>
      <c r="S167" s="19">
        <f t="shared" si="361"/>
        <v>0</v>
      </c>
      <c r="T167" s="19">
        <f t="shared" si="362"/>
        <v>0</v>
      </c>
      <c r="U167" s="19">
        <f t="shared" si="363"/>
        <v>0</v>
      </c>
      <c r="V167" s="19">
        <f t="shared" si="364"/>
        <v>0</v>
      </c>
      <c r="W167" s="19">
        <f t="shared" si="365"/>
        <v>0.33</v>
      </c>
      <c r="X167" s="19">
        <f t="shared" si="366"/>
        <v>0</v>
      </c>
      <c r="Y167" s="19">
        <f t="shared" si="367"/>
        <v>0</v>
      </c>
      <c r="Z167" s="19">
        <f t="shared" si="368"/>
        <v>0</v>
      </c>
      <c r="AA167" s="18"/>
      <c r="AB167" s="56" t="e">
        <f t="shared" si="369"/>
        <v>#VALUE!</v>
      </c>
      <c r="AC167" s="16">
        <f t="shared" si="370"/>
        <v>382</v>
      </c>
      <c r="AD167" s="15" t="e">
        <f t="shared" si="371"/>
        <v>#VALUE!</v>
      </c>
      <c r="AE167" s="42"/>
      <c r="AF167" s="10">
        <f t="shared" si="372"/>
        <v>326.4957264957265</v>
      </c>
      <c r="AG167" s="10"/>
      <c r="AH167" s="21">
        <f t="shared" si="373"/>
        <v>98</v>
      </c>
      <c r="AI167" s="54">
        <f t="shared" si="374"/>
        <v>0.25654450261780104</v>
      </c>
      <c r="AJ167" s="18">
        <f t="shared" si="375"/>
        <v>98</v>
      </c>
      <c r="AK167" s="18">
        <f t="shared" si="376"/>
        <v>0</v>
      </c>
      <c r="AL167" s="18">
        <f t="shared" si="377"/>
        <v>0</v>
      </c>
      <c r="AM167" s="25">
        <f t="shared" si="378"/>
        <v>0</v>
      </c>
      <c r="AN167" s="25">
        <f t="shared" si="379"/>
        <v>0</v>
      </c>
      <c r="AO167" s="25">
        <f t="shared" si="380"/>
        <v>0</v>
      </c>
      <c r="AP167" s="25">
        <f t="shared" si="381"/>
        <v>0</v>
      </c>
      <c r="AQ167" s="25">
        <f t="shared" si="382"/>
        <v>0</v>
      </c>
      <c r="AR167" s="25">
        <f t="shared" si="383"/>
        <v>0</v>
      </c>
      <c r="AS167" s="25">
        <f t="shared" si="384"/>
        <v>0</v>
      </c>
      <c r="AT167" s="25">
        <f t="shared" si="385"/>
        <v>0</v>
      </c>
      <c r="AU167" s="80"/>
      <c r="AV167" s="79">
        <f t="shared" si="386"/>
        <v>0</v>
      </c>
      <c r="AW167" s="79">
        <f t="shared" si="479"/>
        <v>1750</v>
      </c>
      <c r="AX167" s="30">
        <f t="shared" si="387"/>
        <v>0</v>
      </c>
      <c r="AY167" s="78">
        <f t="shared" si="388"/>
        <v>0</v>
      </c>
      <c r="AZ167" s="79">
        <f t="shared" si="389"/>
        <v>0</v>
      </c>
      <c r="BA167" s="30">
        <f t="shared" si="390"/>
        <v>0</v>
      </c>
      <c r="BB167" s="78" t="e">
        <f t="shared" si="391"/>
        <v>#DIV/0!</v>
      </c>
      <c r="BC167" s="79">
        <f t="shared" si="392"/>
        <v>0</v>
      </c>
      <c r="BD167" s="30">
        <f t="shared" si="393"/>
        <v>0</v>
      </c>
      <c r="BE167" s="78" t="e">
        <f t="shared" si="394"/>
        <v>#DIV/0!</v>
      </c>
      <c r="BF167" s="79">
        <f t="shared" si="395"/>
        <v>0</v>
      </c>
      <c r="BG167" s="30">
        <f t="shared" si="396"/>
        <v>0</v>
      </c>
      <c r="BH167" s="78" t="e">
        <f t="shared" si="397"/>
        <v>#DIV/0!</v>
      </c>
      <c r="BI167" s="79">
        <f t="shared" si="398"/>
        <v>0</v>
      </c>
      <c r="BJ167" s="30">
        <f t="shared" si="399"/>
        <v>0</v>
      </c>
      <c r="BK167" s="78" t="e">
        <f t="shared" si="400"/>
        <v>#DIV/0!</v>
      </c>
      <c r="BL167" s="79">
        <f t="shared" si="401"/>
        <v>0</v>
      </c>
      <c r="BM167" s="30">
        <f t="shared" si="402"/>
        <v>0</v>
      </c>
      <c r="BN167" s="78" t="e">
        <f t="shared" si="403"/>
        <v>#DIV/0!</v>
      </c>
      <c r="BO167" s="79">
        <f t="shared" si="404"/>
        <v>0</v>
      </c>
      <c r="BP167" s="30">
        <f t="shared" si="405"/>
        <v>0</v>
      </c>
      <c r="BQ167" s="78" t="e">
        <f t="shared" si="406"/>
        <v>#DIV/0!</v>
      </c>
      <c r="BR167" s="79">
        <f t="shared" si="407"/>
        <v>0</v>
      </c>
      <c r="BS167" s="30">
        <f t="shared" si="408"/>
        <v>0</v>
      </c>
      <c r="BT167" s="78" t="e">
        <f t="shared" si="409"/>
        <v>#DIV/0!</v>
      </c>
      <c r="BU167" s="79">
        <f t="shared" si="410"/>
        <v>0</v>
      </c>
      <c r="BV167" s="30">
        <f t="shared" si="411"/>
        <v>0</v>
      </c>
      <c r="BW167" s="78" t="e">
        <f t="shared" si="412"/>
        <v>#DIV/0!</v>
      </c>
      <c r="BX167" s="79">
        <f t="shared" si="413"/>
        <v>0</v>
      </c>
      <c r="BY167" s="30">
        <f t="shared" si="414"/>
        <v>0</v>
      </c>
      <c r="BZ167" s="78" t="e">
        <f t="shared" si="415"/>
        <v>#DIV/0!</v>
      </c>
      <c r="CA167" s="79">
        <f t="shared" si="416"/>
        <v>0</v>
      </c>
      <c r="CB167" s="30">
        <f t="shared" si="417"/>
        <v>0</v>
      </c>
      <c r="CC167" s="78" t="e">
        <f t="shared" si="418"/>
        <v>#DIV/0!</v>
      </c>
      <c r="CD167" s="79">
        <f t="shared" si="419"/>
        <v>0</v>
      </c>
      <c r="CE167" s="30">
        <f t="shared" si="420"/>
        <v>0</v>
      </c>
      <c r="CF167" s="78" t="e">
        <f t="shared" si="421"/>
        <v>#DIV/0!</v>
      </c>
      <c r="CG167" s="79">
        <f t="shared" si="422"/>
        <v>0</v>
      </c>
      <c r="CH167" s="30">
        <f t="shared" si="423"/>
        <v>0</v>
      </c>
      <c r="CI167" s="78" t="e">
        <f t="shared" si="424"/>
        <v>#DIV/0!</v>
      </c>
      <c r="CJ167" s="79">
        <f t="shared" si="425"/>
        <v>0</v>
      </c>
      <c r="CK167" s="30">
        <f t="shared" si="426"/>
        <v>0</v>
      </c>
      <c r="CL167" s="78" t="e">
        <f t="shared" si="427"/>
        <v>#DIV/0!</v>
      </c>
      <c r="CM167" s="79">
        <f t="shared" si="428"/>
        <v>0</v>
      </c>
      <c r="CN167" s="30">
        <f t="shared" si="429"/>
        <v>0</v>
      </c>
      <c r="CO167" s="78" t="e">
        <f t="shared" si="430"/>
        <v>#DIV/0!</v>
      </c>
      <c r="CP167" s="79">
        <f t="shared" si="431"/>
        <v>0</v>
      </c>
      <c r="CQ167" s="30">
        <f t="shared" si="432"/>
        <v>0</v>
      </c>
      <c r="CR167" s="78" t="e">
        <f t="shared" si="433"/>
        <v>#DIV/0!</v>
      </c>
      <c r="CS167" s="79">
        <f t="shared" si="434"/>
        <v>0</v>
      </c>
      <c r="CT167" s="30">
        <f t="shared" si="435"/>
        <v>0</v>
      </c>
      <c r="CU167" s="78" t="e">
        <f t="shared" si="436"/>
        <v>#DIV/0!</v>
      </c>
      <c r="CV167" s="79">
        <f t="shared" si="437"/>
        <v>0</v>
      </c>
      <c r="CW167" s="30">
        <f t="shared" si="438"/>
        <v>0</v>
      </c>
      <c r="CX167" s="78" t="e">
        <f t="shared" si="439"/>
        <v>#DIV/0!</v>
      </c>
      <c r="CY167" s="79">
        <f t="shared" si="440"/>
        <v>0</v>
      </c>
      <c r="CZ167" s="30">
        <f t="shared" si="441"/>
        <v>0</v>
      </c>
      <c r="DA167" s="78" t="e">
        <f t="shared" si="442"/>
        <v>#DIV/0!</v>
      </c>
      <c r="DB167" s="79">
        <f t="shared" si="443"/>
        <v>0</v>
      </c>
      <c r="DC167" s="30">
        <f t="shared" si="444"/>
        <v>0</v>
      </c>
      <c r="DD167" s="78" t="e">
        <f t="shared" si="445"/>
        <v>#DIV/0!</v>
      </c>
      <c r="DE167" s="79">
        <f t="shared" si="446"/>
        <v>0</v>
      </c>
      <c r="DF167" s="30">
        <f t="shared" si="447"/>
        <v>0</v>
      </c>
      <c r="DG167" s="78" t="e">
        <f t="shared" si="448"/>
        <v>#DIV/0!</v>
      </c>
      <c r="DH167" s="79">
        <f t="shared" si="449"/>
        <v>0</v>
      </c>
      <c r="DI167" s="30">
        <f t="shared" si="450"/>
        <v>0</v>
      </c>
      <c r="DJ167" s="78" t="e">
        <f t="shared" si="451"/>
        <v>#DIV/0!</v>
      </c>
      <c r="DK167" s="79">
        <f t="shared" si="452"/>
        <v>0</v>
      </c>
      <c r="DL167" s="30">
        <f t="shared" si="453"/>
        <v>0</v>
      </c>
      <c r="DM167" s="78" t="e">
        <f t="shared" si="454"/>
        <v>#DIV/0!</v>
      </c>
      <c r="DN167" s="79">
        <f t="shared" si="455"/>
        <v>0</v>
      </c>
      <c r="DO167" s="30">
        <f t="shared" si="456"/>
        <v>0</v>
      </c>
      <c r="DP167" s="78" t="e">
        <f t="shared" si="457"/>
        <v>#DIV/0!</v>
      </c>
      <c r="DQ167" s="79">
        <f t="shared" si="458"/>
        <v>0</v>
      </c>
      <c r="DR167" s="30">
        <f t="shared" si="459"/>
        <v>0</v>
      </c>
      <c r="DS167" s="78" t="e">
        <f t="shared" si="460"/>
        <v>#DIV/0!</v>
      </c>
      <c r="DT167" s="79">
        <f t="shared" si="461"/>
        <v>0</v>
      </c>
      <c r="DU167" s="30">
        <f t="shared" si="462"/>
        <v>0</v>
      </c>
      <c r="DV167" s="78" t="e">
        <f t="shared" si="463"/>
        <v>#DIV/0!</v>
      </c>
      <c r="DW167" s="79">
        <f t="shared" si="464"/>
        <v>0</v>
      </c>
      <c r="DX167" s="30">
        <f t="shared" si="465"/>
        <v>0</v>
      </c>
      <c r="DY167" s="78" t="e">
        <f t="shared" si="466"/>
        <v>#DIV/0!</v>
      </c>
      <c r="DZ167" s="79">
        <f t="shared" si="467"/>
        <v>0</v>
      </c>
      <c r="EA167" s="30">
        <f t="shared" si="468"/>
        <v>0</v>
      </c>
      <c r="EB167" s="78" t="e">
        <f t="shared" si="469"/>
        <v>#DIV/0!</v>
      </c>
      <c r="EC167" s="79">
        <f t="shared" si="470"/>
        <v>0</v>
      </c>
      <c r="ED167" s="30">
        <f t="shared" si="471"/>
        <v>0</v>
      </c>
      <c r="EE167" s="78" t="e">
        <f t="shared" si="472"/>
        <v>#DIV/0!</v>
      </c>
      <c r="EF167" s="79">
        <f t="shared" si="473"/>
        <v>0</v>
      </c>
      <c r="EG167" s="30">
        <f t="shared" si="474"/>
        <v>0</v>
      </c>
      <c r="EH167" s="78" t="e">
        <f t="shared" si="475"/>
        <v>#DIV/0!</v>
      </c>
      <c r="EI167" s="79">
        <f t="shared" si="476"/>
        <v>0</v>
      </c>
      <c r="EJ167" s="30">
        <f t="shared" si="477"/>
        <v>0</v>
      </c>
      <c r="EK167" s="78" t="e">
        <f t="shared" si="478"/>
        <v>#DIV/0!</v>
      </c>
    </row>
    <row r="168" spans="1:141" s="12" customFormat="1" ht="14.25" hidden="1" customHeight="1">
      <c r="A168" s="25">
        <v>13</v>
      </c>
      <c r="B168" s="26"/>
      <c r="C168" s="121" t="s">
        <v>188</v>
      </c>
      <c r="D168" s="122">
        <v>4</v>
      </c>
      <c r="E168" s="23" t="s">
        <v>187</v>
      </c>
      <c r="F168" s="25"/>
      <c r="G168" s="82">
        <f t="shared" si="349"/>
        <v>0</v>
      </c>
      <c r="H168" s="81">
        <f t="shared" si="350"/>
        <v>0</v>
      </c>
      <c r="I168" s="19">
        <f t="shared" si="351"/>
        <v>0</v>
      </c>
      <c r="J168" s="11">
        <f t="shared" si="352"/>
        <v>0</v>
      </c>
      <c r="K168" s="19">
        <f t="shared" si="353"/>
        <v>0</v>
      </c>
      <c r="L168" s="19">
        <f t="shared" si="354"/>
        <v>0</v>
      </c>
      <c r="M168" s="19">
        <f t="shared" si="355"/>
        <v>0</v>
      </c>
      <c r="N168" s="19">
        <f t="shared" si="356"/>
        <v>0</v>
      </c>
      <c r="O168" s="19">
        <f t="shared" si="357"/>
        <v>0</v>
      </c>
      <c r="P168" s="19">
        <f t="shared" si="358"/>
        <v>0</v>
      </c>
      <c r="Q168" s="19">
        <f t="shared" si="359"/>
        <v>0</v>
      </c>
      <c r="R168" s="19">
        <f t="shared" si="360"/>
        <v>0</v>
      </c>
      <c r="S168" s="19">
        <f t="shared" si="361"/>
        <v>0</v>
      </c>
      <c r="T168" s="19">
        <f t="shared" si="362"/>
        <v>0</v>
      </c>
      <c r="U168" s="19">
        <f t="shared" si="363"/>
        <v>0</v>
      </c>
      <c r="V168" s="19">
        <f t="shared" si="364"/>
        <v>0</v>
      </c>
      <c r="W168" s="19">
        <f t="shared" si="365"/>
        <v>0</v>
      </c>
      <c r="X168" s="19">
        <f t="shared" si="366"/>
        <v>0</v>
      </c>
      <c r="Y168" s="19">
        <f t="shared" si="367"/>
        <v>0</v>
      </c>
      <c r="Z168" s="19">
        <f t="shared" si="368"/>
        <v>0</v>
      </c>
      <c r="AA168" s="18"/>
      <c r="AB168" s="56">
        <f t="shared" si="369"/>
        <v>0</v>
      </c>
      <c r="AC168" s="16">
        <f t="shared" si="370"/>
        <v>0</v>
      </c>
      <c r="AD168" s="15" t="e">
        <f t="shared" si="371"/>
        <v>#DIV/0!</v>
      </c>
      <c r="AE168" s="42"/>
      <c r="AF168" s="10" t="e">
        <f t="shared" si="372"/>
        <v>#DIV/0!</v>
      </c>
      <c r="AG168" s="10"/>
      <c r="AH168" s="21">
        <f t="shared" si="373"/>
        <v>0</v>
      </c>
      <c r="AI168" s="54" t="e">
        <f t="shared" si="374"/>
        <v>#DIV/0!</v>
      </c>
      <c r="AJ168" s="18">
        <f t="shared" si="375"/>
        <v>0</v>
      </c>
      <c r="AK168" s="18">
        <f t="shared" si="376"/>
        <v>0</v>
      </c>
      <c r="AL168" s="18">
        <f t="shared" si="377"/>
        <v>0</v>
      </c>
      <c r="AM168" s="25">
        <f t="shared" si="378"/>
        <v>0</v>
      </c>
      <c r="AN168" s="25">
        <f t="shared" si="379"/>
        <v>0</v>
      </c>
      <c r="AO168" s="25">
        <f t="shared" si="380"/>
        <v>0</v>
      </c>
      <c r="AP168" s="25">
        <f t="shared" si="381"/>
        <v>0</v>
      </c>
      <c r="AQ168" s="25">
        <f t="shared" si="382"/>
        <v>0</v>
      </c>
      <c r="AR168" s="25">
        <f t="shared" si="383"/>
        <v>0</v>
      </c>
      <c r="AS168" s="25">
        <f t="shared" si="384"/>
        <v>0</v>
      </c>
      <c r="AT168" s="25">
        <f t="shared" si="385"/>
        <v>0</v>
      </c>
      <c r="AU168" s="80"/>
      <c r="AV168" s="79">
        <f t="shared" si="386"/>
        <v>0</v>
      </c>
      <c r="AW168" s="79">
        <f t="shared" si="479"/>
        <v>0</v>
      </c>
      <c r="AX168" s="30">
        <f t="shared" si="387"/>
        <v>0</v>
      </c>
      <c r="AY168" s="78" t="e">
        <f t="shared" si="388"/>
        <v>#DIV/0!</v>
      </c>
      <c r="AZ168" s="79">
        <f t="shared" si="389"/>
        <v>0</v>
      </c>
      <c r="BA168" s="30">
        <f t="shared" si="390"/>
        <v>0</v>
      </c>
      <c r="BB168" s="78" t="e">
        <f t="shared" si="391"/>
        <v>#DIV/0!</v>
      </c>
      <c r="BC168" s="79">
        <f t="shared" si="392"/>
        <v>0</v>
      </c>
      <c r="BD168" s="30">
        <f t="shared" si="393"/>
        <v>0</v>
      </c>
      <c r="BE168" s="78" t="e">
        <f t="shared" si="394"/>
        <v>#DIV/0!</v>
      </c>
      <c r="BF168" s="79">
        <f t="shared" si="395"/>
        <v>0</v>
      </c>
      <c r="BG168" s="30">
        <f t="shared" si="396"/>
        <v>0</v>
      </c>
      <c r="BH168" s="78" t="e">
        <f t="shared" si="397"/>
        <v>#DIV/0!</v>
      </c>
      <c r="BI168" s="79">
        <f t="shared" si="398"/>
        <v>0</v>
      </c>
      <c r="BJ168" s="30">
        <f t="shared" si="399"/>
        <v>0</v>
      </c>
      <c r="BK168" s="78" t="e">
        <f t="shared" si="400"/>
        <v>#DIV/0!</v>
      </c>
      <c r="BL168" s="79">
        <f t="shared" si="401"/>
        <v>0</v>
      </c>
      <c r="BM168" s="30">
        <f t="shared" si="402"/>
        <v>0</v>
      </c>
      <c r="BN168" s="78" t="e">
        <f t="shared" si="403"/>
        <v>#DIV/0!</v>
      </c>
      <c r="BO168" s="79">
        <f t="shared" si="404"/>
        <v>0</v>
      </c>
      <c r="BP168" s="30">
        <f t="shared" si="405"/>
        <v>0</v>
      </c>
      <c r="BQ168" s="78" t="e">
        <f t="shared" si="406"/>
        <v>#DIV/0!</v>
      </c>
      <c r="BR168" s="79">
        <f t="shared" si="407"/>
        <v>0</v>
      </c>
      <c r="BS168" s="30">
        <f t="shared" si="408"/>
        <v>0</v>
      </c>
      <c r="BT168" s="78" t="e">
        <f t="shared" si="409"/>
        <v>#DIV/0!</v>
      </c>
      <c r="BU168" s="79">
        <f t="shared" si="410"/>
        <v>0</v>
      </c>
      <c r="BV168" s="30">
        <f t="shared" si="411"/>
        <v>0</v>
      </c>
      <c r="BW168" s="78" t="e">
        <f t="shared" si="412"/>
        <v>#DIV/0!</v>
      </c>
      <c r="BX168" s="79">
        <f t="shared" si="413"/>
        <v>0</v>
      </c>
      <c r="BY168" s="30">
        <f t="shared" si="414"/>
        <v>0</v>
      </c>
      <c r="BZ168" s="78" t="e">
        <f t="shared" si="415"/>
        <v>#DIV/0!</v>
      </c>
      <c r="CA168" s="79">
        <f t="shared" si="416"/>
        <v>0</v>
      </c>
      <c r="CB168" s="30">
        <f t="shared" si="417"/>
        <v>0</v>
      </c>
      <c r="CC168" s="78" t="e">
        <f t="shared" si="418"/>
        <v>#DIV/0!</v>
      </c>
      <c r="CD168" s="79">
        <f t="shared" si="419"/>
        <v>0</v>
      </c>
      <c r="CE168" s="30">
        <f t="shared" si="420"/>
        <v>0</v>
      </c>
      <c r="CF168" s="78" t="e">
        <f t="shared" si="421"/>
        <v>#DIV/0!</v>
      </c>
      <c r="CG168" s="79">
        <f t="shared" si="422"/>
        <v>0</v>
      </c>
      <c r="CH168" s="30">
        <f t="shared" si="423"/>
        <v>0</v>
      </c>
      <c r="CI168" s="78" t="e">
        <f t="shared" si="424"/>
        <v>#DIV/0!</v>
      </c>
      <c r="CJ168" s="79">
        <f t="shared" si="425"/>
        <v>0</v>
      </c>
      <c r="CK168" s="30">
        <f t="shared" si="426"/>
        <v>0</v>
      </c>
      <c r="CL168" s="78" t="e">
        <f t="shared" si="427"/>
        <v>#DIV/0!</v>
      </c>
      <c r="CM168" s="79">
        <f t="shared" si="428"/>
        <v>0</v>
      </c>
      <c r="CN168" s="30">
        <f t="shared" si="429"/>
        <v>0</v>
      </c>
      <c r="CO168" s="78" t="e">
        <f t="shared" si="430"/>
        <v>#DIV/0!</v>
      </c>
      <c r="CP168" s="79">
        <f t="shared" si="431"/>
        <v>0</v>
      </c>
      <c r="CQ168" s="30">
        <f t="shared" si="432"/>
        <v>0</v>
      </c>
      <c r="CR168" s="78" t="e">
        <f t="shared" si="433"/>
        <v>#DIV/0!</v>
      </c>
      <c r="CS168" s="79">
        <f t="shared" si="434"/>
        <v>0</v>
      </c>
      <c r="CT168" s="30">
        <f t="shared" si="435"/>
        <v>0</v>
      </c>
      <c r="CU168" s="78" t="e">
        <f t="shared" si="436"/>
        <v>#DIV/0!</v>
      </c>
      <c r="CV168" s="79">
        <f t="shared" si="437"/>
        <v>0</v>
      </c>
      <c r="CW168" s="30">
        <f t="shared" si="438"/>
        <v>0</v>
      </c>
      <c r="CX168" s="78" t="e">
        <f t="shared" si="439"/>
        <v>#DIV/0!</v>
      </c>
      <c r="CY168" s="79">
        <f t="shared" si="440"/>
        <v>0</v>
      </c>
      <c r="CZ168" s="30">
        <f t="shared" si="441"/>
        <v>0</v>
      </c>
      <c r="DA168" s="78" t="e">
        <f t="shared" si="442"/>
        <v>#DIV/0!</v>
      </c>
      <c r="DB168" s="79">
        <f t="shared" si="443"/>
        <v>0</v>
      </c>
      <c r="DC168" s="30">
        <f t="shared" si="444"/>
        <v>0</v>
      </c>
      <c r="DD168" s="78" t="e">
        <f t="shared" si="445"/>
        <v>#DIV/0!</v>
      </c>
      <c r="DE168" s="79">
        <f t="shared" si="446"/>
        <v>0</v>
      </c>
      <c r="DF168" s="30">
        <f t="shared" si="447"/>
        <v>0</v>
      </c>
      <c r="DG168" s="78" t="e">
        <f t="shared" si="448"/>
        <v>#DIV/0!</v>
      </c>
      <c r="DH168" s="79">
        <f t="shared" si="449"/>
        <v>0</v>
      </c>
      <c r="DI168" s="30">
        <f t="shared" si="450"/>
        <v>0</v>
      </c>
      <c r="DJ168" s="78" t="e">
        <f t="shared" si="451"/>
        <v>#DIV/0!</v>
      </c>
      <c r="DK168" s="79">
        <f t="shared" si="452"/>
        <v>0</v>
      </c>
      <c r="DL168" s="30">
        <f t="shared" si="453"/>
        <v>0</v>
      </c>
      <c r="DM168" s="78" t="e">
        <f t="shared" si="454"/>
        <v>#DIV/0!</v>
      </c>
      <c r="DN168" s="79">
        <f t="shared" si="455"/>
        <v>0</v>
      </c>
      <c r="DO168" s="30">
        <f t="shared" si="456"/>
        <v>0</v>
      </c>
      <c r="DP168" s="78" t="e">
        <f t="shared" si="457"/>
        <v>#DIV/0!</v>
      </c>
      <c r="DQ168" s="79">
        <f t="shared" si="458"/>
        <v>0</v>
      </c>
      <c r="DR168" s="30">
        <f t="shared" si="459"/>
        <v>0</v>
      </c>
      <c r="DS168" s="78" t="e">
        <f t="shared" si="460"/>
        <v>#DIV/0!</v>
      </c>
      <c r="DT168" s="79">
        <f t="shared" si="461"/>
        <v>0</v>
      </c>
      <c r="DU168" s="30">
        <f t="shared" si="462"/>
        <v>0</v>
      </c>
      <c r="DV168" s="78" t="e">
        <f t="shared" si="463"/>
        <v>#DIV/0!</v>
      </c>
      <c r="DW168" s="79">
        <f t="shared" si="464"/>
        <v>0</v>
      </c>
      <c r="DX168" s="30">
        <f t="shared" si="465"/>
        <v>0</v>
      </c>
      <c r="DY168" s="78" t="e">
        <f t="shared" si="466"/>
        <v>#DIV/0!</v>
      </c>
      <c r="DZ168" s="79">
        <f t="shared" si="467"/>
        <v>0</v>
      </c>
      <c r="EA168" s="30">
        <f t="shared" si="468"/>
        <v>0</v>
      </c>
      <c r="EB168" s="78" t="e">
        <f t="shared" si="469"/>
        <v>#DIV/0!</v>
      </c>
      <c r="EC168" s="79">
        <f t="shared" si="470"/>
        <v>0</v>
      </c>
      <c r="ED168" s="30">
        <f t="shared" si="471"/>
        <v>0</v>
      </c>
      <c r="EE168" s="78" t="e">
        <f t="shared" si="472"/>
        <v>#DIV/0!</v>
      </c>
      <c r="EF168" s="79">
        <f t="shared" si="473"/>
        <v>0</v>
      </c>
      <c r="EG168" s="30">
        <f t="shared" si="474"/>
        <v>0</v>
      </c>
      <c r="EH168" s="78" t="e">
        <f t="shared" si="475"/>
        <v>#DIV/0!</v>
      </c>
      <c r="EI168" s="79">
        <f t="shared" si="476"/>
        <v>0</v>
      </c>
      <c r="EJ168" s="30">
        <f t="shared" si="477"/>
        <v>0</v>
      </c>
      <c r="EK168" s="78" t="e">
        <f t="shared" si="478"/>
        <v>#DIV/0!</v>
      </c>
    </row>
    <row r="169" spans="1:141" s="12" customFormat="1" ht="14.25" hidden="1" customHeight="1">
      <c r="A169" s="25">
        <v>14</v>
      </c>
      <c r="B169" s="26"/>
      <c r="C169" s="121" t="s">
        <v>186</v>
      </c>
      <c r="D169" s="124">
        <v>5</v>
      </c>
      <c r="E169" s="23" t="s">
        <v>132</v>
      </c>
      <c r="F169" s="25"/>
      <c r="G169" s="82">
        <f t="shared" si="349"/>
        <v>0</v>
      </c>
      <c r="H169" s="81">
        <f t="shared" si="350"/>
        <v>16</v>
      </c>
      <c r="I169" s="19">
        <f t="shared" si="351"/>
        <v>0</v>
      </c>
      <c r="J169" s="11">
        <f t="shared" si="352"/>
        <v>3.49</v>
      </c>
      <c r="K169" s="19">
        <f t="shared" si="353"/>
        <v>0</v>
      </c>
      <c r="L169" s="19">
        <f t="shared" si="354"/>
        <v>0</v>
      </c>
      <c r="M169" s="19">
        <f t="shared" si="355"/>
        <v>0</v>
      </c>
      <c r="N169" s="19">
        <f t="shared" si="356"/>
        <v>0.99</v>
      </c>
      <c r="O169" s="19">
        <f t="shared" si="357"/>
        <v>0</v>
      </c>
      <c r="P169" s="19">
        <f t="shared" si="358"/>
        <v>0</v>
      </c>
      <c r="Q169" s="19">
        <f t="shared" si="359"/>
        <v>0</v>
      </c>
      <c r="R169" s="19">
        <f t="shared" si="360"/>
        <v>0</v>
      </c>
      <c r="S169" s="19">
        <f t="shared" si="361"/>
        <v>0</v>
      </c>
      <c r="T169" s="19">
        <f t="shared" si="362"/>
        <v>1.83</v>
      </c>
      <c r="U169" s="19">
        <f t="shared" si="363"/>
        <v>0</v>
      </c>
      <c r="V169" s="19">
        <f t="shared" si="364"/>
        <v>0</v>
      </c>
      <c r="W169" s="19">
        <f t="shared" si="365"/>
        <v>0.33</v>
      </c>
      <c r="X169" s="19">
        <f t="shared" si="366"/>
        <v>0.34</v>
      </c>
      <c r="Y169" s="19">
        <f t="shared" si="367"/>
        <v>0</v>
      </c>
      <c r="Z169" s="19">
        <f t="shared" si="368"/>
        <v>0</v>
      </c>
      <c r="AA169" s="18"/>
      <c r="AB169" s="56" t="e">
        <f t="shared" si="369"/>
        <v>#VALUE!</v>
      </c>
      <c r="AC169" s="16">
        <f t="shared" si="370"/>
        <v>9945</v>
      </c>
      <c r="AD169" s="15" t="e">
        <f t="shared" si="371"/>
        <v>#VALUE!</v>
      </c>
      <c r="AE169" s="42"/>
      <c r="AF169" s="10">
        <f t="shared" si="372"/>
        <v>621.5625</v>
      </c>
      <c r="AG169" s="10"/>
      <c r="AH169" s="21">
        <f t="shared" si="373"/>
        <v>141</v>
      </c>
      <c r="AI169" s="54">
        <f t="shared" si="374"/>
        <v>1.4177978883861237E-2</v>
      </c>
      <c r="AJ169" s="18">
        <f t="shared" si="375"/>
        <v>141</v>
      </c>
      <c r="AK169" s="18">
        <f t="shared" si="376"/>
        <v>0</v>
      </c>
      <c r="AL169" s="18">
        <f t="shared" si="377"/>
        <v>0</v>
      </c>
      <c r="AM169" s="25">
        <f t="shared" si="378"/>
        <v>0</v>
      </c>
      <c r="AN169" s="25">
        <f t="shared" si="379"/>
        <v>0</v>
      </c>
      <c r="AO169" s="25">
        <f t="shared" si="380"/>
        <v>0</v>
      </c>
      <c r="AP169" s="25">
        <f t="shared" si="381"/>
        <v>0</v>
      </c>
      <c r="AQ169" s="25">
        <f t="shared" si="382"/>
        <v>0</v>
      </c>
      <c r="AR169" s="25">
        <f t="shared" si="383"/>
        <v>0</v>
      </c>
      <c r="AS169" s="25">
        <f t="shared" si="384"/>
        <v>0</v>
      </c>
      <c r="AT169" s="25">
        <f t="shared" si="385"/>
        <v>0</v>
      </c>
      <c r="AU169" s="80"/>
      <c r="AV169" s="79">
        <f t="shared" si="386"/>
        <v>0</v>
      </c>
      <c r="AW169" s="79">
        <f t="shared" si="479"/>
        <v>0</v>
      </c>
      <c r="AX169" s="30">
        <f t="shared" si="387"/>
        <v>0</v>
      </c>
      <c r="AY169" s="78" t="e">
        <f t="shared" si="388"/>
        <v>#DIV/0!</v>
      </c>
      <c r="AZ169" s="79">
        <f t="shared" si="389"/>
        <v>0</v>
      </c>
      <c r="BA169" s="30">
        <f t="shared" si="390"/>
        <v>0</v>
      </c>
      <c r="BB169" s="78" t="e">
        <f t="shared" si="391"/>
        <v>#DIV/0!</v>
      </c>
      <c r="BC169" s="79">
        <f t="shared" si="392"/>
        <v>0</v>
      </c>
      <c r="BD169" s="30">
        <f t="shared" si="393"/>
        <v>0</v>
      </c>
      <c r="BE169" s="78" t="e">
        <f t="shared" si="394"/>
        <v>#DIV/0!</v>
      </c>
      <c r="BF169" s="79">
        <f t="shared" si="395"/>
        <v>0</v>
      </c>
      <c r="BG169" s="30">
        <f t="shared" si="396"/>
        <v>0</v>
      </c>
      <c r="BH169" s="78" t="e">
        <f t="shared" si="397"/>
        <v>#DIV/0!</v>
      </c>
      <c r="BI169" s="79">
        <f t="shared" si="398"/>
        <v>0</v>
      </c>
      <c r="BJ169" s="30">
        <f t="shared" si="399"/>
        <v>0</v>
      </c>
      <c r="BK169" s="78" t="e">
        <f t="shared" si="400"/>
        <v>#DIV/0!</v>
      </c>
      <c r="BL169" s="79">
        <f t="shared" si="401"/>
        <v>0</v>
      </c>
      <c r="BM169" s="30">
        <f t="shared" si="402"/>
        <v>0</v>
      </c>
      <c r="BN169" s="78" t="e">
        <f t="shared" si="403"/>
        <v>#DIV/0!</v>
      </c>
      <c r="BO169" s="79">
        <f t="shared" si="404"/>
        <v>0</v>
      </c>
      <c r="BP169" s="30">
        <f t="shared" si="405"/>
        <v>0</v>
      </c>
      <c r="BQ169" s="78" t="e">
        <f t="shared" si="406"/>
        <v>#DIV/0!</v>
      </c>
      <c r="BR169" s="79">
        <f t="shared" si="407"/>
        <v>0</v>
      </c>
      <c r="BS169" s="30">
        <f t="shared" si="408"/>
        <v>0</v>
      </c>
      <c r="BT169" s="78" t="e">
        <f t="shared" si="409"/>
        <v>#DIV/0!</v>
      </c>
      <c r="BU169" s="79">
        <f t="shared" si="410"/>
        <v>0</v>
      </c>
      <c r="BV169" s="30">
        <f t="shared" si="411"/>
        <v>0</v>
      </c>
      <c r="BW169" s="78" t="e">
        <f t="shared" si="412"/>
        <v>#DIV/0!</v>
      </c>
      <c r="BX169" s="79">
        <f t="shared" si="413"/>
        <v>0</v>
      </c>
      <c r="BY169" s="30">
        <f t="shared" si="414"/>
        <v>0</v>
      </c>
      <c r="BZ169" s="78" t="e">
        <f t="shared" si="415"/>
        <v>#DIV/0!</v>
      </c>
      <c r="CA169" s="79">
        <f t="shared" si="416"/>
        <v>0</v>
      </c>
      <c r="CB169" s="30">
        <f t="shared" si="417"/>
        <v>0</v>
      </c>
      <c r="CC169" s="78" t="e">
        <f t="shared" si="418"/>
        <v>#DIV/0!</v>
      </c>
      <c r="CD169" s="79">
        <f t="shared" si="419"/>
        <v>0</v>
      </c>
      <c r="CE169" s="30">
        <f t="shared" si="420"/>
        <v>0</v>
      </c>
      <c r="CF169" s="78" t="e">
        <f t="shared" si="421"/>
        <v>#DIV/0!</v>
      </c>
      <c r="CG169" s="79">
        <f t="shared" si="422"/>
        <v>0</v>
      </c>
      <c r="CH169" s="30">
        <f t="shared" si="423"/>
        <v>0</v>
      </c>
      <c r="CI169" s="78" t="e">
        <f t="shared" si="424"/>
        <v>#DIV/0!</v>
      </c>
      <c r="CJ169" s="79">
        <f t="shared" si="425"/>
        <v>0</v>
      </c>
      <c r="CK169" s="30">
        <f t="shared" si="426"/>
        <v>0</v>
      </c>
      <c r="CL169" s="78" t="e">
        <f t="shared" si="427"/>
        <v>#DIV/0!</v>
      </c>
      <c r="CM169" s="79">
        <f t="shared" si="428"/>
        <v>0</v>
      </c>
      <c r="CN169" s="30">
        <f t="shared" si="429"/>
        <v>0</v>
      </c>
      <c r="CO169" s="78" t="e">
        <f t="shared" si="430"/>
        <v>#DIV/0!</v>
      </c>
      <c r="CP169" s="79">
        <f t="shared" si="431"/>
        <v>0</v>
      </c>
      <c r="CQ169" s="30">
        <f t="shared" si="432"/>
        <v>0</v>
      </c>
      <c r="CR169" s="78" t="e">
        <f t="shared" si="433"/>
        <v>#DIV/0!</v>
      </c>
      <c r="CS169" s="79">
        <f t="shared" si="434"/>
        <v>0</v>
      </c>
      <c r="CT169" s="30">
        <f t="shared" si="435"/>
        <v>0</v>
      </c>
      <c r="CU169" s="78" t="e">
        <f t="shared" si="436"/>
        <v>#DIV/0!</v>
      </c>
      <c r="CV169" s="79">
        <f t="shared" si="437"/>
        <v>0</v>
      </c>
      <c r="CW169" s="30">
        <f t="shared" si="438"/>
        <v>0</v>
      </c>
      <c r="CX169" s="78" t="e">
        <f t="shared" si="439"/>
        <v>#DIV/0!</v>
      </c>
      <c r="CY169" s="79">
        <f t="shared" si="440"/>
        <v>0</v>
      </c>
      <c r="CZ169" s="30">
        <f t="shared" si="441"/>
        <v>0</v>
      </c>
      <c r="DA169" s="78" t="e">
        <f t="shared" si="442"/>
        <v>#DIV/0!</v>
      </c>
      <c r="DB169" s="79">
        <f t="shared" si="443"/>
        <v>0</v>
      </c>
      <c r="DC169" s="30">
        <f t="shared" si="444"/>
        <v>0</v>
      </c>
      <c r="DD169" s="78" t="e">
        <f t="shared" si="445"/>
        <v>#DIV/0!</v>
      </c>
      <c r="DE169" s="79">
        <f t="shared" si="446"/>
        <v>0</v>
      </c>
      <c r="DF169" s="30">
        <f t="shared" si="447"/>
        <v>0</v>
      </c>
      <c r="DG169" s="78" t="e">
        <f t="shared" si="448"/>
        <v>#DIV/0!</v>
      </c>
      <c r="DH169" s="79">
        <f t="shared" si="449"/>
        <v>0</v>
      </c>
      <c r="DI169" s="30">
        <f t="shared" si="450"/>
        <v>0</v>
      </c>
      <c r="DJ169" s="78" t="e">
        <f t="shared" si="451"/>
        <v>#DIV/0!</v>
      </c>
      <c r="DK169" s="79">
        <f t="shared" si="452"/>
        <v>0</v>
      </c>
      <c r="DL169" s="30">
        <f t="shared" si="453"/>
        <v>0</v>
      </c>
      <c r="DM169" s="78" t="e">
        <f t="shared" si="454"/>
        <v>#DIV/0!</v>
      </c>
      <c r="DN169" s="79">
        <f t="shared" si="455"/>
        <v>0</v>
      </c>
      <c r="DO169" s="30">
        <f t="shared" si="456"/>
        <v>0</v>
      </c>
      <c r="DP169" s="78" t="e">
        <f t="shared" si="457"/>
        <v>#DIV/0!</v>
      </c>
      <c r="DQ169" s="79">
        <f t="shared" si="458"/>
        <v>0</v>
      </c>
      <c r="DR169" s="30">
        <f t="shared" si="459"/>
        <v>0</v>
      </c>
      <c r="DS169" s="78" t="e">
        <f t="shared" si="460"/>
        <v>#DIV/0!</v>
      </c>
      <c r="DT169" s="79">
        <f t="shared" si="461"/>
        <v>0</v>
      </c>
      <c r="DU169" s="30">
        <f t="shared" si="462"/>
        <v>0</v>
      </c>
      <c r="DV169" s="78" t="e">
        <f t="shared" si="463"/>
        <v>#DIV/0!</v>
      </c>
      <c r="DW169" s="79">
        <f t="shared" si="464"/>
        <v>0</v>
      </c>
      <c r="DX169" s="30">
        <f t="shared" si="465"/>
        <v>0</v>
      </c>
      <c r="DY169" s="78" t="e">
        <f t="shared" si="466"/>
        <v>#DIV/0!</v>
      </c>
      <c r="DZ169" s="79">
        <f t="shared" si="467"/>
        <v>0</v>
      </c>
      <c r="EA169" s="30">
        <f t="shared" si="468"/>
        <v>0</v>
      </c>
      <c r="EB169" s="78" t="e">
        <f t="shared" si="469"/>
        <v>#DIV/0!</v>
      </c>
      <c r="EC169" s="79">
        <f t="shared" si="470"/>
        <v>0</v>
      </c>
      <c r="ED169" s="30">
        <f t="shared" si="471"/>
        <v>0</v>
      </c>
      <c r="EE169" s="78" t="e">
        <f t="shared" si="472"/>
        <v>#DIV/0!</v>
      </c>
      <c r="EF169" s="79">
        <f t="shared" si="473"/>
        <v>0</v>
      </c>
      <c r="EG169" s="30">
        <f t="shared" si="474"/>
        <v>0</v>
      </c>
      <c r="EH169" s="78" t="e">
        <f t="shared" si="475"/>
        <v>#DIV/0!</v>
      </c>
      <c r="EI169" s="79">
        <f t="shared" si="476"/>
        <v>0</v>
      </c>
      <c r="EJ169" s="30">
        <f t="shared" si="477"/>
        <v>0</v>
      </c>
      <c r="EK169" s="78" t="e">
        <f t="shared" si="478"/>
        <v>#DIV/0!</v>
      </c>
    </row>
    <row r="170" spans="1:141" s="12" customFormat="1" ht="14.25" hidden="1" customHeight="1">
      <c r="A170" s="25">
        <v>15</v>
      </c>
      <c r="B170" s="26"/>
      <c r="C170" s="121" t="s">
        <v>185</v>
      </c>
      <c r="D170" s="124">
        <v>6</v>
      </c>
      <c r="E170" s="23" t="s">
        <v>130</v>
      </c>
      <c r="F170" s="25"/>
      <c r="G170" s="82">
        <f t="shared" si="349"/>
        <v>0</v>
      </c>
      <c r="H170" s="81">
        <f t="shared" si="350"/>
        <v>14.33</v>
      </c>
      <c r="I170" s="19">
        <f t="shared" si="351"/>
        <v>0</v>
      </c>
      <c r="J170" s="11">
        <f t="shared" si="352"/>
        <v>3.67</v>
      </c>
      <c r="K170" s="19">
        <f t="shared" si="353"/>
        <v>0</v>
      </c>
      <c r="L170" s="19">
        <f t="shared" si="354"/>
        <v>0</v>
      </c>
      <c r="M170" s="19">
        <f t="shared" si="355"/>
        <v>0</v>
      </c>
      <c r="N170" s="19">
        <f t="shared" si="356"/>
        <v>0</v>
      </c>
      <c r="O170" s="19">
        <f t="shared" si="357"/>
        <v>0</v>
      </c>
      <c r="P170" s="19">
        <f t="shared" si="358"/>
        <v>0</v>
      </c>
      <c r="Q170" s="19">
        <f t="shared" si="359"/>
        <v>0</v>
      </c>
      <c r="R170" s="19">
        <f t="shared" si="360"/>
        <v>0</v>
      </c>
      <c r="S170" s="19">
        <f t="shared" si="361"/>
        <v>0</v>
      </c>
      <c r="T170" s="19">
        <f t="shared" si="362"/>
        <v>2.33</v>
      </c>
      <c r="U170" s="19">
        <f t="shared" si="363"/>
        <v>0</v>
      </c>
      <c r="V170" s="19">
        <f t="shared" si="364"/>
        <v>0</v>
      </c>
      <c r="W170" s="19">
        <f t="shared" si="365"/>
        <v>0.17</v>
      </c>
      <c r="X170" s="19">
        <f t="shared" si="366"/>
        <v>0.34</v>
      </c>
      <c r="Y170" s="19">
        <f t="shared" si="367"/>
        <v>0.83</v>
      </c>
      <c r="Z170" s="19">
        <f t="shared" si="368"/>
        <v>0</v>
      </c>
      <c r="AA170" s="18"/>
      <c r="AB170" s="56" t="e">
        <f t="shared" si="369"/>
        <v>#VALUE!</v>
      </c>
      <c r="AC170" s="16">
        <f t="shared" si="370"/>
        <v>7770</v>
      </c>
      <c r="AD170" s="15" t="e">
        <f t="shared" si="371"/>
        <v>#VALUE!</v>
      </c>
      <c r="AE170" s="42"/>
      <c r="AF170" s="10">
        <f t="shared" si="372"/>
        <v>542.21912072575014</v>
      </c>
      <c r="AG170" s="10"/>
      <c r="AH170" s="21">
        <f t="shared" si="373"/>
        <v>0</v>
      </c>
      <c r="AI170" s="54">
        <f t="shared" si="374"/>
        <v>0</v>
      </c>
      <c r="AJ170" s="18">
        <f t="shared" si="375"/>
        <v>0</v>
      </c>
      <c r="AK170" s="18">
        <f t="shared" si="376"/>
        <v>0</v>
      </c>
      <c r="AL170" s="18">
        <f t="shared" si="377"/>
        <v>0</v>
      </c>
      <c r="AM170" s="25">
        <f t="shared" si="378"/>
        <v>0</v>
      </c>
      <c r="AN170" s="25">
        <f t="shared" si="379"/>
        <v>0</v>
      </c>
      <c r="AO170" s="25">
        <f t="shared" si="380"/>
        <v>0</v>
      </c>
      <c r="AP170" s="25">
        <f t="shared" si="381"/>
        <v>0</v>
      </c>
      <c r="AQ170" s="25">
        <f t="shared" si="382"/>
        <v>0</v>
      </c>
      <c r="AR170" s="25">
        <f t="shared" si="383"/>
        <v>0</v>
      </c>
      <c r="AS170" s="25">
        <f t="shared" si="384"/>
        <v>0</v>
      </c>
      <c r="AT170" s="25">
        <f t="shared" si="385"/>
        <v>0</v>
      </c>
      <c r="AU170" s="80"/>
      <c r="AV170" s="79">
        <f t="shared" si="386"/>
        <v>0</v>
      </c>
      <c r="AW170" s="79">
        <f t="shared" si="479"/>
        <v>0</v>
      </c>
      <c r="AX170" s="30">
        <f t="shared" si="387"/>
        <v>0</v>
      </c>
      <c r="AY170" s="78" t="e">
        <f t="shared" si="388"/>
        <v>#DIV/0!</v>
      </c>
      <c r="AZ170" s="79">
        <f t="shared" si="389"/>
        <v>0</v>
      </c>
      <c r="BA170" s="30">
        <f t="shared" si="390"/>
        <v>0</v>
      </c>
      <c r="BB170" s="78" t="e">
        <f t="shared" si="391"/>
        <v>#DIV/0!</v>
      </c>
      <c r="BC170" s="79">
        <f t="shared" si="392"/>
        <v>0</v>
      </c>
      <c r="BD170" s="30">
        <f t="shared" si="393"/>
        <v>0</v>
      </c>
      <c r="BE170" s="78" t="e">
        <f t="shared" si="394"/>
        <v>#DIV/0!</v>
      </c>
      <c r="BF170" s="79">
        <f t="shared" si="395"/>
        <v>0</v>
      </c>
      <c r="BG170" s="30">
        <f t="shared" si="396"/>
        <v>0</v>
      </c>
      <c r="BH170" s="78" t="e">
        <f t="shared" si="397"/>
        <v>#DIV/0!</v>
      </c>
      <c r="BI170" s="79">
        <f t="shared" si="398"/>
        <v>0</v>
      </c>
      <c r="BJ170" s="30">
        <f t="shared" si="399"/>
        <v>0</v>
      </c>
      <c r="BK170" s="78" t="e">
        <f t="shared" si="400"/>
        <v>#DIV/0!</v>
      </c>
      <c r="BL170" s="79">
        <f t="shared" si="401"/>
        <v>0</v>
      </c>
      <c r="BM170" s="30">
        <f t="shared" si="402"/>
        <v>0</v>
      </c>
      <c r="BN170" s="78" t="e">
        <f t="shared" si="403"/>
        <v>#DIV/0!</v>
      </c>
      <c r="BO170" s="79">
        <f t="shared" si="404"/>
        <v>0</v>
      </c>
      <c r="BP170" s="30">
        <f t="shared" si="405"/>
        <v>0</v>
      </c>
      <c r="BQ170" s="78" t="e">
        <f t="shared" si="406"/>
        <v>#DIV/0!</v>
      </c>
      <c r="BR170" s="79">
        <f t="shared" si="407"/>
        <v>0</v>
      </c>
      <c r="BS170" s="30">
        <f t="shared" si="408"/>
        <v>0</v>
      </c>
      <c r="BT170" s="78" t="e">
        <f t="shared" si="409"/>
        <v>#DIV/0!</v>
      </c>
      <c r="BU170" s="79">
        <f t="shared" si="410"/>
        <v>0</v>
      </c>
      <c r="BV170" s="30">
        <f t="shared" si="411"/>
        <v>0</v>
      </c>
      <c r="BW170" s="78" t="e">
        <f t="shared" si="412"/>
        <v>#DIV/0!</v>
      </c>
      <c r="BX170" s="79">
        <f t="shared" si="413"/>
        <v>0</v>
      </c>
      <c r="BY170" s="30">
        <f t="shared" si="414"/>
        <v>0</v>
      </c>
      <c r="BZ170" s="78" t="e">
        <f t="shared" si="415"/>
        <v>#DIV/0!</v>
      </c>
      <c r="CA170" s="79">
        <f t="shared" si="416"/>
        <v>0</v>
      </c>
      <c r="CB170" s="30">
        <f t="shared" si="417"/>
        <v>0</v>
      </c>
      <c r="CC170" s="78" t="e">
        <f t="shared" si="418"/>
        <v>#DIV/0!</v>
      </c>
      <c r="CD170" s="79">
        <f t="shared" si="419"/>
        <v>0</v>
      </c>
      <c r="CE170" s="30">
        <f t="shared" si="420"/>
        <v>0</v>
      </c>
      <c r="CF170" s="78" t="e">
        <f t="shared" si="421"/>
        <v>#DIV/0!</v>
      </c>
      <c r="CG170" s="79">
        <f t="shared" si="422"/>
        <v>0</v>
      </c>
      <c r="CH170" s="30">
        <f t="shared" si="423"/>
        <v>0</v>
      </c>
      <c r="CI170" s="78" t="e">
        <f t="shared" si="424"/>
        <v>#DIV/0!</v>
      </c>
      <c r="CJ170" s="79">
        <f t="shared" si="425"/>
        <v>0</v>
      </c>
      <c r="CK170" s="30">
        <f t="shared" si="426"/>
        <v>0</v>
      </c>
      <c r="CL170" s="78" t="e">
        <f t="shared" si="427"/>
        <v>#DIV/0!</v>
      </c>
      <c r="CM170" s="79">
        <f t="shared" si="428"/>
        <v>0</v>
      </c>
      <c r="CN170" s="30">
        <f t="shared" si="429"/>
        <v>0</v>
      </c>
      <c r="CO170" s="78" t="e">
        <f t="shared" si="430"/>
        <v>#DIV/0!</v>
      </c>
      <c r="CP170" s="79">
        <f t="shared" si="431"/>
        <v>0</v>
      </c>
      <c r="CQ170" s="30">
        <f t="shared" si="432"/>
        <v>0</v>
      </c>
      <c r="CR170" s="78" t="e">
        <f t="shared" si="433"/>
        <v>#DIV/0!</v>
      </c>
      <c r="CS170" s="79">
        <f t="shared" si="434"/>
        <v>0</v>
      </c>
      <c r="CT170" s="30">
        <f t="shared" si="435"/>
        <v>0</v>
      </c>
      <c r="CU170" s="78" t="e">
        <f t="shared" si="436"/>
        <v>#DIV/0!</v>
      </c>
      <c r="CV170" s="79">
        <f t="shared" si="437"/>
        <v>0</v>
      </c>
      <c r="CW170" s="30">
        <f t="shared" si="438"/>
        <v>0</v>
      </c>
      <c r="CX170" s="78" t="e">
        <f t="shared" si="439"/>
        <v>#DIV/0!</v>
      </c>
      <c r="CY170" s="79">
        <f t="shared" si="440"/>
        <v>0</v>
      </c>
      <c r="CZ170" s="30">
        <f t="shared" si="441"/>
        <v>0</v>
      </c>
      <c r="DA170" s="78" t="e">
        <f t="shared" si="442"/>
        <v>#DIV/0!</v>
      </c>
      <c r="DB170" s="79">
        <f t="shared" si="443"/>
        <v>0</v>
      </c>
      <c r="DC170" s="30">
        <f t="shared" si="444"/>
        <v>0</v>
      </c>
      <c r="DD170" s="78" t="e">
        <f t="shared" si="445"/>
        <v>#DIV/0!</v>
      </c>
      <c r="DE170" s="79">
        <f t="shared" si="446"/>
        <v>0</v>
      </c>
      <c r="DF170" s="30">
        <f t="shared" si="447"/>
        <v>0</v>
      </c>
      <c r="DG170" s="78" t="e">
        <f t="shared" si="448"/>
        <v>#DIV/0!</v>
      </c>
      <c r="DH170" s="79">
        <f t="shared" si="449"/>
        <v>0</v>
      </c>
      <c r="DI170" s="30">
        <f t="shared" si="450"/>
        <v>0</v>
      </c>
      <c r="DJ170" s="78" t="e">
        <f t="shared" si="451"/>
        <v>#DIV/0!</v>
      </c>
      <c r="DK170" s="79">
        <f t="shared" si="452"/>
        <v>0</v>
      </c>
      <c r="DL170" s="30">
        <f t="shared" si="453"/>
        <v>0</v>
      </c>
      <c r="DM170" s="78" t="e">
        <f t="shared" si="454"/>
        <v>#DIV/0!</v>
      </c>
      <c r="DN170" s="79">
        <f t="shared" si="455"/>
        <v>0</v>
      </c>
      <c r="DO170" s="30">
        <f t="shared" si="456"/>
        <v>0</v>
      </c>
      <c r="DP170" s="78" t="e">
        <f t="shared" si="457"/>
        <v>#DIV/0!</v>
      </c>
      <c r="DQ170" s="79">
        <f t="shared" si="458"/>
        <v>0</v>
      </c>
      <c r="DR170" s="30">
        <f t="shared" si="459"/>
        <v>0</v>
      </c>
      <c r="DS170" s="78" t="e">
        <f t="shared" si="460"/>
        <v>#DIV/0!</v>
      </c>
      <c r="DT170" s="79">
        <f t="shared" si="461"/>
        <v>0</v>
      </c>
      <c r="DU170" s="30">
        <f t="shared" si="462"/>
        <v>0</v>
      </c>
      <c r="DV170" s="78" t="e">
        <f t="shared" si="463"/>
        <v>#DIV/0!</v>
      </c>
      <c r="DW170" s="79">
        <f t="shared" si="464"/>
        <v>0</v>
      </c>
      <c r="DX170" s="30">
        <f t="shared" si="465"/>
        <v>0</v>
      </c>
      <c r="DY170" s="78" t="e">
        <f t="shared" si="466"/>
        <v>#DIV/0!</v>
      </c>
      <c r="DZ170" s="79">
        <f t="shared" si="467"/>
        <v>0</v>
      </c>
      <c r="EA170" s="30">
        <f t="shared" si="468"/>
        <v>0</v>
      </c>
      <c r="EB170" s="78" t="e">
        <f t="shared" si="469"/>
        <v>#DIV/0!</v>
      </c>
      <c r="EC170" s="79">
        <f t="shared" si="470"/>
        <v>0</v>
      </c>
      <c r="ED170" s="30">
        <f t="shared" si="471"/>
        <v>0</v>
      </c>
      <c r="EE170" s="78" t="e">
        <f t="shared" si="472"/>
        <v>#DIV/0!</v>
      </c>
      <c r="EF170" s="79">
        <f t="shared" si="473"/>
        <v>0</v>
      </c>
      <c r="EG170" s="30">
        <f t="shared" si="474"/>
        <v>0</v>
      </c>
      <c r="EH170" s="78" t="e">
        <f t="shared" si="475"/>
        <v>#DIV/0!</v>
      </c>
      <c r="EI170" s="79">
        <f t="shared" si="476"/>
        <v>0</v>
      </c>
      <c r="EJ170" s="30">
        <f t="shared" si="477"/>
        <v>0</v>
      </c>
      <c r="EK170" s="78" t="e">
        <f t="shared" si="478"/>
        <v>#DIV/0!</v>
      </c>
    </row>
    <row r="171" spans="1:141" s="12" customFormat="1" ht="14.25" hidden="1" customHeight="1">
      <c r="A171" s="25">
        <v>16</v>
      </c>
      <c r="B171" s="26"/>
      <c r="C171" s="121" t="s">
        <v>184</v>
      </c>
      <c r="D171" s="124">
        <v>7</v>
      </c>
      <c r="E171" s="23" t="s">
        <v>128</v>
      </c>
      <c r="F171" s="25"/>
      <c r="G171" s="82">
        <f t="shared" si="349"/>
        <v>0</v>
      </c>
      <c r="H171" s="81">
        <f t="shared" si="350"/>
        <v>12.83</v>
      </c>
      <c r="I171" s="19">
        <f t="shared" si="351"/>
        <v>0</v>
      </c>
      <c r="J171" s="11">
        <f t="shared" si="352"/>
        <v>3.5</v>
      </c>
      <c r="K171" s="19">
        <f t="shared" si="353"/>
        <v>0</v>
      </c>
      <c r="L171" s="19">
        <f t="shared" si="354"/>
        <v>0</v>
      </c>
      <c r="M171" s="19">
        <f t="shared" si="355"/>
        <v>0</v>
      </c>
      <c r="N171" s="19">
        <f t="shared" si="356"/>
        <v>0</v>
      </c>
      <c r="O171" s="19">
        <f t="shared" si="357"/>
        <v>0</v>
      </c>
      <c r="P171" s="19">
        <f t="shared" si="358"/>
        <v>0</v>
      </c>
      <c r="Q171" s="19">
        <f t="shared" si="359"/>
        <v>0</v>
      </c>
      <c r="R171" s="19">
        <f t="shared" si="360"/>
        <v>0</v>
      </c>
      <c r="S171" s="19">
        <f t="shared" si="361"/>
        <v>0</v>
      </c>
      <c r="T171" s="19">
        <f t="shared" si="362"/>
        <v>2.33</v>
      </c>
      <c r="U171" s="19">
        <f t="shared" si="363"/>
        <v>0</v>
      </c>
      <c r="V171" s="19">
        <f t="shared" si="364"/>
        <v>0</v>
      </c>
      <c r="W171" s="19">
        <f t="shared" si="365"/>
        <v>0</v>
      </c>
      <c r="X171" s="19">
        <f t="shared" si="366"/>
        <v>0.34</v>
      </c>
      <c r="Y171" s="19">
        <f t="shared" si="367"/>
        <v>0.83</v>
      </c>
      <c r="Z171" s="19">
        <f t="shared" si="368"/>
        <v>0</v>
      </c>
      <c r="AA171" s="18"/>
      <c r="AB171" s="56" t="e">
        <f t="shared" si="369"/>
        <v>#VALUE!</v>
      </c>
      <c r="AC171" s="16">
        <f t="shared" si="370"/>
        <v>15834</v>
      </c>
      <c r="AD171" s="15" t="e">
        <f t="shared" si="371"/>
        <v>#VALUE!</v>
      </c>
      <c r="AE171" s="42"/>
      <c r="AF171" s="10">
        <f t="shared" si="372"/>
        <v>1234.1387373343725</v>
      </c>
      <c r="AG171" s="10"/>
      <c r="AH171" s="21">
        <f t="shared" si="373"/>
        <v>0</v>
      </c>
      <c r="AI171" s="54">
        <f t="shared" si="374"/>
        <v>0</v>
      </c>
      <c r="AJ171" s="18">
        <f t="shared" si="375"/>
        <v>0</v>
      </c>
      <c r="AK171" s="18">
        <f t="shared" si="376"/>
        <v>0</v>
      </c>
      <c r="AL171" s="18">
        <f t="shared" si="377"/>
        <v>0</v>
      </c>
      <c r="AM171" s="25">
        <f t="shared" si="378"/>
        <v>0</v>
      </c>
      <c r="AN171" s="25">
        <f t="shared" si="379"/>
        <v>0</v>
      </c>
      <c r="AO171" s="25">
        <f t="shared" si="380"/>
        <v>0</v>
      </c>
      <c r="AP171" s="25">
        <f t="shared" si="381"/>
        <v>0</v>
      </c>
      <c r="AQ171" s="25">
        <f t="shared" si="382"/>
        <v>0</v>
      </c>
      <c r="AR171" s="25">
        <f t="shared" si="383"/>
        <v>0</v>
      </c>
      <c r="AS171" s="25">
        <f t="shared" si="384"/>
        <v>0</v>
      </c>
      <c r="AT171" s="25">
        <f t="shared" si="385"/>
        <v>0</v>
      </c>
      <c r="AU171" s="80"/>
      <c r="AV171" s="79">
        <f t="shared" si="386"/>
        <v>0</v>
      </c>
      <c r="AW171" s="79">
        <f t="shared" si="479"/>
        <v>0</v>
      </c>
      <c r="AX171" s="30">
        <f t="shared" si="387"/>
        <v>0</v>
      </c>
      <c r="AY171" s="78" t="e">
        <f t="shared" si="388"/>
        <v>#DIV/0!</v>
      </c>
      <c r="AZ171" s="79">
        <f t="shared" si="389"/>
        <v>0</v>
      </c>
      <c r="BA171" s="30">
        <f t="shared" si="390"/>
        <v>0</v>
      </c>
      <c r="BB171" s="78" t="e">
        <f t="shared" si="391"/>
        <v>#DIV/0!</v>
      </c>
      <c r="BC171" s="79">
        <f t="shared" si="392"/>
        <v>0</v>
      </c>
      <c r="BD171" s="30">
        <f t="shared" si="393"/>
        <v>0</v>
      </c>
      <c r="BE171" s="78" t="e">
        <f t="shared" si="394"/>
        <v>#DIV/0!</v>
      </c>
      <c r="BF171" s="79">
        <f t="shared" si="395"/>
        <v>0</v>
      </c>
      <c r="BG171" s="30">
        <f t="shared" si="396"/>
        <v>0</v>
      </c>
      <c r="BH171" s="78" t="e">
        <f t="shared" si="397"/>
        <v>#DIV/0!</v>
      </c>
      <c r="BI171" s="79">
        <f t="shared" si="398"/>
        <v>0</v>
      </c>
      <c r="BJ171" s="30">
        <f t="shared" si="399"/>
        <v>0</v>
      </c>
      <c r="BK171" s="78" t="e">
        <f t="shared" si="400"/>
        <v>#DIV/0!</v>
      </c>
      <c r="BL171" s="79">
        <f t="shared" si="401"/>
        <v>0</v>
      </c>
      <c r="BM171" s="30">
        <f t="shared" si="402"/>
        <v>0</v>
      </c>
      <c r="BN171" s="78" t="e">
        <f t="shared" si="403"/>
        <v>#DIV/0!</v>
      </c>
      <c r="BO171" s="79">
        <f t="shared" si="404"/>
        <v>0</v>
      </c>
      <c r="BP171" s="30">
        <f t="shared" si="405"/>
        <v>0</v>
      </c>
      <c r="BQ171" s="78" t="e">
        <f t="shared" si="406"/>
        <v>#DIV/0!</v>
      </c>
      <c r="BR171" s="79">
        <f t="shared" si="407"/>
        <v>0</v>
      </c>
      <c r="BS171" s="30">
        <f t="shared" si="408"/>
        <v>0</v>
      </c>
      <c r="BT171" s="78" t="e">
        <f t="shared" si="409"/>
        <v>#DIV/0!</v>
      </c>
      <c r="BU171" s="79">
        <f t="shared" si="410"/>
        <v>0</v>
      </c>
      <c r="BV171" s="30">
        <f t="shared" si="411"/>
        <v>0</v>
      </c>
      <c r="BW171" s="78" t="e">
        <f t="shared" si="412"/>
        <v>#DIV/0!</v>
      </c>
      <c r="BX171" s="79">
        <f t="shared" si="413"/>
        <v>0</v>
      </c>
      <c r="BY171" s="30">
        <f t="shared" si="414"/>
        <v>0</v>
      </c>
      <c r="BZ171" s="78" t="e">
        <f t="shared" si="415"/>
        <v>#DIV/0!</v>
      </c>
      <c r="CA171" s="79">
        <f t="shared" si="416"/>
        <v>0</v>
      </c>
      <c r="CB171" s="30">
        <f t="shared" si="417"/>
        <v>0</v>
      </c>
      <c r="CC171" s="78" t="e">
        <f t="shared" si="418"/>
        <v>#DIV/0!</v>
      </c>
      <c r="CD171" s="79">
        <f t="shared" si="419"/>
        <v>0</v>
      </c>
      <c r="CE171" s="30">
        <f t="shared" si="420"/>
        <v>0</v>
      </c>
      <c r="CF171" s="78" t="e">
        <f t="shared" si="421"/>
        <v>#DIV/0!</v>
      </c>
      <c r="CG171" s="79">
        <f t="shared" si="422"/>
        <v>0</v>
      </c>
      <c r="CH171" s="30">
        <f t="shared" si="423"/>
        <v>0</v>
      </c>
      <c r="CI171" s="78" t="e">
        <f t="shared" si="424"/>
        <v>#DIV/0!</v>
      </c>
      <c r="CJ171" s="79">
        <f t="shared" si="425"/>
        <v>0</v>
      </c>
      <c r="CK171" s="30">
        <f t="shared" si="426"/>
        <v>0</v>
      </c>
      <c r="CL171" s="78" t="e">
        <f t="shared" si="427"/>
        <v>#DIV/0!</v>
      </c>
      <c r="CM171" s="79">
        <f t="shared" si="428"/>
        <v>0</v>
      </c>
      <c r="CN171" s="30">
        <f t="shared" si="429"/>
        <v>0</v>
      </c>
      <c r="CO171" s="78" t="e">
        <f t="shared" si="430"/>
        <v>#DIV/0!</v>
      </c>
      <c r="CP171" s="79">
        <f t="shared" si="431"/>
        <v>0</v>
      </c>
      <c r="CQ171" s="30">
        <f t="shared" si="432"/>
        <v>0</v>
      </c>
      <c r="CR171" s="78" t="e">
        <f t="shared" si="433"/>
        <v>#DIV/0!</v>
      </c>
      <c r="CS171" s="79">
        <f t="shared" si="434"/>
        <v>0</v>
      </c>
      <c r="CT171" s="30">
        <f t="shared" si="435"/>
        <v>0</v>
      </c>
      <c r="CU171" s="78" t="e">
        <f t="shared" si="436"/>
        <v>#DIV/0!</v>
      </c>
      <c r="CV171" s="79">
        <f t="shared" si="437"/>
        <v>0</v>
      </c>
      <c r="CW171" s="30">
        <f t="shared" si="438"/>
        <v>0</v>
      </c>
      <c r="CX171" s="78" t="e">
        <f t="shared" si="439"/>
        <v>#DIV/0!</v>
      </c>
      <c r="CY171" s="79">
        <f t="shared" si="440"/>
        <v>0</v>
      </c>
      <c r="CZ171" s="30">
        <f t="shared" si="441"/>
        <v>0</v>
      </c>
      <c r="DA171" s="78" t="e">
        <f t="shared" si="442"/>
        <v>#DIV/0!</v>
      </c>
      <c r="DB171" s="79">
        <f t="shared" si="443"/>
        <v>0</v>
      </c>
      <c r="DC171" s="30">
        <f t="shared" si="444"/>
        <v>0</v>
      </c>
      <c r="DD171" s="78" t="e">
        <f t="shared" si="445"/>
        <v>#DIV/0!</v>
      </c>
      <c r="DE171" s="79">
        <f t="shared" si="446"/>
        <v>0</v>
      </c>
      <c r="DF171" s="30">
        <f t="shared" si="447"/>
        <v>0</v>
      </c>
      <c r="DG171" s="78" t="e">
        <f t="shared" si="448"/>
        <v>#DIV/0!</v>
      </c>
      <c r="DH171" s="79">
        <f t="shared" si="449"/>
        <v>0</v>
      </c>
      <c r="DI171" s="30">
        <f t="shared" si="450"/>
        <v>0</v>
      </c>
      <c r="DJ171" s="78" t="e">
        <f t="shared" si="451"/>
        <v>#DIV/0!</v>
      </c>
      <c r="DK171" s="79">
        <f t="shared" si="452"/>
        <v>0</v>
      </c>
      <c r="DL171" s="30">
        <f t="shared" si="453"/>
        <v>0</v>
      </c>
      <c r="DM171" s="78" t="e">
        <f t="shared" si="454"/>
        <v>#DIV/0!</v>
      </c>
      <c r="DN171" s="79">
        <f t="shared" si="455"/>
        <v>0</v>
      </c>
      <c r="DO171" s="30">
        <f t="shared" si="456"/>
        <v>0</v>
      </c>
      <c r="DP171" s="78" t="e">
        <f t="shared" si="457"/>
        <v>#DIV/0!</v>
      </c>
      <c r="DQ171" s="79">
        <f t="shared" si="458"/>
        <v>0</v>
      </c>
      <c r="DR171" s="30">
        <f t="shared" si="459"/>
        <v>0</v>
      </c>
      <c r="DS171" s="78" t="e">
        <f t="shared" si="460"/>
        <v>#DIV/0!</v>
      </c>
      <c r="DT171" s="79">
        <f t="shared" si="461"/>
        <v>0</v>
      </c>
      <c r="DU171" s="30">
        <f t="shared" si="462"/>
        <v>0</v>
      </c>
      <c r="DV171" s="78" t="e">
        <f t="shared" si="463"/>
        <v>#DIV/0!</v>
      </c>
      <c r="DW171" s="79">
        <f t="shared" si="464"/>
        <v>0</v>
      </c>
      <c r="DX171" s="30">
        <f t="shared" si="465"/>
        <v>0</v>
      </c>
      <c r="DY171" s="78" t="e">
        <f t="shared" si="466"/>
        <v>#DIV/0!</v>
      </c>
      <c r="DZ171" s="79">
        <f t="shared" si="467"/>
        <v>0</v>
      </c>
      <c r="EA171" s="30">
        <f t="shared" si="468"/>
        <v>0</v>
      </c>
      <c r="EB171" s="78" t="e">
        <f t="shared" si="469"/>
        <v>#DIV/0!</v>
      </c>
      <c r="EC171" s="79">
        <f t="shared" si="470"/>
        <v>0</v>
      </c>
      <c r="ED171" s="30">
        <f t="shared" si="471"/>
        <v>0</v>
      </c>
      <c r="EE171" s="78" t="e">
        <f t="shared" si="472"/>
        <v>#DIV/0!</v>
      </c>
      <c r="EF171" s="79">
        <f t="shared" si="473"/>
        <v>0</v>
      </c>
      <c r="EG171" s="30">
        <f t="shared" si="474"/>
        <v>0</v>
      </c>
      <c r="EH171" s="78" t="e">
        <f t="shared" si="475"/>
        <v>#DIV/0!</v>
      </c>
      <c r="EI171" s="79">
        <f t="shared" si="476"/>
        <v>0</v>
      </c>
      <c r="EJ171" s="30">
        <f t="shared" si="477"/>
        <v>0</v>
      </c>
      <c r="EK171" s="78" t="e">
        <f t="shared" si="478"/>
        <v>#DIV/0!</v>
      </c>
    </row>
    <row r="172" spans="1:141" s="12" customFormat="1" ht="14.25" hidden="1" customHeight="1">
      <c r="A172" s="25">
        <v>17</v>
      </c>
      <c r="B172" s="26" t="s">
        <v>183</v>
      </c>
      <c r="C172" s="121" t="s">
        <v>182</v>
      </c>
      <c r="D172" s="124">
        <v>8</v>
      </c>
      <c r="E172" s="23" t="s">
        <v>181</v>
      </c>
      <c r="F172" s="25"/>
      <c r="G172" s="82">
        <f t="shared" si="349"/>
        <v>0</v>
      </c>
      <c r="H172" s="81">
        <f t="shared" si="350"/>
        <v>13.99</v>
      </c>
      <c r="I172" s="19">
        <f t="shared" si="351"/>
        <v>0</v>
      </c>
      <c r="J172" s="11">
        <f t="shared" si="352"/>
        <v>4</v>
      </c>
      <c r="K172" s="19">
        <f t="shared" si="353"/>
        <v>0</v>
      </c>
      <c r="L172" s="19">
        <f t="shared" si="354"/>
        <v>0</v>
      </c>
      <c r="M172" s="19">
        <f t="shared" si="355"/>
        <v>0</v>
      </c>
      <c r="N172" s="19">
        <f t="shared" si="356"/>
        <v>0.5</v>
      </c>
      <c r="O172" s="19">
        <f t="shared" si="357"/>
        <v>0</v>
      </c>
      <c r="P172" s="19">
        <f t="shared" si="358"/>
        <v>0</v>
      </c>
      <c r="Q172" s="19">
        <f t="shared" si="359"/>
        <v>0</v>
      </c>
      <c r="R172" s="19">
        <f t="shared" si="360"/>
        <v>0</v>
      </c>
      <c r="S172" s="19">
        <f t="shared" si="361"/>
        <v>0</v>
      </c>
      <c r="T172" s="19">
        <f t="shared" si="362"/>
        <v>2.33</v>
      </c>
      <c r="U172" s="19">
        <f t="shared" si="363"/>
        <v>0</v>
      </c>
      <c r="V172" s="19">
        <f t="shared" si="364"/>
        <v>0</v>
      </c>
      <c r="W172" s="19">
        <f t="shared" si="365"/>
        <v>0</v>
      </c>
      <c r="X172" s="19">
        <f t="shared" si="366"/>
        <v>0.34</v>
      </c>
      <c r="Y172" s="19">
        <f t="shared" si="367"/>
        <v>0.83</v>
      </c>
      <c r="Z172" s="19">
        <f t="shared" si="368"/>
        <v>0</v>
      </c>
      <c r="AA172" s="18"/>
      <c r="AB172" s="56" t="e">
        <f t="shared" si="369"/>
        <v>#VALUE!</v>
      </c>
      <c r="AC172" s="16">
        <f t="shared" si="370"/>
        <v>7745</v>
      </c>
      <c r="AD172" s="15" t="e">
        <f t="shared" si="371"/>
        <v>#VALUE!</v>
      </c>
      <c r="AE172" s="42"/>
      <c r="AF172" s="10">
        <f t="shared" si="372"/>
        <v>553.60972122944963</v>
      </c>
      <c r="AG172" s="10"/>
      <c r="AH172" s="21">
        <f t="shared" si="373"/>
        <v>185</v>
      </c>
      <c r="AI172" s="54">
        <f t="shared" si="374"/>
        <v>2.3886378308586184E-2</v>
      </c>
      <c r="AJ172" s="18">
        <f t="shared" si="375"/>
        <v>185</v>
      </c>
      <c r="AK172" s="18">
        <f t="shared" si="376"/>
        <v>0</v>
      </c>
      <c r="AL172" s="18">
        <f t="shared" si="377"/>
        <v>0</v>
      </c>
      <c r="AM172" s="25">
        <f t="shared" si="378"/>
        <v>0</v>
      </c>
      <c r="AN172" s="25">
        <f t="shared" si="379"/>
        <v>0</v>
      </c>
      <c r="AO172" s="25">
        <f t="shared" si="380"/>
        <v>0</v>
      </c>
      <c r="AP172" s="25">
        <f t="shared" si="381"/>
        <v>0</v>
      </c>
      <c r="AQ172" s="25">
        <f t="shared" si="382"/>
        <v>0</v>
      </c>
      <c r="AR172" s="25">
        <f t="shared" si="383"/>
        <v>0</v>
      </c>
      <c r="AS172" s="25">
        <f t="shared" si="384"/>
        <v>0</v>
      </c>
      <c r="AT172" s="25">
        <f t="shared" si="385"/>
        <v>0</v>
      </c>
      <c r="AU172" s="80"/>
      <c r="AV172" s="79">
        <f t="shared" si="386"/>
        <v>0</v>
      </c>
      <c r="AW172" s="79">
        <f t="shared" si="479"/>
        <v>0</v>
      </c>
      <c r="AX172" s="30">
        <f t="shared" si="387"/>
        <v>0</v>
      </c>
      <c r="AY172" s="78" t="e">
        <f t="shared" si="388"/>
        <v>#DIV/0!</v>
      </c>
      <c r="AZ172" s="79">
        <f t="shared" si="389"/>
        <v>0</v>
      </c>
      <c r="BA172" s="30">
        <f t="shared" si="390"/>
        <v>0</v>
      </c>
      <c r="BB172" s="78" t="e">
        <f t="shared" si="391"/>
        <v>#DIV/0!</v>
      </c>
      <c r="BC172" s="79">
        <f t="shared" si="392"/>
        <v>0</v>
      </c>
      <c r="BD172" s="30">
        <f t="shared" si="393"/>
        <v>0</v>
      </c>
      <c r="BE172" s="78" t="e">
        <f t="shared" si="394"/>
        <v>#DIV/0!</v>
      </c>
      <c r="BF172" s="79">
        <f t="shared" si="395"/>
        <v>0</v>
      </c>
      <c r="BG172" s="30">
        <f t="shared" si="396"/>
        <v>0</v>
      </c>
      <c r="BH172" s="78" t="e">
        <f t="shared" si="397"/>
        <v>#DIV/0!</v>
      </c>
      <c r="BI172" s="79">
        <f t="shared" si="398"/>
        <v>0</v>
      </c>
      <c r="BJ172" s="30">
        <f t="shared" si="399"/>
        <v>0</v>
      </c>
      <c r="BK172" s="78" t="e">
        <f t="shared" si="400"/>
        <v>#DIV/0!</v>
      </c>
      <c r="BL172" s="79">
        <f t="shared" si="401"/>
        <v>0</v>
      </c>
      <c r="BM172" s="30">
        <f t="shared" si="402"/>
        <v>0</v>
      </c>
      <c r="BN172" s="78" t="e">
        <f t="shared" si="403"/>
        <v>#DIV/0!</v>
      </c>
      <c r="BO172" s="79">
        <f t="shared" si="404"/>
        <v>0</v>
      </c>
      <c r="BP172" s="30">
        <f t="shared" si="405"/>
        <v>0</v>
      </c>
      <c r="BQ172" s="78" t="e">
        <f t="shared" si="406"/>
        <v>#DIV/0!</v>
      </c>
      <c r="BR172" s="79">
        <f t="shared" si="407"/>
        <v>0</v>
      </c>
      <c r="BS172" s="30">
        <f t="shared" si="408"/>
        <v>0</v>
      </c>
      <c r="BT172" s="78" t="e">
        <f t="shared" si="409"/>
        <v>#DIV/0!</v>
      </c>
      <c r="BU172" s="79">
        <f t="shared" si="410"/>
        <v>0</v>
      </c>
      <c r="BV172" s="30">
        <f t="shared" si="411"/>
        <v>0</v>
      </c>
      <c r="BW172" s="78" t="e">
        <f t="shared" si="412"/>
        <v>#DIV/0!</v>
      </c>
      <c r="BX172" s="79">
        <f t="shared" si="413"/>
        <v>0</v>
      </c>
      <c r="BY172" s="30">
        <f t="shared" si="414"/>
        <v>0</v>
      </c>
      <c r="BZ172" s="78" t="e">
        <f t="shared" si="415"/>
        <v>#DIV/0!</v>
      </c>
      <c r="CA172" s="79">
        <f t="shared" si="416"/>
        <v>0</v>
      </c>
      <c r="CB172" s="30">
        <f t="shared" si="417"/>
        <v>0</v>
      </c>
      <c r="CC172" s="78" t="e">
        <f t="shared" si="418"/>
        <v>#DIV/0!</v>
      </c>
      <c r="CD172" s="79">
        <f t="shared" si="419"/>
        <v>0</v>
      </c>
      <c r="CE172" s="30">
        <f t="shared" si="420"/>
        <v>0</v>
      </c>
      <c r="CF172" s="78" t="e">
        <f t="shared" si="421"/>
        <v>#DIV/0!</v>
      </c>
      <c r="CG172" s="79">
        <f t="shared" si="422"/>
        <v>0</v>
      </c>
      <c r="CH172" s="30">
        <f t="shared" si="423"/>
        <v>0</v>
      </c>
      <c r="CI172" s="78" t="e">
        <f t="shared" si="424"/>
        <v>#DIV/0!</v>
      </c>
      <c r="CJ172" s="79">
        <f t="shared" si="425"/>
        <v>0</v>
      </c>
      <c r="CK172" s="30">
        <f t="shared" si="426"/>
        <v>0</v>
      </c>
      <c r="CL172" s="78" t="e">
        <f t="shared" si="427"/>
        <v>#DIV/0!</v>
      </c>
      <c r="CM172" s="79">
        <f t="shared" si="428"/>
        <v>0</v>
      </c>
      <c r="CN172" s="30">
        <f t="shared" si="429"/>
        <v>0</v>
      </c>
      <c r="CO172" s="78" t="e">
        <f t="shared" si="430"/>
        <v>#DIV/0!</v>
      </c>
      <c r="CP172" s="79">
        <f t="shared" si="431"/>
        <v>0</v>
      </c>
      <c r="CQ172" s="30">
        <f t="shared" si="432"/>
        <v>0</v>
      </c>
      <c r="CR172" s="78" t="e">
        <f t="shared" si="433"/>
        <v>#DIV/0!</v>
      </c>
      <c r="CS172" s="79">
        <f t="shared" si="434"/>
        <v>0</v>
      </c>
      <c r="CT172" s="30">
        <f t="shared" si="435"/>
        <v>0</v>
      </c>
      <c r="CU172" s="78" t="e">
        <f t="shared" si="436"/>
        <v>#DIV/0!</v>
      </c>
      <c r="CV172" s="79">
        <f t="shared" si="437"/>
        <v>0</v>
      </c>
      <c r="CW172" s="30">
        <f t="shared" si="438"/>
        <v>0</v>
      </c>
      <c r="CX172" s="78" t="e">
        <f t="shared" si="439"/>
        <v>#DIV/0!</v>
      </c>
      <c r="CY172" s="79">
        <f t="shared" si="440"/>
        <v>0</v>
      </c>
      <c r="CZ172" s="30">
        <f t="shared" si="441"/>
        <v>0</v>
      </c>
      <c r="DA172" s="78" t="e">
        <f t="shared" si="442"/>
        <v>#DIV/0!</v>
      </c>
      <c r="DB172" s="79">
        <f t="shared" si="443"/>
        <v>0</v>
      </c>
      <c r="DC172" s="30">
        <f t="shared" si="444"/>
        <v>0</v>
      </c>
      <c r="DD172" s="78" t="e">
        <f t="shared" si="445"/>
        <v>#DIV/0!</v>
      </c>
      <c r="DE172" s="79">
        <f t="shared" si="446"/>
        <v>0</v>
      </c>
      <c r="DF172" s="30">
        <f t="shared" si="447"/>
        <v>0</v>
      </c>
      <c r="DG172" s="78" t="e">
        <f t="shared" si="448"/>
        <v>#DIV/0!</v>
      </c>
      <c r="DH172" s="79">
        <f t="shared" si="449"/>
        <v>0</v>
      </c>
      <c r="DI172" s="30">
        <f t="shared" si="450"/>
        <v>0</v>
      </c>
      <c r="DJ172" s="78" t="e">
        <f t="shared" si="451"/>
        <v>#DIV/0!</v>
      </c>
      <c r="DK172" s="79">
        <f t="shared" si="452"/>
        <v>0</v>
      </c>
      <c r="DL172" s="30">
        <f t="shared" si="453"/>
        <v>0</v>
      </c>
      <c r="DM172" s="78" t="e">
        <f t="shared" si="454"/>
        <v>#DIV/0!</v>
      </c>
      <c r="DN172" s="79">
        <f t="shared" si="455"/>
        <v>0</v>
      </c>
      <c r="DO172" s="30">
        <f t="shared" si="456"/>
        <v>0</v>
      </c>
      <c r="DP172" s="78" t="e">
        <f t="shared" si="457"/>
        <v>#DIV/0!</v>
      </c>
      <c r="DQ172" s="79">
        <f t="shared" si="458"/>
        <v>0</v>
      </c>
      <c r="DR172" s="30">
        <f t="shared" si="459"/>
        <v>0</v>
      </c>
      <c r="DS172" s="78" t="e">
        <f t="shared" si="460"/>
        <v>#DIV/0!</v>
      </c>
      <c r="DT172" s="79">
        <f t="shared" si="461"/>
        <v>0</v>
      </c>
      <c r="DU172" s="30">
        <f t="shared" si="462"/>
        <v>0</v>
      </c>
      <c r="DV172" s="78" t="e">
        <f t="shared" si="463"/>
        <v>#DIV/0!</v>
      </c>
      <c r="DW172" s="79">
        <f t="shared" si="464"/>
        <v>0</v>
      </c>
      <c r="DX172" s="30">
        <f t="shared" si="465"/>
        <v>0</v>
      </c>
      <c r="DY172" s="78" t="e">
        <f t="shared" si="466"/>
        <v>#DIV/0!</v>
      </c>
      <c r="DZ172" s="79">
        <f t="shared" si="467"/>
        <v>0</v>
      </c>
      <c r="EA172" s="30">
        <f t="shared" si="468"/>
        <v>0</v>
      </c>
      <c r="EB172" s="78" t="e">
        <f t="shared" si="469"/>
        <v>#DIV/0!</v>
      </c>
      <c r="EC172" s="79">
        <f t="shared" si="470"/>
        <v>0</v>
      </c>
      <c r="ED172" s="30">
        <f t="shared" si="471"/>
        <v>0</v>
      </c>
      <c r="EE172" s="78" t="e">
        <f t="shared" si="472"/>
        <v>#DIV/0!</v>
      </c>
      <c r="EF172" s="79">
        <f t="shared" si="473"/>
        <v>0</v>
      </c>
      <c r="EG172" s="30">
        <f t="shared" si="474"/>
        <v>0</v>
      </c>
      <c r="EH172" s="78" t="e">
        <f t="shared" si="475"/>
        <v>#DIV/0!</v>
      </c>
      <c r="EI172" s="79">
        <f t="shared" si="476"/>
        <v>0</v>
      </c>
      <c r="EJ172" s="30">
        <f t="shared" si="477"/>
        <v>0</v>
      </c>
      <c r="EK172" s="78" t="e">
        <f t="shared" si="478"/>
        <v>#DIV/0!</v>
      </c>
    </row>
    <row r="173" spans="1:141" s="12" customFormat="1" ht="14.25" hidden="1" customHeight="1">
      <c r="A173" s="25">
        <v>18</v>
      </c>
      <c r="B173" s="26"/>
      <c r="C173" s="121" t="s">
        <v>180</v>
      </c>
      <c r="D173" s="124">
        <v>9</v>
      </c>
      <c r="E173" s="23" t="s">
        <v>179</v>
      </c>
      <c r="F173" s="25"/>
      <c r="G173" s="82">
        <f t="shared" si="349"/>
        <v>0</v>
      </c>
      <c r="H173" s="81">
        <f t="shared" si="350"/>
        <v>7</v>
      </c>
      <c r="I173" s="19">
        <f t="shared" si="351"/>
        <v>0</v>
      </c>
      <c r="J173" s="11">
        <f t="shared" si="352"/>
        <v>1</v>
      </c>
      <c r="K173" s="19">
        <f t="shared" si="353"/>
        <v>0</v>
      </c>
      <c r="L173" s="19">
        <f t="shared" si="354"/>
        <v>0</v>
      </c>
      <c r="M173" s="19">
        <f t="shared" si="355"/>
        <v>0</v>
      </c>
      <c r="N173" s="19">
        <f t="shared" si="356"/>
        <v>0</v>
      </c>
      <c r="O173" s="19">
        <f t="shared" si="357"/>
        <v>0</v>
      </c>
      <c r="P173" s="19">
        <f t="shared" si="358"/>
        <v>0</v>
      </c>
      <c r="Q173" s="19">
        <f t="shared" si="359"/>
        <v>0</v>
      </c>
      <c r="R173" s="19">
        <f t="shared" si="360"/>
        <v>0</v>
      </c>
      <c r="S173" s="19">
        <f t="shared" si="361"/>
        <v>0</v>
      </c>
      <c r="T173" s="19">
        <f t="shared" si="362"/>
        <v>1</v>
      </c>
      <c r="U173" s="19">
        <f t="shared" si="363"/>
        <v>0</v>
      </c>
      <c r="V173" s="19">
        <f t="shared" si="364"/>
        <v>0</v>
      </c>
      <c r="W173" s="19">
        <f t="shared" si="365"/>
        <v>0</v>
      </c>
      <c r="X173" s="19">
        <f t="shared" si="366"/>
        <v>0</v>
      </c>
      <c r="Y173" s="19">
        <f t="shared" si="367"/>
        <v>0</v>
      </c>
      <c r="Z173" s="19">
        <f t="shared" si="368"/>
        <v>0</v>
      </c>
      <c r="AA173" s="18"/>
      <c r="AB173" s="56" t="e">
        <f t="shared" si="369"/>
        <v>#VALUE!</v>
      </c>
      <c r="AC173" s="16">
        <f t="shared" si="370"/>
        <v>3510</v>
      </c>
      <c r="AD173" s="125" t="e">
        <f t="shared" si="371"/>
        <v>#VALUE!</v>
      </c>
      <c r="AE173" s="42"/>
      <c r="AF173" s="10">
        <f t="shared" si="372"/>
        <v>501.42857142857144</v>
      </c>
      <c r="AG173" s="10"/>
      <c r="AH173" s="21">
        <f t="shared" si="373"/>
        <v>0</v>
      </c>
      <c r="AI173" s="54">
        <f t="shared" si="374"/>
        <v>0</v>
      </c>
      <c r="AJ173" s="18">
        <f t="shared" si="375"/>
        <v>0</v>
      </c>
      <c r="AK173" s="18">
        <f t="shared" si="376"/>
        <v>0</v>
      </c>
      <c r="AL173" s="18">
        <f t="shared" si="377"/>
        <v>0</v>
      </c>
      <c r="AM173" s="25">
        <f t="shared" si="378"/>
        <v>0</v>
      </c>
      <c r="AN173" s="25">
        <f t="shared" si="379"/>
        <v>0</v>
      </c>
      <c r="AO173" s="25">
        <f t="shared" si="380"/>
        <v>0</v>
      </c>
      <c r="AP173" s="25">
        <f t="shared" si="381"/>
        <v>0</v>
      </c>
      <c r="AQ173" s="25">
        <f t="shared" si="382"/>
        <v>0</v>
      </c>
      <c r="AR173" s="25">
        <f t="shared" si="383"/>
        <v>0</v>
      </c>
      <c r="AS173" s="25">
        <f t="shared" si="384"/>
        <v>0</v>
      </c>
      <c r="AT173" s="25">
        <f t="shared" si="385"/>
        <v>0</v>
      </c>
      <c r="AU173" s="80"/>
      <c r="AV173" s="79">
        <f t="shared" si="386"/>
        <v>0</v>
      </c>
      <c r="AW173" s="79">
        <f t="shared" si="479"/>
        <v>0</v>
      </c>
      <c r="AX173" s="30">
        <f t="shared" si="387"/>
        <v>0</v>
      </c>
      <c r="AY173" s="78" t="e">
        <f t="shared" si="388"/>
        <v>#DIV/0!</v>
      </c>
      <c r="AZ173" s="79">
        <f t="shared" si="389"/>
        <v>0</v>
      </c>
      <c r="BA173" s="30">
        <f t="shared" si="390"/>
        <v>0</v>
      </c>
      <c r="BB173" s="78" t="e">
        <f t="shared" si="391"/>
        <v>#DIV/0!</v>
      </c>
      <c r="BC173" s="79">
        <f t="shared" si="392"/>
        <v>0</v>
      </c>
      <c r="BD173" s="30">
        <f t="shared" si="393"/>
        <v>0</v>
      </c>
      <c r="BE173" s="78" t="e">
        <f t="shared" si="394"/>
        <v>#DIV/0!</v>
      </c>
      <c r="BF173" s="79">
        <f t="shared" si="395"/>
        <v>0</v>
      </c>
      <c r="BG173" s="30">
        <f t="shared" si="396"/>
        <v>0</v>
      </c>
      <c r="BH173" s="78" t="e">
        <f t="shared" si="397"/>
        <v>#DIV/0!</v>
      </c>
      <c r="BI173" s="79">
        <f t="shared" si="398"/>
        <v>0</v>
      </c>
      <c r="BJ173" s="30">
        <f t="shared" si="399"/>
        <v>0</v>
      </c>
      <c r="BK173" s="78" t="e">
        <f t="shared" si="400"/>
        <v>#DIV/0!</v>
      </c>
      <c r="BL173" s="79">
        <f t="shared" si="401"/>
        <v>0</v>
      </c>
      <c r="BM173" s="30">
        <f t="shared" si="402"/>
        <v>0</v>
      </c>
      <c r="BN173" s="78" t="e">
        <f t="shared" si="403"/>
        <v>#DIV/0!</v>
      </c>
      <c r="BO173" s="79">
        <f t="shared" si="404"/>
        <v>0</v>
      </c>
      <c r="BP173" s="30">
        <f t="shared" si="405"/>
        <v>0</v>
      </c>
      <c r="BQ173" s="78" t="e">
        <f t="shared" si="406"/>
        <v>#DIV/0!</v>
      </c>
      <c r="BR173" s="79">
        <f t="shared" si="407"/>
        <v>0</v>
      </c>
      <c r="BS173" s="30">
        <f t="shared" si="408"/>
        <v>0</v>
      </c>
      <c r="BT173" s="78" t="e">
        <f t="shared" si="409"/>
        <v>#DIV/0!</v>
      </c>
      <c r="BU173" s="79">
        <f t="shared" si="410"/>
        <v>0</v>
      </c>
      <c r="BV173" s="30">
        <f t="shared" si="411"/>
        <v>0</v>
      </c>
      <c r="BW173" s="78" t="e">
        <f t="shared" si="412"/>
        <v>#DIV/0!</v>
      </c>
      <c r="BX173" s="79">
        <f t="shared" si="413"/>
        <v>0</v>
      </c>
      <c r="BY173" s="30">
        <f t="shared" si="414"/>
        <v>0</v>
      </c>
      <c r="BZ173" s="78" t="e">
        <f t="shared" si="415"/>
        <v>#DIV/0!</v>
      </c>
      <c r="CA173" s="79">
        <f t="shared" si="416"/>
        <v>0</v>
      </c>
      <c r="CB173" s="30">
        <f t="shared" si="417"/>
        <v>0</v>
      </c>
      <c r="CC173" s="78" t="e">
        <f t="shared" si="418"/>
        <v>#DIV/0!</v>
      </c>
      <c r="CD173" s="79">
        <f t="shared" si="419"/>
        <v>0</v>
      </c>
      <c r="CE173" s="30">
        <f t="shared" si="420"/>
        <v>0</v>
      </c>
      <c r="CF173" s="78" t="e">
        <f t="shared" si="421"/>
        <v>#DIV/0!</v>
      </c>
      <c r="CG173" s="79">
        <f t="shared" si="422"/>
        <v>0</v>
      </c>
      <c r="CH173" s="30">
        <f t="shared" si="423"/>
        <v>0</v>
      </c>
      <c r="CI173" s="78" t="e">
        <f t="shared" si="424"/>
        <v>#DIV/0!</v>
      </c>
      <c r="CJ173" s="79">
        <f t="shared" si="425"/>
        <v>0</v>
      </c>
      <c r="CK173" s="30">
        <f t="shared" si="426"/>
        <v>0</v>
      </c>
      <c r="CL173" s="78" t="e">
        <f t="shared" si="427"/>
        <v>#DIV/0!</v>
      </c>
      <c r="CM173" s="79">
        <f t="shared" si="428"/>
        <v>0</v>
      </c>
      <c r="CN173" s="30">
        <f t="shared" si="429"/>
        <v>0</v>
      </c>
      <c r="CO173" s="78" t="e">
        <f t="shared" si="430"/>
        <v>#DIV/0!</v>
      </c>
      <c r="CP173" s="79">
        <f t="shared" si="431"/>
        <v>0</v>
      </c>
      <c r="CQ173" s="30">
        <f t="shared" si="432"/>
        <v>0</v>
      </c>
      <c r="CR173" s="78" t="e">
        <f t="shared" si="433"/>
        <v>#DIV/0!</v>
      </c>
      <c r="CS173" s="79">
        <f t="shared" si="434"/>
        <v>0</v>
      </c>
      <c r="CT173" s="30">
        <f t="shared" si="435"/>
        <v>0</v>
      </c>
      <c r="CU173" s="78" t="e">
        <f t="shared" si="436"/>
        <v>#DIV/0!</v>
      </c>
      <c r="CV173" s="79">
        <f t="shared" si="437"/>
        <v>0</v>
      </c>
      <c r="CW173" s="30">
        <f t="shared" si="438"/>
        <v>0</v>
      </c>
      <c r="CX173" s="78" t="e">
        <f t="shared" si="439"/>
        <v>#DIV/0!</v>
      </c>
      <c r="CY173" s="79">
        <f t="shared" si="440"/>
        <v>0</v>
      </c>
      <c r="CZ173" s="30">
        <f t="shared" si="441"/>
        <v>0</v>
      </c>
      <c r="DA173" s="78" t="e">
        <f t="shared" si="442"/>
        <v>#DIV/0!</v>
      </c>
      <c r="DB173" s="79">
        <f t="shared" si="443"/>
        <v>0</v>
      </c>
      <c r="DC173" s="30">
        <f t="shared" si="444"/>
        <v>0</v>
      </c>
      <c r="DD173" s="78" t="e">
        <f t="shared" si="445"/>
        <v>#DIV/0!</v>
      </c>
      <c r="DE173" s="79">
        <f t="shared" si="446"/>
        <v>0</v>
      </c>
      <c r="DF173" s="30">
        <f t="shared" si="447"/>
        <v>0</v>
      </c>
      <c r="DG173" s="78" t="e">
        <f t="shared" si="448"/>
        <v>#DIV/0!</v>
      </c>
      <c r="DH173" s="79">
        <f t="shared" si="449"/>
        <v>0</v>
      </c>
      <c r="DI173" s="30">
        <f t="shared" si="450"/>
        <v>0</v>
      </c>
      <c r="DJ173" s="78" t="e">
        <f t="shared" si="451"/>
        <v>#DIV/0!</v>
      </c>
      <c r="DK173" s="79">
        <f t="shared" si="452"/>
        <v>0</v>
      </c>
      <c r="DL173" s="30">
        <f t="shared" si="453"/>
        <v>0</v>
      </c>
      <c r="DM173" s="78" t="e">
        <f t="shared" si="454"/>
        <v>#DIV/0!</v>
      </c>
      <c r="DN173" s="79">
        <f t="shared" si="455"/>
        <v>0</v>
      </c>
      <c r="DO173" s="30">
        <f t="shared" si="456"/>
        <v>0</v>
      </c>
      <c r="DP173" s="78" t="e">
        <f t="shared" si="457"/>
        <v>#DIV/0!</v>
      </c>
      <c r="DQ173" s="79">
        <f t="shared" si="458"/>
        <v>0</v>
      </c>
      <c r="DR173" s="30">
        <f t="shared" si="459"/>
        <v>0</v>
      </c>
      <c r="DS173" s="78" t="e">
        <f t="shared" si="460"/>
        <v>#DIV/0!</v>
      </c>
      <c r="DT173" s="79">
        <f t="shared" si="461"/>
        <v>0</v>
      </c>
      <c r="DU173" s="30">
        <f t="shared" si="462"/>
        <v>0</v>
      </c>
      <c r="DV173" s="78" t="e">
        <f t="shared" si="463"/>
        <v>#DIV/0!</v>
      </c>
      <c r="DW173" s="79">
        <f t="shared" si="464"/>
        <v>0</v>
      </c>
      <c r="DX173" s="30">
        <f t="shared" si="465"/>
        <v>0</v>
      </c>
      <c r="DY173" s="78" t="e">
        <f t="shared" si="466"/>
        <v>#DIV/0!</v>
      </c>
      <c r="DZ173" s="79">
        <f t="shared" si="467"/>
        <v>0</v>
      </c>
      <c r="EA173" s="30">
        <f t="shared" si="468"/>
        <v>0</v>
      </c>
      <c r="EB173" s="78" t="e">
        <f t="shared" si="469"/>
        <v>#DIV/0!</v>
      </c>
      <c r="EC173" s="79">
        <f t="shared" si="470"/>
        <v>0</v>
      </c>
      <c r="ED173" s="30">
        <f t="shared" si="471"/>
        <v>0</v>
      </c>
      <c r="EE173" s="78" t="e">
        <f t="shared" si="472"/>
        <v>#DIV/0!</v>
      </c>
      <c r="EF173" s="79">
        <f t="shared" si="473"/>
        <v>0</v>
      </c>
      <c r="EG173" s="30">
        <f t="shared" si="474"/>
        <v>0</v>
      </c>
      <c r="EH173" s="78" t="e">
        <f t="shared" si="475"/>
        <v>#DIV/0!</v>
      </c>
      <c r="EI173" s="79">
        <f t="shared" si="476"/>
        <v>0</v>
      </c>
      <c r="EJ173" s="30">
        <f t="shared" si="477"/>
        <v>0</v>
      </c>
      <c r="EK173" s="78" t="e">
        <f t="shared" si="478"/>
        <v>#DIV/0!</v>
      </c>
    </row>
    <row r="174" spans="1:141" s="12" customFormat="1" ht="14.25" hidden="1" customHeight="1">
      <c r="A174" s="25">
        <v>19</v>
      </c>
      <c r="B174" s="26"/>
      <c r="C174" s="121" t="s">
        <v>178</v>
      </c>
      <c r="D174" s="124">
        <v>10</v>
      </c>
      <c r="E174" s="23" t="s">
        <v>177</v>
      </c>
      <c r="F174" s="25"/>
      <c r="G174" s="82">
        <f t="shared" si="349"/>
        <v>0</v>
      </c>
      <c r="H174" s="81">
        <f t="shared" si="350"/>
        <v>0</v>
      </c>
      <c r="I174" s="19">
        <f t="shared" si="351"/>
        <v>0</v>
      </c>
      <c r="J174" s="11">
        <f t="shared" si="352"/>
        <v>0</v>
      </c>
      <c r="K174" s="19">
        <f t="shared" si="353"/>
        <v>0</v>
      </c>
      <c r="L174" s="19">
        <f t="shared" si="354"/>
        <v>0</v>
      </c>
      <c r="M174" s="19">
        <f t="shared" si="355"/>
        <v>0</v>
      </c>
      <c r="N174" s="19">
        <f t="shared" si="356"/>
        <v>0</v>
      </c>
      <c r="O174" s="19">
        <f t="shared" si="357"/>
        <v>0</v>
      </c>
      <c r="P174" s="19">
        <f t="shared" si="358"/>
        <v>0</v>
      </c>
      <c r="Q174" s="19">
        <f t="shared" si="359"/>
        <v>0</v>
      </c>
      <c r="R174" s="19">
        <f t="shared" si="360"/>
        <v>0</v>
      </c>
      <c r="S174" s="19">
        <f t="shared" si="361"/>
        <v>0</v>
      </c>
      <c r="T174" s="19">
        <f t="shared" si="362"/>
        <v>0</v>
      </c>
      <c r="U174" s="19">
        <f t="shared" si="363"/>
        <v>0</v>
      </c>
      <c r="V174" s="19">
        <f t="shared" si="364"/>
        <v>0</v>
      </c>
      <c r="W174" s="19">
        <f t="shared" si="365"/>
        <v>0</v>
      </c>
      <c r="X174" s="19">
        <f t="shared" si="366"/>
        <v>0</v>
      </c>
      <c r="Y174" s="19">
        <f t="shared" si="367"/>
        <v>0</v>
      </c>
      <c r="Z174" s="19">
        <f t="shared" si="368"/>
        <v>0</v>
      </c>
      <c r="AA174" s="18"/>
      <c r="AB174" s="56">
        <f t="shared" si="369"/>
        <v>0</v>
      </c>
      <c r="AC174" s="16">
        <f t="shared" si="370"/>
        <v>0</v>
      </c>
      <c r="AD174" s="15" t="e">
        <f t="shared" si="371"/>
        <v>#DIV/0!</v>
      </c>
      <c r="AE174" s="42"/>
      <c r="AF174" s="10" t="e">
        <f t="shared" si="372"/>
        <v>#DIV/0!</v>
      </c>
      <c r="AG174" s="10"/>
      <c r="AH174" s="21">
        <f t="shared" si="373"/>
        <v>0</v>
      </c>
      <c r="AI174" s="54" t="e">
        <f t="shared" si="374"/>
        <v>#DIV/0!</v>
      </c>
      <c r="AJ174" s="18">
        <f t="shared" si="375"/>
        <v>0</v>
      </c>
      <c r="AK174" s="18">
        <f t="shared" si="376"/>
        <v>0</v>
      </c>
      <c r="AL174" s="18">
        <f t="shared" si="377"/>
        <v>0</v>
      </c>
      <c r="AM174" s="25">
        <f t="shared" si="378"/>
        <v>0</v>
      </c>
      <c r="AN174" s="25">
        <f t="shared" si="379"/>
        <v>0</v>
      </c>
      <c r="AO174" s="25">
        <f t="shared" si="380"/>
        <v>0</v>
      </c>
      <c r="AP174" s="25">
        <f t="shared" si="381"/>
        <v>0</v>
      </c>
      <c r="AQ174" s="25">
        <f t="shared" si="382"/>
        <v>0</v>
      </c>
      <c r="AR174" s="25">
        <f t="shared" si="383"/>
        <v>0</v>
      </c>
      <c r="AS174" s="25">
        <f t="shared" si="384"/>
        <v>0</v>
      </c>
      <c r="AT174" s="25">
        <f t="shared" si="385"/>
        <v>0</v>
      </c>
      <c r="AU174" s="80"/>
      <c r="AV174" s="79">
        <f t="shared" si="386"/>
        <v>0</v>
      </c>
      <c r="AW174" s="79">
        <f t="shared" si="479"/>
        <v>0</v>
      </c>
      <c r="AX174" s="30">
        <f t="shared" si="387"/>
        <v>0</v>
      </c>
      <c r="AY174" s="78" t="e">
        <f t="shared" si="388"/>
        <v>#DIV/0!</v>
      </c>
      <c r="AZ174" s="79">
        <f t="shared" si="389"/>
        <v>0</v>
      </c>
      <c r="BA174" s="30">
        <f t="shared" si="390"/>
        <v>0</v>
      </c>
      <c r="BB174" s="78" t="e">
        <f t="shared" si="391"/>
        <v>#DIV/0!</v>
      </c>
      <c r="BC174" s="79">
        <f t="shared" si="392"/>
        <v>0</v>
      </c>
      <c r="BD174" s="30">
        <f t="shared" si="393"/>
        <v>0</v>
      </c>
      <c r="BE174" s="78" t="e">
        <f t="shared" si="394"/>
        <v>#DIV/0!</v>
      </c>
      <c r="BF174" s="79">
        <f t="shared" si="395"/>
        <v>0</v>
      </c>
      <c r="BG174" s="30">
        <f t="shared" si="396"/>
        <v>0</v>
      </c>
      <c r="BH174" s="78" t="e">
        <f t="shared" si="397"/>
        <v>#DIV/0!</v>
      </c>
      <c r="BI174" s="79">
        <f t="shared" si="398"/>
        <v>0</v>
      </c>
      <c r="BJ174" s="30">
        <f t="shared" si="399"/>
        <v>0</v>
      </c>
      <c r="BK174" s="78" t="e">
        <f t="shared" si="400"/>
        <v>#DIV/0!</v>
      </c>
      <c r="BL174" s="79">
        <f t="shared" si="401"/>
        <v>0</v>
      </c>
      <c r="BM174" s="30">
        <f t="shared" si="402"/>
        <v>0</v>
      </c>
      <c r="BN174" s="78" t="e">
        <f t="shared" si="403"/>
        <v>#DIV/0!</v>
      </c>
      <c r="BO174" s="79">
        <f t="shared" si="404"/>
        <v>0</v>
      </c>
      <c r="BP174" s="30">
        <f t="shared" si="405"/>
        <v>0</v>
      </c>
      <c r="BQ174" s="78" t="e">
        <f t="shared" si="406"/>
        <v>#DIV/0!</v>
      </c>
      <c r="BR174" s="79">
        <f t="shared" si="407"/>
        <v>0</v>
      </c>
      <c r="BS174" s="30">
        <f t="shared" si="408"/>
        <v>0</v>
      </c>
      <c r="BT174" s="78" t="e">
        <f t="shared" si="409"/>
        <v>#DIV/0!</v>
      </c>
      <c r="BU174" s="79">
        <f t="shared" si="410"/>
        <v>0</v>
      </c>
      <c r="BV174" s="30">
        <f t="shared" si="411"/>
        <v>0</v>
      </c>
      <c r="BW174" s="78" t="e">
        <f t="shared" si="412"/>
        <v>#DIV/0!</v>
      </c>
      <c r="BX174" s="79">
        <f t="shared" si="413"/>
        <v>0</v>
      </c>
      <c r="BY174" s="30">
        <f t="shared" si="414"/>
        <v>0</v>
      </c>
      <c r="BZ174" s="78" t="e">
        <f t="shared" si="415"/>
        <v>#DIV/0!</v>
      </c>
      <c r="CA174" s="79">
        <f t="shared" si="416"/>
        <v>0</v>
      </c>
      <c r="CB174" s="30">
        <f t="shared" si="417"/>
        <v>0</v>
      </c>
      <c r="CC174" s="78" t="e">
        <f t="shared" si="418"/>
        <v>#DIV/0!</v>
      </c>
      <c r="CD174" s="79">
        <f t="shared" si="419"/>
        <v>0</v>
      </c>
      <c r="CE174" s="30">
        <f t="shared" si="420"/>
        <v>0</v>
      </c>
      <c r="CF174" s="78" t="e">
        <f t="shared" si="421"/>
        <v>#DIV/0!</v>
      </c>
      <c r="CG174" s="79">
        <f t="shared" si="422"/>
        <v>0</v>
      </c>
      <c r="CH174" s="30">
        <f t="shared" si="423"/>
        <v>0</v>
      </c>
      <c r="CI174" s="78" t="e">
        <f t="shared" si="424"/>
        <v>#DIV/0!</v>
      </c>
      <c r="CJ174" s="79">
        <f t="shared" si="425"/>
        <v>0</v>
      </c>
      <c r="CK174" s="30">
        <f t="shared" si="426"/>
        <v>0</v>
      </c>
      <c r="CL174" s="78" t="e">
        <f t="shared" si="427"/>
        <v>#DIV/0!</v>
      </c>
      <c r="CM174" s="79">
        <f t="shared" si="428"/>
        <v>0</v>
      </c>
      <c r="CN174" s="30">
        <f t="shared" si="429"/>
        <v>0</v>
      </c>
      <c r="CO174" s="78" t="e">
        <f t="shared" si="430"/>
        <v>#DIV/0!</v>
      </c>
      <c r="CP174" s="79">
        <f t="shared" si="431"/>
        <v>0</v>
      </c>
      <c r="CQ174" s="30">
        <f t="shared" si="432"/>
        <v>0</v>
      </c>
      <c r="CR174" s="78" t="e">
        <f t="shared" si="433"/>
        <v>#DIV/0!</v>
      </c>
      <c r="CS174" s="79">
        <f t="shared" si="434"/>
        <v>0</v>
      </c>
      <c r="CT174" s="30">
        <f t="shared" si="435"/>
        <v>0</v>
      </c>
      <c r="CU174" s="78" t="e">
        <f t="shared" si="436"/>
        <v>#DIV/0!</v>
      </c>
      <c r="CV174" s="79">
        <f t="shared" si="437"/>
        <v>0</v>
      </c>
      <c r="CW174" s="30">
        <f t="shared" si="438"/>
        <v>0</v>
      </c>
      <c r="CX174" s="78" t="e">
        <f t="shared" si="439"/>
        <v>#DIV/0!</v>
      </c>
      <c r="CY174" s="79">
        <f t="shared" si="440"/>
        <v>0</v>
      </c>
      <c r="CZ174" s="30">
        <f t="shared" si="441"/>
        <v>0</v>
      </c>
      <c r="DA174" s="78" t="e">
        <f t="shared" si="442"/>
        <v>#DIV/0!</v>
      </c>
      <c r="DB174" s="79">
        <f t="shared" si="443"/>
        <v>0</v>
      </c>
      <c r="DC174" s="30">
        <f t="shared" si="444"/>
        <v>0</v>
      </c>
      <c r="DD174" s="78" t="e">
        <f t="shared" si="445"/>
        <v>#DIV/0!</v>
      </c>
      <c r="DE174" s="79">
        <f t="shared" si="446"/>
        <v>0</v>
      </c>
      <c r="DF174" s="30">
        <f t="shared" si="447"/>
        <v>0</v>
      </c>
      <c r="DG174" s="78" t="e">
        <f t="shared" si="448"/>
        <v>#DIV/0!</v>
      </c>
      <c r="DH174" s="79">
        <f t="shared" si="449"/>
        <v>0</v>
      </c>
      <c r="DI174" s="30">
        <f t="shared" si="450"/>
        <v>0</v>
      </c>
      <c r="DJ174" s="78" t="e">
        <f t="shared" si="451"/>
        <v>#DIV/0!</v>
      </c>
      <c r="DK174" s="79">
        <f t="shared" si="452"/>
        <v>0</v>
      </c>
      <c r="DL174" s="30">
        <f t="shared" si="453"/>
        <v>0</v>
      </c>
      <c r="DM174" s="78" t="e">
        <f t="shared" si="454"/>
        <v>#DIV/0!</v>
      </c>
      <c r="DN174" s="79">
        <f t="shared" si="455"/>
        <v>0</v>
      </c>
      <c r="DO174" s="30">
        <f t="shared" si="456"/>
        <v>0</v>
      </c>
      <c r="DP174" s="78" t="e">
        <f t="shared" si="457"/>
        <v>#DIV/0!</v>
      </c>
      <c r="DQ174" s="79">
        <f t="shared" si="458"/>
        <v>0</v>
      </c>
      <c r="DR174" s="30">
        <f t="shared" si="459"/>
        <v>0</v>
      </c>
      <c r="DS174" s="78" t="e">
        <f t="shared" si="460"/>
        <v>#DIV/0!</v>
      </c>
      <c r="DT174" s="79">
        <f t="shared" si="461"/>
        <v>0</v>
      </c>
      <c r="DU174" s="30">
        <f t="shared" si="462"/>
        <v>0</v>
      </c>
      <c r="DV174" s="78" t="e">
        <f t="shared" si="463"/>
        <v>#DIV/0!</v>
      </c>
      <c r="DW174" s="79">
        <f t="shared" si="464"/>
        <v>0</v>
      </c>
      <c r="DX174" s="30">
        <f t="shared" si="465"/>
        <v>0</v>
      </c>
      <c r="DY174" s="78" t="e">
        <f t="shared" si="466"/>
        <v>#DIV/0!</v>
      </c>
      <c r="DZ174" s="79">
        <f t="shared" si="467"/>
        <v>0</v>
      </c>
      <c r="EA174" s="30">
        <f t="shared" si="468"/>
        <v>0</v>
      </c>
      <c r="EB174" s="78" t="e">
        <f t="shared" si="469"/>
        <v>#DIV/0!</v>
      </c>
      <c r="EC174" s="79">
        <f t="shared" si="470"/>
        <v>0</v>
      </c>
      <c r="ED174" s="30">
        <f t="shared" si="471"/>
        <v>0</v>
      </c>
      <c r="EE174" s="78" t="e">
        <f t="shared" si="472"/>
        <v>#DIV/0!</v>
      </c>
      <c r="EF174" s="79">
        <f t="shared" si="473"/>
        <v>0</v>
      </c>
      <c r="EG174" s="30">
        <f t="shared" si="474"/>
        <v>0</v>
      </c>
      <c r="EH174" s="78" t="e">
        <f t="shared" si="475"/>
        <v>#DIV/0!</v>
      </c>
      <c r="EI174" s="79">
        <f t="shared" si="476"/>
        <v>0</v>
      </c>
      <c r="EJ174" s="30">
        <f t="shared" si="477"/>
        <v>0</v>
      </c>
      <c r="EK174" s="78" t="e">
        <f t="shared" si="478"/>
        <v>#DIV/0!</v>
      </c>
    </row>
    <row r="175" spans="1:141" s="12" customFormat="1" ht="14.25" hidden="1" customHeight="1">
      <c r="A175" s="25">
        <v>20</v>
      </c>
      <c r="B175" s="26"/>
      <c r="C175" s="121" t="s">
        <v>176</v>
      </c>
      <c r="D175" s="122">
        <v>11</v>
      </c>
      <c r="E175" s="23" t="s">
        <v>175</v>
      </c>
      <c r="F175" s="25"/>
      <c r="G175" s="82">
        <f t="shared" si="349"/>
        <v>0</v>
      </c>
      <c r="H175" s="81">
        <f t="shared" si="350"/>
        <v>0</v>
      </c>
      <c r="I175" s="19">
        <f t="shared" si="351"/>
        <v>0</v>
      </c>
      <c r="J175" s="11">
        <f t="shared" si="352"/>
        <v>0</v>
      </c>
      <c r="K175" s="19">
        <f t="shared" si="353"/>
        <v>0</v>
      </c>
      <c r="L175" s="19">
        <f t="shared" si="354"/>
        <v>0</v>
      </c>
      <c r="M175" s="19">
        <f t="shared" si="355"/>
        <v>0</v>
      </c>
      <c r="N175" s="19">
        <f t="shared" si="356"/>
        <v>0</v>
      </c>
      <c r="O175" s="19">
        <f t="shared" si="357"/>
        <v>0</v>
      </c>
      <c r="P175" s="19">
        <f t="shared" si="358"/>
        <v>0</v>
      </c>
      <c r="Q175" s="19">
        <f t="shared" si="359"/>
        <v>0</v>
      </c>
      <c r="R175" s="19">
        <f t="shared" si="360"/>
        <v>0</v>
      </c>
      <c r="S175" s="19">
        <f t="shared" si="361"/>
        <v>0</v>
      </c>
      <c r="T175" s="19">
        <f t="shared" si="362"/>
        <v>0</v>
      </c>
      <c r="U175" s="19">
        <f t="shared" si="363"/>
        <v>0</v>
      </c>
      <c r="V175" s="19">
        <f t="shared" si="364"/>
        <v>0</v>
      </c>
      <c r="W175" s="19">
        <f t="shared" si="365"/>
        <v>0</v>
      </c>
      <c r="X175" s="19">
        <f t="shared" si="366"/>
        <v>0</v>
      </c>
      <c r="Y175" s="19">
        <f t="shared" si="367"/>
        <v>0</v>
      </c>
      <c r="Z175" s="19">
        <f t="shared" si="368"/>
        <v>0</v>
      </c>
      <c r="AA175" s="18"/>
      <c r="AB175" s="56">
        <f t="shared" si="369"/>
        <v>0</v>
      </c>
      <c r="AC175" s="16">
        <f t="shared" si="370"/>
        <v>0</v>
      </c>
      <c r="AD175" s="15" t="e">
        <f t="shared" si="371"/>
        <v>#DIV/0!</v>
      </c>
      <c r="AE175" s="42"/>
      <c r="AF175" s="10" t="e">
        <f t="shared" si="372"/>
        <v>#DIV/0!</v>
      </c>
      <c r="AG175" s="10"/>
      <c r="AH175" s="21">
        <f t="shared" si="373"/>
        <v>0</v>
      </c>
      <c r="AI175" s="54" t="e">
        <f t="shared" si="374"/>
        <v>#DIV/0!</v>
      </c>
      <c r="AJ175" s="18">
        <f t="shared" si="375"/>
        <v>0</v>
      </c>
      <c r="AK175" s="18">
        <f t="shared" si="376"/>
        <v>0</v>
      </c>
      <c r="AL175" s="18">
        <f t="shared" si="377"/>
        <v>0</v>
      </c>
      <c r="AM175" s="25">
        <f t="shared" si="378"/>
        <v>0</v>
      </c>
      <c r="AN175" s="25">
        <f t="shared" si="379"/>
        <v>0</v>
      </c>
      <c r="AO175" s="25">
        <f t="shared" si="380"/>
        <v>0</v>
      </c>
      <c r="AP175" s="25">
        <f t="shared" si="381"/>
        <v>0</v>
      </c>
      <c r="AQ175" s="25">
        <f t="shared" si="382"/>
        <v>0</v>
      </c>
      <c r="AR175" s="25">
        <f t="shared" si="383"/>
        <v>0</v>
      </c>
      <c r="AS175" s="25">
        <f t="shared" si="384"/>
        <v>0</v>
      </c>
      <c r="AT175" s="25">
        <f t="shared" si="385"/>
        <v>0</v>
      </c>
      <c r="AU175" s="80"/>
      <c r="AV175" s="79">
        <f t="shared" si="386"/>
        <v>0</v>
      </c>
      <c r="AW175" s="79">
        <f t="shared" si="479"/>
        <v>0</v>
      </c>
      <c r="AX175" s="30">
        <f t="shared" si="387"/>
        <v>0</v>
      </c>
      <c r="AY175" s="78" t="e">
        <f t="shared" si="388"/>
        <v>#DIV/0!</v>
      </c>
      <c r="AZ175" s="79">
        <f t="shared" si="389"/>
        <v>0</v>
      </c>
      <c r="BA175" s="30">
        <f t="shared" si="390"/>
        <v>0</v>
      </c>
      <c r="BB175" s="78" t="e">
        <f t="shared" si="391"/>
        <v>#DIV/0!</v>
      </c>
      <c r="BC175" s="79">
        <f t="shared" si="392"/>
        <v>0</v>
      </c>
      <c r="BD175" s="30">
        <f t="shared" si="393"/>
        <v>0</v>
      </c>
      <c r="BE175" s="78" t="e">
        <f t="shared" si="394"/>
        <v>#DIV/0!</v>
      </c>
      <c r="BF175" s="79">
        <f t="shared" si="395"/>
        <v>0</v>
      </c>
      <c r="BG175" s="30">
        <f t="shared" si="396"/>
        <v>0</v>
      </c>
      <c r="BH175" s="78" t="e">
        <f t="shared" si="397"/>
        <v>#DIV/0!</v>
      </c>
      <c r="BI175" s="79">
        <f t="shared" si="398"/>
        <v>0</v>
      </c>
      <c r="BJ175" s="30">
        <f t="shared" si="399"/>
        <v>0</v>
      </c>
      <c r="BK175" s="78" t="e">
        <f t="shared" si="400"/>
        <v>#DIV/0!</v>
      </c>
      <c r="BL175" s="79">
        <f t="shared" si="401"/>
        <v>0</v>
      </c>
      <c r="BM175" s="30">
        <f t="shared" si="402"/>
        <v>0</v>
      </c>
      <c r="BN175" s="78" t="e">
        <f t="shared" si="403"/>
        <v>#DIV/0!</v>
      </c>
      <c r="BO175" s="79">
        <f t="shared" si="404"/>
        <v>0</v>
      </c>
      <c r="BP175" s="30">
        <f t="shared" si="405"/>
        <v>0</v>
      </c>
      <c r="BQ175" s="78" t="e">
        <f t="shared" si="406"/>
        <v>#DIV/0!</v>
      </c>
      <c r="BR175" s="79">
        <f t="shared" si="407"/>
        <v>0</v>
      </c>
      <c r="BS175" s="30">
        <f t="shared" si="408"/>
        <v>0</v>
      </c>
      <c r="BT175" s="78" t="e">
        <f t="shared" si="409"/>
        <v>#DIV/0!</v>
      </c>
      <c r="BU175" s="79">
        <f t="shared" si="410"/>
        <v>0</v>
      </c>
      <c r="BV175" s="30">
        <f t="shared" si="411"/>
        <v>0</v>
      </c>
      <c r="BW175" s="78" t="e">
        <f t="shared" si="412"/>
        <v>#DIV/0!</v>
      </c>
      <c r="BX175" s="79">
        <f t="shared" si="413"/>
        <v>0</v>
      </c>
      <c r="BY175" s="30">
        <f t="shared" si="414"/>
        <v>0</v>
      </c>
      <c r="BZ175" s="78" t="e">
        <f t="shared" si="415"/>
        <v>#DIV/0!</v>
      </c>
      <c r="CA175" s="79">
        <f t="shared" si="416"/>
        <v>0</v>
      </c>
      <c r="CB175" s="30">
        <f t="shared" si="417"/>
        <v>0</v>
      </c>
      <c r="CC175" s="78" t="e">
        <f t="shared" si="418"/>
        <v>#DIV/0!</v>
      </c>
      <c r="CD175" s="79">
        <f t="shared" si="419"/>
        <v>0</v>
      </c>
      <c r="CE175" s="30">
        <f t="shared" si="420"/>
        <v>0</v>
      </c>
      <c r="CF175" s="78" t="e">
        <f t="shared" si="421"/>
        <v>#DIV/0!</v>
      </c>
      <c r="CG175" s="79">
        <f t="shared" si="422"/>
        <v>0</v>
      </c>
      <c r="CH175" s="30">
        <f t="shared" si="423"/>
        <v>0</v>
      </c>
      <c r="CI175" s="78" t="e">
        <f t="shared" si="424"/>
        <v>#DIV/0!</v>
      </c>
      <c r="CJ175" s="79">
        <f t="shared" si="425"/>
        <v>0</v>
      </c>
      <c r="CK175" s="30">
        <f t="shared" si="426"/>
        <v>0</v>
      </c>
      <c r="CL175" s="78" t="e">
        <f t="shared" si="427"/>
        <v>#DIV/0!</v>
      </c>
      <c r="CM175" s="79">
        <f t="shared" si="428"/>
        <v>0</v>
      </c>
      <c r="CN175" s="30">
        <f t="shared" si="429"/>
        <v>0</v>
      </c>
      <c r="CO175" s="78" t="e">
        <f t="shared" si="430"/>
        <v>#DIV/0!</v>
      </c>
      <c r="CP175" s="79">
        <f t="shared" si="431"/>
        <v>0</v>
      </c>
      <c r="CQ175" s="30">
        <f t="shared" si="432"/>
        <v>0</v>
      </c>
      <c r="CR175" s="78" t="e">
        <f t="shared" si="433"/>
        <v>#DIV/0!</v>
      </c>
      <c r="CS175" s="79">
        <f t="shared" si="434"/>
        <v>0</v>
      </c>
      <c r="CT175" s="30">
        <f t="shared" si="435"/>
        <v>0</v>
      </c>
      <c r="CU175" s="78" t="e">
        <f t="shared" si="436"/>
        <v>#DIV/0!</v>
      </c>
      <c r="CV175" s="79">
        <f t="shared" si="437"/>
        <v>0</v>
      </c>
      <c r="CW175" s="30">
        <f t="shared" si="438"/>
        <v>0</v>
      </c>
      <c r="CX175" s="78" t="e">
        <f t="shared" si="439"/>
        <v>#DIV/0!</v>
      </c>
      <c r="CY175" s="79">
        <f t="shared" si="440"/>
        <v>0</v>
      </c>
      <c r="CZ175" s="30">
        <f t="shared" si="441"/>
        <v>0</v>
      </c>
      <c r="DA175" s="78" t="e">
        <f t="shared" si="442"/>
        <v>#DIV/0!</v>
      </c>
      <c r="DB175" s="79">
        <f t="shared" si="443"/>
        <v>0</v>
      </c>
      <c r="DC175" s="30">
        <f t="shared" si="444"/>
        <v>0</v>
      </c>
      <c r="DD175" s="78" t="e">
        <f t="shared" si="445"/>
        <v>#DIV/0!</v>
      </c>
      <c r="DE175" s="79">
        <f t="shared" si="446"/>
        <v>0</v>
      </c>
      <c r="DF175" s="30">
        <f t="shared" si="447"/>
        <v>0</v>
      </c>
      <c r="DG175" s="78" t="e">
        <f t="shared" si="448"/>
        <v>#DIV/0!</v>
      </c>
      <c r="DH175" s="79">
        <f t="shared" si="449"/>
        <v>0</v>
      </c>
      <c r="DI175" s="30">
        <f t="shared" si="450"/>
        <v>0</v>
      </c>
      <c r="DJ175" s="78" t="e">
        <f t="shared" si="451"/>
        <v>#DIV/0!</v>
      </c>
      <c r="DK175" s="79">
        <f t="shared" si="452"/>
        <v>0</v>
      </c>
      <c r="DL175" s="30">
        <f t="shared" si="453"/>
        <v>0</v>
      </c>
      <c r="DM175" s="78" t="e">
        <f t="shared" si="454"/>
        <v>#DIV/0!</v>
      </c>
      <c r="DN175" s="79">
        <f t="shared" si="455"/>
        <v>0</v>
      </c>
      <c r="DO175" s="30">
        <f t="shared" si="456"/>
        <v>0</v>
      </c>
      <c r="DP175" s="78" t="e">
        <f t="shared" si="457"/>
        <v>#DIV/0!</v>
      </c>
      <c r="DQ175" s="79">
        <f t="shared" si="458"/>
        <v>0</v>
      </c>
      <c r="DR175" s="30">
        <f t="shared" si="459"/>
        <v>0</v>
      </c>
      <c r="DS175" s="78" t="e">
        <f t="shared" si="460"/>
        <v>#DIV/0!</v>
      </c>
      <c r="DT175" s="79">
        <f t="shared" si="461"/>
        <v>0</v>
      </c>
      <c r="DU175" s="30">
        <f t="shared" si="462"/>
        <v>0</v>
      </c>
      <c r="DV175" s="78" t="e">
        <f t="shared" si="463"/>
        <v>#DIV/0!</v>
      </c>
      <c r="DW175" s="79">
        <f t="shared" si="464"/>
        <v>0</v>
      </c>
      <c r="DX175" s="30">
        <f t="shared" si="465"/>
        <v>0</v>
      </c>
      <c r="DY175" s="78" t="e">
        <f t="shared" si="466"/>
        <v>#DIV/0!</v>
      </c>
      <c r="DZ175" s="79">
        <f t="shared" si="467"/>
        <v>0</v>
      </c>
      <c r="EA175" s="30">
        <f t="shared" si="468"/>
        <v>0</v>
      </c>
      <c r="EB175" s="78" t="e">
        <f t="shared" si="469"/>
        <v>#DIV/0!</v>
      </c>
      <c r="EC175" s="79">
        <f t="shared" si="470"/>
        <v>0</v>
      </c>
      <c r="ED175" s="30">
        <f t="shared" si="471"/>
        <v>0</v>
      </c>
      <c r="EE175" s="78" t="e">
        <f t="shared" si="472"/>
        <v>#DIV/0!</v>
      </c>
      <c r="EF175" s="79">
        <f t="shared" si="473"/>
        <v>0</v>
      </c>
      <c r="EG175" s="30">
        <f t="shared" si="474"/>
        <v>0</v>
      </c>
      <c r="EH175" s="78" t="e">
        <f t="shared" si="475"/>
        <v>#DIV/0!</v>
      </c>
      <c r="EI175" s="79">
        <f t="shared" si="476"/>
        <v>0</v>
      </c>
      <c r="EJ175" s="30">
        <f t="shared" si="477"/>
        <v>0</v>
      </c>
      <c r="EK175" s="78" t="e">
        <f t="shared" si="478"/>
        <v>#DIV/0!</v>
      </c>
    </row>
    <row r="176" spans="1:141" s="12" customFormat="1" ht="14.25" hidden="1" customHeight="1">
      <c r="A176" s="25">
        <v>21</v>
      </c>
      <c r="B176" s="26">
        <v>1432</v>
      </c>
      <c r="C176" s="121" t="s">
        <v>174</v>
      </c>
      <c r="D176" s="122">
        <v>12</v>
      </c>
      <c r="E176" s="23" t="s">
        <v>173</v>
      </c>
      <c r="F176" s="25"/>
      <c r="G176" s="82">
        <f t="shared" si="349"/>
        <v>0</v>
      </c>
      <c r="H176" s="81">
        <f t="shared" si="350"/>
        <v>0</v>
      </c>
      <c r="I176" s="19">
        <f t="shared" si="351"/>
        <v>0</v>
      </c>
      <c r="J176" s="11">
        <f t="shared" si="352"/>
        <v>0</v>
      </c>
      <c r="K176" s="19">
        <f t="shared" si="353"/>
        <v>0</v>
      </c>
      <c r="L176" s="19">
        <f t="shared" si="354"/>
        <v>0</v>
      </c>
      <c r="M176" s="19">
        <f t="shared" si="355"/>
        <v>0</v>
      </c>
      <c r="N176" s="19">
        <f t="shared" si="356"/>
        <v>0</v>
      </c>
      <c r="O176" s="19">
        <f t="shared" si="357"/>
        <v>0</v>
      </c>
      <c r="P176" s="19">
        <f t="shared" si="358"/>
        <v>0</v>
      </c>
      <c r="Q176" s="19">
        <f t="shared" si="359"/>
        <v>0</v>
      </c>
      <c r="R176" s="19">
        <f t="shared" si="360"/>
        <v>0</v>
      </c>
      <c r="S176" s="19">
        <f t="shared" si="361"/>
        <v>0</v>
      </c>
      <c r="T176" s="19">
        <f t="shared" si="362"/>
        <v>0</v>
      </c>
      <c r="U176" s="19">
        <f t="shared" si="363"/>
        <v>0</v>
      </c>
      <c r="V176" s="19">
        <f t="shared" si="364"/>
        <v>0</v>
      </c>
      <c r="W176" s="19">
        <f t="shared" si="365"/>
        <v>0</v>
      </c>
      <c r="X176" s="19">
        <f t="shared" si="366"/>
        <v>0</v>
      </c>
      <c r="Y176" s="19">
        <f t="shared" si="367"/>
        <v>0</v>
      </c>
      <c r="Z176" s="19">
        <f t="shared" si="368"/>
        <v>0</v>
      </c>
      <c r="AA176" s="18"/>
      <c r="AB176" s="56">
        <f t="shared" si="369"/>
        <v>0</v>
      </c>
      <c r="AC176" s="16">
        <f t="shared" si="370"/>
        <v>0</v>
      </c>
      <c r="AD176" s="15" t="e">
        <f t="shared" si="371"/>
        <v>#DIV/0!</v>
      </c>
      <c r="AE176" s="42"/>
      <c r="AF176" s="10" t="e">
        <f t="shared" si="372"/>
        <v>#DIV/0!</v>
      </c>
      <c r="AG176" s="10"/>
      <c r="AH176" s="21">
        <f t="shared" si="373"/>
        <v>0</v>
      </c>
      <c r="AI176" s="54" t="e">
        <f t="shared" si="374"/>
        <v>#DIV/0!</v>
      </c>
      <c r="AJ176" s="18">
        <f t="shared" si="375"/>
        <v>0</v>
      </c>
      <c r="AK176" s="18">
        <f t="shared" si="376"/>
        <v>0</v>
      </c>
      <c r="AL176" s="18">
        <f t="shared" si="377"/>
        <v>0</v>
      </c>
      <c r="AM176" s="25">
        <f t="shared" si="378"/>
        <v>0</v>
      </c>
      <c r="AN176" s="25">
        <f t="shared" si="379"/>
        <v>0</v>
      </c>
      <c r="AO176" s="25">
        <f t="shared" si="380"/>
        <v>0</v>
      </c>
      <c r="AP176" s="25">
        <f t="shared" si="381"/>
        <v>0</v>
      </c>
      <c r="AQ176" s="25">
        <f t="shared" si="382"/>
        <v>0</v>
      </c>
      <c r="AR176" s="25">
        <f t="shared" si="383"/>
        <v>0</v>
      </c>
      <c r="AS176" s="25">
        <f t="shared" si="384"/>
        <v>0</v>
      </c>
      <c r="AT176" s="25">
        <f t="shared" si="385"/>
        <v>0</v>
      </c>
      <c r="AU176" s="80"/>
      <c r="AV176" s="79">
        <f t="shared" si="386"/>
        <v>21.16</v>
      </c>
      <c r="AW176" s="79">
        <f t="shared" si="479"/>
        <v>17000</v>
      </c>
      <c r="AX176" s="30">
        <f t="shared" si="387"/>
        <v>0</v>
      </c>
      <c r="AY176" s="78">
        <f t="shared" si="388"/>
        <v>0</v>
      </c>
      <c r="AZ176" s="79">
        <f t="shared" si="389"/>
        <v>0</v>
      </c>
      <c r="BA176" s="30">
        <f t="shared" si="390"/>
        <v>0</v>
      </c>
      <c r="BB176" s="78" t="e">
        <f t="shared" si="391"/>
        <v>#DIV/0!</v>
      </c>
      <c r="BC176" s="79">
        <f t="shared" si="392"/>
        <v>0</v>
      </c>
      <c r="BD176" s="30">
        <f t="shared" si="393"/>
        <v>0</v>
      </c>
      <c r="BE176" s="78" t="e">
        <f t="shared" si="394"/>
        <v>#DIV/0!</v>
      </c>
      <c r="BF176" s="79">
        <f t="shared" si="395"/>
        <v>0</v>
      </c>
      <c r="BG176" s="30">
        <f t="shared" si="396"/>
        <v>0</v>
      </c>
      <c r="BH176" s="78" t="e">
        <f t="shared" si="397"/>
        <v>#DIV/0!</v>
      </c>
      <c r="BI176" s="79">
        <f t="shared" si="398"/>
        <v>0</v>
      </c>
      <c r="BJ176" s="30">
        <f t="shared" si="399"/>
        <v>0</v>
      </c>
      <c r="BK176" s="78" t="e">
        <f t="shared" si="400"/>
        <v>#DIV/0!</v>
      </c>
      <c r="BL176" s="79">
        <f t="shared" si="401"/>
        <v>0</v>
      </c>
      <c r="BM176" s="30">
        <f t="shared" si="402"/>
        <v>0</v>
      </c>
      <c r="BN176" s="78" t="e">
        <f t="shared" si="403"/>
        <v>#DIV/0!</v>
      </c>
      <c r="BO176" s="79">
        <f t="shared" si="404"/>
        <v>0</v>
      </c>
      <c r="BP176" s="30">
        <f t="shared" si="405"/>
        <v>0</v>
      </c>
      <c r="BQ176" s="78" t="e">
        <f t="shared" si="406"/>
        <v>#DIV/0!</v>
      </c>
      <c r="BR176" s="79">
        <f t="shared" si="407"/>
        <v>0</v>
      </c>
      <c r="BS176" s="30">
        <f t="shared" si="408"/>
        <v>0</v>
      </c>
      <c r="BT176" s="78" t="e">
        <f t="shared" si="409"/>
        <v>#DIV/0!</v>
      </c>
      <c r="BU176" s="79">
        <f t="shared" si="410"/>
        <v>0</v>
      </c>
      <c r="BV176" s="30">
        <f t="shared" si="411"/>
        <v>0</v>
      </c>
      <c r="BW176" s="78" t="e">
        <f t="shared" si="412"/>
        <v>#DIV/0!</v>
      </c>
      <c r="BX176" s="79">
        <f t="shared" si="413"/>
        <v>0</v>
      </c>
      <c r="BY176" s="30">
        <f t="shared" si="414"/>
        <v>0</v>
      </c>
      <c r="BZ176" s="78" t="e">
        <f t="shared" si="415"/>
        <v>#DIV/0!</v>
      </c>
      <c r="CA176" s="79">
        <f t="shared" si="416"/>
        <v>0</v>
      </c>
      <c r="CB176" s="30">
        <f t="shared" si="417"/>
        <v>0</v>
      </c>
      <c r="CC176" s="78" t="e">
        <f t="shared" si="418"/>
        <v>#DIV/0!</v>
      </c>
      <c r="CD176" s="79">
        <f t="shared" si="419"/>
        <v>0</v>
      </c>
      <c r="CE176" s="30">
        <f t="shared" si="420"/>
        <v>0</v>
      </c>
      <c r="CF176" s="78" t="e">
        <f t="shared" si="421"/>
        <v>#DIV/0!</v>
      </c>
      <c r="CG176" s="79">
        <f t="shared" si="422"/>
        <v>0</v>
      </c>
      <c r="CH176" s="30">
        <f t="shared" si="423"/>
        <v>0</v>
      </c>
      <c r="CI176" s="78" t="e">
        <f t="shared" si="424"/>
        <v>#DIV/0!</v>
      </c>
      <c r="CJ176" s="79">
        <f t="shared" si="425"/>
        <v>0</v>
      </c>
      <c r="CK176" s="30">
        <f t="shared" si="426"/>
        <v>0</v>
      </c>
      <c r="CL176" s="78" t="e">
        <f t="shared" si="427"/>
        <v>#DIV/0!</v>
      </c>
      <c r="CM176" s="79">
        <f t="shared" si="428"/>
        <v>0</v>
      </c>
      <c r="CN176" s="30">
        <f t="shared" si="429"/>
        <v>0</v>
      </c>
      <c r="CO176" s="78" t="e">
        <f t="shared" si="430"/>
        <v>#DIV/0!</v>
      </c>
      <c r="CP176" s="79">
        <f t="shared" si="431"/>
        <v>0</v>
      </c>
      <c r="CQ176" s="30">
        <f t="shared" si="432"/>
        <v>0</v>
      </c>
      <c r="CR176" s="78" t="e">
        <f t="shared" si="433"/>
        <v>#DIV/0!</v>
      </c>
      <c r="CS176" s="79">
        <f t="shared" si="434"/>
        <v>0</v>
      </c>
      <c r="CT176" s="30">
        <f t="shared" si="435"/>
        <v>0</v>
      </c>
      <c r="CU176" s="78" t="e">
        <f t="shared" si="436"/>
        <v>#DIV/0!</v>
      </c>
      <c r="CV176" s="79">
        <f t="shared" si="437"/>
        <v>0</v>
      </c>
      <c r="CW176" s="30">
        <f t="shared" si="438"/>
        <v>0</v>
      </c>
      <c r="CX176" s="78" t="e">
        <f t="shared" si="439"/>
        <v>#DIV/0!</v>
      </c>
      <c r="CY176" s="79">
        <f t="shared" si="440"/>
        <v>0</v>
      </c>
      <c r="CZ176" s="30">
        <f t="shared" si="441"/>
        <v>0</v>
      </c>
      <c r="DA176" s="78" t="e">
        <f t="shared" si="442"/>
        <v>#DIV/0!</v>
      </c>
      <c r="DB176" s="79">
        <f t="shared" si="443"/>
        <v>0</v>
      </c>
      <c r="DC176" s="30">
        <f t="shared" si="444"/>
        <v>0</v>
      </c>
      <c r="DD176" s="78" t="e">
        <f t="shared" si="445"/>
        <v>#DIV/0!</v>
      </c>
      <c r="DE176" s="79">
        <f t="shared" si="446"/>
        <v>0</v>
      </c>
      <c r="DF176" s="30">
        <f t="shared" si="447"/>
        <v>0</v>
      </c>
      <c r="DG176" s="78" t="e">
        <f t="shared" si="448"/>
        <v>#DIV/0!</v>
      </c>
      <c r="DH176" s="79">
        <f t="shared" si="449"/>
        <v>0</v>
      </c>
      <c r="DI176" s="30">
        <f t="shared" si="450"/>
        <v>0</v>
      </c>
      <c r="DJ176" s="78" t="e">
        <f t="shared" si="451"/>
        <v>#DIV/0!</v>
      </c>
      <c r="DK176" s="79">
        <f t="shared" si="452"/>
        <v>0</v>
      </c>
      <c r="DL176" s="30">
        <f t="shared" si="453"/>
        <v>0</v>
      </c>
      <c r="DM176" s="78" t="e">
        <f t="shared" si="454"/>
        <v>#DIV/0!</v>
      </c>
      <c r="DN176" s="79">
        <f t="shared" si="455"/>
        <v>0</v>
      </c>
      <c r="DO176" s="30">
        <f t="shared" si="456"/>
        <v>0</v>
      </c>
      <c r="DP176" s="78" t="e">
        <f t="shared" si="457"/>
        <v>#DIV/0!</v>
      </c>
      <c r="DQ176" s="79">
        <f t="shared" si="458"/>
        <v>0</v>
      </c>
      <c r="DR176" s="30">
        <f t="shared" si="459"/>
        <v>0</v>
      </c>
      <c r="DS176" s="78" t="e">
        <f t="shared" si="460"/>
        <v>#DIV/0!</v>
      </c>
      <c r="DT176" s="79">
        <f t="shared" si="461"/>
        <v>0</v>
      </c>
      <c r="DU176" s="30">
        <f t="shared" si="462"/>
        <v>0</v>
      </c>
      <c r="DV176" s="78" t="e">
        <f t="shared" si="463"/>
        <v>#DIV/0!</v>
      </c>
      <c r="DW176" s="79">
        <f t="shared" si="464"/>
        <v>0</v>
      </c>
      <c r="DX176" s="30">
        <f t="shared" si="465"/>
        <v>0</v>
      </c>
      <c r="DY176" s="78" t="e">
        <f t="shared" si="466"/>
        <v>#DIV/0!</v>
      </c>
      <c r="DZ176" s="79">
        <f t="shared" si="467"/>
        <v>0</v>
      </c>
      <c r="EA176" s="30">
        <f t="shared" si="468"/>
        <v>0</v>
      </c>
      <c r="EB176" s="78" t="e">
        <f t="shared" si="469"/>
        <v>#DIV/0!</v>
      </c>
      <c r="EC176" s="79">
        <f t="shared" si="470"/>
        <v>0</v>
      </c>
      <c r="ED176" s="30">
        <f t="shared" si="471"/>
        <v>0</v>
      </c>
      <c r="EE176" s="78" t="e">
        <f t="shared" si="472"/>
        <v>#DIV/0!</v>
      </c>
      <c r="EF176" s="79">
        <f t="shared" si="473"/>
        <v>0</v>
      </c>
      <c r="EG176" s="30">
        <f t="shared" si="474"/>
        <v>0</v>
      </c>
      <c r="EH176" s="78" t="e">
        <f t="shared" si="475"/>
        <v>#DIV/0!</v>
      </c>
      <c r="EI176" s="79">
        <f t="shared" si="476"/>
        <v>0</v>
      </c>
      <c r="EJ176" s="30">
        <f t="shared" si="477"/>
        <v>0</v>
      </c>
      <c r="EK176" s="78" t="e">
        <f t="shared" si="478"/>
        <v>#DIV/0!</v>
      </c>
    </row>
    <row r="177" spans="1:155" s="12" customFormat="1" ht="14.25" hidden="1" customHeight="1">
      <c r="A177" s="25">
        <v>22</v>
      </c>
      <c r="B177" s="26"/>
      <c r="C177" s="121" t="s">
        <v>172</v>
      </c>
      <c r="D177" s="124">
        <v>14</v>
      </c>
      <c r="E177" s="23" t="s">
        <v>171</v>
      </c>
      <c r="F177" s="25"/>
      <c r="G177" s="82">
        <f t="shared" si="349"/>
        <v>0</v>
      </c>
      <c r="H177" s="81">
        <f t="shared" si="350"/>
        <v>0</v>
      </c>
      <c r="I177" s="19">
        <f t="shared" si="351"/>
        <v>0</v>
      </c>
      <c r="J177" s="11">
        <f t="shared" si="352"/>
        <v>0</v>
      </c>
      <c r="K177" s="19">
        <f t="shared" si="353"/>
        <v>0</v>
      </c>
      <c r="L177" s="19">
        <f t="shared" si="354"/>
        <v>0</v>
      </c>
      <c r="M177" s="19">
        <f t="shared" si="355"/>
        <v>0</v>
      </c>
      <c r="N177" s="19">
        <f t="shared" si="356"/>
        <v>0</v>
      </c>
      <c r="O177" s="19">
        <f t="shared" si="357"/>
        <v>0</v>
      </c>
      <c r="P177" s="19">
        <f t="shared" si="358"/>
        <v>0</v>
      </c>
      <c r="Q177" s="19">
        <f t="shared" si="359"/>
        <v>0</v>
      </c>
      <c r="R177" s="19">
        <f t="shared" si="360"/>
        <v>0</v>
      </c>
      <c r="S177" s="19">
        <f t="shared" si="361"/>
        <v>0</v>
      </c>
      <c r="T177" s="19">
        <f t="shared" si="362"/>
        <v>0</v>
      </c>
      <c r="U177" s="19">
        <f t="shared" si="363"/>
        <v>0</v>
      </c>
      <c r="V177" s="19">
        <f t="shared" si="364"/>
        <v>0</v>
      </c>
      <c r="W177" s="19">
        <f t="shared" si="365"/>
        <v>0</v>
      </c>
      <c r="X177" s="19">
        <f t="shared" si="366"/>
        <v>0</v>
      </c>
      <c r="Y177" s="19">
        <f t="shared" si="367"/>
        <v>0</v>
      </c>
      <c r="Z177" s="19">
        <f t="shared" si="368"/>
        <v>0</v>
      </c>
      <c r="AA177" s="18"/>
      <c r="AB177" s="56">
        <f t="shared" si="369"/>
        <v>0</v>
      </c>
      <c r="AC177" s="16">
        <f t="shared" si="370"/>
        <v>0</v>
      </c>
      <c r="AD177" s="15" t="e">
        <f t="shared" si="371"/>
        <v>#DIV/0!</v>
      </c>
      <c r="AE177" s="42"/>
      <c r="AF177" s="10" t="e">
        <f t="shared" si="372"/>
        <v>#DIV/0!</v>
      </c>
      <c r="AG177" s="10"/>
      <c r="AH177" s="21">
        <f t="shared" si="373"/>
        <v>0</v>
      </c>
      <c r="AI177" s="54" t="e">
        <f t="shared" si="374"/>
        <v>#DIV/0!</v>
      </c>
      <c r="AJ177" s="18">
        <f t="shared" si="375"/>
        <v>0</v>
      </c>
      <c r="AK177" s="18">
        <f t="shared" si="376"/>
        <v>0</v>
      </c>
      <c r="AL177" s="18">
        <f t="shared" si="377"/>
        <v>0</v>
      </c>
      <c r="AM177" s="25">
        <f t="shared" si="378"/>
        <v>0</v>
      </c>
      <c r="AN177" s="25">
        <f t="shared" si="379"/>
        <v>0</v>
      </c>
      <c r="AO177" s="25">
        <f t="shared" si="380"/>
        <v>0</v>
      </c>
      <c r="AP177" s="25">
        <f t="shared" si="381"/>
        <v>0</v>
      </c>
      <c r="AQ177" s="25">
        <f t="shared" si="382"/>
        <v>0</v>
      </c>
      <c r="AR177" s="25">
        <f t="shared" si="383"/>
        <v>0</v>
      </c>
      <c r="AS177" s="25">
        <f t="shared" si="384"/>
        <v>0</v>
      </c>
      <c r="AT177" s="25">
        <f t="shared" si="385"/>
        <v>0</v>
      </c>
      <c r="AU177" s="80"/>
      <c r="AV177" s="79">
        <f t="shared" si="386"/>
        <v>0</v>
      </c>
      <c r="AW177" s="79">
        <f t="shared" si="479"/>
        <v>0</v>
      </c>
      <c r="AX177" s="30">
        <f t="shared" si="387"/>
        <v>0</v>
      </c>
      <c r="AY177" s="78" t="e">
        <f t="shared" si="388"/>
        <v>#DIV/0!</v>
      </c>
      <c r="AZ177" s="79">
        <f t="shared" si="389"/>
        <v>0</v>
      </c>
      <c r="BA177" s="30">
        <f t="shared" si="390"/>
        <v>0</v>
      </c>
      <c r="BB177" s="78" t="e">
        <f t="shared" si="391"/>
        <v>#DIV/0!</v>
      </c>
      <c r="BC177" s="79">
        <f t="shared" si="392"/>
        <v>0</v>
      </c>
      <c r="BD177" s="30">
        <f t="shared" si="393"/>
        <v>0</v>
      </c>
      <c r="BE177" s="78" t="e">
        <f t="shared" si="394"/>
        <v>#DIV/0!</v>
      </c>
      <c r="BF177" s="79">
        <f t="shared" si="395"/>
        <v>0</v>
      </c>
      <c r="BG177" s="30">
        <f t="shared" si="396"/>
        <v>0</v>
      </c>
      <c r="BH177" s="78" t="e">
        <f t="shared" si="397"/>
        <v>#DIV/0!</v>
      </c>
      <c r="BI177" s="79">
        <f t="shared" si="398"/>
        <v>0</v>
      </c>
      <c r="BJ177" s="30">
        <f t="shared" si="399"/>
        <v>0</v>
      </c>
      <c r="BK177" s="78" t="e">
        <f t="shared" si="400"/>
        <v>#DIV/0!</v>
      </c>
      <c r="BL177" s="79">
        <f t="shared" si="401"/>
        <v>0</v>
      </c>
      <c r="BM177" s="30">
        <f t="shared" si="402"/>
        <v>0</v>
      </c>
      <c r="BN177" s="78" t="e">
        <f t="shared" si="403"/>
        <v>#DIV/0!</v>
      </c>
      <c r="BO177" s="79">
        <f t="shared" si="404"/>
        <v>0</v>
      </c>
      <c r="BP177" s="30">
        <f t="shared" si="405"/>
        <v>0</v>
      </c>
      <c r="BQ177" s="78" t="e">
        <f t="shared" si="406"/>
        <v>#DIV/0!</v>
      </c>
      <c r="BR177" s="79">
        <f t="shared" si="407"/>
        <v>0</v>
      </c>
      <c r="BS177" s="30">
        <f t="shared" si="408"/>
        <v>0</v>
      </c>
      <c r="BT177" s="78" t="e">
        <f t="shared" si="409"/>
        <v>#DIV/0!</v>
      </c>
      <c r="BU177" s="79">
        <f t="shared" si="410"/>
        <v>0</v>
      </c>
      <c r="BV177" s="30">
        <f t="shared" si="411"/>
        <v>0</v>
      </c>
      <c r="BW177" s="78" t="e">
        <f t="shared" si="412"/>
        <v>#DIV/0!</v>
      </c>
      <c r="BX177" s="79">
        <f t="shared" si="413"/>
        <v>0</v>
      </c>
      <c r="BY177" s="30">
        <f t="shared" si="414"/>
        <v>0</v>
      </c>
      <c r="BZ177" s="78" t="e">
        <f t="shared" si="415"/>
        <v>#DIV/0!</v>
      </c>
      <c r="CA177" s="79">
        <f t="shared" si="416"/>
        <v>0</v>
      </c>
      <c r="CB177" s="30">
        <f t="shared" si="417"/>
        <v>0</v>
      </c>
      <c r="CC177" s="78" t="e">
        <f t="shared" si="418"/>
        <v>#DIV/0!</v>
      </c>
      <c r="CD177" s="79">
        <f t="shared" si="419"/>
        <v>0</v>
      </c>
      <c r="CE177" s="30">
        <f t="shared" si="420"/>
        <v>0</v>
      </c>
      <c r="CF177" s="78" t="e">
        <f t="shared" si="421"/>
        <v>#DIV/0!</v>
      </c>
      <c r="CG177" s="79">
        <f t="shared" si="422"/>
        <v>0</v>
      </c>
      <c r="CH177" s="30">
        <f t="shared" si="423"/>
        <v>0</v>
      </c>
      <c r="CI177" s="78" t="e">
        <f t="shared" si="424"/>
        <v>#DIV/0!</v>
      </c>
      <c r="CJ177" s="79">
        <f t="shared" si="425"/>
        <v>0</v>
      </c>
      <c r="CK177" s="30">
        <f t="shared" si="426"/>
        <v>0</v>
      </c>
      <c r="CL177" s="78" t="e">
        <f t="shared" si="427"/>
        <v>#DIV/0!</v>
      </c>
      <c r="CM177" s="79">
        <f t="shared" si="428"/>
        <v>0</v>
      </c>
      <c r="CN177" s="30">
        <f t="shared" si="429"/>
        <v>0</v>
      </c>
      <c r="CO177" s="78" t="e">
        <f t="shared" si="430"/>
        <v>#DIV/0!</v>
      </c>
      <c r="CP177" s="79">
        <f t="shared" si="431"/>
        <v>0</v>
      </c>
      <c r="CQ177" s="30">
        <f t="shared" si="432"/>
        <v>0</v>
      </c>
      <c r="CR177" s="78" t="e">
        <f t="shared" si="433"/>
        <v>#DIV/0!</v>
      </c>
      <c r="CS177" s="79">
        <f t="shared" si="434"/>
        <v>0</v>
      </c>
      <c r="CT177" s="30">
        <f t="shared" si="435"/>
        <v>0</v>
      </c>
      <c r="CU177" s="78" t="e">
        <f t="shared" si="436"/>
        <v>#DIV/0!</v>
      </c>
      <c r="CV177" s="79">
        <f t="shared" si="437"/>
        <v>0</v>
      </c>
      <c r="CW177" s="30">
        <f t="shared" si="438"/>
        <v>0</v>
      </c>
      <c r="CX177" s="78" t="e">
        <f t="shared" si="439"/>
        <v>#DIV/0!</v>
      </c>
      <c r="CY177" s="79">
        <f t="shared" si="440"/>
        <v>0</v>
      </c>
      <c r="CZ177" s="30">
        <f t="shared" si="441"/>
        <v>0</v>
      </c>
      <c r="DA177" s="78" t="e">
        <f t="shared" si="442"/>
        <v>#DIV/0!</v>
      </c>
      <c r="DB177" s="79">
        <f t="shared" si="443"/>
        <v>0</v>
      </c>
      <c r="DC177" s="30">
        <f t="shared" si="444"/>
        <v>0</v>
      </c>
      <c r="DD177" s="78" t="e">
        <f t="shared" si="445"/>
        <v>#DIV/0!</v>
      </c>
      <c r="DE177" s="79">
        <f t="shared" si="446"/>
        <v>0</v>
      </c>
      <c r="DF177" s="30">
        <f t="shared" si="447"/>
        <v>0</v>
      </c>
      <c r="DG177" s="78" t="e">
        <f t="shared" si="448"/>
        <v>#DIV/0!</v>
      </c>
      <c r="DH177" s="79">
        <f t="shared" si="449"/>
        <v>0</v>
      </c>
      <c r="DI177" s="30">
        <f t="shared" si="450"/>
        <v>0</v>
      </c>
      <c r="DJ177" s="78" t="e">
        <f t="shared" si="451"/>
        <v>#DIV/0!</v>
      </c>
      <c r="DK177" s="79">
        <f t="shared" si="452"/>
        <v>0</v>
      </c>
      <c r="DL177" s="30">
        <f t="shared" si="453"/>
        <v>0</v>
      </c>
      <c r="DM177" s="78" t="e">
        <f t="shared" si="454"/>
        <v>#DIV/0!</v>
      </c>
      <c r="DN177" s="79">
        <f t="shared" si="455"/>
        <v>0</v>
      </c>
      <c r="DO177" s="30">
        <f t="shared" si="456"/>
        <v>0</v>
      </c>
      <c r="DP177" s="78" t="e">
        <f t="shared" si="457"/>
        <v>#DIV/0!</v>
      </c>
      <c r="DQ177" s="79">
        <f t="shared" si="458"/>
        <v>0</v>
      </c>
      <c r="DR177" s="30">
        <f t="shared" si="459"/>
        <v>0</v>
      </c>
      <c r="DS177" s="78" t="e">
        <f t="shared" si="460"/>
        <v>#DIV/0!</v>
      </c>
      <c r="DT177" s="79">
        <f t="shared" si="461"/>
        <v>0</v>
      </c>
      <c r="DU177" s="30">
        <f t="shared" si="462"/>
        <v>0</v>
      </c>
      <c r="DV177" s="78" t="e">
        <f t="shared" si="463"/>
        <v>#DIV/0!</v>
      </c>
      <c r="DW177" s="79">
        <f t="shared" si="464"/>
        <v>0</v>
      </c>
      <c r="DX177" s="30">
        <f t="shared" si="465"/>
        <v>0</v>
      </c>
      <c r="DY177" s="78" t="e">
        <f t="shared" si="466"/>
        <v>#DIV/0!</v>
      </c>
      <c r="DZ177" s="79">
        <f t="shared" si="467"/>
        <v>0</v>
      </c>
      <c r="EA177" s="30">
        <f t="shared" si="468"/>
        <v>0</v>
      </c>
      <c r="EB177" s="78" t="e">
        <f t="shared" si="469"/>
        <v>#DIV/0!</v>
      </c>
      <c r="EC177" s="79">
        <f t="shared" si="470"/>
        <v>0</v>
      </c>
      <c r="ED177" s="30">
        <f t="shared" si="471"/>
        <v>0</v>
      </c>
      <c r="EE177" s="78" t="e">
        <f t="shared" si="472"/>
        <v>#DIV/0!</v>
      </c>
      <c r="EF177" s="79">
        <f t="shared" si="473"/>
        <v>0</v>
      </c>
      <c r="EG177" s="30">
        <f t="shared" si="474"/>
        <v>0</v>
      </c>
      <c r="EH177" s="78" t="e">
        <f t="shared" si="475"/>
        <v>#DIV/0!</v>
      </c>
      <c r="EI177" s="79">
        <f t="shared" si="476"/>
        <v>0</v>
      </c>
      <c r="EJ177" s="30">
        <f t="shared" si="477"/>
        <v>0</v>
      </c>
      <c r="EK177" s="78" t="e">
        <f t="shared" si="478"/>
        <v>#DIV/0!</v>
      </c>
    </row>
    <row r="178" spans="1:155" s="12" customFormat="1" ht="14.25" hidden="1" customHeight="1">
      <c r="A178" s="25">
        <v>23</v>
      </c>
      <c r="B178" s="26">
        <v>125</v>
      </c>
      <c r="C178" s="121" t="s">
        <v>170</v>
      </c>
      <c r="D178" s="124">
        <v>15</v>
      </c>
      <c r="E178" s="60" t="s">
        <v>169</v>
      </c>
      <c r="F178" s="59"/>
      <c r="G178" s="82">
        <f t="shared" si="349"/>
        <v>0</v>
      </c>
      <c r="H178" s="81">
        <f t="shared" si="350"/>
        <v>19.16</v>
      </c>
      <c r="I178" s="19">
        <f t="shared" si="351"/>
        <v>0</v>
      </c>
      <c r="J178" s="11">
        <f t="shared" si="352"/>
        <v>4.34</v>
      </c>
      <c r="K178" s="19">
        <f t="shared" si="353"/>
        <v>1</v>
      </c>
      <c r="L178" s="19">
        <f t="shared" si="354"/>
        <v>0</v>
      </c>
      <c r="M178" s="19">
        <f t="shared" si="355"/>
        <v>0</v>
      </c>
      <c r="N178" s="19">
        <f t="shared" si="356"/>
        <v>0</v>
      </c>
      <c r="O178" s="19">
        <f t="shared" si="357"/>
        <v>0</v>
      </c>
      <c r="P178" s="19">
        <f t="shared" si="358"/>
        <v>0</v>
      </c>
      <c r="Q178" s="19">
        <f t="shared" si="359"/>
        <v>0</v>
      </c>
      <c r="R178" s="19">
        <f t="shared" si="360"/>
        <v>0</v>
      </c>
      <c r="S178" s="19">
        <f t="shared" si="361"/>
        <v>0</v>
      </c>
      <c r="T178" s="19">
        <f t="shared" si="362"/>
        <v>2.5</v>
      </c>
      <c r="U178" s="19">
        <f t="shared" si="363"/>
        <v>0</v>
      </c>
      <c r="V178" s="19">
        <f t="shared" si="364"/>
        <v>0</v>
      </c>
      <c r="W178" s="19">
        <f t="shared" si="365"/>
        <v>0.5</v>
      </c>
      <c r="X178" s="19">
        <f t="shared" si="366"/>
        <v>0.34</v>
      </c>
      <c r="Y178" s="19">
        <f t="shared" si="367"/>
        <v>0</v>
      </c>
      <c r="Z178" s="19">
        <f t="shared" si="368"/>
        <v>0</v>
      </c>
      <c r="AA178" s="18"/>
      <c r="AB178" s="56" t="e">
        <f t="shared" si="369"/>
        <v>#VALUE!</v>
      </c>
      <c r="AC178" s="16">
        <f t="shared" si="370"/>
        <v>6915</v>
      </c>
      <c r="AD178" s="15" t="e">
        <f t="shared" si="371"/>
        <v>#VALUE!</v>
      </c>
      <c r="AE178" s="42"/>
      <c r="AF178" s="10">
        <f t="shared" si="372"/>
        <v>360.90814196242172</v>
      </c>
      <c r="AG178" s="10"/>
      <c r="AH178" s="21">
        <f t="shared" si="373"/>
        <v>115</v>
      </c>
      <c r="AI178" s="54">
        <f t="shared" si="374"/>
        <v>1.6630513376717282E-2</v>
      </c>
      <c r="AJ178" s="18">
        <f t="shared" si="375"/>
        <v>115</v>
      </c>
      <c r="AK178" s="18">
        <f t="shared" si="376"/>
        <v>0</v>
      </c>
      <c r="AL178" s="18">
        <f t="shared" si="377"/>
        <v>0</v>
      </c>
      <c r="AM178" s="25">
        <f t="shared" si="378"/>
        <v>0</v>
      </c>
      <c r="AN178" s="25">
        <f t="shared" si="379"/>
        <v>0</v>
      </c>
      <c r="AO178" s="25">
        <f t="shared" si="380"/>
        <v>0</v>
      </c>
      <c r="AP178" s="25">
        <f t="shared" si="381"/>
        <v>0</v>
      </c>
      <c r="AQ178" s="25">
        <f t="shared" si="382"/>
        <v>0</v>
      </c>
      <c r="AR178" s="25">
        <f t="shared" si="383"/>
        <v>0</v>
      </c>
      <c r="AS178" s="25">
        <f t="shared" si="384"/>
        <v>0</v>
      </c>
      <c r="AT178" s="25">
        <f t="shared" si="385"/>
        <v>0</v>
      </c>
      <c r="AU178" s="80"/>
      <c r="AV178" s="79">
        <f t="shared" si="386"/>
        <v>0</v>
      </c>
      <c r="AW178" s="79">
        <f t="shared" si="479"/>
        <v>0</v>
      </c>
      <c r="AX178" s="30">
        <f t="shared" si="387"/>
        <v>0</v>
      </c>
      <c r="AY178" s="78" t="e">
        <f t="shared" si="388"/>
        <v>#DIV/0!</v>
      </c>
      <c r="AZ178" s="79">
        <f t="shared" si="389"/>
        <v>0</v>
      </c>
      <c r="BA178" s="30">
        <f t="shared" si="390"/>
        <v>0</v>
      </c>
      <c r="BB178" s="78" t="e">
        <f t="shared" si="391"/>
        <v>#DIV/0!</v>
      </c>
      <c r="BC178" s="79">
        <f t="shared" si="392"/>
        <v>0</v>
      </c>
      <c r="BD178" s="30">
        <f t="shared" si="393"/>
        <v>0</v>
      </c>
      <c r="BE178" s="78" t="e">
        <f t="shared" si="394"/>
        <v>#DIV/0!</v>
      </c>
      <c r="BF178" s="79">
        <f t="shared" si="395"/>
        <v>0</v>
      </c>
      <c r="BG178" s="30">
        <f t="shared" si="396"/>
        <v>0</v>
      </c>
      <c r="BH178" s="78" t="e">
        <f t="shared" si="397"/>
        <v>#DIV/0!</v>
      </c>
      <c r="BI178" s="79">
        <f t="shared" si="398"/>
        <v>0</v>
      </c>
      <c r="BJ178" s="30">
        <f t="shared" si="399"/>
        <v>0</v>
      </c>
      <c r="BK178" s="78" t="e">
        <f t="shared" si="400"/>
        <v>#DIV/0!</v>
      </c>
      <c r="BL178" s="79">
        <f t="shared" si="401"/>
        <v>0</v>
      </c>
      <c r="BM178" s="30">
        <f t="shared" si="402"/>
        <v>0</v>
      </c>
      <c r="BN178" s="78" t="e">
        <f t="shared" si="403"/>
        <v>#DIV/0!</v>
      </c>
      <c r="BO178" s="79">
        <f t="shared" si="404"/>
        <v>0</v>
      </c>
      <c r="BP178" s="30">
        <f t="shared" si="405"/>
        <v>0</v>
      </c>
      <c r="BQ178" s="78" t="e">
        <f t="shared" si="406"/>
        <v>#DIV/0!</v>
      </c>
      <c r="BR178" s="79">
        <f t="shared" si="407"/>
        <v>0</v>
      </c>
      <c r="BS178" s="30">
        <f t="shared" si="408"/>
        <v>0</v>
      </c>
      <c r="BT178" s="78" t="e">
        <f t="shared" si="409"/>
        <v>#DIV/0!</v>
      </c>
      <c r="BU178" s="79">
        <f t="shared" si="410"/>
        <v>0</v>
      </c>
      <c r="BV178" s="30">
        <f t="shared" si="411"/>
        <v>0</v>
      </c>
      <c r="BW178" s="78" t="e">
        <f t="shared" si="412"/>
        <v>#DIV/0!</v>
      </c>
      <c r="BX178" s="79">
        <f t="shared" si="413"/>
        <v>0</v>
      </c>
      <c r="BY178" s="30">
        <f t="shared" si="414"/>
        <v>0</v>
      </c>
      <c r="BZ178" s="78" t="e">
        <f t="shared" si="415"/>
        <v>#DIV/0!</v>
      </c>
      <c r="CA178" s="79">
        <f t="shared" si="416"/>
        <v>0</v>
      </c>
      <c r="CB178" s="30">
        <f t="shared" si="417"/>
        <v>0</v>
      </c>
      <c r="CC178" s="78" t="e">
        <f t="shared" si="418"/>
        <v>#DIV/0!</v>
      </c>
      <c r="CD178" s="79">
        <f t="shared" si="419"/>
        <v>0</v>
      </c>
      <c r="CE178" s="30">
        <f t="shared" si="420"/>
        <v>0</v>
      </c>
      <c r="CF178" s="78" t="e">
        <f t="shared" si="421"/>
        <v>#DIV/0!</v>
      </c>
      <c r="CG178" s="79">
        <f t="shared" si="422"/>
        <v>0</v>
      </c>
      <c r="CH178" s="30">
        <f t="shared" si="423"/>
        <v>0</v>
      </c>
      <c r="CI178" s="78" t="e">
        <f t="shared" si="424"/>
        <v>#DIV/0!</v>
      </c>
      <c r="CJ178" s="79">
        <f t="shared" si="425"/>
        <v>0</v>
      </c>
      <c r="CK178" s="30">
        <f t="shared" si="426"/>
        <v>0</v>
      </c>
      <c r="CL178" s="78" t="e">
        <f t="shared" si="427"/>
        <v>#DIV/0!</v>
      </c>
      <c r="CM178" s="79">
        <f t="shared" si="428"/>
        <v>0</v>
      </c>
      <c r="CN178" s="30">
        <f t="shared" si="429"/>
        <v>0</v>
      </c>
      <c r="CO178" s="78" t="e">
        <f t="shared" si="430"/>
        <v>#DIV/0!</v>
      </c>
      <c r="CP178" s="79">
        <f t="shared" si="431"/>
        <v>0</v>
      </c>
      <c r="CQ178" s="30">
        <f t="shared" si="432"/>
        <v>0</v>
      </c>
      <c r="CR178" s="78" t="e">
        <f t="shared" si="433"/>
        <v>#DIV/0!</v>
      </c>
      <c r="CS178" s="79">
        <f t="shared" si="434"/>
        <v>0</v>
      </c>
      <c r="CT178" s="30">
        <f t="shared" si="435"/>
        <v>0</v>
      </c>
      <c r="CU178" s="78" t="e">
        <f t="shared" si="436"/>
        <v>#DIV/0!</v>
      </c>
      <c r="CV178" s="79">
        <f t="shared" si="437"/>
        <v>0</v>
      </c>
      <c r="CW178" s="30">
        <f t="shared" si="438"/>
        <v>0</v>
      </c>
      <c r="CX178" s="78" t="e">
        <f t="shared" si="439"/>
        <v>#DIV/0!</v>
      </c>
      <c r="CY178" s="79">
        <f t="shared" si="440"/>
        <v>0</v>
      </c>
      <c r="CZ178" s="30">
        <f t="shared" si="441"/>
        <v>0</v>
      </c>
      <c r="DA178" s="78" t="e">
        <f t="shared" si="442"/>
        <v>#DIV/0!</v>
      </c>
      <c r="DB178" s="79">
        <f t="shared" si="443"/>
        <v>0</v>
      </c>
      <c r="DC178" s="30">
        <f t="shared" si="444"/>
        <v>0</v>
      </c>
      <c r="DD178" s="78" t="e">
        <f t="shared" si="445"/>
        <v>#DIV/0!</v>
      </c>
      <c r="DE178" s="79">
        <f t="shared" si="446"/>
        <v>0</v>
      </c>
      <c r="DF178" s="30">
        <f t="shared" si="447"/>
        <v>0</v>
      </c>
      <c r="DG178" s="78" t="e">
        <f t="shared" si="448"/>
        <v>#DIV/0!</v>
      </c>
      <c r="DH178" s="79">
        <f t="shared" si="449"/>
        <v>0</v>
      </c>
      <c r="DI178" s="30">
        <f t="shared" si="450"/>
        <v>0</v>
      </c>
      <c r="DJ178" s="78" t="e">
        <f t="shared" si="451"/>
        <v>#DIV/0!</v>
      </c>
      <c r="DK178" s="79">
        <f t="shared" si="452"/>
        <v>0</v>
      </c>
      <c r="DL178" s="30">
        <f t="shared" si="453"/>
        <v>0</v>
      </c>
      <c r="DM178" s="78" t="e">
        <f t="shared" si="454"/>
        <v>#DIV/0!</v>
      </c>
      <c r="DN178" s="79">
        <f t="shared" si="455"/>
        <v>0</v>
      </c>
      <c r="DO178" s="30">
        <f t="shared" si="456"/>
        <v>0</v>
      </c>
      <c r="DP178" s="78" t="e">
        <f t="shared" si="457"/>
        <v>#DIV/0!</v>
      </c>
      <c r="DQ178" s="79">
        <f t="shared" si="458"/>
        <v>0</v>
      </c>
      <c r="DR178" s="30">
        <f t="shared" si="459"/>
        <v>0</v>
      </c>
      <c r="DS178" s="78" t="e">
        <f t="shared" si="460"/>
        <v>#DIV/0!</v>
      </c>
      <c r="DT178" s="79">
        <f t="shared" si="461"/>
        <v>0</v>
      </c>
      <c r="DU178" s="30">
        <f t="shared" si="462"/>
        <v>0</v>
      </c>
      <c r="DV178" s="78" t="e">
        <f t="shared" si="463"/>
        <v>#DIV/0!</v>
      </c>
      <c r="DW178" s="79">
        <f t="shared" si="464"/>
        <v>0</v>
      </c>
      <c r="DX178" s="30">
        <f t="shared" si="465"/>
        <v>0</v>
      </c>
      <c r="DY178" s="78" t="e">
        <f t="shared" si="466"/>
        <v>#DIV/0!</v>
      </c>
      <c r="DZ178" s="79">
        <f t="shared" si="467"/>
        <v>0</v>
      </c>
      <c r="EA178" s="30">
        <f t="shared" si="468"/>
        <v>0</v>
      </c>
      <c r="EB178" s="78" t="e">
        <f t="shared" si="469"/>
        <v>#DIV/0!</v>
      </c>
      <c r="EC178" s="79">
        <f t="shared" si="470"/>
        <v>0</v>
      </c>
      <c r="ED178" s="30">
        <f t="shared" si="471"/>
        <v>0</v>
      </c>
      <c r="EE178" s="78" t="e">
        <f t="shared" si="472"/>
        <v>#DIV/0!</v>
      </c>
      <c r="EF178" s="79">
        <f t="shared" si="473"/>
        <v>0</v>
      </c>
      <c r="EG178" s="30">
        <f t="shared" si="474"/>
        <v>0</v>
      </c>
      <c r="EH178" s="78" t="e">
        <f t="shared" si="475"/>
        <v>#DIV/0!</v>
      </c>
      <c r="EI178" s="79">
        <f t="shared" si="476"/>
        <v>0</v>
      </c>
      <c r="EJ178" s="30">
        <f t="shared" si="477"/>
        <v>0</v>
      </c>
      <c r="EK178" s="78" t="e">
        <f t="shared" si="478"/>
        <v>#DIV/0!</v>
      </c>
    </row>
    <row r="179" spans="1:155" s="12" customFormat="1" ht="14.25" hidden="1" customHeight="1">
      <c r="A179" s="25">
        <v>24</v>
      </c>
      <c r="B179" s="26" t="s">
        <v>168</v>
      </c>
      <c r="C179" s="121" t="s">
        <v>167</v>
      </c>
      <c r="D179" s="124">
        <v>16</v>
      </c>
      <c r="E179" s="60" t="s">
        <v>166</v>
      </c>
      <c r="F179" s="59"/>
      <c r="G179" s="82">
        <f t="shared" si="349"/>
        <v>0</v>
      </c>
      <c r="H179" s="81">
        <f t="shared" si="350"/>
        <v>2.66</v>
      </c>
      <c r="I179" s="19">
        <f t="shared" si="351"/>
        <v>0</v>
      </c>
      <c r="J179" s="11">
        <f t="shared" si="352"/>
        <v>0.5</v>
      </c>
      <c r="K179" s="19">
        <f t="shared" si="353"/>
        <v>0</v>
      </c>
      <c r="L179" s="19">
        <f t="shared" si="354"/>
        <v>0</v>
      </c>
      <c r="M179" s="19">
        <f t="shared" si="355"/>
        <v>0.17</v>
      </c>
      <c r="N179" s="19">
        <f t="shared" si="356"/>
        <v>0</v>
      </c>
      <c r="O179" s="19">
        <f t="shared" si="357"/>
        <v>0</v>
      </c>
      <c r="P179" s="19">
        <f t="shared" si="358"/>
        <v>0</v>
      </c>
      <c r="Q179" s="19">
        <f t="shared" si="359"/>
        <v>0</v>
      </c>
      <c r="R179" s="19">
        <f t="shared" si="360"/>
        <v>0</v>
      </c>
      <c r="S179" s="19">
        <f t="shared" si="361"/>
        <v>0</v>
      </c>
      <c r="T179" s="19">
        <f t="shared" si="362"/>
        <v>0</v>
      </c>
      <c r="U179" s="19">
        <f t="shared" si="363"/>
        <v>0</v>
      </c>
      <c r="V179" s="19">
        <f t="shared" si="364"/>
        <v>0</v>
      </c>
      <c r="W179" s="19">
        <f t="shared" si="365"/>
        <v>0.33</v>
      </c>
      <c r="X179" s="19">
        <f t="shared" si="366"/>
        <v>0</v>
      </c>
      <c r="Y179" s="19">
        <f t="shared" si="367"/>
        <v>0</v>
      </c>
      <c r="Z179" s="19">
        <f t="shared" si="368"/>
        <v>0</v>
      </c>
      <c r="AA179" s="18"/>
      <c r="AB179" s="56" t="e">
        <f t="shared" si="369"/>
        <v>#VALUE!</v>
      </c>
      <c r="AC179" s="16">
        <f t="shared" si="370"/>
        <v>320</v>
      </c>
      <c r="AD179" s="15" t="e">
        <f t="shared" si="371"/>
        <v>#VALUE!</v>
      </c>
      <c r="AE179" s="42"/>
      <c r="AF179" s="10">
        <f t="shared" si="372"/>
        <v>120.30075187969925</v>
      </c>
      <c r="AG179" s="10"/>
      <c r="AH179" s="21">
        <f t="shared" si="373"/>
        <v>61</v>
      </c>
      <c r="AI179" s="54">
        <f t="shared" si="374"/>
        <v>0.19062499999999999</v>
      </c>
      <c r="AJ179" s="18">
        <f t="shared" si="375"/>
        <v>61</v>
      </c>
      <c r="AK179" s="18">
        <f t="shared" si="376"/>
        <v>0</v>
      </c>
      <c r="AL179" s="18">
        <f t="shared" si="377"/>
        <v>0</v>
      </c>
      <c r="AM179" s="25">
        <f t="shared" si="378"/>
        <v>0</v>
      </c>
      <c r="AN179" s="25">
        <f t="shared" si="379"/>
        <v>0</v>
      </c>
      <c r="AO179" s="25">
        <f t="shared" si="380"/>
        <v>0</v>
      </c>
      <c r="AP179" s="25">
        <f t="shared" si="381"/>
        <v>0</v>
      </c>
      <c r="AQ179" s="25">
        <f t="shared" si="382"/>
        <v>0</v>
      </c>
      <c r="AR179" s="25">
        <f t="shared" si="383"/>
        <v>0</v>
      </c>
      <c r="AS179" s="25">
        <f t="shared" si="384"/>
        <v>0</v>
      </c>
      <c r="AT179" s="25">
        <f t="shared" si="385"/>
        <v>0</v>
      </c>
      <c r="AU179" s="80"/>
      <c r="AV179" s="79">
        <f t="shared" si="386"/>
        <v>0</v>
      </c>
      <c r="AW179" s="79">
        <f t="shared" si="479"/>
        <v>0</v>
      </c>
      <c r="AX179" s="30">
        <f t="shared" si="387"/>
        <v>0</v>
      </c>
      <c r="AY179" s="78" t="e">
        <f t="shared" si="388"/>
        <v>#DIV/0!</v>
      </c>
      <c r="AZ179" s="79">
        <f t="shared" si="389"/>
        <v>0</v>
      </c>
      <c r="BA179" s="30">
        <f t="shared" si="390"/>
        <v>0</v>
      </c>
      <c r="BB179" s="78" t="e">
        <f t="shared" si="391"/>
        <v>#DIV/0!</v>
      </c>
      <c r="BC179" s="79">
        <f t="shared" si="392"/>
        <v>0</v>
      </c>
      <c r="BD179" s="30">
        <f t="shared" si="393"/>
        <v>0</v>
      </c>
      <c r="BE179" s="78" t="e">
        <f t="shared" si="394"/>
        <v>#DIV/0!</v>
      </c>
      <c r="BF179" s="79">
        <f t="shared" si="395"/>
        <v>0</v>
      </c>
      <c r="BG179" s="30">
        <f t="shared" si="396"/>
        <v>0</v>
      </c>
      <c r="BH179" s="78" t="e">
        <f t="shared" si="397"/>
        <v>#DIV/0!</v>
      </c>
      <c r="BI179" s="79">
        <f t="shared" si="398"/>
        <v>0</v>
      </c>
      <c r="BJ179" s="30">
        <f t="shared" si="399"/>
        <v>0</v>
      </c>
      <c r="BK179" s="78" t="e">
        <f t="shared" si="400"/>
        <v>#DIV/0!</v>
      </c>
      <c r="BL179" s="79">
        <f t="shared" si="401"/>
        <v>0</v>
      </c>
      <c r="BM179" s="30">
        <f t="shared" si="402"/>
        <v>0</v>
      </c>
      <c r="BN179" s="78" t="e">
        <f t="shared" si="403"/>
        <v>#DIV/0!</v>
      </c>
      <c r="BO179" s="79">
        <f t="shared" si="404"/>
        <v>0</v>
      </c>
      <c r="BP179" s="30">
        <f t="shared" si="405"/>
        <v>0</v>
      </c>
      <c r="BQ179" s="78" t="e">
        <f t="shared" si="406"/>
        <v>#DIV/0!</v>
      </c>
      <c r="BR179" s="79">
        <f t="shared" si="407"/>
        <v>0</v>
      </c>
      <c r="BS179" s="30">
        <f t="shared" si="408"/>
        <v>0</v>
      </c>
      <c r="BT179" s="78" t="e">
        <f t="shared" si="409"/>
        <v>#DIV/0!</v>
      </c>
      <c r="BU179" s="79">
        <f t="shared" si="410"/>
        <v>0</v>
      </c>
      <c r="BV179" s="30">
        <f t="shared" si="411"/>
        <v>0</v>
      </c>
      <c r="BW179" s="78" t="e">
        <f t="shared" si="412"/>
        <v>#DIV/0!</v>
      </c>
      <c r="BX179" s="79">
        <f t="shared" si="413"/>
        <v>0</v>
      </c>
      <c r="BY179" s="30">
        <f t="shared" si="414"/>
        <v>0</v>
      </c>
      <c r="BZ179" s="78" t="e">
        <f t="shared" si="415"/>
        <v>#DIV/0!</v>
      </c>
      <c r="CA179" s="79">
        <f t="shared" si="416"/>
        <v>0</v>
      </c>
      <c r="CB179" s="30">
        <f t="shared" si="417"/>
        <v>0</v>
      </c>
      <c r="CC179" s="78" t="e">
        <f t="shared" si="418"/>
        <v>#DIV/0!</v>
      </c>
      <c r="CD179" s="79">
        <f t="shared" si="419"/>
        <v>0</v>
      </c>
      <c r="CE179" s="30">
        <f t="shared" si="420"/>
        <v>0</v>
      </c>
      <c r="CF179" s="78" t="e">
        <f t="shared" si="421"/>
        <v>#DIV/0!</v>
      </c>
      <c r="CG179" s="79">
        <f t="shared" si="422"/>
        <v>0</v>
      </c>
      <c r="CH179" s="30">
        <f t="shared" si="423"/>
        <v>0</v>
      </c>
      <c r="CI179" s="78" t="e">
        <f t="shared" si="424"/>
        <v>#DIV/0!</v>
      </c>
      <c r="CJ179" s="79">
        <f t="shared" si="425"/>
        <v>0</v>
      </c>
      <c r="CK179" s="30">
        <f t="shared" si="426"/>
        <v>0</v>
      </c>
      <c r="CL179" s="78" t="e">
        <f t="shared" si="427"/>
        <v>#DIV/0!</v>
      </c>
      <c r="CM179" s="79">
        <f t="shared" si="428"/>
        <v>0</v>
      </c>
      <c r="CN179" s="30">
        <f t="shared" si="429"/>
        <v>0</v>
      </c>
      <c r="CO179" s="78" t="e">
        <f t="shared" si="430"/>
        <v>#DIV/0!</v>
      </c>
      <c r="CP179" s="79">
        <f t="shared" si="431"/>
        <v>0</v>
      </c>
      <c r="CQ179" s="30">
        <f t="shared" si="432"/>
        <v>0</v>
      </c>
      <c r="CR179" s="78" t="e">
        <f t="shared" si="433"/>
        <v>#DIV/0!</v>
      </c>
      <c r="CS179" s="79">
        <f t="shared" si="434"/>
        <v>0</v>
      </c>
      <c r="CT179" s="30">
        <f t="shared" si="435"/>
        <v>0</v>
      </c>
      <c r="CU179" s="78" t="e">
        <f t="shared" si="436"/>
        <v>#DIV/0!</v>
      </c>
      <c r="CV179" s="79">
        <f t="shared" si="437"/>
        <v>0</v>
      </c>
      <c r="CW179" s="30">
        <f t="shared" si="438"/>
        <v>0</v>
      </c>
      <c r="CX179" s="78" t="e">
        <f t="shared" si="439"/>
        <v>#DIV/0!</v>
      </c>
      <c r="CY179" s="79">
        <f t="shared" si="440"/>
        <v>0</v>
      </c>
      <c r="CZ179" s="30">
        <f t="shared" si="441"/>
        <v>0</v>
      </c>
      <c r="DA179" s="78" t="e">
        <f t="shared" si="442"/>
        <v>#DIV/0!</v>
      </c>
      <c r="DB179" s="79">
        <f t="shared" si="443"/>
        <v>0</v>
      </c>
      <c r="DC179" s="30">
        <f t="shared" si="444"/>
        <v>0</v>
      </c>
      <c r="DD179" s="78" t="e">
        <f t="shared" si="445"/>
        <v>#DIV/0!</v>
      </c>
      <c r="DE179" s="79">
        <f t="shared" si="446"/>
        <v>0</v>
      </c>
      <c r="DF179" s="30">
        <f t="shared" si="447"/>
        <v>0</v>
      </c>
      <c r="DG179" s="78" t="e">
        <f t="shared" si="448"/>
        <v>#DIV/0!</v>
      </c>
      <c r="DH179" s="79">
        <f t="shared" si="449"/>
        <v>0</v>
      </c>
      <c r="DI179" s="30">
        <f t="shared" si="450"/>
        <v>0</v>
      </c>
      <c r="DJ179" s="78" t="e">
        <f t="shared" si="451"/>
        <v>#DIV/0!</v>
      </c>
      <c r="DK179" s="79">
        <f t="shared" si="452"/>
        <v>0</v>
      </c>
      <c r="DL179" s="30">
        <f t="shared" si="453"/>
        <v>0</v>
      </c>
      <c r="DM179" s="78" t="e">
        <f t="shared" si="454"/>
        <v>#DIV/0!</v>
      </c>
      <c r="DN179" s="79">
        <f t="shared" si="455"/>
        <v>0</v>
      </c>
      <c r="DO179" s="30">
        <f t="shared" si="456"/>
        <v>0</v>
      </c>
      <c r="DP179" s="78" t="e">
        <f t="shared" si="457"/>
        <v>#DIV/0!</v>
      </c>
      <c r="DQ179" s="79">
        <f t="shared" si="458"/>
        <v>0</v>
      </c>
      <c r="DR179" s="30">
        <f t="shared" si="459"/>
        <v>0</v>
      </c>
      <c r="DS179" s="78" t="e">
        <f t="shared" si="460"/>
        <v>#DIV/0!</v>
      </c>
      <c r="DT179" s="79">
        <f t="shared" si="461"/>
        <v>0</v>
      </c>
      <c r="DU179" s="30">
        <f t="shared" si="462"/>
        <v>0</v>
      </c>
      <c r="DV179" s="78" t="e">
        <f t="shared" si="463"/>
        <v>#DIV/0!</v>
      </c>
      <c r="DW179" s="79">
        <f t="shared" si="464"/>
        <v>0</v>
      </c>
      <c r="DX179" s="30">
        <f t="shared" si="465"/>
        <v>0</v>
      </c>
      <c r="DY179" s="78" t="e">
        <f t="shared" si="466"/>
        <v>#DIV/0!</v>
      </c>
      <c r="DZ179" s="79">
        <f t="shared" si="467"/>
        <v>0</v>
      </c>
      <c r="EA179" s="30">
        <f t="shared" si="468"/>
        <v>0</v>
      </c>
      <c r="EB179" s="78" t="e">
        <f t="shared" si="469"/>
        <v>#DIV/0!</v>
      </c>
      <c r="EC179" s="79">
        <f t="shared" si="470"/>
        <v>0</v>
      </c>
      <c r="ED179" s="30">
        <f t="shared" si="471"/>
        <v>0</v>
      </c>
      <c r="EE179" s="78" t="e">
        <f t="shared" si="472"/>
        <v>#DIV/0!</v>
      </c>
      <c r="EF179" s="79">
        <f t="shared" si="473"/>
        <v>0</v>
      </c>
      <c r="EG179" s="30">
        <f t="shared" si="474"/>
        <v>0</v>
      </c>
      <c r="EH179" s="78" t="e">
        <f t="shared" si="475"/>
        <v>#DIV/0!</v>
      </c>
      <c r="EI179" s="79">
        <f t="shared" si="476"/>
        <v>0</v>
      </c>
      <c r="EJ179" s="30">
        <f t="shared" si="477"/>
        <v>0</v>
      </c>
      <c r="EK179" s="78" t="e">
        <f t="shared" si="478"/>
        <v>#DIV/0!</v>
      </c>
    </row>
    <row r="180" spans="1:155" s="12" customFormat="1" ht="14.25" hidden="1" customHeight="1">
      <c r="A180" s="25">
        <v>25</v>
      </c>
      <c r="B180" s="26" t="s">
        <v>165</v>
      </c>
      <c r="C180" s="121" t="s">
        <v>164</v>
      </c>
      <c r="D180" s="124">
        <v>17</v>
      </c>
      <c r="E180" s="60" t="s">
        <v>163</v>
      </c>
      <c r="F180" s="59"/>
      <c r="G180" s="82">
        <f t="shared" si="349"/>
        <v>0</v>
      </c>
      <c r="H180" s="81">
        <f t="shared" si="350"/>
        <v>8</v>
      </c>
      <c r="I180" s="19">
        <f t="shared" si="351"/>
        <v>0</v>
      </c>
      <c r="J180" s="11">
        <f t="shared" si="352"/>
        <v>2</v>
      </c>
      <c r="K180" s="19">
        <f t="shared" si="353"/>
        <v>0</v>
      </c>
      <c r="L180" s="19">
        <f t="shared" si="354"/>
        <v>0</v>
      </c>
      <c r="M180" s="19">
        <f t="shared" si="355"/>
        <v>0</v>
      </c>
      <c r="N180" s="19">
        <f t="shared" si="356"/>
        <v>0</v>
      </c>
      <c r="O180" s="19">
        <f t="shared" si="357"/>
        <v>0</v>
      </c>
      <c r="P180" s="19">
        <f t="shared" si="358"/>
        <v>0</v>
      </c>
      <c r="Q180" s="19">
        <f t="shared" si="359"/>
        <v>0</v>
      </c>
      <c r="R180" s="19">
        <f t="shared" si="360"/>
        <v>0</v>
      </c>
      <c r="S180" s="19">
        <f t="shared" si="361"/>
        <v>0</v>
      </c>
      <c r="T180" s="19">
        <f t="shared" si="362"/>
        <v>1</v>
      </c>
      <c r="U180" s="19">
        <f t="shared" si="363"/>
        <v>0</v>
      </c>
      <c r="V180" s="19">
        <f t="shared" si="364"/>
        <v>0</v>
      </c>
      <c r="W180" s="19">
        <f t="shared" si="365"/>
        <v>0</v>
      </c>
      <c r="X180" s="19">
        <f t="shared" si="366"/>
        <v>0.17</v>
      </c>
      <c r="Y180" s="19">
        <f t="shared" si="367"/>
        <v>0.83</v>
      </c>
      <c r="Z180" s="19">
        <f t="shared" si="368"/>
        <v>0</v>
      </c>
      <c r="AA180" s="18"/>
      <c r="AB180" s="56" t="e">
        <f t="shared" si="369"/>
        <v>#VALUE!</v>
      </c>
      <c r="AC180" s="16">
        <f t="shared" si="370"/>
        <v>8030</v>
      </c>
      <c r="AD180" s="15" t="e">
        <f t="shared" si="371"/>
        <v>#VALUE!</v>
      </c>
      <c r="AE180" s="42"/>
      <c r="AF180" s="10">
        <f t="shared" si="372"/>
        <v>1003.75</v>
      </c>
      <c r="AG180" s="10"/>
      <c r="AH180" s="21">
        <f t="shared" si="373"/>
        <v>0</v>
      </c>
      <c r="AI180" s="54">
        <f t="shared" si="374"/>
        <v>0</v>
      </c>
      <c r="AJ180" s="18">
        <f t="shared" si="375"/>
        <v>0</v>
      </c>
      <c r="AK180" s="18">
        <f t="shared" si="376"/>
        <v>0</v>
      </c>
      <c r="AL180" s="18">
        <f t="shared" si="377"/>
        <v>0</v>
      </c>
      <c r="AM180" s="25">
        <f t="shared" si="378"/>
        <v>0</v>
      </c>
      <c r="AN180" s="25">
        <f t="shared" si="379"/>
        <v>0</v>
      </c>
      <c r="AO180" s="25">
        <f t="shared" si="380"/>
        <v>0</v>
      </c>
      <c r="AP180" s="25">
        <f t="shared" si="381"/>
        <v>0</v>
      </c>
      <c r="AQ180" s="25">
        <f t="shared" si="382"/>
        <v>0</v>
      </c>
      <c r="AR180" s="25">
        <f t="shared" si="383"/>
        <v>0</v>
      </c>
      <c r="AS180" s="25">
        <f t="shared" si="384"/>
        <v>0</v>
      </c>
      <c r="AT180" s="25">
        <f t="shared" si="385"/>
        <v>0</v>
      </c>
      <c r="AU180" s="80"/>
      <c r="AV180" s="79">
        <f t="shared" si="386"/>
        <v>0</v>
      </c>
      <c r="AW180" s="79">
        <f t="shared" si="479"/>
        <v>0</v>
      </c>
      <c r="AX180" s="30">
        <f t="shared" si="387"/>
        <v>0</v>
      </c>
      <c r="AY180" s="78" t="e">
        <f t="shared" si="388"/>
        <v>#DIV/0!</v>
      </c>
      <c r="AZ180" s="79">
        <f t="shared" si="389"/>
        <v>0</v>
      </c>
      <c r="BA180" s="30">
        <f t="shared" si="390"/>
        <v>0</v>
      </c>
      <c r="BB180" s="78" t="e">
        <f t="shared" si="391"/>
        <v>#DIV/0!</v>
      </c>
      <c r="BC180" s="79">
        <f t="shared" si="392"/>
        <v>0</v>
      </c>
      <c r="BD180" s="30">
        <f t="shared" si="393"/>
        <v>0</v>
      </c>
      <c r="BE180" s="78" t="e">
        <f t="shared" si="394"/>
        <v>#DIV/0!</v>
      </c>
      <c r="BF180" s="79">
        <f t="shared" si="395"/>
        <v>0</v>
      </c>
      <c r="BG180" s="30">
        <f t="shared" si="396"/>
        <v>0</v>
      </c>
      <c r="BH180" s="78" t="e">
        <f t="shared" si="397"/>
        <v>#DIV/0!</v>
      </c>
      <c r="BI180" s="79">
        <f t="shared" si="398"/>
        <v>0</v>
      </c>
      <c r="BJ180" s="30">
        <f t="shared" si="399"/>
        <v>0</v>
      </c>
      <c r="BK180" s="78" t="e">
        <f t="shared" si="400"/>
        <v>#DIV/0!</v>
      </c>
      <c r="BL180" s="79">
        <f t="shared" si="401"/>
        <v>0</v>
      </c>
      <c r="BM180" s="30">
        <f t="shared" si="402"/>
        <v>0</v>
      </c>
      <c r="BN180" s="78" t="e">
        <f t="shared" si="403"/>
        <v>#DIV/0!</v>
      </c>
      <c r="BO180" s="79">
        <f t="shared" si="404"/>
        <v>0</v>
      </c>
      <c r="BP180" s="30">
        <f t="shared" si="405"/>
        <v>0</v>
      </c>
      <c r="BQ180" s="78" t="e">
        <f t="shared" si="406"/>
        <v>#DIV/0!</v>
      </c>
      <c r="BR180" s="79">
        <f t="shared" si="407"/>
        <v>0</v>
      </c>
      <c r="BS180" s="30">
        <f t="shared" si="408"/>
        <v>0</v>
      </c>
      <c r="BT180" s="78" t="e">
        <f t="shared" si="409"/>
        <v>#DIV/0!</v>
      </c>
      <c r="BU180" s="79">
        <f t="shared" si="410"/>
        <v>0</v>
      </c>
      <c r="BV180" s="30">
        <f t="shared" si="411"/>
        <v>0</v>
      </c>
      <c r="BW180" s="78" t="e">
        <f t="shared" si="412"/>
        <v>#DIV/0!</v>
      </c>
      <c r="BX180" s="79">
        <f t="shared" si="413"/>
        <v>0</v>
      </c>
      <c r="BY180" s="30">
        <f t="shared" si="414"/>
        <v>0</v>
      </c>
      <c r="BZ180" s="78" t="e">
        <f t="shared" si="415"/>
        <v>#DIV/0!</v>
      </c>
      <c r="CA180" s="79">
        <f t="shared" si="416"/>
        <v>0</v>
      </c>
      <c r="CB180" s="30">
        <f t="shared" si="417"/>
        <v>0</v>
      </c>
      <c r="CC180" s="78" t="e">
        <f t="shared" si="418"/>
        <v>#DIV/0!</v>
      </c>
      <c r="CD180" s="79">
        <f t="shared" si="419"/>
        <v>0</v>
      </c>
      <c r="CE180" s="30">
        <f t="shared" si="420"/>
        <v>0</v>
      </c>
      <c r="CF180" s="78" t="e">
        <f t="shared" si="421"/>
        <v>#DIV/0!</v>
      </c>
      <c r="CG180" s="79">
        <f t="shared" si="422"/>
        <v>0</v>
      </c>
      <c r="CH180" s="30">
        <f t="shared" si="423"/>
        <v>0</v>
      </c>
      <c r="CI180" s="78" t="e">
        <f t="shared" si="424"/>
        <v>#DIV/0!</v>
      </c>
      <c r="CJ180" s="79">
        <f t="shared" si="425"/>
        <v>0</v>
      </c>
      <c r="CK180" s="30">
        <f t="shared" si="426"/>
        <v>0</v>
      </c>
      <c r="CL180" s="78" t="e">
        <f t="shared" si="427"/>
        <v>#DIV/0!</v>
      </c>
      <c r="CM180" s="79">
        <f t="shared" si="428"/>
        <v>0</v>
      </c>
      <c r="CN180" s="30">
        <f t="shared" si="429"/>
        <v>0</v>
      </c>
      <c r="CO180" s="78" t="e">
        <f t="shared" si="430"/>
        <v>#DIV/0!</v>
      </c>
      <c r="CP180" s="79">
        <f t="shared" si="431"/>
        <v>0</v>
      </c>
      <c r="CQ180" s="30">
        <f t="shared" si="432"/>
        <v>0</v>
      </c>
      <c r="CR180" s="78" t="e">
        <f t="shared" si="433"/>
        <v>#DIV/0!</v>
      </c>
      <c r="CS180" s="79">
        <f t="shared" si="434"/>
        <v>0</v>
      </c>
      <c r="CT180" s="30">
        <f t="shared" si="435"/>
        <v>0</v>
      </c>
      <c r="CU180" s="78" t="e">
        <f t="shared" si="436"/>
        <v>#DIV/0!</v>
      </c>
      <c r="CV180" s="79">
        <f t="shared" si="437"/>
        <v>0</v>
      </c>
      <c r="CW180" s="30">
        <f t="shared" si="438"/>
        <v>0</v>
      </c>
      <c r="CX180" s="78" t="e">
        <f t="shared" si="439"/>
        <v>#DIV/0!</v>
      </c>
      <c r="CY180" s="79">
        <f t="shared" si="440"/>
        <v>0</v>
      </c>
      <c r="CZ180" s="30">
        <f t="shared" si="441"/>
        <v>0</v>
      </c>
      <c r="DA180" s="78" t="e">
        <f t="shared" si="442"/>
        <v>#DIV/0!</v>
      </c>
      <c r="DB180" s="79">
        <f t="shared" si="443"/>
        <v>0</v>
      </c>
      <c r="DC180" s="30">
        <f t="shared" si="444"/>
        <v>0</v>
      </c>
      <c r="DD180" s="78" t="e">
        <f t="shared" si="445"/>
        <v>#DIV/0!</v>
      </c>
      <c r="DE180" s="79">
        <f t="shared" si="446"/>
        <v>0</v>
      </c>
      <c r="DF180" s="30">
        <f t="shared" si="447"/>
        <v>0</v>
      </c>
      <c r="DG180" s="78" t="e">
        <f t="shared" si="448"/>
        <v>#DIV/0!</v>
      </c>
      <c r="DH180" s="79">
        <f t="shared" si="449"/>
        <v>0</v>
      </c>
      <c r="DI180" s="30">
        <f t="shared" si="450"/>
        <v>0</v>
      </c>
      <c r="DJ180" s="78" t="e">
        <f t="shared" si="451"/>
        <v>#DIV/0!</v>
      </c>
      <c r="DK180" s="79">
        <f t="shared" si="452"/>
        <v>0</v>
      </c>
      <c r="DL180" s="30">
        <f t="shared" si="453"/>
        <v>0</v>
      </c>
      <c r="DM180" s="78" t="e">
        <f t="shared" si="454"/>
        <v>#DIV/0!</v>
      </c>
      <c r="DN180" s="79">
        <f t="shared" si="455"/>
        <v>0</v>
      </c>
      <c r="DO180" s="30">
        <f t="shared" si="456"/>
        <v>0</v>
      </c>
      <c r="DP180" s="78" t="e">
        <f t="shared" si="457"/>
        <v>#DIV/0!</v>
      </c>
      <c r="DQ180" s="79">
        <f t="shared" si="458"/>
        <v>0</v>
      </c>
      <c r="DR180" s="30">
        <f t="shared" si="459"/>
        <v>0</v>
      </c>
      <c r="DS180" s="78" t="e">
        <f t="shared" si="460"/>
        <v>#DIV/0!</v>
      </c>
      <c r="DT180" s="79">
        <f t="shared" si="461"/>
        <v>0</v>
      </c>
      <c r="DU180" s="30">
        <f t="shared" si="462"/>
        <v>0</v>
      </c>
      <c r="DV180" s="78" t="e">
        <f t="shared" si="463"/>
        <v>#DIV/0!</v>
      </c>
      <c r="DW180" s="79">
        <f t="shared" si="464"/>
        <v>0</v>
      </c>
      <c r="DX180" s="30">
        <f t="shared" si="465"/>
        <v>0</v>
      </c>
      <c r="DY180" s="78" t="e">
        <f t="shared" si="466"/>
        <v>#DIV/0!</v>
      </c>
      <c r="DZ180" s="79">
        <f t="shared" si="467"/>
        <v>0</v>
      </c>
      <c r="EA180" s="30">
        <f t="shared" si="468"/>
        <v>0</v>
      </c>
      <c r="EB180" s="78" t="e">
        <f t="shared" si="469"/>
        <v>#DIV/0!</v>
      </c>
      <c r="EC180" s="79">
        <f t="shared" si="470"/>
        <v>0</v>
      </c>
      <c r="ED180" s="30">
        <f t="shared" si="471"/>
        <v>0</v>
      </c>
      <c r="EE180" s="78" t="e">
        <f t="shared" si="472"/>
        <v>#DIV/0!</v>
      </c>
      <c r="EF180" s="79">
        <f t="shared" si="473"/>
        <v>0</v>
      </c>
      <c r="EG180" s="30">
        <f t="shared" si="474"/>
        <v>0</v>
      </c>
      <c r="EH180" s="78" t="e">
        <f t="shared" si="475"/>
        <v>#DIV/0!</v>
      </c>
      <c r="EI180" s="79">
        <f t="shared" si="476"/>
        <v>0</v>
      </c>
      <c r="EJ180" s="30">
        <f t="shared" si="477"/>
        <v>0</v>
      </c>
      <c r="EK180" s="78" t="e">
        <f t="shared" si="478"/>
        <v>#DIV/0!</v>
      </c>
    </row>
    <row r="181" spans="1:155" s="12" customFormat="1" ht="14.25" hidden="1" customHeight="1">
      <c r="A181" s="25">
        <v>26</v>
      </c>
      <c r="B181" s="26"/>
      <c r="C181" s="121" t="s">
        <v>162</v>
      </c>
      <c r="D181" s="123">
        <v>18</v>
      </c>
      <c r="E181" s="60" t="s">
        <v>161</v>
      </c>
      <c r="F181" s="59"/>
      <c r="G181" s="82">
        <f t="shared" si="349"/>
        <v>0</v>
      </c>
      <c r="H181" s="81">
        <f t="shared" si="350"/>
        <v>19.329999999999998</v>
      </c>
      <c r="I181" s="19">
        <f t="shared" si="351"/>
        <v>0</v>
      </c>
      <c r="J181" s="11">
        <f t="shared" si="352"/>
        <v>4.34</v>
      </c>
      <c r="K181" s="19">
        <f t="shared" si="353"/>
        <v>0</v>
      </c>
      <c r="L181" s="19">
        <f t="shared" si="354"/>
        <v>0</v>
      </c>
      <c r="M181" s="19">
        <f t="shared" si="355"/>
        <v>0.17</v>
      </c>
      <c r="N181" s="19">
        <f t="shared" si="356"/>
        <v>0.83000000000000007</v>
      </c>
      <c r="O181" s="19">
        <f t="shared" si="357"/>
        <v>0</v>
      </c>
      <c r="P181" s="19">
        <f t="shared" si="358"/>
        <v>0</v>
      </c>
      <c r="Q181" s="19">
        <f t="shared" si="359"/>
        <v>0</v>
      </c>
      <c r="R181" s="19">
        <f t="shared" si="360"/>
        <v>0</v>
      </c>
      <c r="S181" s="19">
        <f t="shared" si="361"/>
        <v>0</v>
      </c>
      <c r="T181" s="19">
        <f t="shared" si="362"/>
        <v>2.5</v>
      </c>
      <c r="U181" s="19">
        <f t="shared" si="363"/>
        <v>0</v>
      </c>
      <c r="V181" s="19">
        <f t="shared" si="364"/>
        <v>0</v>
      </c>
      <c r="W181" s="19">
        <f t="shared" si="365"/>
        <v>0.5</v>
      </c>
      <c r="X181" s="19">
        <f t="shared" si="366"/>
        <v>0.34</v>
      </c>
      <c r="Y181" s="19">
        <f t="shared" si="367"/>
        <v>0</v>
      </c>
      <c r="Z181" s="19">
        <f t="shared" si="368"/>
        <v>0</v>
      </c>
      <c r="AA181" s="18"/>
      <c r="AB181" s="56" t="e">
        <f t="shared" si="369"/>
        <v>#VALUE!</v>
      </c>
      <c r="AC181" s="16">
        <f t="shared" si="370"/>
        <v>11677</v>
      </c>
      <c r="AD181" s="15" t="e">
        <f t="shared" si="371"/>
        <v>#VALUE!</v>
      </c>
      <c r="AE181" s="42"/>
      <c r="AF181" s="10">
        <f t="shared" si="372"/>
        <v>604.0869115364718</v>
      </c>
      <c r="AG181" s="10"/>
      <c r="AH181" s="21">
        <f t="shared" si="373"/>
        <v>302</v>
      </c>
      <c r="AI181" s="54">
        <f t="shared" si="374"/>
        <v>2.5862807227883873E-2</v>
      </c>
      <c r="AJ181" s="18">
        <f t="shared" si="375"/>
        <v>302</v>
      </c>
      <c r="AK181" s="18">
        <f t="shared" si="376"/>
        <v>0</v>
      </c>
      <c r="AL181" s="18">
        <f t="shared" si="377"/>
        <v>0</v>
      </c>
      <c r="AM181" s="25">
        <f t="shared" si="378"/>
        <v>0</v>
      </c>
      <c r="AN181" s="25">
        <f t="shared" si="379"/>
        <v>0</v>
      </c>
      <c r="AO181" s="25">
        <f t="shared" si="380"/>
        <v>0</v>
      </c>
      <c r="AP181" s="25">
        <f t="shared" si="381"/>
        <v>0</v>
      </c>
      <c r="AQ181" s="25">
        <f t="shared" si="382"/>
        <v>0</v>
      </c>
      <c r="AR181" s="25">
        <f t="shared" si="383"/>
        <v>0</v>
      </c>
      <c r="AS181" s="25">
        <f t="shared" si="384"/>
        <v>0</v>
      </c>
      <c r="AT181" s="25">
        <f t="shared" si="385"/>
        <v>0</v>
      </c>
      <c r="AU181" s="80"/>
      <c r="AV181" s="79">
        <f t="shared" si="386"/>
        <v>0</v>
      </c>
      <c r="AW181" s="79">
        <f t="shared" si="479"/>
        <v>0</v>
      </c>
      <c r="AX181" s="30">
        <f t="shared" si="387"/>
        <v>0</v>
      </c>
      <c r="AY181" s="78" t="e">
        <f t="shared" si="388"/>
        <v>#DIV/0!</v>
      </c>
      <c r="AZ181" s="79">
        <f t="shared" si="389"/>
        <v>0</v>
      </c>
      <c r="BA181" s="30">
        <f t="shared" si="390"/>
        <v>0</v>
      </c>
      <c r="BB181" s="78" t="e">
        <f t="shared" si="391"/>
        <v>#DIV/0!</v>
      </c>
      <c r="BC181" s="79">
        <f t="shared" si="392"/>
        <v>0</v>
      </c>
      <c r="BD181" s="30">
        <f t="shared" si="393"/>
        <v>0</v>
      </c>
      <c r="BE181" s="78" t="e">
        <f t="shared" si="394"/>
        <v>#DIV/0!</v>
      </c>
      <c r="BF181" s="79">
        <f t="shared" si="395"/>
        <v>0</v>
      </c>
      <c r="BG181" s="30">
        <f t="shared" si="396"/>
        <v>0</v>
      </c>
      <c r="BH181" s="78" t="e">
        <f t="shared" si="397"/>
        <v>#DIV/0!</v>
      </c>
      <c r="BI181" s="79">
        <f t="shared" si="398"/>
        <v>0</v>
      </c>
      <c r="BJ181" s="30">
        <f t="shared" si="399"/>
        <v>0</v>
      </c>
      <c r="BK181" s="78" t="e">
        <f t="shared" si="400"/>
        <v>#DIV/0!</v>
      </c>
      <c r="BL181" s="79">
        <f t="shared" si="401"/>
        <v>0</v>
      </c>
      <c r="BM181" s="30">
        <f t="shared" si="402"/>
        <v>0</v>
      </c>
      <c r="BN181" s="78" t="e">
        <f t="shared" si="403"/>
        <v>#DIV/0!</v>
      </c>
      <c r="BO181" s="79">
        <f t="shared" si="404"/>
        <v>0</v>
      </c>
      <c r="BP181" s="30">
        <f t="shared" si="405"/>
        <v>0</v>
      </c>
      <c r="BQ181" s="78" t="e">
        <f t="shared" si="406"/>
        <v>#DIV/0!</v>
      </c>
      <c r="BR181" s="79">
        <f t="shared" si="407"/>
        <v>0</v>
      </c>
      <c r="BS181" s="30">
        <f t="shared" si="408"/>
        <v>0</v>
      </c>
      <c r="BT181" s="78" t="e">
        <f t="shared" si="409"/>
        <v>#DIV/0!</v>
      </c>
      <c r="BU181" s="79">
        <f t="shared" si="410"/>
        <v>0</v>
      </c>
      <c r="BV181" s="30">
        <f t="shared" si="411"/>
        <v>0</v>
      </c>
      <c r="BW181" s="78" t="e">
        <f t="shared" si="412"/>
        <v>#DIV/0!</v>
      </c>
      <c r="BX181" s="79">
        <f t="shared" si="413"/>
        <v>0</v>
      </c>
      <c r="BY181" s="30">
        <f t="shared" si="414"/>
        <v>0</v>
      </c>
      <c r="BZ181" s="78" t="e">
        <f t="shared" si="415"/>
        <v>#DIV/0!</v>
      </c>
      <c r="CA181" s="79">
        <f t="shared" si="416"/>
        <v>0</v>
      </c>
      <c r="CB181" s="30">
        <f t="shared" si="417"/>
        <v>0</v>
      </c>
      <c r="CC181" s="78" t="e">
        <f t="shared" si="418"/>
        <v>#DIV/0!</v>
      </c>
      <c r="CD181" s="79">
        <f t="shared" si="419"/>
        <v>0</v>
      </c>
      <c r="CE181" s="30">
        <f t="shared" si="420"/>
        <v>0</v>
      </c>
      <c r="CF181" s="78" t="e">
        <f t="shared" si="421"/>
        <v>#DIV/0!</v>
      </c>
      <c r="CG181" s="79">
        <f t="shared" si="422"/>
        <v>0</v>
      </c>
      <c r="CH181" s="30">
        <f t="shared" si="423"/>
        <v>0</v>
      </c>
      <c r="CI181" s="78" t="e">
        <f t="shared" si="424"/>
        <v>#DIV/0!</v>
      </c>
      <c r="CJ181" s="79">
        <f t="shared" si="425"/>
        <v>0</v>
      </c>
      <c r="CK181" s="30">
        <f t="shared" si="426"/>
        <v>0</v>
      </c>
      <c r="CL181" s="78" t="e">
        <f t="shared" si="427"/>
        <v>#DIV/0!</v>
      </c>
      <c r="CM181" s="79">
        <f t="shared" si="428"/>
        <v>0</v>
      </c>
      <c r="CN181" s="30">
        <f t="shared" si="429"/>
        <v>0</v>
      </c>
      <c r="CO181" s="78" t="e">
        <f t="shared" si="430"/>
        <v>#DIV/0!</v>
      </c>
      <c r="CP181" s="79">
        <f t="shared" si="431"/>
        <v>0</v>
      </c>
      <c r="CQ181" s="30">
        <f t="shared" si="432"/>
        <v>0</v>
      </c>
      <c r="CR181" s="78" t="e">
        <f t="shared" si="433"/>
        <v>#DIV/0!</v>
      </c>
      <c r="CS181" s="79">
        <f t="shared" si="434"/>
        <v>0</v>
      </c>
      <c r="CT181" s="30">
        <f t="shared" si="435"/>
        <v>0</v>
      </c>
      <c r="CU181" s="78" t="e">
        <f t="shared" si="436"/>
        <v>#DIV/0!</v>
      </c>
      <c r="CV181" s="79">
        <f t="shared" si="437"/>
        <v>0</v>
      </c>
      <c r="CW181" s="30">
        <f t="shared" si="438"/>
        <v>0</v>
      </c>
      <c r="CX181" s="78" t="e">
        <f t="shared" si="439"/>
        <v>#DIV/0!</v>
      </c>
      <c r="CY181" s="79">
        <f t="shared" si="440"/>
        <v>0</v>
      </c>
      <c r="CZ181" s="30">
        <f t="shared" si="441"/>
        <v>0</v>
      </c>
      <c r="DA181" s="78" t="e">
        <f t="shared" si="442"/>
        <v>#DIV/0!</v>
      </c>
      <c r="DB181" s="79">
        <f t="shared" si="443"/>
        <v>0</v>
      </c>
      <c r="DC181" s="30">
        <f t="shared" si="444"/>
        <v>0</v>
      </c>
      <c r="DD181" s="78" t="e">
        <f t="shared" si="445"/>
        <v>#DIV/0!</v>
      </c>
      <c r="DE181" s="79">
        <f t="shared" si="446"/>
        <v>0</v>
      </c>
      <c r="DF181" s="30">
        <f t="shared" si="447"/>
        <v>0</v>
      </c>
      <c r="DG181" s="78" t="e">
        <f t="shared" si="448"/>
        <v>#DIV/0!</v>
      </c>
      <c r="DH181" s="79">
        <f t="shared" si="449"/>
        <v>0</v>
      </c>
      <c r="DI181" s="30">
        <f t="shared" si="450"/>
        <v>0</v>
      </c>
      <c r="DJ181" s="78" t="e">
        <f t="shared" si="451"/>
        <v>#DIV/0!</v>
      </c>
      <c r="DK181" s="79">
        <f t="shared" si="452"/>
        <v>0</v>
      </c>
      <c r="DL181" s="30">
        <f t="shared" si="453"/>
        <v>0</v>
      </c>
      <c r="DM181" s="78" t="e">
        <f t="shared" si="454"/>
        <v>#DIV/0!</v>
      </c>
      <c r="DN181" s="79">
        <f t="shared" si="455"/>
        <v>0</v>
      </c>
      <c r="DO181" s="30">
        <f t="shared" si="456"/>
        <v>0</v>
      </c>
      <c r="DP181" s="78" t="e">
        <f t="shared" si="457"/>
        <v>#DIV/0!</v>
      </c>
      <c r="DQ181" s="79">
        <f t="shared" si="458"/>
        <v>0</v>
      </c>
      <c r="DR181" s="30">
        <f t="shared" si="459"/>
        <v>0</v>
      </c>
      <c r="DS181" s="78" t="e">
        <f t="shared" si="460"/>
        <v>#DIV/0!</v>
      </c>
      <c r="DT181" s="79">
        <f t="shared" si="461"/>
        <v>0</v>
      </c>
      <c r="DU181" s="30">
        <f t="shared" si="462"/>
        <v>0</v>
      </c>
      <c r="DV181" s="78" t="e">
        <f t="shared" si="463"/>
        <v>#DIV/0!</v>
      </c>
      <c r="DW181" s="79">
        <f t="shared" si="464"/>
        <v>0</v>
      </c>
      <c r="DX181" s="30">
        <f t="shared" si="465"/>
        <v>0</v>
      </c>
      <c r="DY181" s="78" t="e">
        <f t="shared" si="466"/>
        <v>#DIV/0!</v>
      </c>
      <c r="DZ181" s="79">
        <f t="shared" si="467"/>
        <v>0</v>
      </c>
      <c r="EA181" s="30">
        <f t="shared" si="468"/>
        <v>0</v>
      </c>
      <c r="EB181" s="78" t="e">
        <f t="shared" si="469"/>
        <v>#DIV/0!</v>
      </c>
      <c r="EC181" s="79">
        <f t="shared" si="470"/>
        <v>0</v>
      </c>
      <c r="ED181" s="30">
        <f t="shared" si="471"/>
        <v>0</v>
      </c>
      <c r="EE181" s="78" t="e">
        <f t="shared" si="472"/>
        <v>#DIV/0!</v>
      </c>
      <c r="EF181" s="79">
        <f t="shared" si="473"/>
        <v>0</v>
      </c>
      <c r="EG181" s="30">
        <f t="shared" si="474"/>
        <v>0</v>
      </c>
      <c r="EH181" s="78" t="e">
        <f t="shared" si="475"/>
        <v>#DIV/0!</v>
      </c>
      <c r="EI181" s="79">
        <f t="shared" si="476"/>
        <v>0</v>
      </c>
      <c r="EJ181" s="30">
        <f t="shared" si="477"/>
        <v>0</v>
      </c>
      <c r="EK181" s="78" t="e">
        <f t="shared" si="478"/>
        <v>#DIV/0!</v>
      </c>
    </row>
    <row r="182" spans="1:155" s="12" customFormat="1" ht="14.25" hidden="1" customHeight="1">
      <c r="A182" s="25">
        <v>27</v>
      </c>
      <c r="B182" s="26"/>
      <c r="C182" s="121" t="s">
        <v>160</v>
      </c>
      <c r="D182" s="122">
        <v>19</v>
      </c>
      <c r="E182" s="60" t="s">
        <v>159</v>
      </c>
      <c r="F182" s="59"/>
      <c r="G182" s="82">
        <f t="shared" si="349"/>
        <v>0</v>
      </c>
      <c r="H182" s="81">
        <f t="shared" si="350"/>
        <v>10.16</v>
      </c>
      <c r="I182" s="19">
        <f t="shared" si="351"/>
        <v>0</v>
      </c>
      <c r="J182" s="11">
        <f t="shared" si="352"/>
        <v>2.17</v>
      </c>
      <c r="K182" s="19">
        <f t="shared" si="353"/>
        <v>0</v>
      </c>
      <c r="L182" s="19">
        <f t="shared" si="354"/>
        <v>0</v>
      </c>
      <c r="M182" s="19">
        <f t="shared" si="355"/>
        <v>0</v>
      </c>
      <c r="N182" s="19">
        <f t="shared" si="356"/>
        <v>0.17</v>
      </c>
      <c r="O182" s="19">
        <f t="shared" si="357"/>
        <v>0</v>
      </c>
      <c r="P182" s="19">
        <f t="shared" si="358"/>
        <v>0</v>
      </c>
      <c r="Q182" s="19">
        <f t="shared" si="359"/>
        <v>0</v>
      </c>
      <c r="R182" s="19">
        <f t="shared" si="360"/>
        <v>0</v>
      </c>
      <c r="S182" s="19">
        <f t="shared" si="361"/>
        <v>0</v>
      </c>
      <c r="T182" s="19">
        <f t="shared" si="362"/>
        <v>1</v>
      </c>
      <c r="U182" s="19">
        <f t="shared" si="363"/>
        <v>0</v>
      </c>
      <c r="V182" s="19">
        <f t="shared" si="364"/>
        <v>0.83</v>
      </c>
      <c r="W182" s="19">
        <f t="shared" si="365"/>
        <v>0</v>
      </c>
      <c r="X182" s="19">
        <f t="shared" si="366"/>
        <v>0.17</v>
      </c>
      <c r="Y182" s="19">
        <f t="shared" si="367"/>
        <v>0</v>
      </c>
      <c r="Z182" s="19">
        <f t="shared" si="368"/>
        <v>0</v>
      </c>
      <c r="AA182" s="18"/>
      <c r="AB182" s="56" t="e">
        <f t="shared" si="369"/>
        <v>#VALUE!</v>
      </c>
      <c r="AC182" s="16">
        <f t="shared" si="370"/>
        <v>2940</v>
      </c>
      <c r="AD182" s="15" t="e">
        <f t="shared" si="371"/>
        <v>#VALUE!</v>
      </c>
      <c r="AE182" s="42"/>
      <c r="AF182" s="10">
        <f t="shared" si="372"/>
        <v>289.37007874015745</v>
      </c>
      <c r="AG182" s="10"/>
      <c r="AH182" s="21">
        <f t="shared" si="373"/>
        <v>0</v>
      </c>
      <c r="AI182" s="54">
        <f t="shared" si="374"/>
        <v>0</v>
      </c>
      <c r="AJ182" s="18">
        <f t="shared" si="375"/>
        <v>0</v>
      </c>
      <c r="AK182" s="18">
        <f t="shared" si="376"/>
        <v>0</v>
      </c>
      <c r="AL182" s="18">
        <f t="shared" si="377"/>
        <v>0</v>
      </c>
      <c r="AM182" s="25">
        <f t="shared" si="378"/>
        <v>0</v>
      </c>
      <c r="AN182" s="25">
        <f t="shared" si="379"/>
        <v>0</v>
      </c>
      <c r="AO182" s="25">
        <f t="shared" si="380"/>
        <v>0</v>
      </c>
      <c r="AP182" s="25">
        <f t="shared" si="381"/>
        <v>0</v>
      </c>
      <c r="AQ182" s="25">
        <f t="shared" si="382"/>
        <v>0</v>
      </c>
      <c r="AR182" s="25">
        <f t="shared" si="383"/>
        <v>0</v>
      </c>
      <c r="AS182" s="25">
        <f t="shared" si="384"/>
        <v>0</v>
      </c>
      <c r="AT182" s="25">
        <f t="shared" si="385"/>
        <v>0</v>
      </c>
      <c r="AU182" s="80"/>
      <c r="AV182" s="79">
        <f t="shared" si="386"/>
        <v>0</v>
      </c>
      <c r="AW182" s="79">
        <f t="shared" si="479"/>
        <v>0</v>
      </c>
      <c r="AX182" s="30">
        <f t="shared" si="387"/>
        <v>0</v>
      </c>
      <c r="AY182" s="78" t="e">
        <f t="shared" si="388"/>
        <v>#DIV/0!</v>
      </c>
      <c r="AZ182" s="79">
        <f t="shared" si="389"/>
        <v>0</v>
      </c>
      <c r="BA182" s="30">
        <f t="shared" si="390"/>
        <v>0</v>
      </c>
      <c r="BB182" s="78" t="e">
        <f t="shared" si="391"/>
        <v>#DIV/0!</v>
      </c>
      <c r="BC182" s="79">
        <f t="shared" si="392"/>
        <v>0</v>
      </c>
      <c r="BD182" s="30">
        <f t="shared" si="393"/>
        <v>0</v>
      </c>
      <c r="BE182" s="78" t="e">
        <f t="shared" si="394"/>
        <v>#DIV/0!</v>
      </c>
      <c r="BF182" s="79">
        <f t="shared" si="395"/>
        <v>0</v>
      </c>
      <c r="BG182" s="30">
        <f t="shared" si="396"/>
        <v>0</v>
      </c>
      <c r="BH182" s="78" t="e">
        <f t="shared" si="397"/>
        <v>#DIV/0!</v>
      </c>
      <c r="BI182" s="79">
        <f t="shared" si="398"/>
        <v>0</v>
      </c>
      <c r="BJ182" s="30">
        <f t="shared" si="399"/>
        <v>0</v>
      </c>
      <c r="BK182" s="78" t="e">
        <f t="shared" si="400"/>
        <v>#DIV/0!</v>
      </c>
      <c r="BL182" s="79">
        <f t="shared" si="401"/>
        <v>0</v>
      </c>
      <c r="BM182" s="30">
        <f t="shared" si="402"/>
        <v>0</v>
      </c>
      <c r="BN182" s="78" t="e">
        <f t="shared" si="403"/>
        <v>#DIV/0!</v>
      </c>
      <c r="BO182" s="79">
        <f t="shared" si="404"/>
        <v>0</v>
      </c>
      <c r="BP182" s="30">
        <f t="shared" si="405"/>
        <v>0</v>
      </c>
      <c r="BQ182" s="78" t="e">
        <f t="shared" si="406"/>
        <v>#DIV/0!</v>
      </c>
      <c r="BR182" s="79">
        <f t="shared" si="407"/>
        <v>0</v>
      </c>
      <c r="BS182" s="30">
        <f t="shared" si="408"/>
        <v>0</v>
      </c>
      <c r="BT182" s="78" t="e">
        <f t="shared" si="409"/>
        <v>#DIV/0!</v>
      </c>
      <c r="BU182" s="79">
        <f t="shared" si="410"/>
        <v>0</v>
      </c>
      <c r="BV182" s="30">
        <f t="shared" si="411"/>
        <v>0</v>
      </c>
      <c r="BW182" s="78" t="e">
        <f t="shared" si="412"/>
        <v>#DIV/0!</v>
      </c>
      <c r="BX182" s="79">
        <f t="shared" si="413"/>
        <v>0</v>
      </c>
      <c r="BY182" s="30">
        <f t="shared" si="414"/>
        <v>0</v>
      </c>
      <c r="BZ182" s="78" t="e">
        <f t="shared" si="415"/>
        <v>#DIV/0!</v>
      </c>
      <c r="CA182" s="79">
        <f t="shared" si="416"/>
        <v>0</v>
      </c>
      <c r="CB182" s="30">
        <f t="shared" si="417"/>
        <v>0</v>
      </c>
      <c r="CC182" s="78" t="e">
        <f t="shared" si="418"/>
        <v>#DIV/0!</v>
      </c>
      <c r="CD182" s="79">
        <f t="shared" si="419"/>
        <v>0</v>
      </c>
      <c r="CE182" s="30">
        <f t="shared" si="420"/>
        <v>0</v>
      </c>
      <c r="CF182" s="78" t="e">
        <f t="shared" si="421"/>
        <v>#DIV/0!</v>
      </c>
      <c r="CG182" s="79">
        <f t="shared" si="422"/>
        <v>0</v>
      </c>
      <c r="CH182" s="30">
        <f t="shared" si="423"/>
        <v>0</v>
      </c>
      <c r="CI182" s="78" t="e">
        <f t="shared" si="424"/>
        <v>#DIV/0!</v>
      </c>
      <c r="CJ182" s="79">
        <f t="shared" si="425"/>
        <v>0</v>
      </c>
      <c r="CK182" s="30">
        <f t="shared" si="426"/>
        <v>0</v>
      </c>
      <c r="CL182" s="78" t="e">
        <f t="shared" si="427"/>
        <v>#DIV/0!</v>
      </c>
      <c r="CM182" s="79">
        <f t="shared" si="428"/>
        <v>0</v>
      </c>
      <c r="CN182" s="30">
        <f t="shared" si="429"/>
        <v>0</v>
      </c>
      <c r="CO182" s="78" t="e">
        <f t="shared" si="430"/>
        <v>#DIV/0!</v>
      </c>
      <c r="CP182" s="79">
        <f t="shared" si="431"/>
        <v>0</v>
      </c>
      <c r="CQ182" s="30">
        <f t="shared" si="432"/>
        <v>0</v>
      </c>
      <c r="CR182" s="78" t="e">
        <f t="shared" si="433"/>
        <v>#DIV/0!</v>
      </c>
      <c r="CS182" s="79">
        <f t="shared" si="434"/>
        <v>0</v>
      </c>
      <c r="CT182" s="30">
        <f t="shared" si="435"/>
        <v>0</v>
      </c>
      <c r="CU182" s="78" t="e">
        <f t="shared" si="436"/>
        <v>#DIV/0!</v>
      </c>
      <c r="CV182" s="79">
        <f t="shared" si="437"/>
        <v>0</v>
      </c>
      <c r="CW182" s="30">
        <f t="shared" si="438"/>
        <v>0</v>
      </c>
      <c r="CX182" s="78" t="e">
        <f t="shared" si="439"/>
        <v>#DIV/0!</v>
      </c>
      <c r="CY182" s="79">
        <f t="shared" si="440"/>
        <v>0</v>
      </c>
      <c r="CZ182" s="30">
        <f t="shared" si="441"/>
        <v>0</v>
      </c>
      <c r="DA182" s="78" t="e">
        <f t="shared" si="442"/>
        <v>#DIV/0!</v>
      </c>
      <c r="DB182" s="79">
        <f t="shared" si="443"/>
        <v>0</v>
      </c>
      <c r="DC182" s="30">
        <f t="shared" si="444"/>
        <v>0</v>
      </c>
      <c r="DD182" s="78" t="e">
        <f t="shared" si="445"/>
        <v>#DIV/0!</v>
      </c>
      <c r="DE182" s="79">
        <f t="shared" si="446"/>
        <v>0</v>
      </c>
      <c r="DF182" s="30">
        <f t="shared" si="447"/>
        <v>0</v>
      </c>
      <c r="DG182" s="78" t="e">
        <f t="shared" si="448"/>
        <v>#DIV/0!</v>
      </c>
      <c r="DH182" s="79">
        <f t="shared" si="449"/>
        <v>0</v>
      </c>
      <c r="DI182" s="30">
        <f t="shared" si="450"/>
        <v>0</v>
      </c>
      <c r="DJ182" s="78" t="e">
        <f t="shared" si="451"/>
        <v>#DIV/0!</v>
      </c>
      <c r="DK182" s="79">
        <f t="shared" si="452"/>
        <v>0</v>
      </c>
      <c r="DL182" s="30">
        <f t="shared" si="453"/>
        <v>0</v>
      </c>
      <c r="DM182" s="78" t="e">
        <f t="shared" si="454"/>
        <v>#DIV/0!</v>
      </c>
      <c r="DN182" s="79">
        <f t="shared" si="455"/>
        <v>0</v>
      </c>
      <c r="DO182" s="30">
        <f t="shared" si="456"/>
        <v>0</v>
      </c>
      <c r="DP182" s="78" t="e">
        <f t="shared" si="457"/>
        <v>#DIV/0!</v>
      </c>
      <c r="DQ182" s="79">
        <f t="shared" si="458"/>
        <v>0</v>
      </c>
      <c r="DR182" s="30">
        <f t="shared" si="459"/>
        <v>0</v>
      </c>
      <c r="DS182" s="78" t="e">
        <f t="shared" si="460"/>
        <v>#DIV/0!</v>
      </c>
      <c r="DT182" s="79">
        <f t="shared" si="461"/>
        <v>0</v>
      </c>
      <c r="DU182" s="30">
        <f t="shared" si="462"/>
        <v>0</v>
      </c>
      <c r="DV182" s="78" t="e">
        <f t="shared" si="463"/>
        <v>#DIV/0!</v>
      </c>
      <c r="DW182" s="79">
        <f t="shared" si="464"/>
        <v>0</v>
      </c>
      <c r="DX182" s="30">
        <f t="shared" si="465"/>
        <v>0</v>
      </c>
      <c r="DY182" s="78" t="e">
        <f t="shared" si="466"/>
        <v>#DIV/0!</v>
      </c>
      <c r="DZ182" s="79">
        <f t="shared" si="467"/>
        <v>0</v>
      </c>
      <c r="EA182" s="30">
        <f t="shared" si="468"/>
        <v>0</v>
      </c>
      <c r="EB182" s="78" t="e">
        <f t="shared" si="469"/>
        <v>#DIV/0!</v>
      </c>
      <c r="EC182" s="79">
        <f t="shared" si="470"/>
        <v>0</v>
      </c>
      <c r="ED182" s="30">
        <f t="shared" si="471"/>
        <v>0</v>
      </c>
      <c r="EE182" s="78" t="e">
        <f t="shared" si="472"/>
        <v>#DIV/0!</v>
      </c>
      <c r="EF182" s="79">
        <f t="shared" si="473"/>
        <v>0</v>
      </c>
      <c r="EG182" s="30">
        <f t="shared" si="474"/>
        <v>0</v>
      </c>
      <c r="EH182" s="78" t="e">
        <f t="shared" si="475"/>
        <v>#DIV/0!</v>
      </c>
      <c r="EI182" s="79">
        <f t="shared" si="476"/>
        <v>0</v>
      </c>
      <c r="EJ182" s="30">
        <f t="shared" si="477"/>
        <v>0</v>
      </c>
      <c r="EK182" s="78" t="e">
        <f t="shared" si="478"/>
        <v>#DIV/0!</v>
      </c>
    </row>
    <row r="183" spans="1:155" s="12" customFormat="1" ht="14.25" hidden="1" customHeight="1">
      <c r="A183" s="25">
        <v>28</v>
      </c>
      <c r="B183" s="26" t="s">
        <v>25</v>
      </c>
      <c r="C183" s="121" t="s">
        <v>158</v>
      </c>
      <c r="D183" s="120" t="s">
        <v>51</v>
      </c>
      <c r="E183" s="60" t="s">
        <v>157</v>
      </c>
      <c r="F183" s="59"/>
      <c r="G183" s="82">
        <f t="shared" si="349"/>
        <v>0</v>
      </c>
      <c r="H183" s="81">
        <f t="shared" si="350"/>
        <v>0</v>
      </c>
      <c r="I183" s="19">
        <f t="shared" si="351"/>
        <v>0</v>
      </c>
      <c r="J183" s="11">
        <f t="shared" si="352"/>
        <v>0</v>
      </c>
      <c r="K183" s="19">
        <f t="shared" si="353"/>
        <v>0</v>
      </c>
      <c r="L183" s="19">
        <f t="shared" si="354"/>
        <v>0</v>
      </c>
      <c r="M183" s="19">
        <f t="shared" si="355"/>
        <v>0</v>
      </c>
      <c r="N183" s="19">
        <f t="shared" si="356"/>
        <v>0</v>
      </c>
      <c r="O183" s="19">
        <f t="shared" si="357"/>
        <v>0</v>
      </c>
      <c r="P183" s="19">
        <f t="shared" si="358"/>
        <v>0</v>
      </c>
      <c r="Q183" s="19">
        <f t="shared" si="359"/>
        <v>0</v>
      </c>
      <c r="R183" s="19">
        <f t="shared" si="360"/>
        <v>0</v>
      </c>
      <c r="S183" s="19">
        <f t="shared" si="361"/>
        <v>0</v>
      </c>
      <c r="T183" s="19">
        <f t="shared" si="362"/>
        <v>0</v>
      </c>
      <c r="U183" s="19">
        <f t="shared" si="363"/>
        <v>0</v>
      </c>
      <c r="V183" s="19">
        <f t="shared" si="364"/>
        <v>0</v>
      </c>
      <c r="W183" s="19">
        <f t="shared" si="365"/>
        <v>0</v>
      </c>
      <c r="X183" s="19">
        <f t="shared" si="366"/>
        <v>0</v>
      </c>
      <c r="Y183" s="19">
        <f t="shared" si="367"/>
        <v>0</v>
      </c>
      <c r="Z183" s="19">
        <f t="shared" si="368"/>
        <v>0</v>
      </c>
      <c r="AA183" s="18"/>
      <c r="AB183" s="56">
        <f t="shared" si="369"/>
        <v>0</v>
      </c>
      <c r="AC183" s="16">
        <f t="shared" si="370"/>
        <v>0</v>
      </c>
      <c r="AD183" s="15" t="e">
        <f t="shared" si="371"/>
        <v>#DIV/0!</v>
      </c>
      <c r="AE183" s="42"/>
      <c r="AF183" s="10" t="e">
        <f t="shared" si="372"/>
        <v>#DIV/0!</v>
      </c>
      <c r="AG183" s="10"/>
      <c r="AH183" s="21">
        <f t="shared" si="373"/>
        <v>0</v>
      </c>
      <c r="AI183" s="54" t="e">
        <f t="shared" si="374"/>
        <v>#DIV/0!</v>
      </c>
      <c r="AJ183" s="25">
        <f t="shared" si="375"/>
        <v>0</v>
      </c>
      <c r="AK183" s="25">
        <f t="shared" si="376"/>
        <v>0</v>
      </c>
      <c r="AL183" s="25">
        <f t="shared" si="377"/>
        <v>0</v>
      </c>
      <c r="AM183" s="25">
        <f t="shared" si="378"/>
        <v>0</v>
      </c>
      <c r="AN183" s="25">
        <f t="shared" si="379"/>
        <v>0</v>
      </c>
      <c r="AO183" s="25">
        <f t="shared" si="380"/>
        <v>0</v>
      </c>
      <c r="AP183" s="25">
        <f t="shared" si="381"/>
        <v>0</v>
      </c>
      <c r="AQ183" s="25">
        <f t="shared" si="382"/>
        <v>0</v>
      </c>
      <c r="AR183" s="25">
        <f t="shared" si="383"/>
        <v>0</v>
      </c>
      <c r="AS183" s="25">
        <f t="shared" si="384"/>
        <v>0</v>
      </c>
      <c r="AT183" s="25">
        <f t="shared" si="385"/>
        <v>0</v>
      </c>
      <c r="AU183" s="80"/>
      <c r="AV183" s="79">
        <f t="shared" si="386"/>
        <v>0</v>
      </c>
      <c r="AW183" s="79">
        <f t="shared" si="479"/>
        <v>51240</v>
      </c>
      <c r="AX183" s="30">
        <f t="shared" si="387"/>
        <v>0</v>
      </c>
      <c r="AY183" s="78">
        <f t="shared" si="388"/>
        <v>0</v>
      </c>
      <c r="AZ183" s="79">
        <f t="shared" si="389"/>
        <v>0</v>
      </c>
      <c r="BA183" s="30">
        <f t="shared" si="390"/>
        <v>0</v>
      </c>
      <c r="BB183" s="78" t="e">
        <f t="shared" si="391"/>
        <v>#DIV/0!</v>
      </c>
      <c r="BC183" s="79">
        <f t="shared" si="392"/>
        <v>0</v>
      </c>
      <c r="BD183" s="30">
        <f t="shared" si="393"/>
        <v>0</v>
      </c>
      <c r="BE183" s="78" t="e">
        <f t="shared" si="394"/>
        <v>#DIV/0!</v>
      </c>
      <c r="BF183" s="79">
        <f t="shared" si="395"/>
        <v>0</v>
      </c>
      <c r="BG183" s="30">
        <f t="shared" si="396"/>
        <v>0</v>
      </c>
      <c r="BH183" s="78" t="e">
        <f t="shared" si="397"/>
        <v>#DIV/0!</v>
      </c>
      <c r="BI183" s="79">
        <f t="shared" si="398"/>
        <v>0</v>
      </c>
      <c r="BJ183" s="30">
        <f t="shared" si="399"/>
        <v>0</v>
      </c>
      <c r="BK183" s="78" t="e">
        <f t="shared" si="400"/>
        <v>#DIV/0!</v>
      </c>
      <c r="BL183" s="79">
        <f t="shared" si="401"/>
        <v>0</v>
      </c>
      <c r="BM183" s="30">
        <f t="shared" si="402"/>
        <v>0</v>
      </c>
      <c r="BN183" s="78" t="e">
        <f t="shared" si="403"/>
        <v>#DIV/0!</v>
      </c>
      <c r="BO183" s="79">
        <f t="shared" si="404"/>
        <v>0</v>
      </c>
      <c r="BP183" s="30">
        <f t="shared" si="405"/>
        <v>0</v>
      </c>
      <c r="BQ183" s="78" t="e">
        <f t="shared" si="406"/>
        <v>#DIV/0!</v>
      </c>
      <c r="BR183" s="79">
        <f t="shared" si="407"/>
        <v>0</v>
      </c>
      <c r="BS183" s="30">
        <f t="shared" si="408"/>
        <v>0</v>
      </c>
      <c r="BT183" s="78" t="e">
        <f t="shared" si="409"/>
        <v>#DIV/0!</v>
      </c>
      <c r="BU183" s="79">
        <f t="shared" si="410"/>
        <v>0</v>
      </c>
      <c r="BV183" s="30">
        <f t="shared" si="411"/>
        <v>0</v>
      </c>
      <c r="BW183" s="78" t="e">
        <f t="shared" si="412"/>
        <v>#DIV/0!</v>
      </c>
      <c r="BX183" s="79">
        <f t="shared" si="413"/>
        <v>0</v>
      </c>
      <c r="BY183" s="30">
        <f t="shared" si="414"/>
        <v>0</v>
      </c>
      <c r="BZ183" s="78" t="e">
        <f t="shared" si="415"/>
        <v>#DIV/0!</v>
      </c>
      <c r="CA183" s="79">
        <f t="shared" si="416"/>
        <v>0</v>
      </c>
      <c r="CB183" s="30">
        <f t="shared" si="417"/>
        <v>0</v>
      </c>
      <c r="CC183" s="78" t="e">
        <f t="shared" si="418"/>
        <v>#DIV/0!</v>
      </c>
      <c r="CD183" s="79">
        <f t="shared" si="419"/>
        <v>0</v>
      </c>
      <c r="CE183" s="30">
        <f t="shared" si="420"/>
        <v>0</v>
      </c>
      <c r="CF183" s="78" t="e">
        <f t="shared" si="421"/>
        <v>#DIV/0!</v>
      </c>
      <c r="CG183" s="79">
        <f t="shared" si="422"/>
        <v>0</v>
      </c>
      <c r="CH183" s="30">
        <f t="shared" si="423"/>
        <v>0</v>
      </c>
      <c r="CI183" s="78" t="e">
        <f t="shared" si="424"/>
        <v>#DIV/0!</v>
      </c>
      <c r="CJ183" s="79">
        <f t="shared" si="425"/>
        <v>0</v>
      </c>
      <c r="CK183" s="30">
        <f t="shared" si="426"/>
        <v>0</v>
      </c>
      <c r="CL183" s="78" t="e">
        <f t="shared" si="427"/>
        <v>#DIV/0!</v>
      </c>
      <c r="CM183" s="79">
        <f t="shared" si="428"/>
        <v>0</v>
      </c>
      <c r="CN183" s="30">
        <f t="shared" si="429"/>
        <v>0</v>
      </c>
      <c r="CO183" s="78" t="e">
        <f t="shared" si="430"/>
        <v>#DIV/0!</v>
      </c>
      <c r="CP183" s="79">
        <f t="shared" si="431"/>
        <v>0</v>
      </c>
      <c r="CQ183" s="30">
        <f t="shared" si="432"/>
        <v>0</v>
      </c>
      <c r="CR183" s="78" t="e">
        <f t="shared" si="433"/>
        <v>#DIV/0!</v>
      </c>
      <c r="CS183" s="79">
        <f t="shared" si="434"/>
        <v>0</v>
      </c>
      <c r="CT183" s="30">
        <f t="shared" si="435"/>
        <v>0</v>
      </c>
      <c r="CU183" s="78" t="e">
        <f t="shared" si="436"/>
        <v>#DIV/0!</v>
      </c>
      <c r="CV183" s="79">
        <f t="shared" si="437"/>
        <v>0</v>
      </c>
      <c r="CW183" s="30">
        <f t="shared" si="438"/>
        <v>0</v>
      </c>
      <c r="CX183" s="78" t="e">
        <f t="shared" si="439"/>
        <v>#DIV/0!</v>
      </c>
      <c r="CY183" s="79">
        <f t="shared" si="440"/>
        <v>0</v>
      </c>
      <c r="CZ183" s="30">
        <f t="shared" si="441"/>
        <v>0</v>
      </c>
      <c r="DA183" s="78" t="e">
        <f t="shared" si="442"/>
        <v>#DIV/0!</v>
      </c>
      <c r="DB183" s="79">
        <f t="shared" si="443"/>
        <v>0</v>
      </c>
      <c r="DC183" s="30">
        <f t="shared" si="444"/>
        <v>0</v>
      </c>
      <c r="DD183" s="78" t="e">
        <f t="shared" si="445"/>
        <v>#DIV/0!</v>
      </c>
      <c r="DE183" s="79">
        <f t="shared" si="446"/>
        <v>0</v>
      </c>
      <c r="DF183" s="30">
        <f t="shared" si="447"/>
        <v>0</v>
      </c>
      <c r="DG183" s="78" t="e">
        <f t="shared" si="448"/>
        <v>#DIV/0!</v>
      </c>
      <c r="DH183" s="79">
        <f t="shared" si="449"/>
        <v>0</v>
      </c>
      <c r="DI183" s="30">
        <f t="shared" si="450"/>
        <v>0</v>
      </c>
      <c r="DJ183" s="78" t="e">
        <f t="shared" si="451"/>
        <v>#DIV/0!</v>
      </c>
      <c r="DK183" s="79">
        <f t="shared" si="452"/>
        <v>0</v>
      </c>
      <c r="DL183" s="30">
        <f t="shared" si="453"/>
        <v>0</v>
      </c>
      <c r="DM183" s="78" t="e">
        <f t="shared" si="454"/>
        <v>#DIV/0!</v>
      </c>
      <c r="DN183" s="79">
        <f t="shared" si="455"/>
        <v>0</v>
      </c>
      <c r="DO183" s="30">
        <f t="shared" si="456"/>
        <v>0</v>
      </c>
      <c r="DP183" s="78" t="e">
        <f t="shared" si="457"/>
        <v>#DIV/0!</v>
      </c>
      <c r="DQ183" s="79">
        <f t="shared" si="458"/>
        <v>0</v>
      </c>
      <c r="DR183" s="30">
        <f t="shared" si="459"/>
        <v>0</v>
      </c>
      <c r="DS183" s="78" t="e">
        <f t="shared" si="460"/>
        <v>#DIV/0!</v>
      </c>
      <c r="DT183" s="79">
        <f t="shared" si="461"/>
        <v>0</v>
      </c>
      <c r="DU183" s="30">
        <f t="shared" si="462"/>
        <v>0</v>
      </c>
      <c r="DV183" s="78" t="e">
        <f t="shared" si="463"/>
        <v>#DIV/0!</v>
      </c>
      <c r="DW183" s="79">
        <f t="shared" si="464"/>
        <v>0</v>
      </c>
      <c r="DX183" s="30">
        <f t="shared" si="465"/>
        <v>0</v>
      </c>
      <c r="DY183" s="78" t="e">
        <f t="shared" si="466"/>
        <v>#DIV/0!</v>
      </c>
      <c r="DZ183" s="79">
        <f t="shared" si="467"/>
        <v>0</v>
      </c>
      <c r="EA183" s="30">
        <f t="shared" si="468"/>
        <v>0</v>
      </c>
      <c r="EB183" s="78" t="e">
        <f t="shared" si="469"/>
        <v>#DIV/0!</v>
      </c>
      <c r="EC183" s="79">
        <f t="shared" si="470"/>
        <v>0</v>
      </c>
      <c r="ED183" s="30">
        <f t="shared" si="471"/>
        <v>0</v>
      </c>
      <c r="EE183" s="78" t="e">
        <f t="shared" si="472"/>
        <v>#DIV/0!</v>
      </c>
      <c r="EF183" s="79">
        <f t="shared" si="473"/>
        <v>0</v>
      </c>
      <c r="EG183" s="30">
        <f t="shared" si="474"/>
        <v>0</v>
      </c>
      <c r="EH183" s="78" t="e">
        <f t="shared" si="475"/>
        <v>#DIV/0!</v>
      </c>
      <c r="EI183" s="79">
        <f t="shared" si="476"/>
        <v>0</v>
      </c>
      <c r="EJ183" s="30">
        <f t="shared" si="477"/>
        <v>0</v>
      </c>
      <c r="EK183" s="78" t="e">
        <f t="shared" si="478"/>
        <v>#DIV/0!</v>
      </c>
    </row>
    <row r="184" spans="1:155" s="83" customFormat="1" ht="14.25" hidden="1" customHeight="1">
      <c r="A184" s="30">
        <v>29</v>
      </c>
      <c r="B184" s="27"/>
      <c r="C184" s="118" t="s">
        <v>156</v>
      </c>
      <c r="D184" s="117" t="s">
        <v>155</v>
      </c>
      <c r="E184" s="119"/>
      <c r="F184" s="115"/>
      <c r="G184" s="82">
        <f t="shared" si="349"/>
        <v>0</v>
      </c>
      <c r="H184" s="81">
        <f t="shared" si="350"/>
        <v>0</v>
      </c>
      <c r="I184" s="19">
        <f t="shared" si="351"/>
        <v>0</v>
      </c>
      <c r="J184" s="11">
        <f t="shared" si="352"/>
        <v>0</v>
      </c>
      <c r="K184" s="19">
        <f t="shared" si="353"/>
        <v>0</v>
      </c>
      <c r="L184" s="19">
        <f t="shared" si="354"/>
        <v>0</v>
      </c>
      <c r="M184" s="19">
        <f t="shared" si="355"/>
        <v>0</v>
      </c>
      <c r="N184" s="19">
        <f t="shared" si="356"/>
        <v>0</v>
      </c>
      <c r="O184" s="19">
        <f t="shared" si="357"/>
        <v>0</v>
      </c>
      <c r="P184" s="19">
        <f t="shared" si="358"/>
        <v>0</v>
      </c>
      <c r="Q184" s="19">
        <f t="shared" si="359"/>
        <v>0</v>
      </c>
      <c r="R184" s="19">
        <f t="shared" si="360"/>
        <v>0</v>
      </c>
      <c r="S184" s="19">
        <f t="shared" si="361"/>
        <v>0</v>
      </c>
      <c r="T184" s="19">
        <f t="shared" si="362"/>
        <v>0</v>
      </c>
      <c r="U184" s="19">
        <f t="shared" si="363"/>
        <v>0</v>
      </c>
      <c r="V184" s="19">
        <f t="shared" si="364"/>
        <v>0</v>
      </c>
      <c r="W184" s="19">
        <f t="shared" si="365"/>
        <v>0</v>
      </c>
      <c r="X184" s="19">
        <f t="shared" si="366"/>
        <v>0</v>
      </c>
      <c r="Y184" s="19">
        <f t="shared" si="367"/>
        <v>0</v>
      </c>
      <c r="Z184" s="19">
        <f t="shared" si="368"/>
        <v>0</v>
      </c>
      <c r="AA184" s="18"/>
      <c r="AB184" s="56">
        <f t="shared" si="369"/>
        <v>0</v>
      </c>
      <c r="AC184" s="16">
        <f t="shared" si="370"/>
        <v>0</v>
      </c>
      <c r="AD184" s="114" t="e">
        <f t="shared" si="371"/>
        <v>#DIV/0!</v>
      </c>
      <c r="AE184" s="113"/>
      <c r="AF184" s="112" t="e">
        <f t="shared" si="372"/>
        <v>#DIV/0!</v>
      </c>
      <c r="AG184" s="112"/>
      <c r="AH184" s="30">
        <f t="shared" si="373"/>
        <v>0</v>
      </c>
      <c r="AI184" s="111" t="e">
        <f t="shared" si="374"/>
        <v>#DIV/0!</v>
      </c>
      <c r="AJ184" s="30">
        <f t="shared" si="375"/>
        <v>0</v>
      </c>
      <c r="AK184" s="30">
        <f t="shared" si="376"/>
        <v>0</v>
      </c>
      <c r="AL184" s="30">
        <f t="shared" si="377"/>
        <v>0</v>
      </c>
      <c r="AM184" s="30">
        <f t="shared" si="378"/>
        <v>0</v>
      </c>
      <c r="AN184" s="30">
        <f t="shared" si="379"/>
        <v>0</v>
      </c>
      <c r="AO184" s="30">
        <f t="shared" si="380"/>
        <v>0</v>
      </c>
      <c r="AP184" s="30">
        <f t="shared" si="381"/>
        <v>0</v>
      </c>
      <c r="AQ184" s="30">
        <f t="shared" si="382"/>
        <v>0</v>
      </c>
      <c r="AR184" s="30">
        <f t="shared" si="383"/>
        <v>0</v>
      </c>
      <c r="AS184" s="30">
        <f t="shared" si="384"/>
        <v>0</v>
      </c>
      <c r="AT184" s="30">
        <f t="shared" si="385"/>
        <v>0</v>
      </c>
      <c r="AU184" s="80"/>
      <c r="AV184" s="110">
        <f t="shared" si="386"/>
        <v>0</v>
      </c>
      <c r="AW184" s="79">
        <f t="shared" si="479"/>
        <v>0</v>
      </c>
      <c r="AX184" s="30">
        <f t="shared" si="387"/>
        <v>0</v>
      </c>
      <c r="AY184" s="109" t="e">
        <f t="shared" si="388"/>
        <v>#DIV/0!</v>
      </c>
      <c r="AZ184" s="79">
        <f t="shared" si="389"/>
        <v>0</v>
      </c>
      <c r="BA184" s="30">
        <f t="shared" si="390"/>
        <v>0</v>
      </c>
      <c r="BB184" s="109" t="e">
        <f t="shared" si="391"/>
        <v>#DIV/0!</v>
      </c>
      <c r="BC184" s="79">
        <f t="shared" si="392"/>
        <v>0</v>
      </c>
      <c r="BD184" s="30">
        <f t="shared" si="393"/>
        <v>0</v>
      </c>
      <c r="BE184" s="109" t="e">
        <f t="shared" si="394"/>
        <v>#DIV/0!</v>
      </c>
      <c r="BF184" s="79">
        <f t="shared" si="395"/>
        <v>0</v>
      </c>
      <c r="BG184" s="30">
        <f t="shared" si="396"/>
        <v>0</v>
      </c>
      <c r="BH184" s="109" t="e">
        <f t="shared" si="397"/>
        <v>#DIV/0!</v>
      </c>
      <c r="BI184" s="79">
        <f t="shared" si="398"/>
        <v>0</v>
      </c>
      <c r="BJ184" s="30">
        <f t="shared" si="399"/>
        <v>0</v>
      </c>
      <c r="BK184" s="109" t="e">
        <f t="shared" si="400"/>
        <v>#DIV/0!</v>
      </c>
      <c r="BL184" s="79">
        <f t="shared" si="401"/>
        <v>0</v>
      </c>
      <c r="BM184" s="30">
        <f t="shared" si="402"/>
        <v>0</v>
      </c>
      <c r="BN184" s="109" t="e">
        <f t="shared" si="403"/>
        <v>#DIV/0!</v>
      </c>
      <c r="BO184" s="79">
        <f t="shared" si="404"/>
        <v>0</v>
      </c>
      <c r="BP184" s="30">
        <f t="shared" si="405"/>
        <v>0</v>
      </c>
      <c r="BQ184" s="109" t="e">
        <f t="shared" si="406"/>
        <v>#DIV/0!</v>
      </c>
      <c r="BR184" s="79">
        <f t="shared" si="407"/>
        <v>0</v>
      </c>
      <c r="BS184" s="30">
        <f t="shared" si="408"/>
        <v>0</v>
      </c>
      <c r="BT184" s="109" t="e">
        <f t="shared" si="409"/>
        <v>#DIV/0!</v>
      </c>
      <c r="BU184" s="79">
        <f t="shared" si="410"/>
        <v>0</v>
      </c>
      <c r="BV184" s="30">
        <f t="shared" si="411"/>
        <v>0</v>
      </c>
      <c r="BW184" s="109" t="e">
        <f t="shared" si="412"/>
        <v>#DIV/0!</v>
      </c>
      <c r="BX184" s="79">
        <f t="shared" si="413"/>
        <v>0</v>
      </c>
      <c r="BY184" s="30">
        <f t="shared" si="414"/>
        <v>0</v>
      </c>
      <c r="BZ184" s="109" t="e">
        <f t="shared" si="415"/>
        <v>#DIV/0!</v>
      </c>
      <c r="CA184" s="79">
        <f t="shared" si="416"/>
        <v>0</v>
      </c>
      <c r="CB184" s="30">
        <f t="shared" si="417"/>
        <v>0</v>
      </c>
      <c r="CC184" s="109" t="e">
        <f t="shared" si="418"/>
        <v>#DIV/0!</v>
      </c>
      <c r="CD184" s="79">
        <f t="shared" si="419"/>
        <v>0</v>
      </c>
      <c r="CE184" s="30">
        <f t="shared" si="420"/>
        <v>0</v>
      </c>
      <c r="CF184" s="109" t="e">
        <f t="shared" si="421"/>
        <v>#DIV/0!</v>
      </c>
      <c r="CG184" s="79">
        <f t="shared" si="422"/>
        <v>0</v>
      </c>
      <c r="CH184" s="30">
        <f t="shared" si="423"/>
        <v>0</v>
      </c>
      <c r="CI184" s="109" t="e">
        <f t="shared" si="424"/>
        <v>#DIV/0!</v>
      </c>
      <c r="CJ184" s="79">
        <f t="shared" si="425"/>
        <v>0</v>
      </c>
      <c r="CK184" s="30">
        <f t="shared" si="426"/>
        <v>0</v>
      </c>
      <c r="CL184" s="109" t="e">
        <f t="shared" si="427"/>
        <v>#DIV/0!</v>
      </c>
      <c r="CM184" s="79">
        <f t="shared" si="428"/>
        <v>0</v>
      </c>
      <c r="CN184" s="30">
        <f t="shared" si="429"/>
        <v>0</v>
      </c>
      <c r="CO184" s="109" t="e">
        <f t="shared" si="430"/>
        <v>#DIV/0!</v>
      </c>
      <c r="CP184" s="79">
        <f t="shared" si="431"/>
        <v>0</v>
      </c>
      <c r="CQ184" s="30">
        <f t="shared" si="432"/>
        <v>0</v>
      </c>
      <c r="CR184" s="109" t="e">
        <f t="shared" si="433"/>
        <v>#DIV/0!</v>
      </c>
      <c r="CS184" s="79">
        <f t="shared" si="434"/>
        <v>0</v>
      </c>
      <c r="CT184" s="30">
        <f t="shared" si="435"/>
        <v>0</v>
      </c>
      <c r="CU184" s="109" t="e">
        <f t="shared" si="436"/>
        <v>#DIV/0!</v>
      </c>
      <c r="CV184" s="79">
        <f t="shared" si="437"/>
        <v>0</v>
      </c>
      <c r="CW184" s="30">
        <f t="shared" si="438"/>
        <v>0</v>
      </c>
      <c r="CX184" s="109" t="e">
        <f t="shared" si="439"/>
        <v>#DIV/0!</v>
      </c>
      <c r="CY184" s="79">
        <f t="shared" si="440"/>
        <v>0</v>
      </c>
      <c r="CZ184" s="30">
        <f t="shared" si="441"/>
        <v>0</v>
      </c>
      <c r="DA184" s="109" t="e">
        <f t="shared" si="442"/>
        <v>#DIV/0!</v>
      </c>
      <c r="DB184" s="79">
        <f t="shared" si="443"/>
        <v>0</v>
      </c>
      <c r="DC184" s="30">
        <f t="shared" si="444"/>
        <v>0</v>
      </c>
      <c r="DD184" s="109" t="e">
        <f t="shared" si="445"/>
        <v>#DIV/0!</v>
      </c>
      <c r="DE184" s="79">
        <f t="shared" si="446"/>
        <v>0</v>
      </c>
      <c r="DF184" s="30">
        <f t="shared" si="447"/>
        <v>0</v>
      </c>
      <c r="DG184" s="109" t="e">
        <f t="shared" si="448"/>
        <v>#DIV/0!</v>
      </c>
      <c r="DH184" s="79">
        <f t="shared" si="449"/>
        <v>0</v>
      </c>
      <c r="DI184" s="30">
        <f t="shared" si="450"/>
        <v>0</v>
      </c>
      <c r="DJ184" s="109" t="e">
        <f t="shared" si="451"/>
        <v>#DIV/0!</v>
      </c>
      <c r="DK184" s="79">
        <f t="shared" si="452"/>
        <v>0</v>
      </c>
      <c r="DL184" s="30">
        <f t="shared" si="453"/>
        <v>0</v>
      </c>
      <c r="DM184" s="109" t="e">
        <f t="shared" si="454"/>
        <v>#DIV/0!</v>
      </c>
      <c r="DN184" s="79">
        <f t="shared" si="455"/>
        <v>0</v>
      </c>
      <c r="DO184" s="30">
        <f t="shared" si="456"/>
        <v>0</v>
      </c>
      <c r="DP184" s="109" t="e">
        <f t="shared" si="457"/>
        <v>#DIV/0!</v>
      </c>
      <c r="DQ184" s="79">
        <f t="shared" si="458"/>
        <v>0</v>
      </c>
      <c r="DR184" s="30">
        <f t="shared" si="459"/>
        <v>0</v>
      </c>
      <c r="DS184" s="109" t="e">
        <f t="shared" si="460"/>
        <v>#DIV/0!</v>
      </c>
      <c r="DT184" s="79">
        <f t="shared" si="461"/>
        <v>0</v>
      </c>
      <c r="DU184" s="30">
        <f t="shared" si="462"/>
        <v>0</v>
      </c>
      <c r="DV184" s="109" t="e">
        <f t="shared" si="463"/>
        <v>#DIV/0!</v>
      </c>
      <c r="DW184" s="79">
        <f t="shared" si="464"/>
        <v>0</v>
      </c>
      <c r="DX184" s="30">
        <f t="shared" si="465"/>
        <v>0</v>
      </c>
      <c r="DY184" s="109" t="e">
        <f t="shared" si="466"/>
        <v>#DIV/0!</v>
      </c>
      <c r="DZ184" s="79">
        <f t="shared" si="467"/>
        <v>0</v>
      </c>
      <c r="EA184" s="30">
        <f t="shared" si="468"/>
        <v>0</v>
      </c>
      <c r="EB184" s="109" t="e">
        <f t="shared" si="469"/>
        <v>#DIV/0!</v>
      </c>
      <c r="EC184" s="79">
        <f t="shared" si="470"/>
        <v>0</v>
      </c>
      <c r="ED184" s="30">
        <f t="shared" si="471"/>
        <v>0</v>
      </c>
      <c r="EE184" s="109" t="e">
        <f t="shared" si="472"/>
        <v>#DIV/0!</v>
      </c>
      <c r="EF184" s="79">
        <f t="shared" si="473"/>
        <v>0</v>
      </c>
      <c r="EG184" s="30">
        <f t="shared" si="474"/>
        <v>0</v>
      </c>
      <c r="EH184" s="109" t="e">
        <f t="shared" si="475"/>
        <v>#DIV/0!</v>
      </c>
      <c r="EI184" s="79">
        <f t="shared" si="476"/>
        <v>0</v>
      </c>
      <c r="EJ184" s="30">
        <f t="shared" si="477"/>
        <v>0</v>
      </c>
      <c r="EK184" s="109" t="e">
        <f t="shared" si="478"/>
        <v>#DIV/0!</v>
      </c>
      <c r="EL184" s="80"/>
      <c r="EM184" s="80"/>
      <c r="EN184" s="80"/>
      <c r="EO184" s="80"/>
      <c r="EP184" s="80"/>
      <c r="EQ184" s="80"/>
      <c r="ER184" s="80"/>
      <c r="ES184" s="80"/>
      <c r="ET184" s="80"/>
      <c r="EU184" s="80"/>
      <c r="EV184" s="80"/>
      <c r="EW184" s="80"/>
      <c r="EX184" s="80"/>
      <c r="EY184" s="80"/>
    </row>
    <row r="185" spans="1:155" s="83" customFormat="1" ht="14.25" hidden="1" customHeight="1">
      <c r="A185" s="30">
        <v>30</v>
      </c>
      <c r="B185" s="118" t="s">
        <v>154</v>
      </c>
      <c r="C185" s="118" t="s">
        <v>153</v>
      </c>
      <c r="D185" s="117"/>
      <c r="E185" s="116"/>
      <c r="F185" s="115"/>
      <c r="G185" s="82">
        <f t="shared" si="349"/>
        <v>0</v>
      </c>
      <c r="H185" s="81">
        <f t="shared" si="350"/>
        <v>0</v>
      </c>
      <c r="I185" s="19">
        <f t="shared" si="351"/>
        <v>0</v>
      </c>
      <c r="J185" s="11">
        <f t="shared" si="352"/>
        <v>0</v>
      </c>
      <c r="K185" s="19">
        <f t="shared" si="353"/>
        <v>0</v>
      </c>
      <c r="L185" s="19">
        <f t="shared" si="354"/>
        <v>0</v>
      </c>
      <c r="M185" s="19">
        <f t="shared" si="355"/>
        <v>0</v>
      </c>
      <c r="N185" s="19">
        <f t="shared" si="356"/>
        <v>0</v>
      </c>
      <c r="O185" s="19">
        <f t="shared" si="357"/>
        <v>0</v>
      </c>
      <c r="P185" s="19">
        <f t="shared" si="358"/>
        <v>0</v>
      </c>
      <c r="Q185" s="19">
        <f t="shared" si="359"/>
        <v>0</v>
      </c>
      <c r="R185" s="19">
        <f t="shared" si="360"/>
        <v>0</v>
      </c>
      <c r="S185" s="19">
        <f t="shared" si="361"/>
        <v>0</v>
      </c>
      <c r="T185" s="19">
        <f t="shared" si="362"/>
        <v>0</v>
      </c>
      <c r="U185" s="19">
        <f t="shared" si="363"/>
        <v>0</v>
      </c>
      <c r="V185" s="19">
        <f t="shared" si="364"/>
        <v>0</v>
      </c>
      <c r="W185" s="19">
        <f t="shared" si="365"/>
        <v>0</v>
      </c>
      <c r="X185" s="19">
        <f t="shared" si="366"/>
        <v>0</v>
      </c>
      <c r="Y185" s="19">
        <f t="shared" si="367"/>
        <v>0</v>
      </c>
      <c r="Z185" s="19">
        <f t="shared" si="368"/>
        <v>0</v>
      </c>
      <c r="AA185" s="18"/>
      <c r="AB185" s="56">
        <f t="shared" si="369"/>
        <v>0</v>
      </c>
      <c r="AC185" s="16">
        <f t="shared" si="370"/>
        <v>0</v>
      </c>
      <c r="AD185" s="114" t="e">
        <f t="shared" si="371"/>
        <v>#DIV/0!</v>
      </c>
      <c r="AE185" s="113"/>
      <c r="AF185" s="112" t="e">
        <f t="shared" si="372"/>
        <v>#DIV/0!</v>
      </c>
      <c r="AG185" s="112"/>
      <c r="AH185" s="30">
        <f t="shared" si="373"/>
        <v>0</v>
      </c>
      <c r="AI185" s="111" t="e">
        <f t="shared" si="374"/>
        <v>#DIV/0!</v>
      </c>
      <c r="AJ185" s="30">
        <f t="shared" si="375"/>
        <v>0</v>
      </c>
      <c r="AK185" s="30">
        <f t="shared" si="376"/>
        <v>0</v>
      </c>
      <c r="AL185" s="30">
        <f t="shared" si="377"/>
        <v>0</v>
      </c>
      <c r="AM185" s="30">
        <f t="shared" si="378"/>
        <v>0</v>
      </c>
      <c r="AN185" s="30">
        <f t="shared" si="379"/>
        <v>0</v>
      </c>
      <c r="AO185" s="30">
        <f t="shared" si="380"/>
        <v>0</v>
      </c>
      <c r="AP185" s="30">
        <f t="shared" si="381"/>
        <v>0</v>
      </c>
      <c r="AQ185" s="30">
        <f t="shared" si="382"/>
        <v>0</v>
      </c>
      <c r="AR185" s="30">
        <f t="shared" si="383"/>
        <v>0</v>
      </c>
      <c r="AS185" s="30">
        <f t="shared" si="384"/>
        <v>0</v>
      </c>
      <c r="AT185" s="30">
        <f t="shared" si="385"/>
        <v>0</v>
      </c>
      <c r="AU185" s="80"/>
      <c r="AV185" s="110">
        <f t="shared" si="386"/>
        <v>0</v>
      </c>
      <c r="AW185" s="79">
        <f t="shared" si="479"/>
        <v>0</v>
      </c>
      <c r="AX185" s="30">
        <f t="shared" si="387"/>
        <v>0</v>
      </c>
      <c r="AY185" s="109" t="e">
        <f t="shared" si="388"/>
        <v>#DIV/0!</v>
      </c>
      <c r="AZ185" s="79">
        <f t="shared" si="389"/>
        <v>0</v>
      </c>
      <c r="BA185" s="30">
        <f t="shared" si="390"/>
        <v>0</v>
      </c>
      <c r="BB185" s="109" t="e">
        <f t="shared" si="391"/>
        <v>#DIV/0!</v>
      </c>
      <c r="BC185" s="79">
        <f t="shared" si="392"/>
        <v>0</v>
      </c>
      <c r="BD185" s="30">
        <f t="shared" si="393"/>
        <v>0</v>
      </c>
      <c r="BE185" s="109" t="e">
        <f t="shared" si="394"/>
        <v>#DIV/0!</v>
      </c>
      <c r="BF185" s="79">
        <f t="shared" si="395"/>
        <v>0</v>
      </c>
      <c r="BG185" s="30">
        <f t="shared" si="396"/>
        <v>0</v>
      </c>
      <c r="BH185" s="109" t="e">
        <f t="shared" si="397"/>
        <v>#DIV/0!</v>
      </c>
      <c r="BI185" s="79">
        <f t="shared" si="398"/>
        <v>0</v>
      </c>
      <c r="BJ185" s="30">
        <f t="shared" si="399"/>
        <v>0</v>
      </c>
      <c r="BK185" s="109" t="e">
        <f t="shared" si="400"/>
        <v>#DIV/0!</v>
      </c>
      <c r="BL185" s="79">
        <f t="shared" si="401"/>
        <v>0</v>
      </c>
      <c r="BM185" s="30">
        <f t="shared" si="402"/>
        <v>0</v>
      </c>
      <c r="BN185" s="109" t="e">
        <f t="shared" si="403"/>
        <v>#DIV/0!</v>
      </c>
      <c r="BO185" s="79">
        <f t="shared" si="404"/>
        <v>0</v>
      </c>
      <c r="BP185" s="30">
        <f t="shared" si="405"/>
        <v>0</v>
      </c>
      <c r="BQ185" s="109" t="e">
        <f t="shared" si="406"/>
        <v>#DIV/0!</v>
      </c>
      <c r="BR185" s="79">
        <f t="shared" si="407"/>
        <v>0</v>
      </c>
      <c r="BS185" s="30">
        <f t="shared" si="408"/>
        <v>0</v>
      </c>
      <c r="BT185" s="109" t="e">
        <f t="shared" si="409"/>
        <v>#DIV/0!</v>
      </c>
      <c r="BU185" s="79">
        <f t="shared" si="410"/>
        <v>0</v>
      </c>
      <c r="BV185" s="30">
        <f t="shared" si="411"/>
        <v>0</v>
      </c>
      <c r="BW185" s="109" t="e">
        <f t="shared" si="412"/>
        <v>#DIV/0!</v>
      </c>
      <c r="BX185" s="79">
        <f t="shared" si="413"/>
        <v>0</v>
      </c>
      <c r="BY185" s="30">
        <f t="shared" si="414"/>
        <v>0</v>
      </c>
      <c r="BZ185" s="109" t="e">
        <f t="shared" si="415"/>
        <v>#DIV/0!</v>
      </c>
      <c r="CA185" s="79">
        <f t="shared" si="416"/>
        <v>0</v>
      </c>
      <c r="CB185" s="30">
        <f t="shared" si="417"/>
        <v>0</v>
      </c>
      <c r="CC185" s="109" t="e">
        <f t="shared" si="418"/>
        <v>#DIV/0!</v>
      </c>
      <c r="CD185" s="79">
        <f t="shared" si="419"/>
        <v>0</v>
      </c>
      <c r="CE185" s="30">
        <f t="shared" si="420"/>
        <v>0</v>
      </c>
      <c r="CF185" s="109" t="e">
        <f t="shared" si="421"/>
        <v>#DIV/0!</v>
      </c>
      <c r="CG185" s="79">
        <f t="shared" si="422"/>
        <v>0</v>
      </c>
      <c r="CH185" s="30">
        <f t="shared" si="423"/>
        <v>0</v>
      </c>
      <c r="CI185" s="109" t="e">
        <f t="shared" si="424"/>
        <v>#DIV/0!</v>
      </c>
      <c r="CJ185" s="79">
        <f t="shared" si="425"/>
        <v>0</v>
      </c>
      <c r="CK185" s="30">
        <f t="shared" si="426"/>
        <v>0</v>
      </c>
      <c r="CL185" s="109" t="e">
        <f t="shared" si="427"/>
        <v>#DIV/0!</v>
      </c>
      <c r="CM185" s="79">
        <f t="shared" si="428"/>
        <v>0</v>
      </c>
      <c r="CN185" s="30">
        <f t="shared" si="429"/>
        <v>0</v>
      </c>
      <c r="CO185" s="109" t="e">
        <f t="shared" si="430"/>
        <v>#DIV/0!</v>
      </c>
      <c r="CP185" s="79">
        <f t="shared" si="431"/>
        <v>0</v>
      </c>
      <c r="CQ185" s="30">
        <f t="shared" si="432"/>
        <v>0</v>
      </c>
      <c r="CR185" s="109" t="e">
        <f t="shared" si="433"/>
        <v>#DIV/0!</v>
      </c>
      <c r="CS185" s="79">
        <f t="shared" si="434"/>
        <v>0</v>
      </c>
      <c r="CT185" s="30">
        <f t="shared" si="435"/>
        <v>0</v>
      </c>
      <c r="CU185" s="109" t="e">
        <f t="shared" si="436"/>
        <v>#DIV/0!</v>
      </c>
      <c r="CV185" s="79">
        <f t="shared" si="437"/>
        <v>0</v>
      </c>
      <c r="CW185" s="30">
        <f t="shared" si="438"/>
        <v>0</v>
      </c>
      <c r="CX185" s="109" t="e">
        <f t="shared" si="439"/>
        <v>#DIV/0!</v>
      </c>
      <c r="CY185" s="79">
        <f t="shared" si="440"/>
        <v>0</v>
      </c>
      <c r="CZ185" s="30">
        <f t="shared" si="441"/>
        <v>0</v>
      </c>
      <c r="DA185" s="109" t="e">
        <f t="shared" si="442"/>
        <v>#DIV/0!</v>
      </c>
      <c r="DB185" s="79">
        <f t="shared" si="443"/>
        <v>0</v>
      </c>
      <c r="DC185" s="30">
        <f t="shared" si="444"/>
        <v>0</v>
      </c>
      <c r="DD185" s="109" t="e">
        <f t="shared" si="445"/>
        <v>#DIV/0!</v>
      </c>
      <c r="DE185" s="79">
        <f t="shared" si="446"/>
        <v>0</v>
      </c>
      <c r="DF185" s="30">
        <f t="shared" si="447"/>
        <v>0</v>
      </c>
      <c r="DG185" s="109" t="e">
        <f t="shared" si="448"/>
        <v>#DIV/0!</v>
      </c>
      <c r="DH185" s="79">
        <f t="shared" si="449"/>
        <v>0</v>
      </c>
      <c r="DI185" s="30">
        <f t="shared" si="450"/>
        <v>0</v>
      </c>
      <c r="DJ185" s="109" t="e">
        <f t="shared" si="451"/>
        <v>#DIV/0!</v>
      </c>
      <c r="DK185" s="79">
        <f t="shared" si="452"/>
        <v>0</v>
      </c>
      <c r="DL185" s="30">
        <f t="shared" si="453"/>
        <v>0</v>
      </c>
      <c r="DM185" s="109" t="e">
        <f t="shared" si="454"/>
        <v>#DIV/0!</v>
      </c>
      <c r="DN185" s="79">
        <f t="shared" si="455"/>
        <v>0</v>
      </c>
      <c r="DO185" s="30">
        <f t="shared" si="456"/>
        <v>0</v>
      </c>
      <c r="DP185" s="109" t="e">
        <f t="shared" si="457"/>
        <v>#DIV/0!</v>
      </c>
      <c r="DQ185" s="79">
        <f t="shared" si="458"/>
        <v>0</v>
      </c>
      <c r="DR185" s="30">
        <f t="shared" si="459"/>
        <v>0</v>
      </c>
      <c r="DS185" s="109" t="e">
        <f t="shared" si="460"/>
        <v>#DIV/0!</v>
      </c>
      <c r="DT185" s="79">
        <f t="shared" si="461"/>
        <v>0</v>
      </c>
      <c r="DU185" s="30">
        <f t="shared" si="462"/>
        <v>0</v>
      </c>
      <c r="DV185" s="109" t="e">
        <f t="shared" si="463"/>
        <v>#DIV/0!</v>
      </c>
      <c r="DW185" s="79">
        <f t="shared" si="464"/>
        <v>0</v>
      </c>
      <c r="DX185" s="30">
        <f t="shared" si="465"/>
        <v>0</v>
      </c>
      <c r="DY185" s="109" t="e">
        <f t="shared" si="466"/>
        <v>#DIV/0!</v>
      </c>
      <c r="DZ185" s="79">
        <f t="shared" si="467"/>
        <v>0</v>
      </c>
      <c r="EA185" s="30">
        <f t="shared" si="468"/>
        <v>0</v>
      </c>
      <c r="EB185" s="109" t="e">
        <f t="shared" si="469"/>
        <v>#DIV/0!</v>
      </c>
      <c r="EC185" s="79">
        <f t="shared" si="470"/>
        <v>0</v>
      </c>
      <c r="ED185" s="30">
        <f t="shared" si="471"/>
        <v>0</v>
      </c>
      <c r="EE185" s="109" t="e">
        <f t="shared" si="472"/>
        <v>#DIV/0!</v>
      </c>
      <c r="EF185" s="79">
        <f t="shared" si="473"/>
        <v>0</v>
      </c>
      <c r="EG185" s="30">
        <f t="shared" si="474"/>
        <v>0</v>
      </c>
      <c r="EH185" s="109" t="e">
        <f t="shared" si="475"/>
        <v>#DIV/0!</v>
      </c>
      <c r="EI185" s="79">
        <f t="shared" si="476"/>
        <v>0</v>
      </c>
      <c r="EJ185" s="30">
        <f t="shared" si="477"/>
        <v>0</v>
      </c>
      <c r="EK185" s="109" t="e">
        <f t="shared" si="478"/>
        <v>#DIV/0!</v>
      </c>
      <c r="EL185" s="80"/>
      <c r="EM185" s="80"/>
      <c r="EN185" s="80"/>
      <c r="EO185" s="80"/>
      <c r="EP185" s="80"/>
      <c r="EQ185" s="80"/>
      <c r="ER185" s="80"/>
      <c r="ES185" s="80"/>
      <c r="ET185" s="80"/>
      <c r="EU185" s="80"/>
      <c r="EV185" s="80"/>
      <c r="EW185" s="80"/>
      <c r="EX185" s="80"/>
      <c r="EY185" s="80"/>
    </row>
    <row r="186" spans="1:155" s="83" customFormat="1" ht="14.25" hidden="1" customHeight="1">
      <c r="A186" s="30">
        <v>31</v>
      </c>
      <c r="B186" s="118" t="s">
        <v>152</v>
      </c>
      <c r="C186" s="118" t="s">
        <v>26</v>
      </c>
      <c r="D186" s="117"/>
      <c r="E186" s="116"/>
      <c r="F186" s="115"/>
      <c r="G186" s="82">
        <f t="shared" si="349"/>
        <v>0</v>
      </c>
      <c r="H186" s="81">
        <f t="shared" si="350"/>
        <v>0</v>
      </c>
      <c r="I186" s="19">
        <f t="shared" si="351"/>
        <v>0</v>
      </c>
      <c r="J186" s="11">
        <f t="shared" si="352"/>
        <v>0</v>
      </c>
      <c r="K186" s="19">
        <f t="shared" si="353"/>
        <v>0</v>
      </c>
      <c r="L186" s="19">
        <f t="shared" si="354"/>
        <v>0</v>
      </c>
      <c r="M186" s="19">
        <f t="shared" si="355"/>
        <v>0</v>
      </c>
      <c r="N186" s="19">
        <f t="shared" si="356"/>
        <v>0</v>
      </c>
      <c r="O186" s="19">
        <f t="shared" si="357"/>
        <v>0</v>
      </c>
      <c r="P186" s="19">
        <f t="shared" si="358"/>
        <v>0</v>
      </c>
      <c r="Q186" s="19">
        <f t="shared" si="359"/>
        <v>0</v>
      </c>
      <c r="R186" s="19">
        <f t="shared" si="360"/>
        <v>0</v>
      </c>
      <c r="S186" s="19">
        <f t="shared" si="361"/>
        <v>0</v>
      </c>
      <c r="T186" s="19">
        <f t="shared" si="362"/>
        <v>0</v>
      </c>
      <c r="U186" s="19">
        <f t="shared" si="363"/>
        <v>0</v>
      </c>
      <c r="V186" s="19">
        <f t="shared" si="364"/>
        <v>0</v>
      </c>
      <c r="W186" s="19">
        <f t="shared" si="365"/>
        <v>0</v>
      </c>
      <c r="X186" s="19">
        <f t="shared" si="366"/>
        <v>0</v>
      </c>
      <c r="Y186" s="19">
        <f t="shared" si="367"/>
        <v>0</v>
      </c>
      <c r="Z186" s="19">
        <f t="shared" si="368"/>
        <v>0</v>
      </c>
      <c r="AA186" s="18"/>
      <c r="AB186" s="56">
        <f t="shared" si="369"/>
        <v>0</v>
      </c>
      <c r="AC186" s="16">
        <f t="shared" si="370"/>
        <v>0</v>
      </c>
      <c r="AD186" s="114" t="e">
        <f t="shared" si="371"/>
        <v>#DIV/0!</v>
      </c>
      <c r="AE186" s="113"/>
      <c r="AF186" s="112" t="e">
        <f t="shared" si="372"/>
        <v>#DIV/0!</v>
      </c>
      <c r="AG186" s="112"/>
      <c r="AH186" s="30">
        <f t="shared" si="373"/>
        <v>0</v>
      </c>
      <c r="AI186" s="111" t="e">
        <f t="shared" si="374"/>
        <v>#DIV/0!</v>
      </c>
      <c r="AJ186" s="30">
        <f t="shared" si="375"/>
        <v>0</v>
      </c>
      <c r="AK186" s="30">
        <f t="shared" si="376"/>
        <v>0</v>
      </c>
      <c r="AL186" s="30">
        <f t="shared" si="377"/>
        <v>0</v>
      </c>
      <c r="AM186" s="30">
        <f t="shared" si="378"/>
        <v>0</v>
      </c>
      <c r="AN186" s="30">
        <f t="shared" si="379"/>
        <v>0</v>
      </c>
      <c r="AO186" s="30">
        <f t="shared" si="380"/>
        <v>0</v>
      </c>
      <c r="AP186" s="30">
        <f t="shared" si="381"/>
        <v>0</v>
      </c>
      <c r="AQ186" s="30">
        <f t="shared" si="382"/>
        <v>0</v>
      </c>
      <c r="AR186" s="30">
        <f t="shared" si="383"/>
        <v>0</v>
      </c>
      <c r="AS186" s="30">
        <f t="shared" si="384"/>
        <v>0</v>
      </c>
      <c r="AT186" s="30">
        <f t="shared" si="385"/>
        <v>0</v>
      </c>
      <c r="AU186" s="80"/>
      <c r="AV186" s="110">
        <f t="shared" si="386"/>
        <v>0</v>
      </c>
      <c r="AW186" s="79">
        <f t="shared" si="479"/>
        <v>0</v>
      </c>
      <c r="AX186" s="30">
        <f t="shared" si="387"/>
        <v>0</v>
      </c>
      <c r="AY186" s="109" t="e">
        <f t="shared" si="388"/>
        <v>#DIV/0!</v>
      </c>
      <c r="AZ186" s="79">
        <f t="shared" si="389"/>
        <v>0</v>
      </c>
      <c r="BA186" s="30">
        <f t="shared" si="390"/>
        <v>0</v>
      </c>
      <c r="BB186" s="109" t="e">
        <f t="shared" si="391"/>
        <v>#DIV/0!</v>
      </c>
      <c r="BC186" s="79">
        <f t="shared" si="392"/>
        <v>0</v>
      </c>
      <c r="BD186" s="30">
        <f t="shared" si="393"/>
        <v>0</v>
      </c>
      <c r="BE186" s="109" t="e">
        <f t="shared" si="394"/>
        <v>#DIV/0!</v>
      </c>
      <c r="BF186" s="79">
        <f t="shared" si="395"/>
        <v>0</v>
      </c>
      <c r="BG186" s="30">
        <f t="shared" si="396"/>
        <v>0</v>
      </c>
      <c r="BH186" s="109" t="e">
        <f t="shared" si="397"/>
        <v>#DIV/0!</v>
      </c>
      <c r="BI186" s="79">
        <f t="shared" si="398"/>
        <v>0</v>
      </c>
      <c r="BJ186" s="30">
        <f t="shared" si="399"/>
        <v>0</v>
      </c>
      <c r="BK186" s="109" t="e">
        <f t="shared" si="400"/>
        <v>#DIV/0!</v>
      </c>
      <c r="BL186" s="79">
        <f t="shared" si="401"/>
        <v>0</v>
      </c>
      <c r="BM186" s="30">
        <f t="shared" si="402"/>
        <v>0</v>
      </c>
      <c r="BN186" s="109" t="e">
        <f t="shared" si="403"/>
        <v>#DIV/0!</v>
      </c>
      <c r="BO186" s="79">
        <f t="shared" si="404"/>
        <v>0</v>
      </c>
      <c r="BP186" s="30">
        <f t="shared" si="405"/>
        <v>0</v>
      </c>
      <c r="BQ186" s="109" t="e">
        <f t="shared" si="406"/>
        <v>#DIV/0!</v>
      </c>
      <c r="BR186" s="79">
        <f t="shared" si="407"/>
        <v>0</v>
      </c>
      <c r="BS186" s="30">
        <f t="shared" si="408"/>
        <v>0</v>
      </c>
      <c r="BT186" s="109" t="e">
        <f t="shared" si="409"/>
        <v>#DIV/0!</v>
      </c>
      <c r="BU186" s="79">
        <f t="shared" si="410"/>
        <v>0</v>
      </c>
      <c r="BV186" s="30">
        <f t="shared" si="411"/>
        <v>0</v>
      </c>
      <c r="BW186" s="109" t="e">
        <f t="shared" si="412"/>
        <v>#DIV/0!</v>
      </c>
      <c r="BX186" s="79">
        <f t="shared" si="413"/>
        <v>0</v>
      </c>
      <c r="BY186" s="30">
        <f t="shared" si="414"/>
        <v>0</v>
      </c>
      <c r="BZ186" s="109" t="e">
        <f t="shared" si="415"/>
        <v>#DIV/0!</v>
      </c>
      <c r="CA186" s="79">
        <f t="shared" si="416"/>
        <v>0</v>
      </c>
      <c r="CB186" s="30">
        <f t="shared" si="417"/>
        <v>0</v>
      </c>
      <c r="CC186" s="109" t="e">
        <f t="shared" si="418"/>
        <v>#DIV/0!</v>
      </c>
      <c r="CD186" s="79">
        <f t="shared" si="419"/>
        <v>0</v>
      </c>
      <c r="CE186" s="30">
        <f t="shared" si="420"/>
        <v>0</v>
      </c>
      <c r="CF186" s="109" t="e">
        <f t="shared" si="421"/>
        <v>#DIV/0!</v>
      </c>
      <c r="CG186" s="79">
        <f t="shared" si="422"/>
        <v>0</v>
      </c>
      <c r="CH186" s="30">
        <f t="shared" si="423"/>
        <v>0</v>
      </c>
      <c r="CI186" s="109" t="e">
        <f t="shared" si="424"/>
        <v>#DIV/0!</v>
      </c>
      <c r="CJ186" s="79">
        <f t="shared" si="425"/>
        <v>0</v>
      </c>
      <c r="CK186" s="30">
        <f t="shared" si="426"/>
        <v>0</v>
      </c>
      <c r="CL186" s="109" t="e">
        <f t="shared" si="427"/>
        <v>#DIV/0!</v>
      </c>
      <c r="CM186" s="79">
        <f t="shared" si="428"/>
        <v>0</v>
      </c>
      <c r="CN186" s="30">
        <f t="shared" si="429"/>
        <v>0</v>
      </c>
      <c r="CO186" s="109" t="e">
        <f t="shared" si="430"/>
        <v>#DIV/0!</v>
      </c>
      <c r="CP186" s="79">
        <f t="shared" si="431"/>
        <v>0</v>
      </c>
      <c r="CQ186" s="30">
        <f t="shared" si="432"/>
        <v>0</v>
      </c>
      <c r="CR186" s="109" t="e">
        <f t="shared" si="433"/>
        <v>#DIV/0!</v>
      </c>
      <c r="CS186" s="79">
        <f t="shared" si="434"/>
        <v>0</v>
      </c>
      <c r="CT186" s="30">
        <f t="shared" si="435"/>
        <v>0</v>
      </c>
      <c r="CU186" s="109" t="e">
        <f t="shared" si="436"/>
        <v>#DIV/0!</v>
      </c>
      <c r="CV186" s="79">
        <f t="shared" si="437"/>
        <v>0</v>
      </c>
      <c r="CW186" s="30">
        <f t="shared" si="438"/>
        <v>0</v>
      </c>
      <c r="CX186" s="109" t="e">
        <f t="shared" si="439"/>
        <v>#DIV/0!</v>
      </c>
      <c r="CY186" s="79">
        <f t="shared" si="440"/>
        <v>0</v>
      </c>
      <c r="CZ186" s="30">
        <f t="shared" si="441"/>
        <v>0</v>
      </c>
      <c r="DA186" s="109" t="e">
        <f t="shared" si="442"/>
        <v>#DIV/0!</v>
      </c>
      <c r="DB186" s="79">
        <f t="shared" si="443"/>
        <v>0</v>
      </c>
      <c r="DC186" s="30">
        <f t="shared" si="444"/>
        <v>0</v>
      </c>
      <c r="DD186" s="109" t="e">
        <f t="shared" si="445"/>
        <v>#DIV/0!</v>
      </c>
      <c r="DE186" s="79">
        <f t="shared" si="446"/>
        <v>0</v>
      </c>
      <c r="DF186" s="30">
        <f t="shared" si="447"/>
        <v>0</v>
      </c>
      <c r="DG186" s="109" t="e">
        <f t="shared" si="448"/>
        <v>#DIV/0!</v>
      </c>
      <c r="DH186" s="79">
        <f t="shared" si="449"/>
        <v>0</v>
      </c>
      <c r="DI186" s="30">
        <f t="shared" si="450"/>
        <v>0</v>
      </c>
      <c r="DJ186" s="109" t="e">
        <f t="shared" si="451"/>
        <v>#DIV/0!</v>
      </c>
      <c r="DK186" s="79">
        <f t="shared" si="452"/>
        <v>0</v>
      </c>
      <c r="DL186" s="30">
        <f t="shared" si="453"/>
        <v>0</v>
      </c>
      <c r="DM186" s="109" t="e">
        <f t="shared" si="454"/>
        <v>#DIV/0!</v>
      </c>
      <c r="DN186" s="79">
        <f t="shared" si="455"/>
        <v>0</v>
      </c>
      <c r="DO186" s="30">
        <f t="shared" si="456"/>
        <v>0</v>
      </c>
      <c r="DP186" s="109" t="e">
        <f t="shared" si="457"/>
        <v>#DIV/0!</v>
      </c>
      <c r="DQ186" s="79">
        <f t="shared" si="458"/>
        <v>0</v>
      </c>
      <c r="DR186" s="30">
        <f t="shared" si="459"/>
        <v>0</v>
      </c>
      <c r="DS186" s="109" t="e">
        <f t="shared" si="460"/>
        <v>#DIV/0!</v>
      </c>
      <c r="DT186" s="79">
        <f t="shared" si="461"/>
        <v>0</v>
      </c>
      <c r="DU186" s="30">
        <f t="shared" si="462"/>
        <v>0</v>
      </c>
      <c r="DV186" s="109" t="e">
        <f t="shared" si="463"/>
        <v>#DIV/0!</v>
      </c>
      <c r="DW186" s="79">
        <f t="shared" si="464"/>
        <v>0</v>
      </c>
      <c r="DX186" s="30">
        <f t="shared" si="465"/>
        <v>0</v>
      </c>
      <c r="DY186" s="109" t="e">
        <f t="shared" si="466"/>
        <v>#DIV/0!</v>
      </c>
      <c r="DZ186" s="79">
        <f t="shared" si="467"/>
        <v>0</v>
      </c>
      <c r="EA186" s="30">
        <f t="shared" si="468"/>
        <v>0</v>
      </c>
      <c r="EB186" s="109" t="e">
        <f t="shared" si="469"/>
        <v>#DIV/0!</v>
      </c>
      <c r="EC186" s="79">
        <f t="shared" si="470"/>
        <v>0</v>
      </c>
      <c r="ED186" s="30">
        <f t="shared" si="471"/>
        <v>0</v>
      </c>
      <c r="EE186" s="109" t="e">
        <f t="shared" si="472"/>
        <v>#DIV/0!</v>
      </c>
      <c r="EF186" s="79">
        <f t="shared" si="473"/>
        <v>0</v>
      </c>
      <c r="EG186" s="30">
        <f t="shared" si="474"/>
        <v>0</v>
      </c>
      <c r="EH186" s="109" t="e">
        <f t="shared" si="475"/>
        <v>#DIV/0!</v>
      </c>
      <c r="EI186" s="79">
        <f t="shared" si="476"/>
        <v>0</v>
      </c>
      <c r="EJ186" s="30">
        <f t="shared" si="477"/>
        <v>0</v>
      </c>
      <c r="EK186" s="109" t="e">
        <f t="shared" si="478"/>
        <v>#DIV/0!</v>
      </c>
      <c r="EL186" s="80"/>
      <c r="EM186" s="80"/>
      <c r="EN186" s="80"/>
      <c r="EO186" s="80"/>
      <c r="EP186" s="80"/>
      <c r="EQ186" s="80"/>
      <c r="ER186" s="80"/>
      <c r="ES186" s="80"/>
      <c r="ET186" s="80"/>
      <c r="EU186" s="80"/>
      <c r="EV186" s="80"/>
      <c r="EW186" s="80"/>
      <c r="EX186" s="80"/>
      <c r="EY186" s="80"/>
    </row>
    <row r="187" spans="1:155" s="12" customFormat="1" ht="14.25" hidden="1" customHeight="1">
      <c r="A187" s="25">
        <v>32</v>
      </c>
      <c r="B187" s="26"/>
      <c r="C187" s="108">
        <v>8011</v>
      </c>
      <c r="D187" s="106" t="s">
        <v>151</v>
      </c>
      <c r="E187" s="60"/>
      <c r="F187" s="59"/>
      <c r="G187" s="82">
        <f t="shared" si="349"/>
        <v>0</v>
      </c>
      <c r="H187" s="81">
        <f t="shared" si="350"/>
        <v>0</v>
      </c>
      <c r="I187" s="19">
        <f t="shared" si="351"/>
        <v>0</v>
      </c>
      <c r="J187" s="11">
        <f t="shared" si="352"/>
        <v>0</v>
      </c>
      <c r="K187" s="19">
        <f t="shared" si="353"/>
        <v>0</v>
      </c>
      <c r="L187" s="19">
        <f t="shared" si="354"/>
        <v>0</v>
      </c>
      <c r="M187" s="19">
        <f t="shared" si="355"/>
        <v>0</v>
      </c>
      <c r="N187" s="19">
        <f t="shared" si="356"/>
        <v>0</v>
      </c>
      <c r="O187" s="19">
        <f t="shared" si="357"/>
        <v>0</v>
      </c>
      <c r="P187" s="19">
        <f t="shared" si="358"/>
        <v>0</v>
      </c>
      <c r="Q187" s="19">
        <f t="shared" si="359"/>
        <v>0</v>
      </c>
      <c r="R187" s="19">
        <f t="shared" si="360"/>
        <v>0</v>
      </c>
      <c r="S187" s="19">
        <f t="shared" si="361"/>
        <v>0</v>
      </c>
      <c r="T187" s="19">
        <f t="shared" si="362"/>
        <v>0</v>
      </c>
      <c r="U187" s="19">
        <f t="shared" si="363"/>
        <v>0</v>
      </c>
      <c r="V187" s="19">
        <f t="shared" si="364"/>
        <v>0</v>
      </c>
      <c r="W187" s="19">
        <f t="shared" si="365"/>
        <v>0</v>
      </c>
      <c r="X187" s="19">
        <f t="shared" si="366"/>
        <v>0</v>
      </c>
      <c r="Y187" s="19">
        <f t="shared" si="367"/>
        <v>0</v>
      </c>
      <c r="Z187" s="19">
        <f t="shared" si="368"/>
        <v>0</v>
      </c>
      <c r="AA187" s="18"/>
      <c r="AB187" s="56">
        <f t="shared" si="369"/>
        <v>0</v>
      </c>
      <c r="AC187" s="16">
        <f t="shared" si="370"/>
        <v>0</v>
      </c>
      <c r="AD187" s="15" t="e">
        <f t="shared" si="371"/>
        <v>#DIV/0!</v>
      </c>
      <c r="AE187" s="42"/>
      <c r="AF187" s="10" t="e">
        <f t="shared" si="372"/>
        <v>#DIV/0!</v>
      </c>
      <c r="AG187" s="10"/>
      <c r="AH187" s="21">
        <f t="shared" si="373"/>
        <v>0</v>
      </c>
      <c r="AI187" s="54" t="e">
        <f t="shared" si="374"/>
        <v>#DIV/0!</v>
      </c>
      <c r="AJ187" s="25">
        <f t="shared" si="375"/>
        <v>0</v>
      </c>
      <c r="AK187" s="25">
        <f t="shared" si="376"/>
        <v>0</v>
      </c>
      <c r="AL187" s="25">
        <f t="shared" si="377"/>
        <v>0</v>
      </c>
      <c r="AM187" s="25">
        <f t="shared" si="378"/>
        <v>0</v>
      </c>
      <c r="AN187" s="25">
        <f t="shared" si="379"/>
        <v>0</v>
      </c>
      <c r="AO187" s="25">
        <f t="shared" si="380"/>
        <v>0</v>
      </c>
      <c r="AP187" s="25">
        <f t="shared" si="381"/>
        <v>0</v>
      </c>
      <c r="AQ187" s="25">
        <f t="shared" si="382"/>
        <v>0</v>
      </c>
      <c r="AR187" s="25">
        <f t="shared" si="383"/>
        <v>0</v>
      </c>
      <c r="AS187" s="25">
        <f t="shared" si="384"/>
        <v>0</v>
      </c>
      <c r="AT187" s="25">
        <f t="shared" si="385"/>
        <v>0</v>
      </c>
      <c r="AU187" s="80"/>
      <c r="AV187" s="79">
        <f t="shared" si="386"/>
        <v>0</v>
      </c>
      <c r="AW187" s="79">
        <f t="shared" si="479"/>
        <v>0</v>
      </c>
      <c r="AX187" s="30">
        <f t="shared" si="387"/>
        <v>0</v>
      </c>
      <c r="AY187" s="78" t="e">
        <f t="shared" si="388"/>
        <v>#DIV/0!</v>
      </c>
      <c r="AZ187" s="79">
        <f t="shared" si="389"/>
        <v>0</v>
      </c>
      <c r="BA187" s="30">
        <f t="shared" si="390"/>
        <v>0</v>
      </c>
      <c r="BB187" s="78" t="e">
        <f t="shared" si="391"/>
        <v>#DIV/0!</v>
      </c>
      <c r="BC187" s="79">
        <f t="shared" si="392"/>
        <v>0</v>
      </c>
      <c r="BD187" s="30">
        <f t="shared" si="393"/>
        <v>0</v>
      </c>
      <c r="BE187" s="78" t="e">
        <f t="shared" si="394"/>
        <v>#DIV/0!</v>
      </c>
      <c r="BF187" s="79">
        <f t="shared" si="395"/>
        <v>0</v>
      </c>
      <c r="BG187" s="30">
        <f t="shared" si="396"/>
        <v>0</v>
      </c>
      <c r="BH187" s="78" t="e">
        <f t="shared" si="397"/>
        <v>#DIV/0!</v>
      </c>
      <c r="BI187" s="79">
        <f t="shared" si="398"/>
        <v>0</v>
      </c>
      <c r="BJ187" s="30">
        <f t="shared" si="399"/>
        <v>0</v>
      </c>
      <c r="BK187" s="78" t="e">
        <f t="shared" si="400"/>
        <v>#DIV/0!</v>
      </c>
      <c r="BL187" s="79">
        <f t="shared" si="401"/>
        <v>0</v>
      </c>
      <c r="BM187" s="30">
        <f t="shared" si="402"/>
        <v>0</v>
      </c>
      <c r="BN187" s="78" t="e">
        <f t="shared" si="403"/>
        <v>#DIV/0!</v>
      </c>
      <c r="BO187" s="79">
        <f t="shared" si="404"/>
        <v>0</v>
      </c>
      <c r="BP187" s="30">
        <f t="shared" si="405"/>
        <v>0</v>
      </c>
      <c r="BQ187" s="78" t="e">
        <f t="shared" si="406"/>
        <v>#DIV/0!</v>
      </c>
      <c r="BR187" s="79">
        <f t="shared" si="407"/>
        <v>0</v>
      </c>
      <c r="BS187" s="30">
        <f t="shared" si="408"/>
        <v>0</v>
      </c>
      <c r="BT187" s="78" t="e">
        <f t="shared" si="409"/>
        <v>#DIV/0!</v>
      </c>
      <c r="BU187" s="79">
        <f t="shared" si="410"/>
        <v>0</v>
      </c>
      <c r="BV187" s="30">
        <f t="shared" si="411"/>
        <v>0</v>
      </c>
      <c r="BW187" s="78" t="e">
        <f t="shared" si="412"/>
        <v>#DIV/0!</v>
      </c>
      <c r="BX187" s="79">
        <f t="shared" si="413"/>
        <v>0</v>
      </c>
      <c r="BY187" s="30">
        <f t="shared" si="414"/>
        <v>0</v>
      </c>
      <c r="BZ187" s="78" t="e">
        <f t="shared" si="415"/>
        <v>#DIV/0!</v>
      </c>
      <c r="CA187" s="79">
        <f t="shared" si="416"/>
        <v>0</v>
      </c>
      <c r="CB187" s="30">
        <f t="shared" si="417"/>
        <v>0</v>
      </c>
      <c r="CC187" s="78" t="e">
        <f t="shared" si="418"/>
        <v>#DIV/0!</v>
      </c>
      <c r="CD187" s="79">
        <f t="shared" si="419"/>
        <v>0</v>
      </c>
      <c r="CE187" s="30">
        <f t="shared" si="420"/>
        <v>0</v>
      </c>
      <c r="CF187" s="78" t="e">
        <f t="shared" si="421"/>
        <v>#DIV/0!</v>
      </c>
      <c r="CG187" s="79">
        <f t="shared" si="422"/>
        <v>0</v>
      </c>
      <c r="CH187" s="30">
        <f t="shared" si="423"/>
        <v>0</v>
      </c>
      <c r="CI187" s="78" t="e">
        <f t="shared" si="424"/>
        <v>#DIV/0!</v>
      </c>
      <c r="CJ187" s="79">
        <f t="shared" si="425"/>
        <v>0</v>
      </c>
      <c r="CK187" s="30">
        <f t="shared" si="426"/>
        <v>0</v>
      </c>
      <c r="CL187" s="78" t="e">
        <f t="shared" si="427"/>
        <v>#DIV/0!</v>
      </c>
      <c r="CM187" s="79">
        <f t="shared" si="428"/>
        <v>0</v>
      </c>
      <c r="CN187" s="30">
        <f t="shared" si="429"/>
        <v>0</v>
      </c>
      <c r="CO187" s="78" t="e">
        <f t="shared" si="430"/>
        <v>#DIV/0!</v>
      </c>
      <c r="CP187" s="79">
        <f t="shared" si="431"/>
        <v>0</v>
      </c>
      <c r="CQ187" s="30">
        <f t="shared" si="432"/>
        <v>0</v>
      </c>
      <c r="CR187" s="78" t="e">
        <f t="shared" si="433"/>
        <v>#DIV/0!</v>
      </c>
      <c r="CS187" s="79">
        <f t="shared" si="434"/>
        <v>0</v>
      </c>
      <c r="CT187" s="30">
        <f t="shared" si="435"/>
        <v>0</v>
      </c>
      <c r="CU187" s="78" t="e">
        <f t="shared" si="436"/>
        <v>#DIV/0!</v>
      </c>
      <c r="CV187" s="79">
        <f t="shared" si="437"/>
        <v>0</v>
      </c>
      <c r="CW187" s="30">
        <f t="shared" si="438"/>
        <v>0</v>
      </c>
      <c r="CX187" s="78" t="e">
        <f t="shared" si="439"/>
        <v>#DIV/0!</v>
      </c>
      <c r="CY187" s="79">
        <f t="shared" si="440"/>
        <v>0</v>
      </c>
      <c r="CZ187" s="30">
        <f t="shared" si="441"/>
        <v>0</v>
      </c>
      <c r="DA187" s="78" t="e">
        <f t="shared" si="442"/>
        <v>#DIV/0!</v>
      </c>
      <c r="DB187" s="79">
        <f t="shared" si="443"/>
        <v>0</v>
      </c>
      <c r="DC187" s="30">
        <f t="shared" si="444"/>
        <v>0</v>
      </c>
      <c r="DD187" s="78" t="e">
        <f t="shared" si="445"/>
        <v>#DIV/0!</v>
      </c>
      <c r="DE187" s="79">
        <f t="shared" si="446"/>
        <v>0</v>
      </c>
      <c r="DF187" s="30">
        <f t="shared" si="447"/>
        <v>0</v>
      </c>
      <c r="DG187" s="78" t="e">
        <f t="shared" si="448"/>
        <v>#DIV/0!</v>
      </c>
      <c r="DH187" s="79">
        <f t="shared" si="449"/>
        <v>0</v>
      </c>
      <c r="DI187" s="30">
        <f t="shared" si="450"/>
        <v>0</v>
      </c>
      <c r="DJ187" s="78" t="e">
        <f t="shared" si="451"/>
        <v>#DIV/0!</v>
      </c>
      <c r="DK187" s="79">
        <f t="shared" si="452"/>
        <v>0</v>
      </c>
      <c r="DL187" s="30">
        <f t="shared" si="453"/>
        <v>0</v>
      </c>
      <c r="DM187" s="78" t="e">
        <f t="shared" si="454"/>
        <v>#DIV/0!</v>
      </c>
      <c r="DN187" s="79">
        <f t="shared" si="455"/>
        <v>0</v>
      </c>
      <c r="DO187" s="30">
        <f t="shared" si="456"/>
        <v>0</v>
      </c>
      <c r="DP187" s="78" t="e">
        <f t="shared" si="457"/>
        <v>#DIV/0!</v>
      </c>
      <c r="DQ187" s="79">
        <f t="shared" si="458"/>
        <v>0</v>
      </c>
      <c r="DR187" s="30">
        <f t="shared" si="459"/>
        <v>0</v>
      </c>
      <c r="DS187" s="78" t="e">
        <f t="shared" si="460"/>
        <v>#DIV/0!</v>
      </c>
      <c r="DT187" s="79">
        <f t="shared" si="461"/>
        <v>0</v>
      </c>
      <c r="DU187" s="30">
        <f t="shared" si="462"/>
        <v>0</v>
      </c>
      <c r="DV187" s="78" t="e">
        <f t="shared" si="463"/>
        <v>#DIV/0!</v>
      </c>
      <c r="DW187" s="79">
        <f t="shared" si="464"/>
        <v>0</v>
      </c>
      <c r="DX187" s="30">
        <f t="shared" si="465"/>
        <v>0</v>
      </c>
      <c r="DY187" s="78" t="e">
        <f t="shared" si="466"/>
        <v>#DIV/0!</v>
      </c>
      <c r="DZ187" s="79">
        <f t="shared" si="467"/>
        <v>0</v>
      </c>
      <c r="EA187" s="30">
        <f t="shared" si="468"/>
        <v>0</v>
      </c>
      <c r="EB187" s="78" t="e">
        <f t="shared" si="469"/>
        <v>#DIV/0!</v>
      </c>
      <c r="EC187" s="79">
        <f t="shared" si="470"/>
        <v>0</v>
      </c>
      <c r="ED187" s="30">
        <f t="shared" si="471"/>
        <v>0</v>
      </c>
      <c r="EE187" s="78" t="e">
        <f t="shared" si="472"/>
        <v>#DIV/0!</v>
      </c>
      <c r="EF187" s="79">
        <f t="shared" si="473"/>
        <v>0</v>
      </c>
      <c r="EG187" s="30">
        <f t="shared" si="474"/>
        <v>0</v>
      </c>
      <c r="EH187" s="78" t="e">
        <f t="shared" si="475"/>
        <v>#DIV/0!</v>
      </c>
      <c r="EI187" s="79">
        <f t="shared" si="476"/>
        <v>0</v>
      </c>
      <c r="EJ187" s="30">
        <f t="shared" si="477"/>
        <v>0</v>
      </c>
      <c r="EK187" s="78" t="e">
        <f t="shared" si="478"/>
        <v>#DIV/0!</v>
      </c>
    </row>
    <row r="188" spans="1:155" s="12" customFormat="1" ht="14.25" hidden="1" customHeight="1">
      <c r="A188" s="30">
        <v>33</v>
      </c>
      <c r="B188" s="26"/>
      <c r="C188" s="85">
        <v>1404</v>
      </c>
      <c r="D188" s="106" t="s">
        <v>150</v>
      </c>
      <c r="E188" s="60"/>
      <c r="F188" s="59"/>
      <c r="G188" s="82">
        <f t="shared" ref="G188:G219" si="480">+SUMIF($D$327:$D$515,C188,$H$327:$H$515)</f>
        <v>0</v>
      </c>
      <c r="H188" s="81">
        <f t="shared" ref="H188:H219" si="481">+SUMIF($D$327:$D$515,D188,$H$327:$H$515)</f>
        <v>0</v>
      </c>
      <c r="I188" s="19">
        <f t="shared" ref="I188:I219" si="482">+SUMIF($AA$327:$AA$515,AA188,$I$327:$I$515)</f>
        <v>0</v>
      </c>
      <c r="J188" s="11">
        <f t="shared" ref="J188:J219" si="483">SUM(K188:Z188)</f>
        <v>0</v>
      </c>
      <c r="K188" s="19">
        <f t="shared" ref="K188:K219" si="484">+SUMIF($D$327:$D$515,D188,$K$327:$K$515)</f>
        <v>0</v>
      </c>
      <c r="L188" s="19">
        <f t="shared" ref="L188:L219" si="485">+SUMIF($D$327:$D$515,D188,$L$327:$L$515)</f>
        <v>0</v>
      </c>
      <c r="M188" s="19">
        <f t="shared" ref="M188:M219" si="486">+SUMIF($D$327:$D$515,D188,$M$327:$M$515)</f>
        <v>0</v>
      </c>
      <c r="N188" s="19">
        <f t="shared" ref="N188:N219" si="487">+SUMIF($D$327:$D$515,D188,$N$327:$N$515)</f>
        <v>0</v>
      </c>
      <c r="O188" s="19">
        <f t="shared" ref="O188:O219" si="488">+SUMIF($D$327:$D$515,D188,$O$327:$O$515)</f>
        <v>0</v>
      </c>
      <c r="P188" s="19">
        <f t="shared" ref="P188:P219" si="489">+SUMIF($D$327:$D$515,D188,$P$327:$P$515)</f>
        <v>0</v>
      </c>
      <c r="Q188" s="19">
        <f t="shared" ref="Q188:Q219" si="490">+SUMIF($D$327:$D$515,D188,$Q$327:$Q$515)</f>
        <v>0</v>
      </c>
      <c r="R188" s="19">
        <f t="shared" ref="R188:R219" si="491">+SUMIF($D$327:$D$515,D188,$R$327:$R$515)</f>
        <v>0</v>
      </c>
      <c r="S188" s="19">
        <f t="shared" ref="S188:S219" si="492">+SUMIF($D$327:$D$515,D188,$S$327:$S$515)</f>
        <v>0</v>
      </c>
      <c r="T188" s="19">
        <f t="shared" ref="T188:T219" si="493">+SUMIF($D$327:$D$515,D188,$T$327:$T$515)</f>
        <v>0</v>
      </c>
      <c r="U188" s="19">
        <f t="shared" ref="U188:U219" si="494">+SUMIF($D$327:$D$515,D188,$U$327:$U$515)</f>
        <v>0</v>
      </c>
      <c r="V188" s="19">
        <f t="shared" ref="V188:V219" si="495">+SUMIF($D$327:$D$515,D188,$V$327:$V$515)</f>
        <v>0</v>
      </c>
      <c r="W188" s="19">
        <f t="shared" ref="W188:W219" si="496">+SUMIF($D$327:$D$515,D188,$W$327:$W$515)</f>
        <v>0</v>
      </c>
      <c r="X188" s="19">
        <f t="shared" ref="X188:X219" si="497">+SUMIF($D$327:$D$515,D188,$X$327:$X$515)</f>
        <v>0</v>
      </c>
      <c r="Y188" s="19">
        <f t="shared" ref="Y188:Y219" si="498">+SUMIF($D$327:$D$515,D188,$Y$327:$Y$515)</f>
        <v>0</v>
      </c>
      <c r="Z188" s="19">
        <f t="shared" ref="Z188:Z219" si="499">+SUMIF($D$327:$D$515,E188,$Y$327:$Y$515)</f>
        <v>0</v>
      </c>
      <c r="AA188" s="18"/>
      <c r="AB188" s="56">
        <f t="shared" ref="AB188:AB219" si="500">+SUMIF($D$327:$D$515,D188,$AB$327:$AB$515)</f>
        <v>0</v>
      </c>
      <c r="AC188" s="16">
        <f t="shared" ref="AC188:AC219" si="501">+SUMIF($D$327:$D$515,D188,$AC$327:$AC$515)</f>
        <v>0</v>
      </c>
      <c r="AD188" s="15" t="e">
        <f t="shared" ref="AD188:AD219" si="502">+AC188/AB188</f>
        <v>#DIV/0!</v>
      </c>
      <c r="AE188" s="42"/>
      <c r="AF188" s="10" t="e">
        <f t="shared" ref="AF188:AF219" si="503">+AC188/H188</f>
        <v>#DIV/0!</v>
      </c>
      <c r="AG188" s="10"/>
      <c r="AH188" s="21">
        <f t="shared" ref="AH188:AH219" si="504">+SUMIF($D$327:$D$515,D188,$AH$327:$AH$515)</f>
        <v>0</v>
      </c>
      <c r="AI188" s="54" t="e">
        <f t="shared" ref="AI188:AI219" si="505">+AH188/AC188</f>
        <v>#DIV/0!</v>
      </c>
      <c r="AJ188" s="25">
        <f t="shared" ref="AJ188:AJ219" si="506">+SUMIF($D$327:$D$515,D188,$AJ$327:$AJ$515)</f>
        <v>0</v>
      </c>
      <c r="AK188" s="25">
        <f t="shared" ref="AK188:AK219" si="507">+SUMIF($D$327:$D$515,D188,$AK$327:$AK$515)</f>
        <v>0</v>
      </c>
      <c r="AL188" s="25">
        <f t="shared" ref="AL188:AL219" si="508">+SUMIF($D$327:$D$515,D188,$AL$327:$AL$515)</f>
        <v>0</v>
      </c>
      <c r="AM188" s="25">
        <f t="shared" ref="AM188:AM219" si="509">+SUMIF($D$327:$D$515,D188,$AM$327:$AM$515)</f>
        <v>0</v>
      </c>
      <c r="AN188" s="25">
        <f t="shared" ref="AN188:AN219" si="510">+SUMIF($D$327:$D$515,D188,$AN$327:$AN$515)</f>
        <v>0</v>
      </c>
      <c r="AO188" s="25">
        <f t="shared" ref="AO188:AO219" si="511">+SUMIF($D$327:$D$515,D188,$AO$327:$AO$515)</f>
        <v>0</v>
      </c>
      <c r="AP188" s="25">
        <f t="shared" ref="AP188:AP219" si="512">+SUMIF($D$327:$D$515,D188,$AP$327:$AP$515)</f>
        <v>0</v>
      </c>
      <c r="AQ188" s="25">
        <f t="shared" ref="AQ188:AQ219" si="513">+SUMIF($D$327:$D$515,D188,$AQ$327:$AQ$515)</f>
        <v>0</v>
      </c>
      <c r="AR188" s="25">
        <f t="shared" ref="AR188:AR219" si="514">+SUMIF($AB$327:$AB$515,AA188,$AR$327:$AR$515)</f>
        <v>0</v>
      </c>
      <c r="AS188" s="25">
        <f t="shared" ref="AS188:AS219" si="515">+SUMIF($AC$327:$AC$515,AA188,$AS$327:$AS$515)</f>
        <v>0</v>
      </c>
      <c r="AT188" s="25">
        <f t="shared" ref="AT188:AT219" si="516">+SUMIF($D$327:$D$515,D188,$AT$327:$AT$515)</f>
        <v>0</v>
      </c>
      <c r="AU188" s="80"/>
      <c r="AV188" s="79">
        <f t="shared" ref="AV188:AV219" si="517">+SUMIF($B$6:$B$42,B188,$AV$6:$AV$42)</f>
        <v>0</v>
      </c>
      <c r="AW188" s="79">
        <f t="shared" si="479"/>
        <v>0</v>
      </c>
      <c r="AX188" s="30">
        <f t="shared" si="387"/>
        <v>0</v>
      </c>
      <c r="AY188" s="78" t="e">
        <f t="shared" ref="AY188:AY219" si="518">+AX188/AW188</f>
        <v>#DIV/0!</v>
      </c>
      <c r="AZ188" s="79">
        <f t="shared" si="389"/>
        <v>0</v>
      </c>
      <c r="BA188" s="30">
        <f t="shared" si="390"/>
        <v>0</v>
      </c>
      <c r="BB188" s="78" t="e">
        <f t="shared" ref="BB188:BB219" si="519">+BA188/AZ188</f>
        <v>#DIV/0!</v>
      </c>
      <c r="BC188" s="79">
        <f t="shared" si="392"/>
        <v>0</v>
      </c>
      <c r="BD188" s="30">
        <f t="shared" si="393"/>
        <v>0</v>
      </c>
      <c r="BE188" s="78" t="e">
        <f t="shared" ref="BE188:BE219" si="520">+BD188/BC188</f>
        <v>#DIV/0!</v>
      </c>
      <c r="BF188" s="79">
        <f t="shared" si="395"/>
        <v>0</v>
      </c>
      <c r="BG188" s="30">
        <f t="shared" si="396"/>
        <v>0</v>
      </c>
      <c r="BH188" s="78" t="e">
        <f t="shared" ref="BH188:BH219" si="521">+BG188/BF188</f>
        <v>#DIV/0!</v>
      </c>
      <c r="BI188" s="79">
        <f t="shared" si="398"/>
        <v>0</v>
      </c>
      <c r="BJ188" s="30">
        <f t="shared" si="399"/>
        <v>0</v>
      </c>
      <c r="BK188" s="78" t="e">
        <f t="shared" ref="BK188:BK219" si="522">+BJ188/BI188</f>
        <v>#DIV/0!</v>
      </c>
      <c r="BL188" s="79">
        <f t="shared" si="401"/>
        <v>0</v>
      </c>
      <c r="BM188" s="30">
        <f t="shared" si="402"/>
        <v>0</v>
      </c>
      <c r="BN188" s="78" t="e">
        <f t="shared" ref="BN188:BN219" si="523">+BM188/BL188</f>
        <v>#DIV/0!</v>
      </c>
      <c r="BO188" s="79">
        <f t="shared" si="404"/>
        <v>0</v>
      </c>
      <c r="BP188" s="30">
        <f t="shared" si="405"/>
        <v>0</v>
      </c>
      <c r="BQ188" s="78" t="e">
        <f t="shared" ref="BQ188:BQ219" si="524">+BP188/BO188</f>
        <v>#DIV/0!</v>
      </c>
      <c r="BR188" s="79">
        <f t="shared" si="407"/>
        <v>0</v>
      </c>
      <c r="BS188" s="30">
        <f t="shared" si="408"/>
        <v>0</v>
      </c>
      <c r="BT188" s="78" t="e">
        <f t="shared" ref="BT188:BT219" si="525">+BS188/BR188</f>
        <v>#DIV/0!</v>
      </c>
      <c r="BU188" s="79">
        <f t="shared" si="410"/>
        <v>0</v>
      </c>
      <c r="BV188" s="30">
        <f t="shared" si="411"/>
        <v>0</v>
      </c>
      <c r="BW188" s="78" t="e">
        <f t="shared" ref="BW188:BW219" si="526">+BV188/BU188</f>
        <v>#DIV/0!</v>
      </c>
      <c r="BX188" s="79">
        <f t="shared" si="413"/>
        <v>0</v>
      </c>
      <c r="BY188" s="30">
        <f t="shared" si="414"/>
        <v>0</v>
      </c>
      <c r="BZ188" s="78" t="e">
        <f t="shared" ref="BZ188:BZ219" si="527">+BY188/BX188</f>
        <v>#DIV/0!</v>
      </c>
      <c r="CA188" s="79">
        <f t="shared" si="416"/>
        <v>0</v>
      </c>
      <c r="CB188" s="30">
        <f t="shared" si="417"/>
        <v>0</v>
      </c>
      <c r="CC188" s="78" t="e">
        <f t="shared" ref="CC188:CC219" si="528">+CB188/CA188</f>
        <v>#DIV/0!</v>
      </c>
      <c r="CD188" s="79">
        <f t="shared" si="419"/>
        <v>0</v>
      </c>
      <c r="CE188" s="30">
        <f t="shared" si="420"/>
        <v>0</v>
      </c>
      <c r="CF188" s="78" t="e">
        <f t="shared" ref="CF188:CF219" si="529">+CE188/CD188</f>
        <v>#DIV/0!</v>
      </c>
      <c r="CG188" s="79">
        <f t="shared" si="422"/>
        <v>0</v>
      </c>
      <c r="CH188" s="30">
        <f t="shared" si="423"/>
        <v>0</v>
      </c>
      <c r="CI188" s="78" t="e">
        <f t="shared" ref="CI188:CI219" si="530">+CH188/CG188</f>
        <v>#DIV/0!</v>
      </c>
      <c r="CJ188" s="79">
        <f t="shared" si="425"/>
        <v>0</v>
      </c>
      <c r="CK188" s="30">
        <f t="shared" si="426"/>
        <v>0</v>
      </c>
      <c r="CL188" s="78" t="e">
        <f t="shared" ref="CL188:CL219" si="531">+CK188/CJ188</f>
        <v>#DIV/0!</v>
      </c>
      <c r="CM188" s="79">
        <f t="shared" si="428"/>
        <v>0</v>
      </c>
      <c r="CN188" s="30">
        <f t="shared" si="429"/>
        <v>0</v>
      </c>
      <c r="CO188" s="78" t="e">
        <f t="shared" ref="CO188:CO219" si="532">+CN188/CM188</f>
        <v>#DIV/0!</v>
      </c>
      <c r="CP188" s="79">
        <f t="shared" si="431"/>
        <v>0</v>
      </c>
      <c r="CQ188" s="30">
        <f t="shared" si="432"/>
        <v>0</v>
      </c>
      <c r="CR188" s="78" t="e">
        <f t="shared" ref="CR188:CR219" si="533">+CQ188/CP188</f>
        <v>#DIV/0!</v>
      </c>
      <c r="CS188" s="79">
        <f t="shared" si="434"/>
        <v>0</v>
      </c>
      <c r="CT188" s="30">
        <f t="shared" si="435"/>
        <v>0</v>
      </c>
      <c r="CU188" s="78" t="e">
        <f t="shared" ref="CU188:CU219" si="534">+CT188/CS188</f>
        <v>#DIV/0!</v>
      </c>
      <c r="CV188" s="79">
        <f t="shared" si="437"/>
        <v>0</v>
      </c>
      <c r="CW188" s="30">
        <f t="shared" si="438"/>
        <v>0</v>
      </c>
      <c r="CX188" s="78" t="e">
        <f t="shared" ref="CX188:CX219" si="535">+CW188/CV188</f>
        <v>#DIV/0!</v>
      </c>
      <c r="CY188" s="79">
        <f t="shared" si="440"/>
        <v>0</v>
      </c>
      <c r="CZ188" s="30">
        <f t="shared" si="441"/>
        <v>0</v>
      </c>
      <c r="DA188" s="78" t="e">
        <f t="shared" ref="DA188:DA219" si="536">+CZ188/CY188</f>
        <v>#DIV/0!</v>
      </c>
      <c r="DB188" s="79">
        <f t="shared" si="443"/>
        <v>0</v>
      </c>
      <c r="DC188" s="30">
        <f t="shared" si="444"/>
        <v>0</v>
      </c>
      <c r="DD188" s="78" t="e">
        <f t="shared" ref="DD188:DD219" si="537">+DC188/DB188</f>
        <v>#DIV/0!</v>
      </c>
      <c r="DE188" s="79">
        <f t="shared" si="446"/>
        <v>0</v>
      </c>
      <c r="DF188" s="30">
        <f t="shared" si="447"/>
        <v>0</v>
      </c>
      <c r="DG188" s="78" t="e">
        <f t="shared" ref="DG188:DG219" si="538">+DF188/DE188</f>
        <v>#DIV/0!</v>
      </c>
      <c r="DH188" s="79">
        <f t="shared" si="449"/>
        <v>0</v>
      </c>
      <c r="DI188" s="30">
        <f t="shared" si="450"/>
        <v>0</v>
      </c>
      <c r="DJ188" s="78" t="e">
        <f t="shared" ref="DJ188:DJ219" si="539">+DI188/DH188</f>
        <v>#DIV/0!</v>
      </c>
      <c r="DK188" s="79">
        <f t="shared" si="452"/>
        <v>0</v>
      </c>
      <c r="DL188" s="30">
        <f t="shared" si="453"/>
        <v>0</v>
      </c>
      <c r="DM188" s="78" t="e">
        <f t="shared" ref="DM188:DM219" si="540">+DL188/DK188</f>
        <v>#DIV/0!</v>
      </c>
      <c r="DN188" s="79">
        <f t="shared" ref="DN188:DN219" si="541">+SUMIF($C$6:$C$63,$C188,DN$6:DN$63)</f>
        <v>0</v>
      </c>
      <c r="DO188" s="30">
        <f t="shared" ref="DO188:DO219" si="542">+SUMIF($B$6:$B$59,$C188,DO$6:DO$59)</f>
        <v>0</v>
      </c>
      <c r="DP188" s="78" t="e">
        <f t="shared" ref="DP188:DP219" si="543">+DO188/DN188</f>
        <v>#DIV/0!</v>
      </c>
      <c r="DQ188" s="79">
        <f t="shared" si="458"/>
        <v>0</v>
      </c>
      <c r="DR188" s="30">
        <f t="shared" si="459"/>
        <v>0</v>
      </c>
      <c r="DS188" s="78" t="e">
        <f t="shared" ref="DS188:DS219" si="544">+DR188/DQ188</f>
        <v>#DIV/0!</v>
      </c>
      <c r="DT188" s="79">
        <f t="shared" si="461"/>
        <v>0</v>
      </c>
      <c r="DU188" s="30">
        <f t="shared" si="462"/>
        <v>0</v>
      </c>
      <c r="DV188" s="78" t="e">
        <f t="shared" ref="DV188:DV219" si="545">+DU188/DT188</f>
        <v>#DIV/0!</v>
      </c>
      <c r="DW188" s="79">
        <f t="shared" si="464"/>
        <v>0</v>
      </c>
      <c r="DX188" s="30">
        <f t="shared" si="465"/>
        <v>0</v>
      </c>
      <c r="DY188" s="78" t="e">
        <f t="shared" ref="DY188:DY219" si="546">+DX188/DW188</f>
        <v>#DIV/0!</v>
      </c>
      <c r="DZ188" s="79">
        <f t="shared" si="467"/>
        <v>0</v>
      </c>
      <c r="EA188" s="30">
        <f t="shared" si="468"/>
        <v>0</v>
      </c>
      <c r="EB188" s="78" t="e">
        <f t="shared" ref="EB188:EB219" si="547">+EA188/DZ188</f>
        <v>#DIV/0!</v>
      </c>
      <c r="EC188" s="79">
        <f t="shared" si="470"/>
        <v>0</v>
      </c>
      <c r="ED188" s="30">
        <f t="shared" si="471"/>
        <v>0</v>
      </c>
      <c r="EE188" s="78" t="e">
        <f t="shared" ref="EE188:EE219" si="548">+ED188/EC188</f>
        <v>#DIV/0!</v>
      </c>
      <c r="EF188" s="79">
        <f t="shared" si="473"/>
        <v>0</v>
      </c>
      <c r="EG188" s="30">
        <f t="shared" si="474"/>
        <v>0</v>
      </c>
      <c r="EH188" s="78" t="e">
        <f t="shared" ref="EH188:EH219" si="549">+EG188/EF188</f>
        <v>#DIV/0!</v>
      </c>
      <c r="EI188" s="79">
        <f t="shared" si="476"/>
        <v>0</v>
      </c>
      <c r="EJ188" s="30">
        <f t="shared" si="477"/>
        <v>0</v>
      </c>
      <c r="EK188" s="78" t="e">
        <f t="shared" ref="EK188:EK219" si="550">+EJ188/EI188</f>
        <v>#DIV/0!</v>
      </c>
    </row>
    <row r="189" spans="1:155" s="12" customFormat="1" ht="14.25" hidden="1" customHeight="1">
      <c r="A189" s="25">
        <v>34</v>
      </c>
      <c r="B189" s="26"/>
      <c r="C189" s="107">
        <v>4408</v>
      </c>
      <c r="D189" s="106" t="s">
        <v>149</v>
      </c>
      <c r="E189" s="60"/>
      <c r="F189" s="59"/>
      <c r="G189" s="82">
        <f t="shared" si="480"/>
        <v>0</v>
      </c>
      <c r="H189" s="81">
        <f t="shared" si="481"/>
        <v>0</v>
      </c>
      <c r="I189" s="19">
        <f t="shared" si="482"/>
        <v>0</v>
      </c>
      <c r="J189" s="11">
        <f t="shared" si="483"/>
        <v>0</v>
      </c>
      <c r="K189" s="19">
        <f t="shared" si="484"/>
        <v>0</v>
      </c>
      <c r="L189" s="19">
        <f t="shared" si="485"/>
        <v>0</v>
      </c>
      <c r="M189" s="19">
        <f t="shared" si="486"/>
        <v>0</v>
      </c>
      <c r="N189" s="19">
        <f t="shared" si="487"/>
        <v>0</v>
      </c>
      <c r="O189" s="19">
        <f t="shared" si="488"/>
        <v>0</v>
      </c>
      <c r="P189" s="19">
        <f t="shared" si="489"/>
        <v>0</v>
      </c>
      <c r="Q189" s="19">
        <f t="shared" si="490"/>
        <v>0</v>
      </c>
      <c r="R189" s="19">
        <f t="shared" si="491"/>
        <v>0</v>
      </c>
      <c r="S189" s="19">
        <f t="shared" si="492"/>
        <v>0</v>
      </c>
      <c r="T189" s="19">
        <f t="shared" si="493"/>
        <v>0</v>
      </c>
      <c r="U189" s="19">
        <f t="shared" si="494"/>
        <v>0</v>
      </c>
      <c r="V189" s="19">
        <f t="shared" si="495"/>
        <v>0</v>
      </c>
      <c r="W189" s="19">
        <f t="shared" si="496"/>
        <v>0</v>
      </c>
      <c r="X189" s="19">
        <f t="shared" si="497"/>
        <v>0</v>
      </c>
      <c r="Y189" s="19">
        <f t="shared" si="498"/>
        <v>0</v>
      </c>
      <c r="Z189" s="19">
        <f t="shared" si="499"/>
        <v>0</v>
      </c>
      <c r="AA189" s="18"/>
      <c r="AB189" s="56">
        <f t="shared" si="500"/>
        <v>0</v>
      </c>
      <c r="AC189" s="16">
        <f t="shared" si="501"/>
        <v>0</v>
      </c>
      <c r="AD189" s="15" t="e">
        <f t="shared" si="502"/>
        <v>#DIV/0!</v>
      </c>
      <c r="AE189" s="42"/>
      <c r="AF189" s="10" t="e">
        <f t="shared" si="503"/>
        <v>#DIV/0!</v>
      </c>
      <c r="AG189" s="10"/>
      <c r="AH189" s="21">
        <f t="shared" si="504"/>
        <v>0</v>
      </c>
      <c r="AI189" s="54" t="e">
        <f t="shared" si="505"/>
        <v>#DIV/0!</v>
      </c>
      <c r="AJ189" s="25">
        <f t="shared" si="506"/>
        <v>0</v>
      </c>
      <c r="AK189" s="25">
        <f t="shared" si="507"/>
        <v>0</v>
      </c>
      <c r="AL189" s="25">
        <f t="shared" si="508"/>
        <v>0</v>
      </c>
      <c r="AM189" s="25">
        <f t="shared" si="509"/>
        <v>0</v>
      </c>
      <c r="AN189" s="25">
        <f t="shared" si="510"/>
        <v>0</v>
      </c>
      <c r="AO189" s="25">
        <f t="shared" si="511"/>
        <v>0</v>
      </c>
      <c r="AP189" s="25">
        <f t="shared" si="512"/>
        <v>0</v>
      </c>
      <c r="AQ189" s="25">
        <f t="shared" si="513"/>
        <v>0</v>
      </c>
      <c r="AR189" s="25">
        <f t="shared" si="514"/>
        <v>0</v>
      </c>
      <c r="AS189" s="25">
        <f t="shared" si="515"/>
        <v>0</v>
      </c>
      <c r="AT189" s="25">
        <f t="shared" si="516"/>
        <v>0</v>
      </c>
      <c r="AU189" s="80"/>
      <c r="AV189" s="79">
        <f t="shared" si="517"/>
        <v>0</v>
      </c>
      <c r="AW189" s="79">
        <f t="shared" si="479"/>
        <v>0</v>
      </c>
      <c r="AX189" s="30">
        <f t="shared" si="387"/>
        <v>0</v>
      </c>
      <c r="AY189" s="78" t="e">
        <f t="shared" si="518"/>
        <v>#DIV/0!</v>
      </c>
      <c r="AZ189" s="79">
        <f t="shared" si="389"/>
        <v>0</v>
      </c>
      <c r="BA189" s="30">
        <f t="shared" si="390"/>
        <v>0</v>
      </c>
      <c r="BB189" s="78" t="e">
        <f t="shared" si="519"/>
        <v>#DIV/0!</v>
      </c>
      <c r="BC189" s="79">
        <f t="shared" si="392"/>
        <v>0</v>
      </c>
      <c r="BD189" s="30">
        <f t="shared" si="393"/>
        <v>0</v>
      </c>
      <c r="BE189" s="78" t="e">
        <f t="shared" si="520"/>
        <v>#DIV/0!</v>
      </c>
      <c r="BF189" s="79">
        <f t="shared" si="395"/>
        <v>0</v>
      </c>
      <c r="BG189" s="30">
        <f t="shared" si="396"/>
        <v>0</v>
      </c>
      <c r="BH189" s="78" t="e">
        <f t="shared" si="521"/>
        <v>#DIV/0!</v>
      </c>
      <c r="BI189" s="79">
        <f t="shared" si="398"/>
        <v>0</v>
      </c>
      <c r="BJ189" s="30">
        <f t="shared" si="399"/>
        <v>0</v>
      </c>
      <c r="BK189" s="78" t="e">
        <f t="shared" si="522"/>
        <v>#DIV/0!</v>
      </c>
      <c r="BL189" s="79">
        <f t="shared" si="401"/>
        <v>0</v>
      </c>
      <c r="BM189" s="30">
        <f t="shared" si="402"/>
        <v>0</v>
      </c>
      <c r="BN189" s="78" t="e">
        <f t="shared" si="523"/>
        <v>#DIV/0!</v>
      </c>
      <c r="BO189" s="79">
        <f t="shared" si="404"/>
        <v>0</v>
      </c>
      <c r="BP189" s="30">
        <f t="shared" si="405"/>
        <v>0</v>
      </c>
      <c r="BQ189" s="78" t="e">
        <f t="shared" si="524"/>
        <v>#DIV/0!</v>
      </c>
      <c r="BR189" s="79">
        <f t="shared" si="407"/>
        <v>0</v>
      </c>
      <c r="BS189" s="30">
        <f t="shared" si="408"/>
        <v>0</v>
      </c>
      <c r="BT189" s="78" t="e">
        <f t="shared" si="525"/>
        <v>#DIV/0!</v>
      </c>
      <c r="BU189" s="79">
        <f t="shared" si="410"/>
        <v>0</v>
      </c>
      <c r="BV189" s="30">
        <f t="shared" si="411"/>
        <v>0</v>
      </c>
      <c r="BW189" s="78" t="e">
        <f t="shared" si="526"/>
        <v>#DIV/0!</v>
      </c>
      <c r="BX189" s="79">
        <f t="shared" si="413"/>
        <v>0</v>
      </c>
      <c r="BY189" s="30">
        <f t="shared" si="414"/>
        <v>0</v>
      </c>
      <c r="BZ189" s="78" t="e">
        <f t="shared" si="527"/>
        <v>#DIV/0!</v>
      </c>
      <c r="CA189" s="79">
        <f t="shared" si="416"/>
        <v>0</v>
      </c>
      <c r="CB189" s="30">
        <f t="shared" si="417"/>
        <v>0</v>
      </c>
      <c r="CC189" s="78" t="e">
        <f t="shared" si="528"/>
        <v>#DIV/0!</v>
      </c>
      <c r="CD189" s="79">
        <f t="shared" si="419"/>
        <v>0</v>
      </c>
      <c r="CE189" s="30">
        <f t="shared" si="420"/>
        <v>0</v>
      </c>
      <c r="CF189" s="78" t="e">
        <f t="shared" si="529"/>
        <v>#DIV/0!</v>
      </c>
      <c r="CG189" s="79">
        <f t="shared" si="422"/>
        <v>0</v>
      </c>
      <c r="CH189" s="30">
        <f t="shared" si="423"/>
        <v>0</v>
      </c>
      <c r="CI189" s="78" t="e">
        <f t="shared" si="530"/>
        <v>#DIV/0!</v>
      </c>
      <c r="CJ189" s="79">
        <f t="shared" si="425"/>
        <v>0</v>
      </c>
      <c r="CK189" s="30">
        <f t="shared" si="426"/>
        <v>0</v>
      </c>
      <c r="CL189" s="78" t="e">
        <f t="shared" si="531"/>
        <v>#DIV/0!</v>
      </c>
      <c r="CM189" s="79">
        <f t="shared" si="428"/>
        <v>0</v>
      </c>
      <c r="CN189" s="30">
        <f t="shared" si="429"/>
        <v>0</v>
      </c>
      <c r="CO189" s="78" t="e">
        <f t="shared" si="532"/>
        <v>#DIV/0!</v>
      </c>
      <c r="CP189" s="79">
        <f t="shared" si="431"/>
        <v>0</v>
      </c>
      <c r="CQ189" s="30">
        <f t="shared" si="432"/>
        <v>0</v>
      </c>
      <c r="CR189" s="78" t="e">
        <f t="shared" si="533"/>
        <v>#DIV/0!</v>
      </c>
      <c r="CS189" s="79">
        <f t="shared" si="434"/>
        <v>0</v>
      </c>
      <c r="CT189" s="30">
        <f t="shared" si="435"/>
        <v>0</v>
      </c>
      <c r="CU189" s="78" t="e">
        <f t="shared" si="534"/>
        <v>#DIV/0!</v>
      </c>
      <c r="CV189" s="79">
        <f t="shared" si="437"/>
        <v>0</v>
      </c>
      <c r="CW189" s="30">
        <f t="shared" si="438"/>
        <v>0</v>
      </c>
      <c r="CX189" s="78" t="e">
        <f t="shared" si="535"/>
        <v>#DIV/0!</v>
      </c>
      <c r="CY189" s="79">
        <f t="shared" si="440"/>
        <v>0</v>
      </c>
      <c r="CZ189" s="30">
        <f t="shared" si="441"/>
        <v>0</v>
      </c>
      <c r="DA189" s="78" t="e">
        <f t="shared" si="536"/>
        <v>#DIV/0!</v>
      </c>
      <c r="DB189" s="79">
        <f t="shared" si="443"/>
        <v>0</v>
      </c>
      <c r="DC189" s="30">
        <f t="shared" si="444"/>
        <v>0</v>
      </c>
      <c r="DD189" s="78" t="e">
        <f t="shared" si="537"/>
        <v>#DIV/0!</v>
      </c>
      <c r="DE189" s="79">
        <f t="shared" si="446"/>
        <v>0</v>
      </c>
      <c r="DF189" s="30">
        <f t="shared" si="447"/>
        <v>0</v>
      </c>
      <c r="DG189" s="78" t="e">
        <f t="shared" si="538"/>
        <v>#DIV/0!</v>
      </c>
      <c r="DH189" s="79">
        <f t="shared" si="449"/>
        <v>0</v>
      </c>
      <c r="DI189" s="30">
        <f t="shared" si="450"/>
        <v>0</v>
      </c>
      <c r="DJ189" s="78" t="e">
        <f t="shared" si="539"/>
        <v>#DIV/0!</v>
      </c>
      <c r="DK189" s="79">
        <f t="shared" si="452"/>
        <v>0</v>
      </c>
      <c r="DL189" s="30">
        <f t="shared" si="453"/>
        <v>0</v>
      </c>
      <c r="DM189" s="78" t="e">
        <f t="shared" si="540"/>
        <v>#DIV/0!</v>
      </c>
      <c r="DN189" s="79">
        <f t="shared" si="541"/>
        <v>0</v>
      </c>
      <c r="DO189" s="30">
        <f t="shared" si="542"/>
        <v>0</v>
      </c>
      <c r="DP189" s="78" t="e">
        <f t="shared" si="543"/>
        <v>#DIV/0!</v>
      </c>
      <c r="DQ189" s="79">
        <f t="shared" si="458"/>
        <v>0</v>
      </c>
      <c r="DR189" s="30">
        <f t="shared" si="459"/>
        <v>0</v>
      </c>
      <c r="DS189" s="78" t="e">
        <f t="shared" si="544"/>
        <v>#DIV/0!</v>
      </c>
      <c r="DT189" s="79">
        <f t="shared" si="461"/>
        <v>0</v>
      </c>
      <c r="DU189" s="30">
        <f t="shared" si="462"/>
        <v>0</v>
      </c>
      <c r="DV189" s="78" t="e">
        <f t="shared" si="545"/>
        <v>#DIV/0!</v>
      </c>
      <c r="DW189" s="79">
        <f t="shared" si="464"/>
        <v>0</v>
      </c>
      <c r="DX189" s="30">
        <f t="shared" si="465"/>
        <v>0</v>
      </c>
      <c r="DY189" s="78" t="e">
        <f t="shared" si="546"/>
        <v>#DIV/0!</v>
      </c>
      <c r="DZ189" s="79">
        <f t="shared" si="467"/>
        <v>0</v>
      </c>
      <c r="EA189" s="30">
        <f t="shared" si="468"/>
        <v>0</v>
      </c>
      <c r="EB189" s="78" t="e">
        <f t="shared" si="547"/>
        <v>#DIV/0!</v>
      </c>
      <c r="EC189" s="79">
        <f t="shared" si="470"/>
        <v>0</v>
      </c>
      <c r="ED189" s="30">
        <f t="shared" si="471"/>
        <v>0</v>
      </c>
      <c r="EE189" s="78" t="e">
        <f t="shared" si="548"/>
        <v>#DIV/0!</v>
      </c>
      <c r="EF189" s="79">
        <f t="shared" si="473"/>
        <v>0</v>
      </c>
      <c r="EG189" s="30">
        <f t="shared" si="474"/>
        <v>0</v>
      </c>
      <c r="EH189" s="78" t="e">
        <f t="shared" si="549"/>
        <v>#DIV/0!</v>
      </c>
      <c r="EI189" s="79">
        <f t="shared" si="476"/>
        <v>0</v>
      </c>
      <c r="EJ189" s="30">
        <f t="shared" si="477"/>
        <v>0</v>
      </c>
      <c r="EK189" s="78" t="e">
        <f t="shared" si="550"/>
        <v>#DIV/0!</v>
      </c>
    </row>
    <row r="190" spans="1:155" s="12" customFormat="1" ht="14.25" hidden="1" customHeight="1">
      <c r="A190" s="30">
        <v>35</v>
      </c>
      <c r="B190" s="26"/>
      <c r="C190" s="85" t="s">
        <v>148</v>
      </c>
      <c r="D190" s="106" t="s">
        <v>147</v>
      </c>
      <c r="E190" s="60"/>
      <c r="F190" s="59"/>
      <c r="G190" s="82">
        <f t="shared" si="480"/>
        <v>0</v>
      </c>
      <c r="H190" s="81">
        <f t="shared" si="481"/>
        <v>0</v>
      </c>
      <c r="I190" s="19">
        <f t="shared" si="482"/>
        <v>0</v>
      </c>
      <c r="J190" s="11">
        <f t="shared" si="483"/>
        <v>0</v>
      </c>
      <c r="K190" s="19">
        <f t="shared" si="484"/>
        <v>0</v>
      </c>
      <c r="L190" s="19">
        <f t="shared" si="485"/>
        <v>0</v>
      </c>
      <c r="M190" s="19">
        <f t="shared" si="486"/>
        <v>0</v>
      </c>
      <c r="N190" s="19">
        <f t="shared" si="487"/>
        <v>0</v>
      </c>
      <c r="O190" s="19">
        <f t="shared" si="488"/>
        <v>0</v>
      </c>
      <c r="P190" s="19">
        <f t="shared" si="489"/>
        <v>0</v>
      </c>
      <c r="Q190" s="19">
        <f t="shared" si="490"/>
        <v>0</v>
      </c>
      <c r="R190" s="19">
        <f t="shared" si="491"/>
        <v>0</v>
      </c>
      <c r="S190" s="19">
        <f t="shared" si="492"/>
        <v>0</v>
      </c>
      <c r="T190" s="19">
        <f t="shared" si="493"/>
        <v>0</v>
      </c>
      <c r="U190" s="19">
        <f t="shared" si="494"/>
        <v>0</v>
      </c>
      <c r="V190" s="19">
        <f t="shared" si="495"/>
        <v>0</v>
      </c>
      <c r="W190" s="19">
        <f t="shared" si="496"/>
        <v>0</v>
      </c>
      <c r="X190" s="19">
        <f t="shared" si="497"/>
        <v>0</v>
      </c>
      <c r="Y190" s="19">
        <f t="shared" si="498"/>
        <v>0</v>
      </c>
      <c r="Z190" s="19">
        <f t="shared" si="499"/>
        <v>0</v>
      </c>
      <c r="AA190" s="18"/>
      <c r="AB190" s="56">
        <f t="shared" si="500"/>
        <v>0</v>
      </c>
      <c r="AC190" s="16">
        <f t="shared" si="501"/>
        <v>0</v>
      </c>
      <c r="AD190" s="15" t="e">
        <f t="shared" si="502"/>
        <v>#DIV/0!</v>
      </c>
      <c r="AE190" s="42"/>
      <c r="AF190" s="10" t="e">
        <f t="shared" si="503"/>
        <v>#DIV/0!</v>
      </c>
      <c r="AG190" s="10"/>
      <c r="AH190" s="21">
        <f t="shared" si="504"/>
        <v>0</v>
      </c>
      <c r="AI190" s="54" t="e">
        <f t="shared" si="505"/>
        <v>#DIV/0!</v>
      </c>
      <c r="AJ190" s="25">
        <f t="shared" si="506"/>
        <v>0</v>
      </c>
      <c r="AK190" s="25">
        <f t="shared" si="507"/>
        <v>0</v>
      </c>
      <c r="AL190" s="25">
        <f t="shared" si="508"/>
        <v>0</v>
      </c>
      <c r="AM190" s="25">
        <f t="shared" si="509"/>
        <v>0</v>
      </c>
      <c r="AN190" s="25">
        <f t="shared" si="510"/>
        <v>0</v>
      </c>
      <c r="AO190" s="25">
        <f t="shared" si="511"/>
        <v>0</v>
      </c>
      <c r="AP190" s="25">
        <f t="shared" si="512"/>
        <v>0</v>
      </c>
      <c r="AQ190" s="25">
        <f t="shared" si="513"/>
        <v>0</v>
      </c>
      <c r="AR190" s="25">
        <f t="shared" si="514"/>
        <v>0</v>
      </c>
      <c r="AS190" s="25">
        <f t="shared" si="515"/>
        <v>0</v>
      </c>
      <c r="AT190" s="25">
        <f t="shared" si="516"/>
        <v>0</v>
      </c>
      <c r="AU190" s="80"/>
      <c r="AV190" s="79">
        <f t="shared" si="517"/>
        <v>0</v>
      </c>
      <c r="AW190" s="79">
        <f t="shared" si="479"/>
        <v>0</v>
      </c>
      <c r="AX190" s="30">
        <f t="shared" si="387"/>
        <v>0</v>
      </c>
      <c r="AY190" s="78" t="e">
        <f t="shared" si="518"/>
        <v>#DIV/0!</v>
      </c>
      <c r="AZ190" s="79">
        <f t="shared" si="389"/>
        <v>0</v>
      </c>
      <c r="BA190" s="30">
        <f t="shared" si="390"/>
        <v>0</v>
      </c>
      <c r="BB190" s="78" t="e">
        <f t="shared" si="519"/>
        <v>#DIV/0!</v>
      </c>
      <c r="BC190" s="79">
        <f t="shared" si="392"/>
        <v>0</v>
      </c>
      <c r="BD190" s="30">
        <f t="shared" si="393"/>
        <v>0</v>
      </c>
      <c r="BE190" s="78" t="e">
        <f t="shared" si="520"/>
        <v>#DIV/0!</v>
      </c>
      <c r="BF190" s="79">
        <f t="shared" si="395"/>
        <v>0</v>
      </c>
      <c r="BG190" s="30">
        <f t="shared" si="396"/>
        <v>0</v>
      </c>
      <c r="BH190" s="78" t="e">
        <f t="shared" si="521"/>
        <v>#DIV/0!</v>
      </c>
      <c r="BI190" s="79">
        <f t="shared" si="398"/>
        <v>0</v>
      </c>
      <c r="BJ190" s="30">
        <f t="shared" si="399"/>
        <v>0</v>
      </c>
      <c r="BK190" s="78" t="e">
        <f t="shared" si="522"/>
        <v>#DIV/0!</v>
      </c>
      <c r="BL190" s="79">
        <f t="shared" si="401"/>
        <v>0</v>
      </c>
      <c r="BM190" s="30">
        <f t="shared" si="402"/>
        <v>0</v>
      </c>
      <c r="BN190" s="78" t="e">
        <f t="shared" si="523"/>
        <v>#DIV/0!</v>
      </c>
      <c r="BO190" s="79">
        <f t="shared" si="404"/>
        <v>0</v>
      </c>
      <c r="BP190" s="30">
        <f t="shared" si="405"/>
        <v>0</v>
      </c>
      <c r="BQ190" s="78" t="e">
        <f t="shared" si="524"/>
        <v>#DIV/0!</v>
      </c>
      <c r="BR190" s="79">
        <f t="shared" si="407"/>
        <v>0</v>
      </c>
      <c r="BS190" s="30">
        <f t="shared" si="408"/>
        <v>0</v>
      </c>
      <c r="BT190" s="78" t="e">
        <f t="shared" si="525"/>
        <v>#DIV/0!</v>
      </c>
      <c r="BU190" s="79">
        <f t="shared" si="410"/>
        <v>0</v>
      </c>
      <c r="BV190" s="30">
        <f t="shared" si="411"/>
        <v>0</v>
      </c>
      <c r="BW190" s="78" t="e">
        <f t="shared" si="526"/>
        <v>#DIV/0!</v>
      </c>
      <c r="BX190" s="79">
        <f t="shared" si="413"/>
        <v>0</v>
      </c>
      <c r="BY190" s="30">
        <f t="shared" si="414"/>
        <v>0</v>
      </c>
      <c r="BZ190" s="78" t="e">
        <f t="shared" si="527"/>
        <v>#DIV/0!</v>
      </c>
      <c r="CA190" s="79">
        <f t="shared" si="416"/>
        <v>0</v>
      </c>
      <c r="CB190" s="30">
        <f t="shared" si="417"/>
        <v>0</v>
      </c>
      <c r="CC190" s="78" t="e">
        <f t="shared" si="528"/>
        <v>#DIV/0!</v>
      </c>
      <c r="CD190" s="79">
        <f t="shared" si="419"/>
        <v>0</v>
      </c>
      <c r="CE190" s="30">
        <f t="shared" si="420"/>
        <v>0</v>
      </c>
      <c r="CF190" s="78" t="e">
        <f t="shared" si="529"/>
        <v>#DIV/0!</v>
      </c>
      <c r="CG190" s="79">
        <f t="shared" si="422"/>
        <v>0</v>
      </c>
      <c r="CH190" s="30">
        <f t="shared" si="423"/>
        <v>0</v>
      </c>
      <c r="CI190" s="78" t="e">
        <f t="shared" si="530"/>
        <v>#DIV/0!</v>
      </c>
      <c r="CJ190" s="79">
        <f t="shared" si="425"/>
        <v>0</v>
      </c>
      <c r="CK190" s="30">
        <f t="shared" si="426"/>
        <v>0</v>
      </c>
      <c r="CL190" s="78" t="e">
        <f t="shared" si="531"/>
        <v>#DIV/0!</v>
      </c>
      <c r="CM190" s="79">
        <f t="shared" si="428"/>
        <v>0</v>
      </c>
      <c r="CN190" s="30">
        <f t="shared" si="429"/>
        <v>0</v>
      </c>
      <c r="CO190" s="78" t="e">
        <f t="shared" si="532"/>
        <v>#DIV/0!</v>
      </c>
      <c r="CP190" s="79">
        <f t="shared" si="431"/>
        <v>0</v>
      </c>
      <c r="CQ190" s="30">
        <f t="shared" si="432"/>
        <v>0</v>
      </c>
      <c r="CR190" s="78" t="e">
        <f t="shared" si="533"/>
        <v>#DIV/0!</v>
      </c>
      <c r="CS190" s="79">
        <f t="shared" si="434"/>
        <v>0</v>
      </c>
      <c r="CT190" s="30">
        <f t="shared" si="435"/>
        <v>0</v>
      </c>
      <c r="CU190" s="78" t="e">
        <f t="shared" si="534"/>
        <v>#DIV/0!</v>
      </c>
      <c r="CV190" s="79">
        <f t="shared" si="437"/>
        <v>0</v>
      </c>
      <c r="CW190" s="30">
        <f t="shared" si="438"/>
        <v>0</v>
      </c>
      <c r="CX190" s="78" t="e">
        <f t="shared" si="535"/>
        <v>#DIV/0!</v>
      </c>
      <c r="CY190" s="79">
        <f t="shared" si="440"/>
        <v>0</v>
      </c>
      <c r="CZ190" s="30">
        <f t="shared" si="441"/>
        <v>0</v>
      </c>
      <c r="DA190" s="78" t="e">
        <f t="shared" si="536"/>
        <v>#DIV/0!</v>
      </c>
      <c r="DB190" s="79">
        <f t="shared" si="443"/>
        <v>0</v>
      </c>
      <c r="DC190" s="30">
        <f t="shared" si="444"/>
        <v>0</v>
      </c>
      <c r="DD190" s="78" t="e">
        <f t="shared" si="537"/>
        <v>#DIV/0!</v>
      </c>
      <c r="DE190" s="79">
        <f t="shared" si="446"/>
        <v>0</v>
      </c>
      <c r="DF190" s="30">
        <f t="shared" si="447"/>
        <v>0</v>
      </c>
      <c r="DG190" s="78" t="e">
        <f t="shared" si="538"/>
        <v>#DIV/0!</v>
      </c>
      <c r="DH190" s="79">
        <f t="shared" si="449"/>
        <v>0</v>
      </c>
      <c r="DI190" s="30">
        <f t="shared" si="450"/>
        <v>0</v>
      </c>
      <c r="DJ190" s="78" t="e">
        <f t="shared" si="539"/>
        <v>#DIV/0!</v>
      </c>
      <c r="DK190" s="79">
        <f t="shared" si="452"/>
        <v>0</v>
      </c>
      <c r="DL190" s="30">
        <f t="shared" si="453"/>
        <v>0</v>
      </c>
      <c r="DM190" s="78" t="e">
        <f t="shared" si="540"/>
        <v>#DIV/0!</v>
      </c>
      <c r="DN190" s="79">
        <f t="shared" si="541"/>
        <v>0</v>
      </c>
      <c r="DO190" s="30">
        <f t="shared" si="542"/>
        <v>0</v>
      </c>
      <c r="DP190" s="78" t="e">
        <f t="shared" si="543"/>
        <v>#DIV/0!</v>
      </c>
      <c r="DQ190" s="79">
        <f t="shared" si="458"/>
        <v>0</v>
      </c>
      <c r="DR190" s="30">
        <f t="shared" si="459"/>
        <v>0</v>
      </c>
      <c r="DS190" s="78" t="e">
        <f t="shared" si="544"/>
        <v>#DIV/0!</v>
      </c>
      <c r="DT190" s="79">
        <f t="shared" si="461"/>
        <v>0</v>
      </c>
      <c r="DU190" s="30">
        <f t="shared" si="462"/>
        <v>0</v>
      </c>
      <c r="DV190" s="78" t="e">
        <f t="shared" si="545"/>
        <v>#DIV/0!</v>
      </c>
      <c r="DW190" s="79">
        <f t="shared" si="464"/>
        <v>0</v>
      </c>
      <c r="DX190" s="30">
        <f t="shared" si="465"/>
        <v>0</v>
      </c>
      <c r="DY190" s="78" t="e">
        <f t="shared" si="546"/>
        <v>#DIV/0!</v>
      </c>
      <c r="DZ190" s="79">
        <f t="shared" si="467"/>
        <v>0</v>
      </c>
      <c r="EA190" s="30">
        <f t="shared" si="468"/>
        <v>0</v>
      </c>
      <c r="EB190" s="78" t="e">
        <f t="shared" si="547"/>
        <v>#DIV/0!</v>
      </c>
      <c r="EC190" s="79">
        <f t="shared" si="470"/>
        <v>0</v>
      </c>
      <c r="ED190" s="30">
        <f t="shared" si="471"/>
        <v>0</v>
      </c>
      <c r="EE190" s="78" t="e">
        <f t="shared" si="548"/>
        <v>#DIV/0!</v>
      </c>
      <c r="EF190" s="79">
        <f t="shared" si="473"/>
        <v>0</v>
      </c>
      <c r="EG190" s="30">
        <f t="shared" si="474"/>
        <v>0</v>
      </c>
      <c r="EH190" s="78" t="e">
        <f t="shared" si="549"/>
        <v>#DIV/0!</v>
      </c>
      <c r="EI190" s="79">
        <f t="shared" si="476"/>
        <v>0</v>
      </c>
      <c r="EJ190" s="30">
        <f t="shared" si="477"/>
        <v>0</v>
      </c>
      <c r="EK190" s="78" t="e">
        <f t="shared" si="550"/>
        <v>#DIV/0!</v>
      </c>
    </row>
    <row r="191" spans="1:155" s="12" customFormat="1" ht="14.25" hidden="1" customHeight="1">
      <c r="A191" s="25">
        <v>36</v>
      </c>
      <c r="B191" s="26"/>
      <c r="C191" s="85" t="s">
        <v>146</v>
      </c>
      <c r="D191" s="106" t="s">
        <v>145</v>
      </c>
      <c r="E191" s="60"/>
      <c r="F191" s="59"/>
      <c r="G191" s="82">
        <f t="shared" si="480"/>
        <v>0</v>
      </c>
      <c r="H191" s="81">
        <f t="shared" si="481"/>
        <v>0</v>
      </c>
      <c r="I191" s="19">
        <f t="shared" si="482"/>
        <v>0</v>
      </c>
      <c r="J191" s="11">
        <f t="shared" si="483"/>
        <v>0</v>
      </c>
      <c r="K191" s="19">
        <f t="shared" si="484"/>
        <v>0</v>
      </c>
      <c r="L191" s="19">
        <f t="shared" si="485"/>
        <v>0</v>
      </c>
      <c r="M191" s="19">
        <f t="shared" si="486"/>
        <v>0</v>
      </c>
      <c r="N191" s="19">
        <f t="shared" si="487"/>
        <v>0</v>
      </c>
      <c r="O191" s="19">
        <f t="shared" si="488"/>
        <v>0</v>
      </c>
      <c r="P191" s="19">
        <f t="shared" si="489"/>
        <v>0</v>
      </c>
      <c r="Q191" s="19">
        <f t="shared" si="490"/>
        <v>0</v>
      </c>
      <c r="R191" s="19">
        <f t="shared" si="491"/>
        <v>0</v>
      </c>
      <c r="S191" s="19">
        <f t="shared" si="492"/>
        <v>0</v>
      </c>
      <c r="T191" s="19">
        <f t="shared" si="493"/>
        <v>0</v>
      </c>
      <c r="U191" s="19">
        <f t="shared" si="494"/>
        <v>0</v>
      </c>
      <c r="V191" s="19">
        <f t="shared" si="495"/>
        <v>0</v>
      </c>
      <c r="W191" s="19">
        <f t="shared" si="496"/>
        <v>0</v>
      </c>
      <c r="X191" s="19">
        <f t="shared" si="497"/>
        <v>0</v>
      </c>
      <c r="Y191" s="19">
        <f t="shared" si="498"/>
        <v>0</v>
      </c>
      <c r="Z191" s="19">
        <f t="shared" si="499"/>
        <v>0</v>
      </c>
      <c r="AA191" s="18"/>
      <c r="AB191" s="56">
        <f t="shared" si="500"/>
        <v>0</v>
      </c>
      <c r="AC191" s="16">
        <f t="shared" si="501"/>
        <v>0</v>
      </c>
      <c r="AD191" s="15" t="e">
        <f t="shared" si="502"/>
        <v>#DIV/0!</v>
      </c>
      <c r="AE191" s="42"/>
      <c r="AF191" s="10" t="e">
        <f t="shared" si="503"/>
        <v>#DIV/0!</v>
      </c>
      <c r="AG191" s="10"/>
      <c r="AH191" s="21">
        <f t="shared" si="504"/>
        <v>0</v>
      </c>
      <c r="AI191" s="54" t="e">
        <f t="shared" si="505"/>
        <v>#DIV/0!</v>
      </c>
      <c r="AJ191" s="25">
        <f t="shared" si="506"/>
        <v>0</v>
      </c>
      <c r="AK191" s="25">
        <f t="shared" si="507"/>
        <v>0</v>
      </c>
      <c r="AL191" s="25">
        <f t="shared" si="508"/>
        <v>0</v>
      </c>
      <c r="AM191" s="25">
        <f t="shared" si="509"/>
        <v>0</v>
      </c>
      <c r="AN191" s="25">
        <f t="shared" si="510"/>
        <v>0</v>
      </c>
      <c r="AO191" s="25">
        <f t="shared" si="511"/>
        <v>0</v>
      </c>
      <c r="AP191" s="25">
        <f t="shared" si="512"/>
        <v>0</v>
      </c>
      <c r="AQ191" s="25">
        <f t="shared" si="513"/>
        <v>0</v>
      </c>
      <c r="AR191" s="25">
        <f t="shared" si="514"/>
        <v>0</v>
      </c>
      <c r="AS191" s="25">
        <f t="shared" si="515"/>
        <v>0</v>
      </c>
      <c r="AT191" s="25">
        <f t="shared" si="516"/>
        <v>0</v>
      </c>
      <c r="AU191" s="80"/>
      <c r="AV191" s="79">
        <f t="shared" si="517"/>
        <v>0</v>
      </c>
      <c r="AW191" s="79">
        <f t="shared" si="479"/>
        <v>0</v>
      </c>
      <c r="AX191" s="30">
        <f t="shared" si="387"/>
        <v>0</v>
      </c>
      <c r="AY191" s="78" t="e">
        <f t="shared" si="518"/>
        <v>#DIV/0!</v>
      </c>
      <c r="AZ191" s="79">
        <f t="shared" si="389"/>
        <v>0</v>
      </c>
      <c r="BA191" s="30">
        <f t="shared" si="390"/>
        <v>0</v>
      </c>
      <c r="BB191" s="78" t="e">
        <f t="shared" si="519"/>
        <v>#DIV/0!</v>
      </c>
      <c r="BC191" s="79">
        <f t="shared" si="392"/>
        <v>0</v>
      </c>
      <c r="BD191" s="30">
        <f t="shared" si="393"/>
        <v>0</v>
      </c>
      <c r="BE191" s="78" t="e">
        <f t="shared" si="520"/>
        <v>#DIV/0!</v>
      </c>
      <c r="BF191" s="79">
        <f t="shared" si="395"/>
        <v>0</v>
      </c>
      <c r="BG191" s="30">
        <f t="shared" si="396"/>
        <v>0</v>
      </c>
      <c r="BH191" s="78" t="e">
        <f t="shared" si="521"/>
        <v>#DIV/0!</v>
      </c>
      <c r="BI191" s="79">
        <f t="shared" si="398"/>
        <v>0</v>
      </c>
      <c r="BJ191" s="30">
        <f t="shared" si="399"/>
        <v>0</v>
      </c>
      <c r="BK191" s="78" t="e">
        <f t="shared" si="522"/>
        <v>#DIV/0!</v>
      </c>
      <c r="BL191" s="79">
        <f t="shared" si="401"/>
        <v>0</v>
      </c>
      <c r="BM191" s="30">
        <f t="shared" si="402"/>
        <v>0</v>
      </c>
      <c r="BN191" s="78" t="e">
        <f t="shared" si="523"/>
        <v>#DIV/0!</v>
      </c>
      <c r="BO191" s="79">
        <f t="shared" si="404"/>
        <v>0</v>
      </c>
      <c r="BP191" s="30">
        <f t="shared" si="405"/>
        <v>0</v>
      </c>
      <c r="BQ191" s="78" t="e">
        <f t="shared" si="524"/>
        <v>#DIV/0!</v>
      </c>
      <c r="BR191" s="79">
        <f t="shared" si="407"/>
        <v>0</v>
      </c>
      <c r="BS191" s="30">
        <f t="shared" si="408"/>
        <v>0</v>
      </c>
      <c r="BT191" s="78" t="e">
        <f t="shared" si="525"/>
        <v>#DIV/0!</v>
      </c>
      <c r="BU191" s="79">
        <f t="shared" si="410"/>
        <v>0</v>
      </c>
      <c r="BV191" s="30">
        <f t="shared" si="411"/>
        <v>0</v>
      </c>
      <c r="BW191" s="78" t="e">
        <f t="shared" si="526"/>
        <v>#DIV/0!</v>
      </c>
      <c r="BX191" s="79">
        <f t="shared" si="413"/>
        <v>0</v>
      </c>
      <c r="BY191" s="30">
        <f t="shared" si="414"/>
        <v>0</v>
      </c>
      <c r="BZ191" s="78" t="e">
        <f t="shared" si="527"/>
        <v>#DIV/0!</v>
      </c>
      <c r="CA191" s="79">
        <f t="shared" si="416"/>
        <v>0</v>
      </c>
      <c r="CB191" s="30">
        <f t="shared" si="417"/>
        <v>0</v>
      </c>
      <c r="CC191" s="78" t="e">
        <f t="shared" si="528"/>
        <v>#DIV/0!</v>
      </c>
      <c r="CD191" s="79">
        <f t="shared" si="419"/>
        <v>0</v>
      </c>
      <c r="CE191" s="30">
        <f t="shared" si="420"/>
        <v>0</v>
      </c>
      <c r="CF191" s="78" t="e">
        <f t="shared" si="529"/>
        <v>#DIV/0!</v>
      </c>
      <c r="CG191" s="79">
        <f t="shared" si="422"/>
        <v>0</v>
      </c>
      <c r="CH191" s="30">
        <f t="shared" si="423"/>
        <v>0</v>
      </c>
      <c r="CI191" s="78" t="e">
        <f t="shared" si="530"/>
        <v>#DIV/0!</v>
      </c>
      <c r="CJ191" s="79">
        <f t="shared" si="425"/>
        <v>0</v>
      </c>
      <c r="CK191" s="30">
        <f t="shared" si="426"/>
        <v>0</v>
      </c>
      <c r="CL191" s="78" t="e">
        <f t="shared" si="531"/>
        <v>#DIV/0!</v>
      </c>
      <c r="CM191" s="79">
        <f t="shared" si="428"/>
        <v>0</v>
      </c>
      <c r="CN191" s="30">
        <f t="shared" si="429"/>
        <v>0</v>
      </c>
      <c r="CO191" s="78" t="e">
        <f t="shared" si="532"/>
        <v>#DIV/0!</v>
      </c>
      <c r="CP191" s="79">
        <f t="shared" si="431"/>
        <v>0</v>
      </c>
      <c r="CQ191" s="30">
        <f t="shared" si="432"/>
        <v>0</v>
      </c>
      <c r="CR191" s="78" t="e">
        <f t="shared" si="533"/>
        <v>#DIV/0!</v>
      </c>
      <c r="CS191" s="79">
        <f t="shared" si="434"/>
        <v>0</v>
      </c>
      <c r="CT191" s="30">
        <f t="shared" si="435"/>
        <v>0</v>
      </c>
      <c r="CU191" s="78" t="e">
        <f t="shared" si="534"/>
        <v>#DIV/0!</v>
      </c>
      <c r="CV191" s="79">
        <f t="shared" si="437"/>
        <v>0</v>
      </c>
      <c r="CW191" s="30">
        <f t="shared" si="438"/>
        <v>0</v>
      </c>
      <c r="CX191" s="78" t="e">
        <f t="shared" si="535"/>
        <v>#DIV/0!</v>
      </c>
      <c r="CY191" s="79">
        <f t="shared" si="440"/>
        <v>0</v>
      </c>
      <c r="CZ191" s="30">
        <f t="shared" si="441"/>
        <v>0</v>
      </c>
      <c r="DA191" s="78" t="e">
        <f t="shared" si="536"/>
        <v>#DIV/0!</v>
      </c>
      <c r="DB191" s="79">
        <f t="shared" si="443"/>
        <v>0</v>
      </c>
      <c r="DC191" s="30">
        <f t="shared" si="444"/>
        <v>0</v>
      </c>
      <c r="DD191" s="78" t="e">
        <f t="shared" si="537"/>
        <v>#DIV/0!</v>
      </c>
      <c r="DE191" s="79">
        <f t="shared" si="446"/>
        <v>0</v>
      </c>
      <c r="DF191" s="30">
        <f t="shared" si="447"/>
        <v>0</v>
      </c>
      <c r="DG191" s="78" t="e">
        <f t="shared" si="538"/>
        <v>#DIV/0!</v>
      </c>
      <c r="DH191" s="79">
        <f t="shared" si="449"/>
        <v>0</v>
      </c>
      <c r="DI191" s="30">
        <f t="shared" si="450"/>
        <v>0</v>
      </c>
      <c r="DJ191" s="78" t="e">
        <f t="shared" si="539"/>
        <v>#DIV/0!</v>
      </c>
      <c r="DK191" s="79">
        <f t="shared" si="452"/>
        <v>0</v>
      </c>
      <c r="DL191" s="30">
        <f t="shared" si="453"/>
        <v>0</v>
      </c>
      <c r="DM191" s="78" t="e">
        <f t="shared" si="540"/>
        <v>#DIV/0!</v>
      </c>
      <c r="DN191" s="79">
        <f t="shared" si="541"/>
        <v>0</v>
      </c>
      <c r="DO191" s="30">
        <f t="shared" si="542"/>
        <v>0</v>
      </c>
      <c r="DP191" s="78" t="e">
        <f t="shared" si="543"/>
        <v>#DIV/0!</v>
      </c>
      <c r="DQ191" s="79">
        <f t="shared" si="458"/>
        <v>0</v>
      </c>
      <c r="DR191" s="30">
        <f t="shared" si="459"/>
        <v>0</v>
      </c>
      <c r="DS191" s="78" t="e">
        <f t="shared" si="544"/>
        <v>#DIV/0!</v>
      </c>
      <c r="DT191" s="79">
        <f t="shared" si="461"/>
        <v>0</v>
      </c>
      <c r="DU191" s="30">
        <f t="shared" si="462"/>
        <v>0</v>
      </c>
      <c r="DV191" s="78" t="e">
        <f t="shared" si="545"/>
        <v>#DIV/0!</v>
      </c>
      <c r="DW191" s="79">
        <f t="shared" si="464"/>
        <v>0</v>
      </c>
      <c r="DX191" s="30">
        <f t="shared" si="465"/>
        <v>0</v>
      </c>
      <c r="DY191" s="78" t="e">
        <f t="shared" si="546"/>
        <v>#DIV/0!</v>
      </c>
      <c r="DZ191" s="79">
        <f t="shared" si="467"/>
        <v>0</v>
      </c>
      <c r="EA191" s="30">
        <f t="shared" si="468"/>
        <v>0</v>
      </c>
      <c r="EB191" s="78" t="e">
        <f t="shared" si="547"/>
        <v>#DIV/0!</v>
      </c>
      <c r="EC191" s="79">
        <f t="shared" si="470"/>
        <v>0</v>
      </c>
      <c r="ED191" s="30">
        <f t="shared" si="471"/>
        <v>0</v>
      </c>
      <c r="EE191" s="78" t="e">
        <f t="shared" si="548"/>
        <v>#DIV/0!</v>
      </c>
      <c r="EF191" s="79">
        <f t="shared" si="473"/>
        <v>0</v>
      </c>
      <c r="EG191" s="30">
        <f t="shared" si="474"/>
        <v>0</v>
      </c>
      <c r="EH191" s="78" t="e">
        <f t="shared" si="549"/>
        <v>#DIV/0!</v>
      </c>
      <c r="EI191" s="79">
        <f t="shared" si="476"/>
        <v>0</v>
      </c>
      <c r="EJ191" s="30">
        <f t="shared" si="477"/>
        <v>0</v>
      </c>
      <c r="EK191" s="78" t="e">
        <f t="shared" si="550"/>
        <v>#DIV/0!</v>
      </c>
    </row>
    <row r="192" spans="1:155" s="12" customFormat="1" ht="14.25" hidden="1" customHeight="1">
      <c r="A192" s="30">
        <v>37</v>
      </c>
      <c r="B192" s="26"/>
      <c r="C192" s="86">
        <v>42421</v>
      </c>
      <c r="D192" s="106" t="s">
        <v>143</v>
      </c>
      <c r="E192" s="60"/>
      <c r="F192" s="59"/>
      <c r="G192" s="82">
        <f t="shared" si="480"/>
        <v>0</v>
      </c>
      <c r="H192" s="81">
        <f t="shared" si="481"/>
        <v>0</v>
      </c>
      <c r="I192" s="19">
        <f t="shared" si="482"/>
        <v>0</v>
      </c>
      <c r="J192" s="11">
        <f t="shared" si="483"/>
        <v>0</v>
      </c>
      <c r="K192" s="19">
        <f t="shared" si="484"/>
        <v>0</v>
      </c>
      <c r="L192" s="19">
        <f t="shared" si="485"/>
        <v>0</v>
      </c>
      <c r="M192" s="19">
        <f t="shared" si="486"/>
        <v>0</v>
      </c>
      <c r="N192" s="19">
        <f t="shared" si="487"/>
        <v>0</v>
      </c>
      <c r="O192" s="19">
        <f t="shared" si="488"/>
        <v>0</v>
      </c>
      <c r="P192" s="19">
        <f t="shared" si="489"/>
        <v>0</v>
      </c>
      <c r="Q192" s="19">
        <f t="shared" si="490"/>
        <v>0</v>
      </c>
      <c r="R192" s="19">
        <f t="shared" si="491"/>
        <v>0</v>
      </c>
      <c r="S192" s="19">
        <f t="shared" si="492"/>
        <v>0</v>
      </c>
      <c r="T192" s="19">
        <f t="shared" si="493"/>
        <v>0</v>
      </c>
      <c r="U192" s="19">
        <f t="shared" si="494"/>
        <v>0</v>
      </c>
      <c r="V192" s="19">
        <f t="shared" si="495"/>
        <v>0</v>
      </c>
      <c r="W192" s="19">
        <f t="shared" si="496"/>
        <v>0</v>
      </c>
      <c r="X192" s="19">
        <f t="shared" si="497"/>
        <v>0</v>
      </c>
      <c r="Y192" s="19">
        <f t="shared" si="498"/>
        <v>0</v>
      </c>
      <c r="Z192" s="19">
        <f t="shared" si="499"/>
        <v>0</v>
      </c>
      <c r="AA192" s="18"/>
      <c r="AB192" s="56">
        <f t="shared" si="500"/>
        <v>0</v>
      </c>
      <c r="AC192" s="16">
        <f t="shared" si="501"/>
        <v>0</v>
      </c>
      <c r="AD192" s="15" t="e">
        <f t="shared" si="502"/>
        <v>#DIV/0!</v>
      </c>
      <c r="AE192" s="42"/>
      <c r="AF192" s="10" t="e">
        <f t="shared" si="503"/>
        <v>#DIV/0!</v>
      </c>
      <c r="AG192" s="10"/>
      <c r="AH192" s="21">
        <f t="shared" si="504"/>
        <v>0</v>
      </c>
      <c r="AI192" s="54" t="e">
        <f t="shared" si="505"/>
        <v>#DIV/0!</v>
      </c>
      <c r="AJ192" s="25">
        <f t="shared" si="506"/>
        <v>0</v>
      </c>
      <c r="AK192" s="25">
        <f t="shared" si="507"/>
        <v>0</v>
      </c>
      <c r="AL192" s="25">
        <f t="shared" si="508"/>
        <v>0</v>
      </c>
      <c r="AM192" s="25">
        <f t="shared" si="509"/>
        <v>0</v>
      </c>
      <c r="AN192" s="25">
        <f t="shared" si="510"/>
        <v>0</v>
      </c>
      <c r="AO192" s="25">
        <f t="shared" si="511"/>
        <v>0</v>
      </c>
      <c r="AP192" s="25">
        <f t="shared" si="512"/>
        <v>0</v>
      </c>
      <c r="AQ192" s="25">
        <f t="shared" si="513"/>
        <v>0</v>
      </c>
      <c r="AR192" s="25">
        <f t="shared" si="514"/>
        <v>0</v>
      </c>
      <c r="AS192" s="25">
        <f t="shared" si="515"/>
        <v>0</v>
      </c>
      <c r="AT192" s="25">
        <f t="shared" si="516"/>
        <v>0</v>
      </c>
      <c r="AU192" s="80"/>
      <c r="AV192" s="79">
        <f t="shared" si="517"/>
        <v>0</v>
      </c>
      <c r="AW192" s="79">
        <f t="shared" si="479"/>
        <v>0</v>
      </c>
      <c r="AX192" s="30">
        <f t="shared" si="387"/>
        <v>0</v>
      </c>
      <c r="AY192" s="78" t="e">
        <f t="shared" si="518"/>
        <v>#DIV/0!</v>
      </c>
      <c r="AZ192" s="79">
        <f t="shared" si="389"/>
        <v>0</v>
      </c>
      <c r="BA192" s="30">
        <f t="shared" si="390"/>
        <v>0</v>
      </c>
      <c r="BB192" s="78" t="e">
        <f t="shared" si="519"/>
        <v>#DIV/0!</v>
      </c>
      <c r="BC192" s="79">
        <f t="shared" si="392"/>
        <v>0</v>
      </c>
      <c r="BD192" s="30">
        <f t="shared" si="393"/>
        <v>0</v>
      </c>
      <c r="BE192" s="78" t="e">
        <f t="shared" si="520"/>
        <v>#DIV/0!</v>
      </c>
      <c r="BF192" s="79">
        <f t="shared" si="395"/>
        <v>0</v>
      </c>
      <c r="BG192" s="30">
        <f t="shared" si="396"/>
        <v>0</v>
      </c>
      <c r="BH192" s="78" t="e">
        <f t="shared" si="521"/>
        <v>#DIV/0!</v>
      </c>
      <c r="BI192" s="79">
        <f t="shared" si="398"/>
        <v>0</v>
      </c>
      <c r="BJ192" s="30">
        <f t="shared" si="399"/>
        <v>0</v>
      </c>
      <c r="BK192" s="78" t="e">
        <f t="shared" si="522"/>
        <v>#DIV/0!</v>
      </c>
      <c r="BL192" s="79">
        <f t="shared" si="401"/>
        <v>0</v>
      </c>
      <c r="BM192" s="30">
        <f t="shared" si="402"/>
        <v>0</v>
      </c>
      <c r="BN192" s="78" t="e">
        <f t="shared" si="523"/>
        <v>#DIV/0!</v>
      </c>
      <c r="BO192" s="79">
        <f t="shared" si="404"/>
        <v>0</v>
      </c>
      <c r="BP192" s="30">
        <f t="shared" si="405"/>
        <v>0</v>
      </c>
      <c r="BQ192" s="78" t="e">
        <f t="shared" si="524"/>
        <v>#DIV/0!</v>
      </c>
      <c r="BR192" s="79">
        <f t="shared" si="407"/>
        <v>0</v>
      </c>
      <c r="BS192" s="30">
        <f t="shared" si="408"/>
        <v>0</v>
      </c>
      <c r="BT192" s="78" t="e">
        <f t="shared" si="525"/>
        <v>#DIV/0!</v>
      </c>
      <c r="BU192" s="79">
        <f t="shared" si="410"/>
        <v>0</v>
      </c>
      <c r="BV192" s="30">
        <f t="shared" si="411"/>
        <v>0</v>
      </c>
      <c r="BW192" s="78" t="e">
        <f t="shared" si="526"/>
        <v>#DIV/0!</v>
      </c>
      <c r="BX192" s="79">
        <f t="shared" si="413"/>
        <v>0</v>
      </c>
      <c r="BY192" s="30">
        <f t="shared" si="414"/>
        <v>0</v>
      </c>
      <c r="BZ192" s="78" t="e">
        <f t="shared" si="527"/>
        <v>#DIV/0!</v>
      </c>
      <c r="CA192" s="79">
        <f t="shared" si="416"/>
        <v>0</v>
      </c>
      <c r="CB192" s="30">
        <f t="shared" si="417"/>
        <v>0</v>
      </c>
      <c r="CC192" s="78" t="e">
        <f t="shared" si="528"/>
        <v>#DIV/0!</v>
      </c>
      <c r="CD192" s="79">
        <f t="shared" si="419"/>
        <v>0</v>
      </c>
      <c r="CE192" s="30">
        <f t="shared" si="420"/>
        <v>0</v>
      </c>
      <c r="CF192" s="78" t="e">
        <f t="shared" si="529"/>
        <v>#DIV/0!</v>
      </c>
      <c r="CG192" s="79">
        <f t="shared" si="422"/>
        <v>0</v>
      </c>
      <c r="CH192" s="30">
        <f t="shared" si="423"/>
        <v>0</v>
      </c>
      <c r="CI192" s="78" t="e">
        <f t="shared" si="530"/>
        <v>#DIV/0!</v>
      </c>
      <c r="CJ192" s="79">
        <f t="shared" si="425"/>
        <v>0</v>
      </c>
      <c r="CK192" s="30">
        <f t="shared" si="426"/>
        <v>0</v>
      </c>
      <c r="CL192" s="78" t="e">
        <f t="shared" si="531"/>
        <v>#DIV/0!</v>
      </c>
      <c r="CM192" s="79">
        <f t="shared" si="428"/>
        <v>0</v>
      </c>
      <c r="CN192" s="30">
        <f t="shared" si="429"/>
        <v>0</v>
      </c>
      <c r="CO192" s="78" t="e">
        <f t="shared" si="532"/>
        <v>#DIV/0!</v>
      </c>
      <c r="CP192" s="79">
        <f t="shared" si="431"/>
        <v>0</v>
      </c>
      <c r="CQ192" s="30">
        <f t="shared" si="432"/>
        <v>0</v>
      </c>
      <c r="CR192" s="78" t="e">
        <f t="shared" si="533"/>
        <v>#DIV/0!</v>
      </c>
      <c r="CS192" s="79">
        <f t="shared" si="434"/>
        <v>0</v>
      </c>
      <c r="CT192" s="30">
        <f t="shared" si="435"/>
        <v>0</v>
      </c>
      <c r="CU192" s="78" t="e">
        <f t="shared" si="534"/>
        <v>#DIV/0!</v>
      </c>
      <c r="CV192" s="79">
        <f t="shared" si="437"/>
        <v>0</v>
      </c>
      <c r="CW192" s="30">
        <f t="shared" si="438"/>
        <v>0</v>
      </c>
      <c r="CX192" s="78" t="e">
        <f t="shared" si="535"/>
        <v>#DIV/0!</v>
      </c>
      <c r="CY192" s="79">
        <f t="shared" si="440"/>
        <v>0</v>
      </c>
      <c r="CZ192" s="30">
        <f t="shared" si="441"/>
        <v>0</v>
      </c>
      <c r="DA192" s="78" t="e">
        <f t="shared" si="536"/>
        <v>#DIV/0!</v>
      </c>
      <c r="DB192" s="79">
        <f t="shared" si="443"/>
        <v>0</v>
      </c>
      <c r="DC192" s="30">
        <f t="shared" si="444"/>
        <v>0</v>
      </c>
      <c r="DD192" s="78" t="e">
        <f t="shared" si="537"/>
        <v>#DIV/0!</v>
      </c>
      <c r="DE192" s="79">
        <f t="shared" si="446"/>
        <v>0</v>
      </c>
      <c r="DF192" s="30">
        <f t="shared" si="447"/>
        <v>0</v>
      </c>
      <c r="DG192" s="78" t="e">
        <f t="shared" si="538"/>
        <v>#DIV/0!</v>
      </c>
      <c r="DH192" s="79">
        <f t="shared" si="449"/>
        <v>0</v>
      </c>
      <c r="DI192" s="30">
        <f t="shared" si="450"/>
        <v>0</v>
      </c>
      <c r="DJ192" s="78" t="e">
        <f t="shared" si="539"/>
        <v>#DIV/0!</v>
      </c>
      <c r="DK192" s="79">
        <f t="shared" si="452"/>
        <v>0</v>
      </c>
      <c r="DL192" s="30">
        <f t="shared" si="453"/>
        <v>0</v>
      </c>
      <c r="DM192" s="78" t="e">
        <f t="shared" si="540"/>
        <v>#DIV/0!</v>
      </c>
      <c r="DN192" s="79">
        <f t="shared" si="541"/>
        <v>0</v>
      </c>
      <c r="DO192" s="30">
        <f t="shared" si="542"/>
        <v>0</v>
      </c>
      <c r="DP192" s="78" t="e">
        <f t="shared" si="543"/>
        <v>#DIV/0!</v>
      </c>
      <c r="DQ192" s="79">
        <f t="shared" si="458"/>
        <v>0</v>
      </c>
      <c r="DR192" s="30">
        <f t="shared" si="459"/>
        <v>0</v>
      </c>
      <c r="DS192" s="78" t="e">
        <f t="shared" si="544"/>
        <v>#DIV/0!</v>
      </c>
      <c r="DT192" s="79">
        <f t="shared" si="461"/>
        <v>0</v>
      </c>
      <c r="DU192" s="30">
        <f t="shared" si="462"/>
        <v>0</v>
      </c>
      <c r="DV192" s="78" t="e">
        <f t="shared" si="545"/>
        <v>#DIV/0!</v>
      </c>
      <c r="DW192" s="79">
        <f t="shared" si="464"/>
        <v>0</v>
      </c>
      <c r="DX192" s="30">
        <f t="shared" si="465"/>
        <v>0</v>
      </c>
      <c r="DY192" s="78" t="e">
        <f t="shared" si="546"/>
        <v>#DIV/0!</v>
      </c>
      <c r="DZ192" s="79">
        <f t="shared" si="467"/>
        <v>0</v>
      </c>
      <c r="EA192" s="30">
        <f t="shared" si="468"/>
        <v>0</v>
      </c>
      <c r="EB192" s="78" t="e">
        <f t="shared" si="547"/>
        <v>#DIV/0!</v>
      </c>
      <c r="EC192" s="79">
        <f t="shared" si="470"/>
        <v>0</v>
      </c>
      <c r="ED192" s="30">
        <f t="shared" si="471"/>
        <v>0</v>
      </c>
      <c r="EE192" s="78" t="e">
        <f t="shared" si="548"/>
        <v>#DIV/0!</v>
      </c>
      <c r="EF192" s="79">
        <f t="shared" si="473"/>
        <v>0</v>
      </c>
      <c r="EG192" s="30">
        <f t="shared" si="474"/>
        <v>0</v>
      </c>
      <c r="EH192" s="78" t="e">
        <f t="shared" si="549"/>
        <v>#DIV/0!</v>
      </c>
      <c r="EI192" s="79">
        <f t="shared" si="476"/>
        <v>0</v>
      </c>
      <c r="EJ192" s="30">
        <f t="shared" si="477"/>
        <v>0</v>
      </c>
      <c r="EK192" s="78" t="e">
        <f t="shared" si="550"/>
        <v>#DIV/0!</v>
      </c>
    </row>
    <row r="193" spans="1:141" s="12" customFormat="1" ht="14.25" hidden="1" customHeight="1">
      <c r="A193" s="25">
        <v>38</v>
      </c>
      <c r="B193" s="26"/>
      <c r="C193" s="85">
        <v>42431</v>
      </c>
      <c r="D193" s="106" t="s">
        <v>138</v>
      </c>
      <c r="E193" s="60"/>
      <c r="F193" s="59"/>
      <c r="G193" s="82">
        <f t="shared" si="480"/>
        <v>0</v>
      </c>
      <c r="H193" s="81">
        <f t="shared" si="481"/>
        <v>0</v>
      </c>
      <c r="I193" s="19">
        <f t="shared" si="482"/>
        <v>0</v>
      </c>
      <c r="J193" s="11">
        <f t="shared" si="483"/>
        <v>0</v>
      </c>
      <c r="K193" s="19">
        <f t="shared" si="484"/>
        <v>0</v>
      </c>
      <c r="L193" s="19">
        <f t="shared" si="485"/>
        <v>0</v>
      </c>
      <c r="M193" s="19">
        <f t="shared" si="486"/>
        <v>0</v>
      </c>
      <c r="N193" s="19">
        <f t="shared" si="487"/>
        <v>0</v>
      </c>
      <c r="O193" s="19">
        <f t="shared" si="488"/>
        <v>0</v>
      </c>
      <c r="P193" s="19">
        <f t="shared" si="489"/>
        <v>0</v>
      </c>
      <c r="Q193" s="19">
        <f t="shared" si="490"/>
        <v>0</v>
      </c>
      <c r="R193" s="19">
        <f t="shared" si="491"/>
        <v>0</v>
      </c>
      <c r="S193" s="19">
        <f t="shared" si="492"/>
        <v>0</v>
      </c>
      <c r="T193" s="19">
        <f t="shared" si="493"/>
        <v>0</v>
      </c>
      <c r="U193" s="19">
        <f t="shared" si="494"/>
        <v>0</v>
      </c>
      <c r="V193" s="19">
        <f t="shared" si="495"/>
        <v>0</v>
      </c>
      <c r="W193" s="19">
        <f t="shared" si="496"/>
        <v>0</v>
      </c>
      <c r="X193" s="19">
        <f t="shared" si="497"/>
        <v>0</v>
      </c>
      <c r="Y193" s="19">
        <f t="shared" si="498"/>
        <v>0</v>
      </c>
      <c r="Z193" s="19">
        <f t="shared" si="499"/>
        <v>0</v>
      </c>
      <c r="AA193" s="18"/>
      <c r="AB193" s="56">
        <f t="shared" si="500"/>
        <v>0</v>
      </c>
      <c r="AC193" s="16">
        <f t="shared" si="501"/>
        <v>0</v>
      </c>
      <c r="AD193" s="15" t="e">
        <f t="shared" si="502"/>
        <v>#DIV/0!</v>
      </c>
      <c r="AE193" s="42"/>
      <c r="AF193" s="10" t="e">
        <f t="shared" si="503"/>
        <v>#DIV/0!</v>
      </c>
      <c r="AG193" s="10"/>
      <c r="AH193" s="21">
        <f t="shared" si="504"/>
        <v>0</v>
      </c>
      <c r="AI193" s="54" t="e">
        <f t="shared" si="505"/>
        <v>#DIV/0!</v>
      </c>
      <c r="AJ193" s="25">
        <f t="shared" si="506"/>
        <v>0</v>
      </c>
      <c r="AK193" s="25">
        <f t="shared" si="507"/>
        <v>0</v>
      </c>
      <c r="AL193" s="25">
        <f t="shared" si="508"/>
        <v>0</v>
      </c>
      <c r="AM193" s="25">
        <f t="shared" si="509"/>
        <v>0</v>
      </c>
      <c r="AN193" s="25">
        <f t="shared" si="510"/>
        <v>0</v>
      </c>
      <c r="AO193" s="25">
        <f t="shared" si="511"/>
        <v>0</v>
      </c>
      <c r="AP193" s="25">
        <f t="shared" si="512"/>
        <v>0</v>
      </c>
      <c r="AQ193" s="25">
        <f t="shared" si="513"/>
        <v>0</v>
      </c>
      <c r="AR193" s="25">
        <f t="shared" si="514"/>
        <v>0</v>
      </c>
      <c r="AS193" s="25">
        <f t="shared" si="515"/>
        <v>0</v>
      </c>
      <c r="AT193" s="25">
        <f t="shared" si="516"/>
        <v>0</v>
      </c>
      <c r="AU193" s="80"/>
      <c r="AV193" s="79">
        <f t="shared" si="517"/>
        <v>0</v>
      </c>
      <c r="AW193" s="79">
        <f t="shared" si="479"/>
        <v>0</v>
      </c>
      <c r="AX193" s="30">
        <f t="shared" si="387"/>
        <v>0</v>
      </c>
      <c r="AY193" s="78" t="e">
        <f t="shared" si="518"/>
        <v>#DIV/0!</v>
      </c>
      <c r="AZ193" s="79">
        <f t="shared" si="389"/>
        <v>0</v>
      </c>
      <c r="BA193" s="30">
        <f t="shared" si="390"/>
        <v>0</v>
      </c>
      <c r="BB193" s="78" t="e">
        <f t="shared" si="519"/>
        <v>#DIV/0!</v>
      </c>
      <c r="BC193" s="79">
        <f t="shared" si="392"/>
        <v>0</v>
      </c>
      <c r="BD193" s="30">
        <f t="shared" si="393"/>
        <v>0</v>
      </c>
      <c r="BE193" s="78" t="e">
        <f t="shared" si="520"/>
        <v>#DIV/0!</v>
      </c>
      <c r="BF193" s="79">
        <f t="shared" si="395"/>
        <v>0</v>
      </c>
      <c r="BG193" s="30">
        <f t="shared" si="396"/>
        <v>0</v>
      </c>
      <c r="BH193" s="78" t="e">
        <f t="shared" si="521"/>
        <v>#DIV/0!</v>
      </c>
      <c r="BI193" s="79">
        <f t="shared" si="398"/>
        <v>0</v>
      </c>
      <c r="BJ193" s="30">
        <f t="shared" si="399"/>
        <v>0</v>
      </c>
      <c r="BK193" s="78" t="e">
        <f t="shared" si="522"/>
        <v>#DIV/0!</v>
      </c>
      <c r="BL193" s="79">
        <f t="shared" si="401"/>
        <v>0</v>
      </c>
      <c r="BM193" s="30">
        <f t="shared" si="402"/>
        <v>0</v>
      </c>
      <c r="BN193" s="78" t="e">
        <f t="shared" si="523"/>
        <v>#DIV/0!</v>
      </c>
      <c r="BO193" s="79">
        <f t="shared" si="404"/>
        <v>0</v>
      </c>
      <c r="BP193" s="30">
        <f t="shared" si="405"/>
        <v>0</v>
      </c>
      <c r="BQ193" s="78" t="e">
        <f t="shared" si="524"/>
        <v>#DIV/0!</v>
      </c>
      <c r="BR193" s="79">
        <f t="shared" si="407"/>
        <v>0</v>
      </c>
      <c r="BS193" s="30">
        <f t="shared" si="408"/>
        <v>0</v>
      </c>
      <c r="BT193" s="78" t="e">
        <f t="shared" si="525"/>
        <v>#DIV/0!</v>
      </c>
      <c r="BU193" s="79">
        <f t="shared" si="410"/>
        <v>0</v>
      </c>
      <c r="BV193" s="30">
        <f t="shared" si="411"/>
        <v>0</v>
      </c>
      <c r="BW193" s="78" t="e">
        <f t="shared" si="526"/>
        <v>#DIV/0!</v>
      </c>
      <c r="BX193" s="79">
        <f t="shared" si="413"/>
        <v>0</v>
      </c>
      <c r="BY193" s="30">
        <f t="shared" si="414"/>
        <v>0</v>
      </c>
      <c r="BZ193" s="78" t="e">
        <f t="shared" si="527"/>
        <v>#DIV/0!</v>
      </c>
      <c r="CA193" s="79">
        <f t="shared" si="416"/>
        <v>0</v>
      </c>
      <c r="CB193" s="30">
        <f t="shared" si="417"/>
        <v>0</v>
      </c>
      <c r="CC193" s="78" t="e">
        <f t="shared" si="528"/>
        <v>#DIV/0!</v>
      </c>
      <c r="CD193" s="79">
        <f t="shared" si="419"/>
        <v>0</v>
      </c>
      <c r="CE193" s="30">
        <f t="shared" si="420"/>
        <v>0</v>
      </c>
      <c r="CF193" s="78" t="e">
        <f t="shared" si="529"/>
        <v>#DIV/0!</v>
      </c>
      <c r="CG193" s="79">
        <f t="shared" si="422"/>
        <v>0</v>
      </c>
      <c r="CH193" s="30">
        <f t="shared" si="423"/>
        <v>0</v>
      </c>
      <c r="CI193" s="78" t="e">
        <f t="shared" si="530"/>
        <v>#DIV/0!</v>
      </c>
      <c r="CJ193" s="79">
        <f t="shared" si="425"/>
        <v>0</v>
      </c>
      <c r="CK193" s="30">
        <f t="shared" si="426"/>
        <v>0</v>
      </c>
      <c r="CL193" s="78" t="e">
        <f t="shared" si="531"/>
        <v>#DIV/0!</v>
      </c>
      <c r="CM193" s="79">
        <f t="shared" si="428"/>
        <v>0</v>
      </c>
      <c r="CN193" s="30">
        <f t="shared" si="429"/>
        <v>0</v>
      </c>
      <c r="CO193" s="78" t="e">
        <f t="shared" si="532"/>
        <v>#DIV/0!</v>
      </c>
      <c r="CP193" s="79">
        <f t="shared" si="431"/>
        <v>0</v>
      </c>
      <c r="CQ193" s="30">
        <f t="shared" si="432"/>
        <v>0</v>
      </c>
      <c r="CR193" s="78" t="e">
        <f t="shared" si="533"/>
        <v>#DIV/0!</v>
      </c>
      <c r="CS193" s="79">
        <f t="shared" si="434"/>
        <v>0</v>
      </c>
      <c r="CT193" s="30">
        <f t="shared" si="435"/>
        <v>0</v>
      </c>
      <c r="CU193" s="78" t="e">
        <f t="shared" si="534"/>
        <v>#DIV/0!</v>
      </c>
      <c r="CV193" s="79">
        <f t="shared" si="437"/>
        <v>0</v>
      </c>
      <c r="CW193" s="30">
        <f t="shared" si="438"/>
        <v>0</v>
      </c>
      <c r="CX193" s="78" t="e">
        <f t="shared" si="535"/>
        <v>#DIV/0!</v>
      </c>
      <c r="CY193" s="79">
        <f t="shared" si="440"/>
        <v>0</v>
      </c>
      <c r="CZ193" s="30">
        <f t="shared" si="441"/>
        <v>0</v>
      </c>
      <c r="DA193" s="78" t="e">
        <f t="shared" si="536"/>
        <v>#DIV/0!</v>
      </c>
      <c r="DB193" s="79">
        <f t="shared" si="443"/>
        <v>0</v>
      </c>
      <c r="DC193" s="30">
        <f t="shared" si="444"/>
        <v>0</v>
      </c>
      <c r="DD193" s="78" t="e">
        <f t="shared" si="537"/>
        <v>#DIV/0!</v>
      </c>
      <c r="DE193" s="79">
        <f t="shared" si="446"/>
        <v>0</v>
      </c>
      <c r="DF193" s="30">
        <f t="shared" si="447"/>
        <v>0</v>
      </c>
      <c r="DG193" s="78" t="e">
        <f t="shared" si="538"/>
        <v>#DIV/0!</v>
      </c>
      <c r="DH193" s="79">
        <f t="shared" si="449"/>
        <v>0</v>
      </c>
      <c r="DI193" s="30">
        <f t="shared" si="450"/>
        <v>0</v>
      </c>
      <c r="DJ193" s="78" t="e">
        <f t="shared" si="539"/>
        <v>#DIV/0!</v>
      </c>
      <c r="DK193" s="79">
        <f t="shared" si="452"/>
        <v>0</v>
      </c>
      <c r="DL193" s="30">
        <f t="shared" si="453"/>
        <v>0</v>
      </c>
      <c r="DM193" s="78" t="e">
        <f t="shared" si="540"/>
        <v>#DIV/0!</v>
      </c>
      <c r="DN193" s="79">
        <f t="shared" si="541"/>
        <v>0</v>
      </c>
      <c r="DO193" s="30">
        <f t="shared" si="542"/>
        <v>0</v>
      </c>
      <c r="DP193" s="78" t="e">
        <f t="shared" si="543"/>
        <v>#DIV/0!</v>
      </c>
      <c r="DQ193" s="79">
        <f t="shared" si="458"/>
        <v>0</v>
      </c>
      <c r="DR193" s="30">
        <f t="shared" si="459"/>
        <v>0</v>
      </c>
      <c r="DS193" s="78" t="e">
        <f t="shared" si="544"/>
        <v>#DIV/0!</v>
      </c>
      <c r="DT193" s="79">
        <f t="shared" si="461"/>
        <v>0</v>
      </c>
      <c r="DU193" s="30">
        <f t="shared" si="462"/>
        <v>0</v>
      </c>
      <c r="DV193" s="78" t="e">
        <f t="shared" si="545"/>
        <v>#DIV/0!</v>
      </c>
      <c r="DW193" s="79">
        <f t="shared" si="464"/>
        <v>0</v>
      </c>
      <c r="DX193" s="30">
        <f t="shared" si="465"/>
        <v>0</v>
      </c>
      <c r="DY193" s="78" t="e">
        <f t="shared" si="546"/>
        <v>#DIV/0!</v>
      </c>
      <c r="DZ193" s="79">
        <f t="shared" si="467"/>
        <v>0</v>
      </c>
      <c r="EA193" s="30">
        <f t="shared" si="468"/>
        <v>0</v>
      </c>
      <c r="EB193" s="78" t="e">
        <f t="shared" si="547"/>
        <v>#DIV/0!</v>
      </c>
      <c r="EC193" s="79">
        <f t="shared" si="470"/>
        <v>0</v>
      </c>
      <c r="ED193" s="30">
        <f t="shared" si="471"/>
        <v>0</v>
      </c>
      <c r="EE193" s="78" t="e">
        <f t="shared" si="548"/>
        <v>#DIV/0!</v>
      </c>
      <c r="EF193" s="79">
        <f t="shared" si="473"/>
        <v>0</v>
      </c>
      <c r="EG193" s="30">
        <f t="shared" si="474"/>
        <v>0</v>
      </c>
      <c r="EH193" s="78" t="e">
        <f t="shared" si="549"/>
        <v>#DIV/0!</v>
      </c>
      <c r="EI193" s="79">
        <f t="shared" si="476"/>
        <v>0</v>
      </c>
      <c r="EJ193" s="30">
        <f t="shared" si="477"/>
        <v>0</v>
      </c>
      <c r="EK193" s="78" t="e">
        <f t="shared" si="550"/>
        <v>#DIV/0!</v>
      </c>
    </row>
    <row r="194" spans="1:141" s="12" customFormat="1" ht="14.25" hidden="1" customHeight="1">
      <c r="A194" s="25">
        <v>36</v>
      </c>
      <c r="B194" s="26"/>
      <c r="C194" s="104">
        <v>43311</v>
      </c>
      <c r="D194" s="106" t="s">
        <v>145</v>
      </c>
      <c r="E194" s="60"/>
      <c r="F194" s="59"/>
      <c r="G194" s="82">
        <f t="shared" si="480"/>
        <v>0</v>
      </c>
      <c r="H194" s="81">
        <f t="shared" si="481"/>
        <v>0</v>
      </c>
      <c r="I194" s="19">
        <f t="shared" si="482"/>
        <v>0</v>
      </c>
      <c r="J194" s="11">
        <f t="shared" si="483"/>
        <v>0</v>
      </c>
      <c r="K194" s="19">
        <f t="shared" si="484"/>
        <v>0</v>
      </c>
      <c r="L194" s="19">
        <f t="shared" si="485"/>
        <v>0</v>
      </c>
      <c r="M194" s="19">
        <f t="shared" si="486"/>
        <v>0</v>
      </c>
      <c r="N194" s="19">
        <f t="shared" si="487"/>
        <v>0</v>
      </c>
      <c r="O194" s="19">
        <f t="shared" si="488"/>
        <v>0</v>
      </c>
      <c r="P194" s="19">
        <f t="shared" si="489"/>
        <v>0</v>
      </c>
      <c r="Q194" s="19">
        <f t="shared" si="490"/>
        <v>0</v>
      </c>
      <c r="R194" s="19">
        <f t="shared" si="491"/>
        <v>0</v>
      </c>
      <c r="S194" s="19">
        <f t="shared" si="492"/>
        <v>0</v>
      </c>
      <c r="T194" s="19">
        <f t="shared" si="493"/>
        <v>0</v>
      </c>
      <c r="U194" s="19">
        <f t="shared" si="494"/>
        <v>0</v>
      </c>
      <c r="V194" s="19">
        <f t="shared" si="495"/>
        <v>0</v>
      </c>
      <c r="W194" s="19">
        <f t="shared" si="496"/>
        <v>0</v>
      </c>
      <c r="X194" s="19">
        <f t="shared" si="497"/>
        <v>0</v>
      </c>
      <c r="Y194" s="19">
        <f t="shared" si="498"/>
        <v>0</v>
      </c>
      <c r="Z194" s="19">
        <f t="shared" si="499"/>
        <v>0</v>
      </c>
      <c r="AA194" s="18"/>
      <c r="AB194" s="56">
        <f t="shared" si="500"/>
        <v>0</v>
      </c>
      <c r="AC194" s="16">
        <f t="shared" si="501"/>
        <v>0</v>
      </c>
      <c r="AD194" s="15" t="e">
        <f t="shared" si="502"/>
        <v>#DIV/0!</v>
      </c>
      <c r="AE194" s="42"/>
      <c r="AF194" s="10" t="e">
        <f t="shared" si="503"/>
        <v>#DIV/0!</v>
      </c>
      <c r="AG194" s="10"/>
      <c r="AH194" s="21">
        <f t="shared" si="504"/>
        <v>0</v>
      </c>
      <c r="AI194" s="54" t="e">
        <f t="shared" si="505"/>
        <v>#DIV/0!</v>
      </c>
      <c r="AJ194" s="25">
        <f t="shared" si="506"/>
        <v>0</v>
      </c>
      <c r="AK194" s="25">
        <f t="shared" si="507"/>
        <v>0</v>
      </c>
      <c r="AL194" s="25">
        <f t="shared" si="508"/>
        <v>0</v>
      </c>
      <c r="AM194" s="25">
        <f t="shared" si="509"/>
        <v>0</v>
      </c>
      <c r="AN194" s="25">
        <f t="shared" si="510"/>
        <v>0</v>
      </c>
      <c r="AO194" s="25">
        <f t="shared" si="511"/>
        <v>0</v>
      </c>
      <c r="AP194" s="25">
        <f t="shared" si="512"/>
        <v>0</v>
      </c>
      <c r="AQ194" s="25">
        <f t="shared" si="513"/>
        <v>0</v>
      </c>
      <c r="AR194" s="25">
        <f t="shared" si="514"/>
        <v>0</v>
      </c>
      <c r="AS194" s="25">
        <f t="shared" si="515"/>
        <v>0</v>
      </c>
      <c r="AT194" s="25">
        <f t="shared" si="516"/>
        <v>0</v>
      </c>
      <c r="AU194" s="80"/>
      <c r="AV194" s="79">
        <f t="shared" si="517"/>
        <v>0</v>
      </c>
      <c r="AW194" s="79">
        <f t="shared" si="479"/>
        <v>0</v>
      </c>
      <c r="AX194" s="30">
        <f t="shared" si="387"/>
        <v>0</v>
      </c>
      <c r="AY194" s="78" t="e">
        <f t="shared" si="518"/>
        <v>#DIV/0!</v>
      </c>
      <c r="AZ194" s="79">
        <f t="shared" si="389"/>
        <v>0</v>
      </c>
      <c r="BA194" s="30">
        <f t="shared" si="390"/>
        <v>0</v>
      </c>
      <c r="BB194" s="78" t="e">
        <f t="shared" si="519"/>
        <v>#DIV/0!</v>
      </c>
      <c r="BC194" s="79">
        <f t="shared" si="392"/>
        <v>0</v>
      </c>
      <c r="BD194" s="30">
        <f t="shared" si="393"/>
        <v>0</v>
      </c>
      <c r="BE194" s="78" t="e">
        <f t="shared" si="520"/>
        <v>#DIV/0!</v>
      </c>
      <c r="BF194" s="79">
        <f t="shared" si="395"/>
        <v>0</v>
      </c>
      <c r="BG194" s="30">
        <f t="shared" si="396"/>
        <v>0</v>
      </c>
      <c r="BH194" s="78" t="e">
        <f t="shared" si="521"/>
        <v>#DIV/0!</v>
      </c>
      <c r="BI194" s="79">
        <f t="shared" si="398"/>
        <v>0</v>
      </c>
      <c r="BJ194" s="30">
        <f t="shared" si="399"/>
        <v>0</v>
      </c>
      <c r="BK194" s="78" t="e">
        <f t="shared" si="522"/>
        <v>#DIV/0!</v>
      </c>
      <c r="BL194" s="79">
        <f t="shared" si="401"/>
        <v>0</v>
      </c>
      <c r="BM194" s="30">
        <f t="shared" si="402"/>
        <v>0</v>
      </c>
      <c r="BN194" s="78" t="e">
        <f t="shared" si="523"/>
        <v>#DIV/0!</v>
      </c>
      <c r="BO194" s="79">
        <f t="shared" si="404"/>
        <v>0</v>
      </c>
      <c r="BP194" s="30">
        <f t="shared" si="405"/>
        <v>0</v>
      </c>
      <c r="BQ194" s="78" t="e">
        <f t="shared" si="524"/>
        <v>#DIV/0!</v>
      </c>
      <c r="BR194" s="79">
        <f t="shared" si="407"/>
        <v>0</v>
      </c>
      <c r="BS194" s="30">
        <f t="shared" si="408"/>
        <v>0</v>
      </c>
      <c r="BT194" s="78" t="e">
        <f t="shared" si="525"/>
        <v>#DIV/0!</v>
      </c>
      <c r="BU194" s="79">
        <f t="shared" si="410"/>
        <v>0</v>
      </c>
      <c r="BV194" s="30">
        <f t="shared" si="411"/>
        <v>0</v>
      </c>
      <c r="BW194" s="78" t="e">
        <f t="shared" si="526"/>
        <v>#DIV/0!</v>
      </c>
      <c r="BX194" s="79">
        <f t="shared" si="413"/>
        <v>0</v>
      </c>
      <c r="BY194" s="30">
        <f t="shared" si="414"/>
        <v>0</v>
      </c>
      <c r="BZ194" s="78" t="e">
        <f t="shared" si="527"/>
        <v>#DIV/0!</v>
      </c>
      <c r="CA194" s="79">
        <f t="shared" si="416"/>
        <v>0</v>
      </c>
      <c r="CB194" s="30">
        <f t="shared" si="417"/>
        <v>0</v>
      </c>
      <c r="CC194" s="78" t="e">
        <f t="shared" si="528"/>
        <v>#DIV/0!</v>
      </c>
      <c r="CD194" s="79">
        <f t="shared" si="419"/>
        <v>0</v>
      </c>
      <c r="CE194" s="30">
        <f t="shared" si="420"/>
        <v>0</v>
      </c>
      <c r="CF194" s="78" t="e">
        <f t="shared" si="529"/>
        <v>#DIV/0!</v>
      </c>
      <c r="CG194" s="79">
        <f t="shared" si="422"/>
        <v>0</v>
      </c>
      <c r="CH194" s="30">
        <f t="shared" si="423"/>
        <v>0</v>
      </c>
      <c r="CI194" s="78" t="e">
        <f t="shared" si="530"/>
        <v>#DIV/0!</v>
      </c>
      <c r="CJ194" s="79">
        <f t="shared" si="425"/>
        <v>0</v>
      </c>
      <c r="CK194" s="30">
        <f t="shared" si="426"/>
        <v>0</v>
      </c>
      <c r="CL194" s="78" t="e">
        <f t="shared" si="531"/>
        <v>#DIV/0!</v>
      </c>
      <c r="CM194" s="79">
        <f t="shared" si="428"/>
        <v>0</v>
      </c>
      <c r="CN194" s="30">
        <f t="shared" si="429"/>
        <v>0</v>
      </c>
      <c r="CO194" s="78" t="e">
        <f t="shared" si="532"/>
        <v>#DIV/0!</v>
      </c>
      <c r="CP194" s="79">
        <f t="shared" si="431"/>
        <v>0</v>
      </c>
      <c r="CQ194" s="30">
        <f t="shared" si="432"/>
        <v>0</v>
      </c>
      <c r="CR194" s="78" t="e">
        <f t="shared" si="533"/>
        <v>#DIV/0!</v>
      </c>
      <c r="CS194" s="79">
        <f t="shared" si="434"/>
        <v>0</v>
      </c>
      <c r="CT194" s="30">
        <f t="shared" si="435"/>
        <v>0</v>
      </c>
      <c r="CU194" s="78" t="e">
        <f t="shared" si="534"/>
        <v>#DIV/0!</v>
      </c>
      <c r="CV194" s="79">
        <f t="shared" si="437"/>
        <v>0</v>
      </c>
      <c r="CW194" s="30">
        <f t="shared" si="438"/>
        <v>0</v>
      </c>
      <c r="CX194" s="78" t="e">
        <f t="shared" si="535"/>
        <v>#DIV/0!</v>
      </c>
      <c r="CY194" s="79">
        <f t="shared" si="440"/>
        <v>0</v>
      </c>
      <c r="CZ194" s="30">
        <f t="shared" si="441"/>
        <v>0</v>
      </c>
      <c r="DA194" s="78" t="e">
        <f t="shared" si="536"/>
        <v>#DIV/0!</v>
      </c>
      <c r="DB194" s="79">
        <f t="shared" si="443"/>
        <v>0</v>
      </c>
      <c r="DC194" s="30">
        <f t="shared" si="444"/>
        <v>0</v>
      </c>
      <c r="DD194" s="78" t="e">
        <f t="shared" si="537"/>
        <v>#DIV/0!</v>
      </c>
      <c r="DE194" s="79">
        <f t="shared" si="446"/>
        <v>0</v>
      </c>
      <c r="DF194" s="30">
        <f t="shared" si="447"/>
        <v>0</v>
      </c>
      <c r="DG194" s="78" t="e">
        <f t="shared" si="538"/>
        <v>#DIV/0!</v>
      </c>
      <c r="DH194" s="79">
        <f t="shared" si="449"/>
        <v>0</v>
      </c>
      <c r="DI194" s="30">
        <f t="shared" si="450"/>
        <v>0</v>
      </c>
      <c r="DJ194" s="78" t="e">
        <f t="shared" si="539"/>
        <v>#DIV/0!</v>
      </c>
      <c r="DK194" s="79">
        <f t="shared" si="452"/>
        <v>0</v>
      </c>
      <c r="DL194" s="30">
        <f t="shared" si="453"/>
        <v>0</v>
      </c>
      <c r="DM194" s="78" t="e">
        <f t="shared" si="540"/>
        <v>#DIV/0!</v>
      </c>
      <c r="DN194" s="79">
        <f t="shared" si="541"/>
        <v>0</v>
      </c>
      <c r="DO194" s="30">
        <f t="shared" si="542"/>
        <v>0</v>
      </c>
      <c r="DP194" s="78" t="e">
        <f t="shared" si="543"/>
        <v>#DIV/0!</v>
      </c>
      <c r="DQ194" s="79">
        <f t="shared" si="458"/>
        <v>0</v>
      </c>
      <c r="DR194" s="30">
        <f t="shared" si="459"/>
        <v>0</v>
      </c>
      <c r="DS194" s="78" t="e">
        <f t="shared" si="544"/>
        <v>#DIV/0!</v>
      </c>
      <c r="DT194" s="79">
        <f t="shared" si="461"/>
        <v>0</v>
      </c>
      <c r="DU194" s="30">
        <f t="shared" si="462"/>
        <v>0</v>
      </c>
      <c r="DV194" s="78" t="e">
        <f t="shared" si="545"/>
        <v>#DIV/0!</v>
      </c>
      <c r="DW194" s="79">
        <f t="shared" si="464"/>
        <v>0</v>
      </c>
      <c r="DX194" s="30">
        <f t="shared" si="465"/>
        <v>0</v>
      </c>
      <c r="DY194" s="78" t="e">
        <f t="shared" si="546"/>
        <v>#DIV/0!</v>
      </c>
      <c r="DZ194" s="79">
        <f t="shared" si="467"/>
        <v>0</v>
      </c>
      <c r="EA194" s="30">
        <f t="shared" si="468"/>
        <v>0</v>
      </c>
      <c r="EB194" s="78" t="e">
        <f t="shared" si="547"/>
        <v>#DIV/0!</v>
      </c>
      <c r="EC194" s="79">
        <f t="shared" si="470"/>
        <v>0</v>
      </c>
      <c r="ED194" s="30">
        <f t="shared" si="471"/>
        <v>0</v>
      </c>
      <c r="EE194" s="78" t="e">
        <f t="shared" si="548"/>
        <v>#DIV/0!</v>
      </c>
      <c r="EF194" s="79">
        <f t="shared" si="473"/>
        <v>0</v>
      </c>
      <c r="EG194" s="30">
        <f t="shared" si="474"/>
        <v>0</v>
      </c>
      <c r="EH194" s="78" t="e">
        <f t="shared" si="549"/>
        <v>#DIV/0!</v>
      </c>
      <c r="EI194" s="79">
        <f t="shared" si="476"/>
        <v>0</v>
      </c>
      <c r="EJ194" s="30">
        <f t="shared" si="477"/>
        <v>0</v>
      </c>
      <c r="EK194" s="78" t="e">
        <f t="shared" si="550"/>
        <v>#DIV/0!</v>
      </c>
    </row>
    <row r="195" spans="1:141" s="12" customFormat="1" ht="14.25" hidden="1" customHeight="1">
      <c r="A195" s="30">
        <v>37</v>
      </c>
      <c r="B195" s="26" t="s">
        <v>144</v>
      </c>
      <c r="C195" s="85" t="s">
        <v>24</v>
      </c>
      <c r="D195" s="106" t="s">
        <v>143</v>
      </c>
      <c r="E195" s="60"/>
      <c r="F195" s="59"/>
      <c r="G195" s="82">
        <f t="shared" si="480"/>
        <v>0</v>
      </c>
      <c r="H195" s="81">
        <f t="shared" si="481"/>
        <v>0</v>
      </c>
      <c r="I195" s="19">
        <f t="shared" si="482"/>
        <v>0</v>
      </c>
      <c r="J195" s="11">
        <f t="shared" si="483"/>
        <v>0</v>
      </c>
      <c r="K195" s="19">
        <f t="shared" si="484"/>
        <v>0</v>
      </c>
      <c r="L195" s="19">
        <f t="shared" si="485"/>
        <v>0</v>
      </c>
      <c r="M195" s="19">
        <f t="shared" si="486"/>
        <v>0</v>
      </c>
      <c r="N195" s="19">
        <f t="shared" si="487"/>
        <v>0</v>
      </c>
      <c r="O195" s="19">
        <f t="shared" si="488"/>
        <v>0</v>
      </c>
      <c r="P195" s="19">
        <f t="shared" si="489"/>
        <v>0</v>
      </c>
      <c r="Q195" s="19">
        <f t="shared" si="490"/>
        <v>0</v>
      </c>
      <c r="R195" s="19">
        <f t="shared" si="491"/>
        <v>0</v>
      </c>
      <c r="S195" s="19">
        <f t="shared" si="492"/>
        <v>0</v>
      </c>
      <c r="T195" s="19">
        <f t="shared" si="493"/>
        <v>0</v>
      </c>
      <c r="U195" s="19">
        <f t="shared" si="494"/>
        <v>0</v>
      </c>
      <c r="V195" s="19">
        <f t="shared" si="495"/>
        <v>0</v>
      </c>
      <c r="W195" s="19">
        <f t="shared" si="496"/>
        <v>0</v>
      </c>
      <c r="X195" s="19">
        <f t="shared" si="497"/>
        <v>0</v>
      </c>
      <c r="Y195" s="19">
        <f t="shared" si="498"/>
        <v>0</v>
      </c>
      <c r="Z195" s="19">
        <f t="shared" si="499"/>
        <v>0</v>
      </c>
      <c r="AA195" s="18"/>
      <c r="AB195" s="56">
        <f t="shared" si="500"/>
        <v>0</v>
      </c>
      <c r="AC195" s="16">
        <f t="shared" si="501"/>
        <v>0</v>
      </c>
      <c r="AD195" s="15" t="e">
        <f t="shared" si="502"/>
        <v>#DIV/0!</v>
      </c>
      <c r="AE195" s="42"/>
      <c r="AF195" s="10" t="e">
        <f t="shared" si="503"/>
        <v>#DIV/0!</v>
      </c>
      <c r="AG195" s="10"/>
      <c r="AH195" s="21">
        <f t="shared" si="504"/>
        <v>0</v>
      </c>
      <c r="AI195" s="54" t="e">
        <f t="shared" si="505"/>
        <v>#DIV/0!</v>
      </c>
      <c r="AJ195" s="25">
        <f t="shared" si="506"/>
        <v>0</v>
      </c>
      <c r="AK195" s="25">
        <f t="shared" si="507"/>
        <v>0</v>
      </c>
      <c r="AL195" s="25">
        <f t="shared" si="508"/>
        <v>0</v>
      </c>
      <c r="AM195" s="25">
        <f t="shared" si="509"/>
        <v>0</v>
      </c>
      <c r="AN195" s="25">
        <f t="shared" si="510"/>
        <v>0</v>
      </c>
      <c r="AO195" s="25">
        <f t="shared" si="511"/>
        <v>0</v>
      </c>
      <c r="AP195" s="25">
        <f t="shared" si="512"/>
        <v>0</v>
      </c>
      <c r="AQ195" s="25">
        <f t="shared" si="513"/>
        <v>0</v>
      </c>
      <c r="AR195" s="25">
        <f t="shared" si="514"/>
        <v>0</v>
      </c>
      <c r="AS195" s="25">
        <f t="shared" si="515"/>
        <v>0</v>
      </c>
      <c r="AT195" s="25">
        <f t="shared" si="516"/>
        <v>0</v>
      </c>
      <c r="AU195" s="80"/>
      <c r="AV195" s="79">
        <f t="shared" si="517"/>
        <v>0</v>
      </c>
      <c r="AW195" s="79">
        <f t="shared" si="479"/>
        <v>0</v>
      </c>
      <c r="AX195" s="30">
        <f t="shared" si="387"/>
        <v>0</v>
      </c>
      <c r="AY195" s="78" t="e">
        <f t="shared" si="518"/>
        <v>#DIV/0!</v>
      </c>
      <c r="AZ195" s="79">
        <f t="shared" si="389"/>
        <v>0</v>
      </c>
      <c r="BA195" s="30">
        <f t="shared" si="390"/>
        <v>0</v>
      </c>
      <c r="BB195" s="78" t="e">
        <f t="shared" si="519"/>
        <v>#DIV/0!</v>
      </c>
      <c r="BC195" s="79">
        <f t="shared" si="392"/>
        <v>0</v>
      </c>
      <c r="BD195" s="30">
        <f t="shared" si="393"/>
        <v>0</v>
      </c>
      <c r="BE195" s="78" t="e">
        <f t="shared" si="520"/>
        <v>#DIV/0!</v>
      </c>
      <c r="BF195" s="79">
        <f t="shared" si="395"/>
        <v>0</v>
      </c>
      <c r="BG195" s="30">
        <f t="shared" si="396"/>
        <v>0</v>
      </c>
      <c r="BH195" s="78" t="e">
        <f t="shared" si="521"/>
        <v>#DIV/0!</v>
      </c>
      <c r="BI195" s="79">
        <f t="shared" si="398"/>
        <v>0</v>
      </c>
      <c r="BJ195" s="30">
        <f t="shared" si="399"/>
        <v>0</v>
      </c>
      <c r="BK195" s="78" t="e">
        <f t="shared" si="522"/>
        <v>#DIV/0!</v>
      </c>
      <c r="BL195" s="79">
        <f t="shared" si="401"/>
        <v>0</v>
      </c>
      <c r="BM195" s="30">
        <f t="shared" si="402"/>
        <v>0</v>
      </c>
      <c r="BN195" s="78" t="e">
        <f t="shared" si="523"/>
        <v>#DIV/0!</v>
      </c>
      <c r="BO195" s="79">
        <f t="shared" si="404"/>
        <v>0</v>
      </c>
      <c r="BP195" s="30">
        <f t="shared" si="405"/>
        <v>0</v>
      </c>
      <c r="BQ195" s="78" t="e">
        <f t="shared" si="524"/>
        <v>#DIV/0!</v>
      </c>
      <c r="BR195" s="79">
        <f t="shared" si="407"/>
        <v>0</v>
      </c>
      <c r="BS195" s="30">
        <f t="shared" si="408"/>
        <v>0</v>
      </c>
      <c r="BT195" s="78" t="e">
        <f t="shared" si="525"/>
        <v>#DIV/0!</v>
      </c>
      <c r="BU195" s="79">
        <f t="shared" si="410"/>
        <v>0</v>
      </c>
      <c r="BV195" s="30">
        <f t="shared" si="411"/>
        <v>0</v>
      </c>
      <c r="BW195" s="78" t="e">
        <f t="shared" si="526"/>
        <v>#DIV/0!</v>
      </c>
      <c r="BX195" s="79">
        <f t="shared" si="413"/>
        <v>0</v>
      </c>
      <c r="BY195" s="30">
        <f t="shared" si="414"/>
        <v>0</v>
      </c>
      <c r="BZ195" s="78" t="e">
        <f t="shared" si="527"/>
        <v>#DIV/0!</v>
      </c>
      <c r="CA195" s="79">
        <f t="shared" si="416"/>
        <v>0</v>
      </c>
      <c r="CB195" s="30">
        <f t="shared" si="417"/>
        <v>0</v>
      </c>
      <c r="CC195" s="78" t="e">
        <f t="shared" si="528"/>
        <v>#DIV/0!</v>
      </c>
      <c r="CD195" s="79">
        <f t="shared" si="419"/>
        <v>0</v>
      </c>
      <c r="CE195" s="30">
        <f t="shared" si="420"/>
        <v>0</v>
      </c>
      <c r="CF195" s="78" t="e">
        <f t="shared" si="529"/>
        <v>#DIV/0!</v>
      </c>
      <c r="CG195" s="79">
        <f t="shared" si="422"/>
        <v>0</v>
      </c>
      <c r="CH195" s="30">
        <f t="shared" si="423"/>
        <v>0</v>
      </c>
      <c r="CI195" s="78" t="e">
        <f t="shared" si="530"/>
        <v>#DIV/0!</v>
      </c>
      <c r="CJ195" s="79">
        <f t="shared" si="425"/>
        <v>0</v>
      </c>
      <c r="CK195" s="30">
        <f t="shared" si="426"/>
        <v>0</v>
      </c>
      <c r="CL195" s="78" t="e">
        <f t="shared" si="531"/>
        <v>#DIV/0!</v>
      </c>
      <c r="CM195" s="79">
        <f t="shared" si="428"/>
        <v>0</v>
      </c>
      <c r="CN195" s="30">
        <f t="shared" si="429"/>
        <v>0</v>
      </c>
      <c r="CO195" s="78" t="e">
        <f t="shared" si="532"/>
        <v>#DIV/0!</v>
      </c>
      <c r="CP195" s="79">
        <f t="shared" si="431"/>
        <v>0</v>
      </c>
      <c r="CQ195" s="30">
        <f t="shared" si="432"/>
        <v>0</v>
      </c>
      <c r="CR195" s="78" t="e">
        <f t="shared" si="533"/>
        <v>#DIV/0!</v>
      </c>
      <c r="CS195" s="79">
        <f t="shared" si="434"/>
        <v>0</v>
      </c>
      <c r="CT195" s="30">
        <f t="shared" si="435"/>
        <v>0</v>
      </c>
      <c r="CU195" s="78" t="e">
        <f t="shared" si="534"/>
        <v>#DIV/0!</v>
      </c>
      <c r="CV195" s="79">
        <f t="shared" si="437"/>
        <v>0</v>
      </c>
      <c r="CW195" s="30">
        <f t="shared" si="438"/>
        <v>0</v>
      </c>
      <c r="CX195" s="78" t="e">
        <f t="shared" si="535"/>
        <v>#DIV/0!</v>
      </c>
      <c r="CY195" s="79">
        <f t="shared" si="440"/>
        <v>0</v>
      </c>
      <c r="CZ195" s="30">
        <f t="shared" si="441"/>
        <v>0</v>
      </c>
      <c r="DA195" s="78" t="e">
        <f t="shared" si="536"/>
        <v>#DIV/0!</v>
      </c>
      <c r="DB195" s="79">
        <f t="shared" si="443"/>
        <v>0</v>
      </c>
      <c r="DC195" s="30">
        <f t="shared" si="444"/>
        <v>0</v>
      </c>
      <c r="DD195" s="78" t="e">
        <f t="shared" si="537"/>
        <v>#DIV/0!</v>
      </c>
      <c r="DE195" s="79">
        <f t="shared" si="446"/>
        <v>0</v>
      </c>
      <c r="DF195" s="30">
        <f t="shared" si="447"/>
        <v>0</v>
      </c>
      <c r="DG195" s="78" t="e">
        <f t="shared" si="538"/>
        <v>#DIV/0!</v>
      </c>
      <c r="DH195" s="79">
        <f t="shared" si="449"/>
        <v>0</v>
      </c>
      <c r="DI195" s="30">
        <f t="shared" si="450"/>
        <v>0</v>
      </c>
      <c r="DJ195" s="78" t="e">
        <f t="shared" si="539"/>
        <v>#DIV/0!</v>
      </c>
      <c r="DK195" s="79">
        <f t="shared" si="452"/>
        <v>0</v>
      </c>
      <c r="DL195" s="30">
        <f t="shared" si="453"/>
        <v>0</v>
      </c>
      <c r="DM195" s="78" t="e">
        <f t="shared" si="540"/>
        <v>#DIV/0!</v>
      </c>
      <c r="DN195" s="79">
        <f t="shared" si="541"/>
        <v>0</v>
      </c>
      <c r="DO195" s="30">
        <f t="shared" si="542"/>
        <v>0</v>
      </c>
      <c r="DP195" s="78" t="e">
        <f t="shared" si="543"/>
        <v>#DIV/0!</v>
      </c>
      <c r="DQ195" s="79">
        <f t="shared" si="458"/>
        <v>0</v>
      </c>
      <c r="DR195" s="30">
        <f t="shared" si="459"/>
        <v>0</v>
      </c>
      <c r="DS195" s="78" t="e">
        <f t="shared" si="544"/>
        <v>#DIV/0!</v>
      </c>
      <c r="DT195" s="79">
        <f t="shared" si="461"/>
        <v>0</v>
      </c>
      <c r="DU195" s="30">
        <f t="shared" si="462"/>
        <v>0</v>
      </c>
      <c r="DV195" s="78" t="e">
        <f t="shared" si="545"/>
        <v>#DIV/0!</v>
      </c>
      <c r="DW195" s="79">
        <f t="shared" si="464"/>
        <v>0</v>
      </c>
      <c r="DX195" s="30">
        <f t="shared" si="465"/>
        <v>0</v>
      </c>
      <c r="DY195" s="78" t="e">
        <f t="shared" si="546"/>
        <v>#DIV/0!</v>
      </c>
      <c r="DZ195" s="79">
        <f t="shared" si="467"/>
        <v>0</v>
      </c>
      <c r="EA195" s="30">
        <f t="shared" si="468"/>
        <v>0</v>
      </c>
      <c r="EB195" s="78" t="e">
        <f t="shared" si="547"/>
        <v>#DIV/0!</v>
      </c>
      <c r="EC195" s="79">
        <f t="shared" si="470"/>
        <v>0</v>
      </c>
      <c r="ED195" s="30">
        <f t="shared" si="471"/>
        <v>0</v>
      </c>
      <c r="EE195" s="78" t="e">
        <f t="shared" si="548"/>
        <v>#DIV/0!</v>
      </c>
      <c r="EF195" s="79">
        <f t="shared" si="473"/>
        <v>0</v>
      </c>
      <c r="EG195" s="30">
        <f t="shared" si="474"/>
        <v>0</v>
      </c>
      <c r="EH195" s="78" t="e">
        <f t="shared" si="549"/>
        <v>#DIV/0!</v>
      </c>
      <c r="EI195" s="79">
        <f t="shared" si="476"/>
        <v>0</v>
      </c>
      <c r="EJ195" s="30">
        <f t="shared" si="477"/>
        <v>0</v>
      </c>
      <c r="EK195" s="78" t="e">
        <f t="shared" si="550"/>
        <v>#DIV/0!</v>
      </c>
    </row>
    <row r="196" spans="1:141" s="12" customFormat="1" ht="14.25" hidden="1" customHeight="1">
      <c r="A196" s="25">
        <v>38</v>
      </c>
      <c r="B196" s="26" t="s">
        <v>142</v>
      </c>
      <c r="C196" s="85" t="s">
        <v>141</v>
      </c>
      <c r="D196" s="106" t="s">
        <v>138</v>
      </c>
      <c r="E196" s="60"/>
      <c r="F196" s="59"/>
      <c r="G196" s="82">
        <f t="shared" si="480"/>
        <v>0</v>
      </c>
      <c r="H196" s="81">
        <f t="shared" si="481"/>
        <v>0</v>
      </c>
      <c r="I196" s="19">
        <f t="shared" si="482"/>
        <v>0</v>
      </c>
      <c r="J196" s="11">
        <f t="shared" si="483"/>
        <v>0</v>
      </c>
      <c r="K196" s="19">
        <f t="shared" si="484"/>
        <v>0</v>
      </c>
      <c r="L196" s="19">
        <f t="shared" si="485"/>
        <v>0</v>
      </c>
      <c r="M196" s="19">
        <f t="shared" si="486"/>
        <v>0</v>
      </c>
      <c r="N196" s="19">
        <f t="shared" si="487"/>
        <v>0</v>
      </c>
      <c r="O196" s="19">
        <f t="shared" si="488"/>
        <v>0</v>
      </c>
      <c r="P196" s="19">
        <f t="shared" si="489"/>
        <v>0</v>
      </c>
      <c r="Q196" s="19">
        <f t="shared" si="490"/>
        <v>0</v>
      </c>
      <c r="R196" s="19">
        <f t="shared" si="491"/>
        <v>0</v>
      </c>
      <c r="S196" s="19">
        <f t="shared" si="492"/>
        <v>0</v>
      </c>
      <c r="T196" s="19">
        <f t="shared" si="493"/>
        <v>0</v>
      </c>
      <c r="U196" s="19">
        <f t="shared" si="494"/>
        <v>0</v>
      </c>
      <c r="V196" s="19">
        <f t="shared" si="495"/>
        <v>0</v>
      </c>
      <c r="W196" s="19">
        <f t="shared" si="496"/>
        <v>0</v>
      </c>
      <c r="X196" s="19">
        <f t="shared" si="497"/>
        <v>0</v>
      </c>
      <c r="Y196" s="19">
        <f t="shared" si="498"/>
        <v>0</v>
      </c>
      <c r="Z196" s="19">
        <f t="shared" si="499"/>
        <v>0</v>
      </c>
      <c r="AA196" s="18"/>
      <c r="AB196" s="56">
        <f t="shared" si="500"/>
        <v>0</v>
      </c>
      <c r="AC196" s="16">
        <f t="shared" si="501"/>
        <v>0</v>
      </c>
      <c r="AD196" s="15" t="e">
        <f t="shared" si="502"/>
        <v>#DIV/0!</v>
      </c>
      <c r="AE196" s="42"/>
      <c r="AF196" s="10" t="e">
        <f t="shared" si="503"/>
        <v>#DIV/0!</v>
      </c>
      <c r="AG196" s="10"/>
      <c r="AH196" s="21">
        <f t="shared" si="504"/>
        <v>0</v>
      </c>
      <c r="AI196" s="54" t="e">
        <f t="shared" si="505"/>
        <v>#DIV/0!</v>
      </c>
      <c r="AJ196" s="25">
        <f t="shared" si="506"/>
        <v>0</v>
      </c>
      <c r="AK196" s="25">
        <f t="shared" si="507"/>
        <v>0</v>
      </c>
      <c r="AL196" s="25">
        <f t="shared" si="508"/>
        <v>0</v>
      </c>
      <c r="AM196" s="25">
        <f t="shared" si="509"/>
        <v>0</v>
      </c>
      <c r="AN196" s="25">
        <f t="shared" si="510"/>
        <v>0</v>
      </c>
      <c r="AO196" s="25">
        <f t="shared" si="511"/>
        <v>0</v>
      </c>
      <c r="AP196" s="25">
        <f t="shared" si="512"/>
        <v>0</v>
      </c>
      <c r="AQ196" s="25">
        <f t="shared" si="513"/>
        <v>0</v>
      </c>
      <c r="AR196" s="25">
        <f t="shared" si="514"/>
        <v>0</v>
      </c>
      <c r="AS196" s="25">
        <f t="shared" si="515"/>
        <v>0</v>
      </c>
      <c r="AT196" s="25">
        <f t="shared" si="516"/>
        <v>0</v>
      </c>
      <c r="AU196" s="80"/>
      <c r="AV196" s="79">
        <f t="shared" si="517"/>
        <v>0</v>
      </c>
      <c r="AW196" s="79">
        <f t="shared" si="479"/>
        <v>0</v>
      </c>
      <c r="AX196" s="30">
        <f t="shared" si="387"/>
        <v>0</v>
      </c>
      <c r="AY196" s="78" t="e">
        <f t="shared" si="518"/>
        <v>#DIV/0!</v>
      </c>
      <c r="AZ196" s="79">
        <f t="shared" si="389"/>
        <v>0</v>
      </c>
      <c r="BA196" s="30">
        <f t="shared" si="390"/>
        <v>0</v>
      </c>
      <c r="BB196" s="78" t="e">
        <f t="shared" si="519"/>
        <v>#DIV/0!</v>
      </c>
      <c r="BC196" s="79">
        <f t="shared" si="392"/>
        <v>0</v>
      </c>
      <c r="BD196" s="30">
        <f t="shared" si="393"/>
        <v>0</v>
      </c>
      <c r="BE196" s="78" t="e">
        <f t="shared" si="520"/>
        <v>#DIV/0!</v>
      </c>
      <c r="BF196" s="79">
        <f t="shared" si="395"/>
        <v>0</v>
      </c>
      <c r="BG196" s="30">
        <f t="shared" si="396"/>
        <v>0</v>
      </c>
      <c r="BH196" s="78" t="e">
        <f t="shared" si="521"/>
        <v>#DIV/0!</v>
      </c>
      <c r="BI196" s="79">
        <f t="shared" si="398"/>
        <v>0</v>
      </c>
      <c r="BJ196" s="30">
        <f t="shared" si="399"/>
        <v>0</v>
      </c>
      <c r="BK196" s="78" t="e">
        <f t="shared" si="522"/>
        <v>#DIV/0!</v>
      </c>
      <c r="BL196" s="79">
        <f t="shared" si="401"/>
        <v>0</v>
      </c>
      <c r="BM196" s="30">
        <f t="shared" si="402"/>
        <v>0</v>
      </c>
      <c r="BN196" s="78" t="e">
        <f t="shared" si="523"/>
        <v>#DIV/0!</v>
      </c>
      <c r="BO196" s="79">
        <f t="shared" si="404"/>
        <v>0</v>
      </c>
      <c r="BP196" s="30">
        <f t="shared" si="405"/>
        <v>0</v>
      </c>
      <c r="BQ196" s="78" t="e">
        <f t="shared" si="524"/>
        <v>#DIV/0!</v>
      </c>
      <c r="BR196" s="79">
        <f t="shared" si="407"/>
        <v>0</v>
      </c>
      <c r="BS196" s="30">
        <f t="shared" si="408"/>
        <v>0</v>
      </c>
      <c r="BT196" s="78" t="e">
        <f t="shared" si="525"/>
        <v>#DIV/0!</v>
      </c>
      <c r="BU196" s="79">
        <f t="shared" si="410"/>
        <v>0</v>
      </c>
      <c r="BV196" s="30">
        <f t="shared" si="411"/>
        <v>0</v>
      </c>
      <c r="BW196" s="78" t="e">
        <f t="shared" si="526"/>
        <v>#DIV/0!</v>
      </c>
      <c r="BX196" s="79">
        <f t="shared" si="413"/>
        <v>0</v>
      </c>
      <c r="BY196" s="30">
        <f t="shared" si="414"/>
        <v>0</v>
      </c>
      <c r="BZ196" s="78" t="e">
        <f t="shared" si="527"/>
        <v>#DIV/0!</v>
      </c>
      <c r="CA196" s="79">
        <f t="shared" si="416"/>
        <v>0</v>
      </c>
      <c r="CB196" s="30">
        <f t="shared" si="417"/>
        <v>0</v>
      </c>
      <c r="CC196" s="78" t="e">
        <f t="shared" si="528"/>
        <v>#DIV/0!</v>
      </c>
      <c r="CD196" s="79">
        <f t="shared" si="419"/>
        <v>0</v>
      </c>
      <c r="CE196" s="30">
        <f t="shared" si="420"/>
        <v>0</v>
      </c>
      <c r="CF196" s="78" t="e">
        <f t="shared" si="529"/>
        <v>#DIV/0!</v>
      </c>
      <c r="CG196" s="79">
        <f t="shared" si="422"/>
        <v>0</v>
      </c>
      <c r="CH196" s="30">
        <f t="shared" si="423"/>
        <v>0</v>
      </c>
      <c r="CI196" s="78" t="e">
        <f t="shared" si="530"/>
        <v>#DIV/0!</v>
      </c>
      <c r="CJ196" s="79">
        <f t="shared" si="425"/>
        <v>0</v>
      </c>
      <c r="CK196" s="30">
        <f t="shared" si="426"/>
        <v>0</v>
      </c>
      <c r="CL196" s="78" t="e">
        <f t="shared" si="531"/>
        <v>#DIV/0!</v>
      </c>
      <c r="CM196" s="79">
        <f t="shared" si="428"/>
        <v>0</v>
      </c>
      <c r="CN196" s="30">
        <f t="shared" si="429"/>
        <v>0</v>
      </c>
      <c r="CO196" s="78" t="e">
        <f t="shared" si="532"/>
        <v>#DIV/0!</v>
      </c>
      <c r="CP196" s="79">
        <f t="shared" si="431"/>
        <v>0</v>
      </c>
      <c r="CQ196" s="30">
        <f t="shared" si="432"/>
        <v>0</v>
      </c>
      <c r="CR196" s="78" t="e">
        <f t="shared" si="533"/>
        <v>#DIV/0!</v>
      </c>
      <c r="CS196" s="79">
        <f t="shared" si="434"/>
        <v>0</v>
      </c>
      <c r="CT196" s="30">
        <f t="shared" si="435"/>
        <v>0</v>
      </c>
      <c r="CU196" s="78" t="e">
        <f t="shared" si="534"/>
        <v>#DIV/0!</v>
      </c>
      <c r="CV196" s="79">
        <f t="shared" si="437"/>
        <v>0</v>
      </c>
      <c r="CW196" s="30">
        <f t="shared" si="438"/>
        <v>0</v>
      </c>
      <c r="CX196" s="78" t="e">
        <f t="shared" si="535"/>
        <v>#DIV/0!</v>
      </c>
      <c r="CY196" s="79">
        <f t="shared" si="440"/>
        <v>0</v>
      </c>
      <c r="CZ196" s="30">
        <f t="shared" si="441"/>
        <v>0</v>
      </c>
      <c r="DA196" s="78" t="e">
        <f t="shared" si="536"/>
        <v>#DIV/0!</v>
      </c>
      <c r="DB196" s="79">
        <f t="shared" si="443"/>
        <v>0</v>
      </c>
      <c r="DC196" s="30">
        <f t="shared" si="444"/>
        <v>0</v>
      </c>
      <c r="DD196" s="78" t="e">
        <f t="shared" si="537"/>
        <v>#DIV/0!</v>
      </c>
      <c r="DE196" s="79">
        <f t="shared" si="446"/>
        <v>0</v>
      </c>
      <c r="DF196" s="30">
        <f t="shared" si="447"/>
        <v>0</v>
      </c>
      <c r="DG196" s="78" t="e">
        <f t="shared" si="538"/>
        <v>#DIV/0!</v>
      </c>
      <c r="DH196" s="79">
        <f t="shared" si="449"/>
        <v>0</v>
      </c>
      <c r="DI196" s="30">
        <f t="shared" si="450"/>
        <v>0</v>
      </c>
      <c r="DJ196" s="78" t="e">
        <f t="shared" si="539"/>
        <v>#DIV/0!</v>
      </c>
      <c r="DK196" s="79">
        <f t="shared" si="452"/>
        <v>0</v>
      </c>
      <c r="DL196" s="30">
        <f t="shared" si="453"/>
        <v>0</v>
      </c>
      <c r="DM196" s="78" t="e">
        <f t="shared" si="540"/>
        <v>#DIV/0!</v>
      </c>
      <c r="DN196" s="79">
        <f t="shared" si="541"/>
        <v>0</v>
      </c>
      <c r="DO196" s="30">
        <f t="shared" si="542"/>
        <v>0</v>
      </c>
      <c r="DP196" s="78" t="e">
        <f t="shared" si="543"/>
        <v>#DIV/0!</v>
      </c>
      <c r="DQ196" s="79">
        <f t="shared" si="458"/>
        <v>0</v>
      </c>
      <c r="DR196" s="30">
        <f t="shared" si="459"/>
        <v>0</v>
      </c>
      <c r="DS196" s="78" t="e">
        <f t="shared" si="544"/>
        <v>#DIV/0!</v>
      </c>
      <c r="DT196" s="79">
        <f t="shared" si="461"/>
        <v>0</v>
      </c>
      <c r="DU196" s="30">
        <f t="shared" si="462"/>
        <v>0</v>
      </c>
      <c r="DV196" s="78" t="e">
        <f t="shared" si="545"/>
        <v>#DIV/0!</v>
      </c>
      <c r="DW196" s="79">
        <f t="shared" si="464"/>
        <v>0</v>
      </c>
      <c r="DX196" s="30">
        <f t="shared" si="465"/>
        <v>0</v>
      </c>
      <c r="DY196" s="78" t="e">
        <f t="shared" si="546"/>
        <v>#DIV/0!</v>
      </c>
      <c r="DZ196" s="79">
        <f t="shared" si="467"/>
        <v>0</v>
      </c>
      <c r="EA196" s="30">
        <f t="shared" si="468"/>
        <v>0</v>
      </c>
      <c r="EB196" s="78" t="e">
        <f t="shared" si="547"/>
        <v>#DIV/0!</v>
      </c>
      <c r="EC196" s="79">
        <f t="shared" si="470"/>
        <v>0</v>
      </c>
      <c r="ED196" s="30">
        <f t="shared" si="471"/>
        <v>0</v>
      </c>
      <c r="EE196" s="78" t="e">
        <f t="shared" si="548"/>
        <v>#DIV/0!</v>
      </c>
      <c r="EF196" s="79">
        <f t="shared" si="473"/>
        <v>0</v>
      </c>
      <c r="EG196" s="30">
        <f t="shared" si="474"/>
        <v>0</v>
      </c>
      <c r="EH196" s="78" t="e">
        <f t="shared" si="549"/>
        <v>#DIV/0!</v>
      </c>
      <c r="EI196" s="79">
        <f t="shared" si="476"/>
        <v>0</v>
      </c>
      <c r="EJ196" s="30">
        <f t="shared" si="477"/>
        <v>0</v>
      </c>
      <c r="EK196" s="78" t="e">
        <f t="shared" si="550"/>
        <v>#DIV/0!</v>
      </c>
    </row>
    <row r="197" spans="1:141" s="12" customFormat="1" ht="14.25" hidden="1" customHeight="1">
      <c r="A197" s="25">
        <v>38</v>
      </c>
      <c r="B197" s="26" t="s">
        <v>140</v>
      </c>
      <c r="C197" s="85" t="s">
        <v>139</v>
      </c>
      <c r="D197" s="106" t="s">
        <v>138</v>
      </c>
      <c r="E197" s="60"/>
      <c r="F197" s="59"/>
      <c r="G197" s="82">
        <f t="shared" si="480"/>
        <v>0</v>
      </c>
      <c r="H197" s="81">
        <f t="shared" si="481"/>
        <v>0</v>
      </c>
      <c r="I197" s="19">
        <f t="shared" si="482"/>
        <v>0</v>
      </c>
      <c r="J197" s="11">
        <f t="shared" si="483"/>
        <v>0</v>
      </c>
      <c r="K197" s="19">
        <f t="shared" si="484"/>
        <v>0</v>
      </c>
      <c r="L197" s="19">
        <f t="shared" si="485"/>
        <v>0</v>
      </c>
      <c r="M197" s="19">
        <f t="shared" si="486"/>
        <v>0</v>
      </c>
      <c r="N197" s="19">
        <f t="shared" si="487"/>
        <v>0</v>
      </c>
      <c r="O197" s="19">
        <f t="shared" si="488"/>
        <v>0</v>
      </c>
      <c r="P197" s="19">
        <f t="shared" si="489"/>
        <v>0</v>
      </c>
      <c r="Q197" s="19">
        <f t="shared" si="490"/>
        <v>0</v>
      </c>
      <c r="R197" s="19">
        <f t="shared" si="491"/>
        <v>0</v>
      </c>
      <c r="S197" s="19">
        <f t="shared" si="492"/>
        <v>0</v>
      </c>
      <c r="T197" s="19">
        <f t="shared" si="493"/>
        <v>0</v>
      </c>
      <c r="U197" s="19">
        <f t="shared" si="494"/>
        <v>0</v>
      </c>
      <c r="V197" s="19">
        <f t="shared" si="495"/>
        <v>0</v>
      </c>
      <c r="W197" s="19">
        <f t="shared" si="496"/>
        <v>0</v>
      </c>
      <c r="X197" s="19">
        <f t="shared" si="497"/>
        <v>0</v>
      </c>
      <c r="Y197" s="19">
        <f t="shared" si="498"/>
        <v>0</v>
      </c>
      <c r="Z197" s="19">
        <f t="shared" si="499"/>
        <v>0</v>
      </c>
      <c r="AA197" s="18"/>
      <c r="AB197" s="56">
        <f t="shared" si="500"/>
        <v>0</v>
      </c>
      <c r="AC197" s="16">
        <f t="shared" si="501"/>
        <v>0</v>
      </c>
      <c r="AD197" s="15" t="e">
        <f t="shared" si="502"/>
        <v>#DIV/0!</v>
      </c>
      <c r="AE197" s="42"/>
      <c r="AF197" s="10" t="e">
        <f t="shared" si="503"/>
        <v>#DIV/0!</v>
      </c>
      <c r="AG197" s="10"/>
      <c r="AH197" s="21">
        <f t="shared" si="504"/>
        <v>0</v>
      </c>
      <c r="AI197" s="54" t="e">
        <f t="shared" si="505"/>
        <v>#DIV/0!</v>
      </c>
      <c r="AJ197" s="25">
        <f t="shared" si="506"/>
        <v>0</v>
      </c>
      <c r="AK197" s="25">
        <f t="shared" si="507"/>
        <v>0</v>
      </c>
      <c r="AL197" s="25">
        <f t="shared" si="508"/>
        <v>0</v>
      </c>
      <c r="AM197" s="25">
        <f t="shared" si="509"/>
        <v>0</v>
      </c>
      <c r="AN197" s="25">
        <f t="shared" si="510"/>
        <v>0</v>
      </c>
      <c r="AO197" s="25">
        <f t="shared" si="511"/>
        <v>0</v>
      </c>
      <c r="AP197" s="25">
        <f t="shared" si="512"/>
        <v>0</v>
      </c>
      <c r="AQ197" s="25">
        <f t="shared" si="513"/>
        <v>0</v>
      </c>
      <c r="AR197" s="25">
        <f t="shared" si="514"/>
        <v>0</v>
      </c>
      <c r="AS197" s="25">
        <f t="shared" si="515"/>
        <v>0</v>
      </c>
      <c r="AT197" s="25">
        <f t="shared" si="516"/>
        <v>0</v>
      </c>
      <c r="AU197" s="80"/>
      <c r="AV197" s="79">
        <f t="shared" si="517"/>
        <v>0</v>
      </c>
      <c r="AW197" s="79">
        <f t="shared" si="479"/>
        <v>0</v>
      </c>
      <c r="AX197" s="30">
        <f t="shared" si="387"/>
        <v>0</v>
      </c>
      <c r="AY197" s="78" t="e">
        <f t="shared" si="518"/>
        <v>#DIV/0!</v>
      </c>
      <c r="AZ197" s="79">
        <f t="shared" si="389"/>
        <v>0</v>
      </c>
      <c r="BA197" s="30">
        <f t="shared" si="390"/>
        <v>0</v>
      </c>
      <c r="BB197" s="78" t="e">
        <f t="shared" si="519"/>
        <v>#DIV/0!</v>
      </c>
      <c r="BC197" s="79">
        <f t="shared" si="392"/>
        <v>0</v>
      </c>
      <c r="BD197" s="30">
        <f t="shared" si="393"/>
        <v>0</v>
      </c>
      <c r="BE197" s="78" t="e">
        <f t="shared" si="520"/>
        <v>#DIV/0!</v>
      </c>
      <c r="BF197" s="79">
        <f t="shared" si="395"/>
        <v>0</v>
      </c>
      <c r="BG197" s="30">
        <f t="shared" si="396"/>
        <v>0</v>
      </c>
      <c r="BH197" s="78" t="e">
        <f t="shared" si="521"/>
        <v>#DIV/0!</v>
      </c>
      <c r="BI197" s="79">
        <f t="shared" si="398"/>
        <v>0</v>
      </c>
      <c r="BJ197" s="30">
        <f t="shared" si="399"/>
        <v>0</v>
      </c>
      <c r="BK197" s="78" t="e">
        <f t="shared" si="522"/>
        <v>#DIV/0!</v>
      </c>
      <c r="BL197" s="79">
        <f t="shared" si="401"/>
        <v>0</v>
      </c>
      <c r="BM197" s="30">
        <f t="shared" si="402"/>
        <v>0</v>
      </c>
      <c r="BN197" s="78" t="e">
        <f t="shared" si="523"/>
        <v>#DIV/0!</v>
      </c>
      <c r="BO197" s="79">
        <f t="shared" si="404"/>
        <v>0</v>
      </c>
      <c r="BP197" s="30">
        <f t="shared" si="405"/>
        <v>0</v>
      </c>
      <c r="BQ197" s="78" t="e">
        <f t="shared" si="524"/>
        <v>#DIV/0!</v>
      </c>
      <c r="BR197" s="79">
        <f t="shared" si="407"/>
        <v>0</v>
      </c>
      <c r="BS197" s="30">
        <f t="shared" si="408"/>
        <v>0</v>
      </c>
      <c r="BT197" s="78" t="e">
        <f t="shared" si="525"/>
        <v>#DIV/0!</v>
      </c>
      <c r="BU197" s="79">
        <f t="shared" si="410"/>
        <v>0</v>
      </c>
      <c r="BV197" s="30">
        <f t="shared" si="411"/>
        <v>0</v>
      </c>
      <c r="BW197" s="78" t="e">
        <f t="shared" si="526"/>
        <v>#DIV/0!</v>
      </c>
      <c r="BX197" s="79">
        <f t="shared" si="413"/>
        <v>0</v>
      </c>
      <c r="BY197" s="30">
        <f t="shared" si="414"/>
        <v>0</v>
      </c>
      <c r="BZ197" s="78" t="e">
        <f t="shared" si="527"/>
        <v>#DIV/0!</v>
      </c>
      <c r="CA197" s="79">
        <f t="shared" si="416"/>
        <v>0</v>
      </c>
      <c r="CB197" s="30">
        <f t="shared" si="417"/>
        <v>0</v>
      </c>
      <c r="CC197" s="78" t="e">
        <f t="shared" si="528"/>
        <v>#DIV/0!</v>
      </c>
      <c r="CD197" s="79">
        <f t="shared" si="419"/>
        <v>0</v>
      </c>
      <c r="CE197" s="30">
        <f t="shared" si="420"/>
        <v>0</v>
      </c>
      <c r="CF197" s="78" t="e">
        <f t="shared" si="529"/>
        <v>#DIV/0!</v>
      </c>
      <c r="CG197" s="79">
        <f t="shared" si="422"/>
        <v>0</v>
      </c>
      <c r="CH197" s="30">
        <f t="shared" si="423"/>
        <v>0</v>
      </c>
      <c r="CI197" s="78" t="e">
        <f t="shared" si="530"/>
        <v>#DIV/0!</v>
      </c>
      <c r="CJ197" s="79">
        <f t="shared" si="425"/>
        <v>0</v>
      </c>
      <c r="CK197" s="30">
        <f t="shared" si="426"/>
        <v>0</v>
      </c>
      <c r="CL197" s="78" t="e">
        <f t="shared" si="531"/>
        <v>#DIV/0!</v>
      </c>
      <c r="CM197" s="79">
        <f t="shared" si="428"/>
        <v>0</v>
      </c>
      <c r="CN197" s="30">
        <f t="shared" si="429"/>
        <v>0</v>
      </c>
      <c r="CO197" s="78" t="e">
        <f t="shared" si="532"/>
        <v>#DIV/0!</v>
      </c>
      <c r="CP197" s="79">
        <f t="shared" si="431"/>
        <v>0</v>
      </c>
      <c r="CQ197" s="30">
        <f t="shared" si="432"/>
        <v>0</v>
      </c>
      <c r="CR197" s="78" t="e">
        <f t="shared" si="533"/>
        <v>#DIV/0!</v>
      </c>
      <c r="CS197" s="79">
        <f t="shared" si="434"/>
        <v>0</v>
      </c>
      <c r="CT197" s="30">
        <f t="shared" si="435"/>
        <v>0</v>
      </c>
      <c r="CU197" s="78" t="e">
        <f t="shared" si="534"/>
        <v>#DIV/0!</v>
      </c>
      <c r="CV197" s="79">
        <f t="shared" si="437"/>
        <v>0</v>
      </c>
      <c r="CW197" s="30">
        <f t="shared" si="438"/>
        <v>0</v>
      </c>
      <c r="CX197" s="78" t="e">
        <f t="shared" si="535"/>
        <v>#DIV/0!</v>
      </c>
      <c r="CY197" s="79">
        <f t="shared" si="440"/>
        <v>0</v>
      </c>
      <c r="CZ197" s="30">
        <f t="shared" si="441"/>
        <v>0</v>
      </c>
      <c r="DA197" s="78" t="e">
        <f t="shared" si="536"/>
        <v>#DIV/0!</v>
      </c>
      <c r="DB197" s="79">
        <f t="shared" si="443"/>
        <v>0</v>
      </c>
      <c r="DC197" s="30">
        <f t="shared" si="444"/>
        <v>0</v>
      </c>
      <c r="DD197" s="78" t="e">
        <f t="shared" si="537"/>
        <v>#DIV/0!</v>
      </c>
      <c r="DE197" s="79">
        <f t="shared" si="446"/>
        <v>0</v>
      </c>
      <c r="DF197" s="30">
        <f t="shared" si="447"/>
        <v>0</v>
      </c>
      <c r="DG197" s="78" t="e">
        <f t="shared" si="538"/>
        <v>#DIV/0!</v>
      </c>
      <c r="DH197" s="79">
        <f t="shared" si="449"/>
        <v>0</v>
      </c>
      <c r="DI197" s="30">
        <f t="shared" si="450"/>
        <v>0</v>
      </c>
      <c r="DJ197" s="78" t="e">
        <f t="shared" si="539"/>
        <v>#DIV/0!</v>
      </c>
      <c r="DK197" s="79">
        <f t="shared" si="452"/>
        <v>0</v>
      </c>
      <c r="DL197" s="30">
        <f t="shared" si="453"/>
        <v>0</v>
      </c>
      <c r="DM197" s="78" t="e">
        <f t="shared" si="540"/>
        <v>#DIV/0!</v>
      </c>
      <c r="DN197" s="79">
        <f t="shared" si="541"/>
        <v>0</v>
      </c>
      <c r="DO197" s="30">
        <f t="shared" si="542"/>
        <v>0</v>
      </c>
      <c r="DP197" s="78" t="e">
        <f t="shared" si="543"/>
        <v>#DIV/0!</v>
      </c>
      <c r="DQ197" s="79">
        <f t="shared" si="458"/>
        <v>0</v>
      </c>
      <c r="DR197" s="30">
        <f t="shared" si="459"/>
        <v>0</v>
      </c>
      <c r="DS197" s="78" t="e">
        <f t="shared" si="544"/>
        <v>#DIV/0!</v>
      </c>
      <c r="DT197" s="79">
        <f t="shared" si="461"/>
        <v>0</v>
      </c>
      <c r="DU197" s="30">
        <f t="shared" si="462"/>
        <v>0</v>
      </c>
      <c r="DV197" s="78" t="e">
        <f t="shared" si="545"/>
        <v>#DIV/0!</v>
      </c>
      <c r="DW197" s="79">
        <f t="shared" si="464"/>
        <v>0</v>
      </c>
      <c r="DX197" s="30">
        <f t="shared" si="465"/>
        <v>0</v>
      </c>
      <c r="DY197" s="78" t="e">
        <f t="shared" si="546"/>
        <v>#DIV/0!</v>
      </c>
      <c r="DZ197" s="79">
        <f t="shared" si="467"/>
        <v>0</v>
      </c>
      <c r="EA197" s="30">
        <f t="shared" si="468"/>
        <v>0</v>
      </c>
      <c r="EB197" s="78" t="e">
        <f t="shared" si="547"/>
        <v>#DIV/0!</v>
      </c>
      <c r="EC197" s="79">
        <f t="shared" si="470"/>
        <v>0</v>
      </c>
      <c r="ED197" s="30">
        <f t="shared" si="471"/>
        <v>0</v>
      </c>
      <c r="EE197" s="78" t="e">
        <f t="shared" si="548"/>
        <v>#DIV/0!</v>
      </c>
      <c r="EF197" s="79">
        <f t="shared" si="473"/>
        <v>0</v>
      </c>
      <c r="EG197" s="30">
        <f t="shared" si="474"/>
        <v>0</v>
      </c>
      <c r="EH197" s="78" t="e">
        <f t="shared" si="549"/>
        <v>#DIV/0!</v>
      </c>
      <c r="EI197" s="79">
        <f t="shared" si="476"/>
        <v>0</v>
      </c>
      <c r="EJ197" s="30">
        <f t="shared" si="477"/>
        <v>0</v>
      </c>
      <c r="EK197" s="78" t="e">
        <f t="shared" si="550"/>
        <v>#DIV/0!</v>
      </c>
    </row>
    <row r="198" spans="1:141" s="90" customFormat="1" ht="14.25" hidden="1" customHeight="1">
      <c r="A198" s="93">
        <v>39</v>
      </c>
      <c r="B198" s="105"/>
      <c r="C198" s="104"/>
      <c r="D198" s="103" t="s">
        <v>137</v>
      </c>
      <c r="E198" s="102"/>
      <c r="F198" s="101"/>
      <c r="G198" s="100">
        <f t="shared" si="480"/>
        <v>0</v>
      </c>
      <c r="H198" s="100">
        <f t="shared" si="481"/>
        <v>0</v>
      </c>
      <c r="I198" s="99">
        <f t="shared" si="482"/>
        <v>0</v>
      </c>
      <c r="J198" s="99">
        <f t="shared" si="483"/>
        <v>0</v>
      </c>
      <c r="K198" s="99">
        <f t="shared" si="484"/>
        <v>0</v>
      </c>
      <c r="L198" s="99">
        <f t="shared" si="485"/>
        <v>0</v>
      </c>
      <c r="M198" s="99">
        <f t="shared" si="486"/>
        <v>0</v>
      </c>
      <c r="N198" s="99">
        <f t="shared" si="487"/>
        <v>0</v>
      </c>
      <c r="O198" s="99">
        <f t="shared" si="488"/>
        <v>0</v>
      </c>
      <c r="P198" s="99">
        <f t="shared" si="489"/>
        <v>0</v>
      </c>
      <c r="Q198" s="99">
        <f t="shared" si="490"/>
        <v>0</v>
      </c>
      <c r="R198" s="99">
        <f t="shared" si="491"/>
        <v>0</v>
      </c>
      <c r="S198" s="99">
        <f t="shared" si="492"/>
        <v>0</v>
      </c>
      <c r="T198" s="99">
        <f t="shared" si="493"/>
        <v>0</v>
      </c>
      <c r="U198" s="99">
        <f t="shared" si="494"/>
        <v>0</v>
      </c>
      <c r="V198" s="99">
        <f t="shared" si="495"/>
        <v>0</v>
      </c>
      <c r="W198" s="99">
        <f t="shared" si="496"/>
        <v>0</v>
      </c>
      <c r="X198" s="99">
        <f t="shared" si="497"/>
        <v>0</v>
      </c>
      <c r="Y198" s="99">
        <f t="shared" si="498"/>
        <v>0</v>
      </c>
      <c r="Z198" s="99">
        <f t="shared" si="499"/>
        <v>0</v>
      </c>
      <c r="AA198" s="93"/>
      <c r="AB198" s="98">
        <f t="shared" si="500"/>
        <v>0</v>
      </c>
      <c r="AC198" s="98">
        <f t="shared" si="501"/>
        <v>0</v>
      </c>
      <c r="AD198" s="97" t="e">
        <f t="shared" si="502"/>
        <v>#DIV/0!</v>
      </c>
      <c r="AE198" s="96"/>
      <c r="AF198" s="95" t="e">
        <f t="shared" si="503"/>
        <v>#DIV/0!</v>
      </c>
      <c r="AG198" s="95"/>
      <c r="AH198" s="93">
        <f t="shared" si="504"/>
        <v>0</v>
      </c>
      <c r="AI198" s="94" t="e">
        <f t="shared" si="505"/>
        <v>#DIV/0!</v>
      </c>
      <c r="AJ198" s="93">
        <f t="shared" si="506"/>
        <v>0</v>
      </c>
      <c r="AK198" s="93">
        <f t="shared" si="507"/>
        <v>0</v>
      </c>
      <c r="AL198" s="93">
        <f t="shared" si="508"/>
        <v>0</v>
      </c>
      <c r="AM198" s="93">
        <f t="shared" si="509"/>
        <v>0</v>
      </c>
      <c r="AN198" s="93">
        <f t="shared" si="510"/>
        <v>0</v>
      </c>
      <c r="AO198" s="93">
        <f t="shared" si="511"/>
        <v>0</v>
      </c>
      <c r="AP198" s="93">
        <f t="shared" si="512"/>
        <v>0</v>
      </c>
      <c r="AQ198" s="93">
        <f t="shared" si="513"/>
        <v>0</v>
      </c>
      <c r="AR198" s="93">
        <f t="shared" si="514"/>
        <v>0</v>
      </c>
      <c r="AS198" s="93">
        <f t="shared" si="515"/>
        <v>0</v>
      </c>
      <c r="AT198" s="93">
        <f t="shared" si="516"/>
        <v>0</v>
      </c>
      <c r="AV198" s="92">
        <f t="shared" si="517"/>
        <v>0</v>
      </c>
      <c r="AW198" s="79">
        <f t="shared" si="479"/>
        <v>0</v>
      </c>
      <c r="AX198" s="30">
        <f t="shared" si="387"/>
        <v>0</v>
      </c>
      <c r="AY198" s="91" t="e">
        <f t="shared" si="518"/>
        <v>#DIV/0!</v>
      </c>
      <c r="AZ198" s="79">
        <f t="shared" si="389"/>
        <v>0</v>
      </c>
      <c r="BA198" s="30">
        <f t="shared" si="390"/>
        <v>0</v>
      </c>
      <c r="BB198" s="91" t="e">
        <f t="shared" si="519"/>
        <v>#DIV/0!</v>
      </c>
      <c r="BC198" s="79">
        <f t="shared" si="392"/>
        <v>0</v>
      </c>
      <c r="BD198" s="30">
        <f t="shared" si="393"/>
        <v>0</v>
      </c>
      <c r="BE198" s="91" t="e">
        <f t="shared" si="520"/>
        <v>#DIV/0!</v>
      </c>
      <c r="BF198" s="79">
        <f t="shared" si="395"/>
        <v>0</v>
      </c>
      <c r="BG198" s="30">
        <f t="shared" si="396"/>
        <v>0</v>
      </c>
      <c r="BH198" s="91" t="e">
        <f t="shared" si="521"/>
        <v>#DIV/0!</v>
      </c>
      <c r="BI198" s="79">
        <f t="shared" si="398"/>
        <v>0</v>
      </c>
      <c r="BJ198" s="30">
        <f t="shared" si="399"/>
        <v>0</v>
      </c>
      <c r="BK198" s="91" t="e">
        <f t="shared" si="522"/>
        <v>#DIV/0!</v>
      </c>
      <c r="BL198" s="79">
        <f t="shared" si="401"/>
        <v>0</v>
      </c>
      <c r="BM198" s="30">
        <f t="shared" si="402"/>
        <v>0</v>
      </c>
      <c r="BN198" s="91" t="e">
        <f t="shared" si="523"/>
        <v>#DIV/0!</v>
      </c>
      <c r="BO198" s="79">
        <f t="shared" si="404"/>
        <v>0</v>
      </c>
      <c r="BP198" s="30">
        <f t="shared" si="405"/>
        <v>0</v>
      </c>
      <c r="BQ198" s="91" t="e">
        <f t="shared" si="524"/>
        <v>#DIV/0!</v>
      </c>
      <c r="BR198" s="79">
        <f t="shared" si="407"/>
        <v>0</v>
      </c>
      <c r="BS198" s="30">
        <f t="shared" si="408"/>
        <v>0</v>
      </c>
      <c r="BT198" s="91" t="e">
        <f t="shared" si="525"/>
        <v>#DIV/0!</v>
      </c>
      <c r="BU198" s="79">
        <f t="shared" si="410"/>
        <v>0</v>
      </c>
      <c r="BV198" s="30">
        <f t="shared" si="411"/>
        <v>0</v>
      </c>
      <c r="BW198" s="91" t="e">
        <f t="shared" si="526"/>
        <v>#DIV/0!</v>
      </c>
      <c r="BX198" s="79">
        <f t="shared" si="413"/>
        <v>0</v>
      </c>
      <c r="BY198" s="30">
        <f t="shared" si="414"/>
        <v>0</v>
      </c>
      <c r="BZ198" s="91" t="e">
        <f t="shared" si="527"/>
        <v>#DIV/0!</v>
      </c>
      <c r="CA198" s="79">
        <f t="shared" si="416"/>
        <v>0</v>
      </c>
      <c r="CB198" s="30">
        <f t="shared" si="417"/>
        <v>0</v>
      </c>
      <c r="CC198" s="91" t="e">
        <f t="shared" si="528"/>
        <v>#DIV/0!</v>
      </c>
      <c r="CD198" s="79">
        <f t="shared" si="419"/>
        <v>0</v>
      </c>
      <c r="CE198" s="30">
        <f t="shared" si="420"/>
        <v>0</v>
      </c>
      <c r="CF198" s="91" t="e">
        <f t="shared" si="529"/>
        <v>#DIV/0!</v>
      </c>
      <c r="CG198" s="79">
        <f t="shared" si="422"/>
        <v>0</v>
      </c>
      <c r="CH198" s="30">
        <f t="shared" si="423"/>
        <v>0</v>
      </c>
      <c r="CI198" s="91" t="e">
        <f t="shared" si="530"/>
        <v>#DIV/0!</v>
      </c>
      <c r="CJ198" s="79">
        <f t="shared" si="425"/>
        <v>0</v>
      </c>
      <c r="CK198" s="30">
        <f t="shared" si="426"/>
        <v>0</v>
      </c>
      <c r="CL198" s="91" t="e">
        <f t="shared" si="531"/>
        <v>#DIV/0!</v>
      </c>
      <c r="CM198" s="79">
        <f t="shared" si="428"/>
        <v>0</v>
      </c>
      <c r="CN198" s="30">
        <f t="shared" si="429"/>
        <v>0</v>
      </c>
      <c r="CO198" s="91" t="e">
        <f t="shared" si="532"/>
        <v>#DIV/0!</v>
      </c>
      <c r="CP198" s="79">
        <f t="shared" si="431"/>
        <v>0</v>
      </c>
      <c r="CQ198" s="30">
        <f t="shared" si="432"/>
        <v>0</v>
      </c>
      <c r="CR198" s="91" t="e">
        <f t="shared" si="533"/>
        <v>#DIV/0!</v>
      </c>
      <c r="CS198" s="79">
        <f t="shared" si="434"/>
        <v>0</v>
      </c>
      <c r="CT198" s="30">
        <f t="shared" si="435"/>
        <v>0</v>
      </c>
      <c r="CU198" s="91" t="e">
        <f t="shared" si="534"/>
        <v>#DIV/0!</v>
      </c>
      <c r="CV198" s="79">
        <f t="shared" si="437"/>
        <v>0</v>
      </c>
      <c r="CW198" s="30">
        <f t="shared" si="438"/>
        <v>0</v>
      </c>
      <c r="CX198" s="91" t="e">
        <f t="shared" si="535"/>
        <v>#DIV/0!</v>
      </c>
      <c r="CY198" s="79">
        <f t="shared" si="440"/>
        <v>0</v>
      </c>
      <c r="CZ198" s="30">
        <f t="shared" si="441"/>
        <v>0</v>
      </c>
      <c r="DA198" s="91" t="e">
        <f t="shared" si="536"/>
        <v>#DIV/0!</v>
      </c>
      <c r="DB198" s="79">
        <f t="shared" si="443"/>
        <v>0</v>
      </c>
      <c r="DC198" s="30">
        <f t="shared" si="444"/>
        <v>0</v>
      </c>
      <c r="DD198" s="91" t="e">
        <f t="shared" si="537"/>
        <v>#DIV/0!</v>
      </c>
      <c r="DE198" s="79">
        <f t="shared" si="446"/>
        <v>0</v>
      </c>
      <c r="DF198" s="30">
        <f t="shared" si="447"/>
        <v>0</v>
      </c>
      <c r="DG198" s="91" t="e">
        <f t="shared" si="538"/>
        <v>#DIV/0!</v>
      </c>
      <c r="DH198" s="79">
        <f t="shared" si="449"/>
        <v>0</v>
      </c>
      <c r="DI198" s="30">
        <f t="shared" si="450"/>
        <v>0</v>
      </c>
      <c r="DJ198" s="91" t="e">
        <f t="shared" si="539"/>
        <v>#DIV/0!</v>
      </c>
      <c r="DK198" s="79">
        <f t="shared" si="452"/>
        <v>0</v>
      </c>
      <c r="DL198" s="30">
        <f t="shared" si="453"/>
        <v>0</v>
      </c>
      <c r="DM198" s="91" t="e">
        <f t="shared" si="540"/>
        <v>#DIV/0!</v>
      </c>
      <c r="DN198" s="79">
        <f t="shared" si="541"/>
        <v>0</v>
      </c>
      <c r="DO198" s="30">
        <f t="shared" si="542"/>
        <v>0</v>
      </c>
      <c r="DP198" s="91" t="e">
        <f t="shared" si="543"/>
        <v>#DIV/0!</v>
      </c>
      <c r="DQ198" s="79">
        <f t="shared" si="458"/>
        <v>0</v>
      </c>
      <c r="DR198" s="30">
        <f t="shared" si="459"/>
        <v>0</v>
      </c>
      <c r="DS198" s="91" t="e">
        <f t="shared" si="544"/>
        <v>#DIV/0!</v>
      </c>
      <c r="DT198" s="79">
        <f t="shared" si="461"/>
        <v>0</v>
      </c>
      <c r="DU198" s="30">
        <f t="shared" si="462"/>
        <v>0</v>
      </c>
      <c r="DV198" s="91" t="e">
        <f t="shared" si="545"/>
        <v>#DIV/0!</v>
      </c>
      <c r="DW198" s="79">
        <f t="shared" si="464"/>
        <v>0</v>
      </c>
      <c r="DX198" s="30">
        <f t="shared" si="465"/>
        <v>0</v>
      </c>
      <c r="DY198" s="91" t="e">
        <f t="shared" si="546"/>
        <v>#DIV/0!</v>
      </c>
      <c r="DZ198" s="79">
        <f t="shared" si="467"/>
        <v>0</v>
      </c>
      <c r="EA198" s="30">
        <f t="shared" si="468"/>
        <v>0</v>
      </c>
      <c r="EB198" s="91" t="e">
        <f t="shared" si="547"/>
        <v>#DIV/0!</v>
      </c>
      <c r="EC198" s="79">
        <f t="shared" si="470"/>
        <v>0</v>
      </c>
      <c r="ED198" s="30">
        <f t="shared" si="471"/>
        <v>0</v>
      </c>
      <c r="EE198" s="91" t="e">
        <f t="shared" si="548"/>
        <v>#DIV/0!</v>
      </c>
      <c r="EF198" s="79">
        <f t="shared" si="473"/>
        <v>0</v>
      </c>
      <c r="EG198" s="30">
        <f t="shared" si="474"/>
        <v>0</v>
      </c>
      <c r="EH198" s="91" t="e">
        <f t="shared" si="549"/>
        <v>#DIV/0!</v>
      </c>
      <c r="EI198" s="79">
        <f t="shared" si="476"/>
        <v>0</v>
      </c>
      <c r="EJ198" s="30">
        <f t="shared" si="477"/>
        <v>0</v>
      </c>
      <c r="EK198" s="91" t="e">
        <f t="shared" si="550"/>
        <v>#DIV/0!</v>
      </c>
    </row>
    <row r="199" spans="1:141" s="12" customFormat="1" ht="14.25" hidden="1" customHeight="1">
      <c r="A199" s="25">
        <v>40</v>
      </c>
      <c r="B199" s="26"/>
      <c r="C199" s="85" t="s">
        <v>136</v>
      </c>
      <c r="D199" s="89">
        <v>21</v>
      </c>
      <c r="E199" s="60" t="s">
        <v>135</v>
      </c>
      <c r="F199" s="59"/>
      <c r="G199" s="82">
        <f t="shared" si="480"/>
        <v>0</v>
      </c>
      <c r="H199" s="81">
        <f t="shared" si="481"/>
        <v>4.17</v>
      </c>
      <c r="I199" s="19">
        <f t="shared" si="482"/>
        <v>0</v>
      </c>
      <c r="J199" s="11">
        <f t="shared" si="483"/>
        <v>2.17</v>
      </c>
      <c r="K199" s="19">
        <f t="shared" si="484"/>
        <v>0.83</v>
      </c>
      <c r="L199" s="19">
        <f t="shared" si="485"/>
        <v>0</v>
      </c>
      <c r="M199" s="19">
        <f t="shared" si="486"/>
        <v>0</v>
      </c>
      <c r="N199" s="19">
        <f t="shared" si="487"/>
        <v>0</v>
      </c>
      <c r="O199" s="19">
        <f t="shared" si="488"/>
        <v>0</v>
      </c>
      <c r="P199" s="19">
        <f t="shared" si="489"/>
        <v>0</v>
      </c>
      <c r="Q199" s="19">
        <f t="shared" si="490"/>
        <v>0</v>
      </c>
      <c r="R199" s="19">
        <f t="shared" si="491"/>
        <v>0</v>
      </c>
      <c r="S199" s="19">
        <f t="shared" si="492"/>
        <v>0</v>
      </c>
      <c r="T199" s="19">
        <f t="shared" si="493"/>
        <v>1.17</v>
      </c>
      <c r="U199" s="19">
        <f t="shared" si="494"/>
        <v>0</v>
      </c>
      <c r="V199" s="19">
        <f t="shared" si="495"/>
        <v>0</v>
      </c>
      <c r="W199" s="19">
        <f t="shared" si="496"/>
        <v>0</v>
      </c>
      <c r="X199" s="19">
        <f t="shared" si="497"/>
        <v>0.17</v>
      </c>
      <c r="Y199" s="19">
        <f t="shared" si="498"/>
        <v>0</v>
      </c>
      <c r="Z199" s="19">
        <f t="shared" si="499"/>
        <v>0</v>
      </c>
      <c r="AA199" s="18"/>
      <c r="AB199" s="56" t="e">
        <f t="shared" si="500"/>
        <v>#VALUE!</v>
      </c>
      <c r="AC199" s="16">
        <f t="shared" si="501"/>
        <v>4950</v>
      </c>
      <c r="AD199" s="15" t="e">
        <f t="shared" si="502"/>
        <v>#VALUE!</v>
      </c>
      <c r="AE199" s="42"/>
      <c r="AF199" s="10">
        <f t="shared" si="503"/>
        <v>1187.0503597122301</v>
      </c>
      <c r="AG199" s="10"/>
      <c r="AH199" s="21">
        <f t="shared" si="504"/>
        <v>0</v>
      </c>
      <c r="AI199" s="54">
        <f t="shared" si="505"/>
        <v>0</v>
      </c>
      <c r="AJ199" s="18">
        <f t="shared" si="506"/>
        <v>0</v>
      </c>
      <c r="AK199" s="18">
        <f t="shared" si="507"/>
        <v>0</v>
      </c>
      <c r="AL199" s="18">
        <f t="shared" si="508"/>
        <v>0</v>
      </c>
      <c r="AM199" s="25">
        <f t="shared" si="509"/>
        <v>0</v>
      </c>
      <c r="AN199" s="25">
        <f t="shared" si="510"/>
        <v>0</v>
      </c>
      <c r="AO199" s="25">
        <f t="shared" si="511"/>
        <v>0</v>
      </c>
      <c r="AP199" s="25">
        <f t="shared" si="512"/>
        <v>0</v>
      </c>
      <c r="AQ199" s="25">
        <f t="shared" si="513"/>
        <v>0</v>
      </c>
      <c r="AR199" s="25">
        <f t="shared" si="514"/>
        <v>0</v>
      </c>
      <c r="AS199" s="25">
        <f t="shared" si="515"/>
        <v>0</v>
      </c>
      <c r="AT199" s="25">
        <f t="shared" si="516"/>
        <v>0</v>
      </c>
      <c r="AU199" s="80"/>
      <c r="AV199" s="79">
        <f t="shared" si="517"/>
        <v>0</v>
      </c>
      <c r="AW199" s="79">
        <f t="shared" ref="AW199:AW225" si="551">+SUMIF($B$6:$B$59,B199,$AW$6:$AW$59)</f>
        <v>0</v>
      </c>
      <c r="AX199" s="30">
        <f t="shared" ref="AX199:AX225" si="552">+SUMIF($B$6:$B$59,B199,$AX$6:$AX$59)</f>
        <v>0</v>
      </c>
      <c r="AY199" s="78" t="e">
        <f t="shared" si="518"/>
        <v>#DIV/0!</v>
      </c>
      <c r="AZ199" s="79">
        <f t="shared" ref="AZ199:AZ225" si="553">+SUMIF($B$6:$B$59,B199,$AZ$6:$AZ$59)</f>
        <v>0</v>
      </c>
      <c r="BA199" s="30">
        <f t="shared" ref="BA199:BA225" si="554">+SUMIF($B$6:$B$59,B199,$BA$6:$BA$59)</f>
        <v>0</v>
      </c>
      <c r="BB199" s="78" t="e">
        <f t="shared" si="519"/>
        <v>#DIV/0!</v>
      </c>
      <c r="BC199" s="79">
        <f t="shared" ref="BC199:BC225" si="555">+SUMIF($B$6:$B$59,B199,$BC$6:$BC$59)</f>
        <v>0</v>
      </c>
      <c r="BD199" s="30">
        <f t="shared" ref="BD199:BD225" si="556">+SUMIF($B$6:$B$42,B199,$BD$6:$BD$42)</f>
        <v>0</v>
      </c>
      <c r="BE199" s="78" t="e">
        <f t="shared" si="520"/>
        <v>#DIV/0!</v>
      </c>
      <c r="BF199" s="79">
        <f t="shared" ref="BF199:BF225" si="557">+SUMIF($B$6:$B$59,B199,$BF$6:$BF$59)</f>
        <v>0</v>
      </c>
      <c r="BG199" s="30">
        <f t="shared" ref="BG199:BG225" si="558">+SUMIF($B$6:$B$42,B199,$BG$6:$BG$42)</f>
        <v>0</v>
      </c>
      <c r="BH199" s="78" t="e">
        <f t="shared" si="521"/>
        <v>#DIV/0!</v>
      </c>
      <c r="BI199" s="79">
        <f t="shared" ref="BI199:BI225" si="559">+SUMIF($B$6:$B$59,B199,$BI$6:$BI$59)</f>
        <v>0</v>
      </c>
      <c r="BJ199" s="30">
        <f t="shared" ref="BJ199:BJ225" si="560">+SUMIF($B$6:$B$59,B199,$BJ$6:$BJ$59)</f>
        <v>0</v>
      </c>
      <c r="BK199" s="78" t="e">
        <f t="shared" si="522"/>
        <v>#DIV/0!</v>
      </c>
      <c r="BL199" s="79">
        <f t="shared" ref="BL199:BL225" si="561">+SUMIF($B$6:$B$59,B199,$BL$6:$BL$59)</f>
        <v>0</v>
      </c>
      <c r="BM199" s="30">
        <f t="shared" ref="BM199:BM225" si="562">+SUMIF($B$6:$B$59,B199,$BM$6:$BM$59)</f>
        <v>0</v>
      </c>
      <c r="BN199" s="78" t="e">
        <f t="shared" si="523"/>
        <v>#DIV/0!</v>
      </c>
      <c r="BO199" s="79">
        <f t="shared" ref="BO199:BO225" si="563">+SUMIF($B$6:$B$59,B199,$BO$6:$BO$59)</f>
        <v>0</v>
      </c>
      <c r="BP199" s="30">
        <f t="shared" ref="BP199:BP225" si="564">+SUMIF($B$6:$B$59,B199,$BP$6:$BP$59)</f>
        <v>0</v>
      </c>
      <c r="BQ199" s="78" t="e">
        <f t="shared" si="524"/>
        <v>#DIV/0!</v>
      </c>
      <c r="BR199" s="79">
        <f t="shared" ref="BR199:BR225" si="565">+SUMIF($B$6:$B$59,B199,$BR$6:$BR$59)</f>
        <v>0</v>
      </c>
      <c r="BS199" s="30">
        <f t="shared" ref="BS199:BS225" si="566">+SUMIF($B$6:$B$59,B199,$BS$6:$BS$59)</f>
        <v>0</v>
      </c>
      <c r="BT199" s="78" t="e">
        <f t="shared" si="525"/>
        <v>#DIV/0!</v>
      </c>
      <c r="BU199" s="79">
        <f t="shared" ref="BU199:BU225" si="567">+SUMIF($B$6:$B$59,B199,$BU$6:$BU$59)</f>
        <v>0</v>
      </c>
      <c r="BV199" s="30">
        <f t="shared" ref="BV199:BV225" si="568">+SUMIF($B$6:$B$42,B199,$BV$6:$BV$42)</f>
        <v>0</v>
      </c>
      <c r="BW199" s="78" t="e">
        <f t="shared" si="526"/>
        <v>#DIV/0!</v>
      </c>
      <c r="BX199" s="79">
        <f t="shared" ref="BX199:BX225" si="569">+SUMIF($B$6:$B$59,B199,$BX$6:$BX$59)</f>
        <v>0</v>
      </c>
      <c r="BY199" s="30">
        <f t="shared" ref="BY199:BY225" si="570">+SUMIF($B$6:$B$59,B199,$BY$6:$BY$59)</f>
        <v>0</v>
      </c>
      <c r="BZ199" s="78" t="e">
        <f t="shared" si="527"/>
        <v>#DIV/0!</v>
      </c>
      <c r="CA199" s="79">
        <f t="shared" ref="CA199:CA225" si="571">+SUMIF($B$6:$B$42,B199,$CA$6:$CA$42)</f>
        <v>0</v>
      </c>
      <c r="CB199" s="30">
        <f t="shared" ref="CB199:CB225" si="572">+SUMIF($B$6:$B$42,B199,$CB$6:$CB$42)</f>
        <v>0</v>
      </c>
      <c r="CC199" s="78" t="e">
        <f t="shared" si="528"/>
        <v>#DIV/0!</v>
      </c>
      <c r="CD199" s="79">
        <f t="shared" ref="CD199:CD225" si="573">+SUMIF($B$6:$B$42,$B199,$CD$6:$CD$42)</f>
        <v>0</v>
      </c>
      <c r="CE199" s="30">
        <f t="shared" ref="CE199:CE225" si="574">+SUMIF($B$6:$B$42,$B199,$CE$6:$CE$42)</f>
        <v>0</v>
      </c>
      <c r="CF199" s="78" t="e">
        <f t="shared" si="529"/>
        <v>#DIV/0!</v>
      </c>
      <c r="CG199" s="79">
        <f t="shared" ref="CG199:CG225" si="575">+SUMIF($B$6:$B$59,$B199,$CG$6:$CG$59)</f>
        <v>0</v>
      </c>
      <c r="CH199" s="30">
        <f t="shared" ref="CH199:CH225" si="576">+SUMIF($B$6:$B$59,$B199,$CH$6:$CH$59)</f>
        <v>0</v>
      </c>
      <c r="CI199" s="78" t="e">
        <f t="shared" si="530"/>
        <v>#DIV/0!</v>
      </c>
      <c r="CJ199" s="79">
        <f t="shared" ref="CJ199:CJ225" si="577">+SUMIF($B$6:$B$42,$B199,$CJ$6:$CJ$42)</f>
        <v>0</v>
      </c>
      <c r="CK199" s="30">
        <f t="shared" ref="CK199:CK225" si="578">+SUMIF($B$6:$B$42,$B199,$CK$6:$CK$42)</f>
        <v>0</v>
      </c>
      <c r="CL199" s="78" t="e">
        <f t="shared" si="531"/>
        <v>#DIV/0!</v>
      </c>
      <c r="CM199" s="79">
        <f t="shared" ref="CM199:CM225" si="579">+SUMIF($B$6:$B$42,$B199,$CM$6:$CM$42)</f>
        <v>0</v>
      </c>
      <c r="CN199" s="30">
        <f t="shared" ref="CN199:CN225" si="580">+SUMIF($B$6:$B$42,$B199,$CN$6:$CN$42)</f>
        <v>0</v>
      </c>
      <c r="CO199" s="78" t="e">
        <f t="shared" si="532"/>
        <v>#DIV/0!</v>
      </c>
      <c r="CP199" s="79">
        <f t="shared" ref="CP199:CP225" si="581">+SUMIF($B$6:$B$59,$B199,$CP$6:$CP$59)</f>
        <v>0</v>
      </c>
      <c r="CQ199" s="30">
        <f t="shared" ref="CQ199:CQ225" si="582">+SUMIF($B$6:$B$59,$B199,$CQ$6:$CQ$59)</f>
        <v>0</v>
      </c>
      <c r="CR199" s="78" t="e">
        <f t="shared" si="533"/>
        <v>#DIV/0!</v>
      </c>
      <c r="CS199" s="79">
        <f t="shared" ref="CS199:CS225" si="583">+SUMIF($B$6:$B$59,$B199,$CS$6:$CT$59)</f>
        <v>0</v>
      </c>
      <c r="CT199" s="30">
        <f t="shared" ref="CT199:CT225" si="584">+SUMIF($B$6:$B$59,$B199,$CT$6:$CT$59)</f>
        <v>0</v>
      </c>
      <c r="CU199" s="78" t="e">
        <f t="shared" si="534"/>
        <v>#DIV/0!</v>
      </c>
      <c r="CV199" s="79">
        <f t="shared" ref="CV199:CV225" si="585">+SUMIF($B$6:$B$59,$B199,$CV$6:$CV$59)</f>
        <v>0</v>
      </c>
      <c r="CW199" s="30">
        <f t="shared" ref="CW199:CW225" si="586">+SUMIF($B$6:$B$59,$B199,$CW$6:$CW$59)</f>
        <v>0</v>
      </c>
      <c r="CX199" s="78" t="e">
        <f t="shared" si="535"/>
        <v>#DIV/0!</v>
      </c>
      <c r="CY199" s="79">
        <f t="shared" ref="CY199:CY225" si="587">+SUMIF($B$6:$B$59,$B199,$CY$6:$CY$59)</f>
        <v>0</v>
      </c>
      <c r="CZ199" s="30">
        <f t="shared" ref="CZ199:CZ225" si="588">+SUMIF($B$6:$B$59,$B199,$CZ$6:$CZ$59)</f>
        <v>0</v>
      </c>
      <c r="DA199" s="78" t="e">
        <f t="shared" si="536"/>
        <v>#DIV/0!</v>
      </c>
      <c r="DB199" s="79">
        <f t="shared" ref="DB199:DB225" si="589">+SUMIF($B$6:$B$59,$B199,$DB$6:$DB$59)</f>
        <v>0</v>
      </c>
      <c r="DC199" s="30">
        <f t="shared" ref="DC199:DC225" si="590">+SUMIF($B$6:$B$59,$B199,$DC$6:$DC$59)</f>
        <v>0</v>
      </c>
      <c r="DD199" s="78" t="e">
        <f t="shared" si="537"/>
        <v>#DIV/0!</v>
      </c>
      <c r="DE199" s="79">
        <f t="shared" ref="DE199:DE225" si="591">+SUMIF($B$6:$B$59,$B199,$DE$6:$DE$59)</f>
        <v>0</v>
      </c>
      <c r="DF199" s="30">
        <f t="shared" ref="DF199:DF225" si="592">+SUMIF($B$6:$B$59,$B199,$DF$6:$DF$59)</f>
        <v>0</v>
      </c>
      <c r="DG199" s="78" t="e">
        <f t="shared" si="538"/>
        <v>#DIV/0!</v>
      </c>
      <c r="DH199" s="79">
        <f t="shared" ref="DH199:DH225" si="593">+SUMIF($B$6:$B$59,$B199,$DH$6:$DH$59)</f>
        <v>0</v>
      </c>
      <c r="DI199" s="30">
        <f t="shared" ref="DI199:DI225" si="594">+SUMIF($B$6:$B$59,$B199,$DI$6:$DI$59)</f>
        <v>0</v>
      </c>
      <c r="DJ199" s="78" t="e">
        <f t="shared" si="539"/>
        <v>#DIV/0!</v>
      </c>
      <c r="DK199" s="79">
        <f t="shared" ref="DK199:DK225" si="595">+SUMIF($B$6:$B$59,$B199,$DK$6:$DK$59)</f>
        <v>0</v>
      </c>
      <c r="DL199" s="30">
        <f t="shared" ref="DL199:DL225" si="596">+SUMIF($B$6:$B$59,$B199,$DL$6:$DL$59)</f>
        <v>0</v>
      </c>
      <c r="DM199" s="78" t="e">
        <f t="shared" si="540"/>
        <v>#DIV/0!</v>
      </c>
      <c r="DN199" s="79">
        <f t="shared" si="541"/>
        <v>0</v>
      </c>
      <c r="DO199" s="30">
        <f t="shared" si="542"/>
        <v>0</v>
      </c>
      <c r="DP199" s="78" t="e">
        <f t="shared" si="543"/>
        <v>#DIV/0!</v>
      </c>
      <c r="DQ199" s="79">
        <f t="shared" ref="DQ199:DQ219" si="597">+SUMIF($B$6:$B$59,$B199,$DQ$6:$DQ$59)</f>
        <v>0</v>
      </c>
      <c r="DR199" s="30">
        <f t="shared" ref="DR199:DR219" si="598">+SUMIF($B$6:$B$42,$B199,$DR$6:$DR$42)</f>
        <v>0</v>
      </c>
      <c r="DS199" s="78" t="e">
        <f t="shared" si="544"/>
        <v>#DIV/0!</v>
      </c>
      <c r="DT199" s="79">
        <f t="shared" ref="DT199:DT225" si="599">+SUMIF($B$6:$B$59,$B199,$DT$6:$DT$59)</f>
        <v>0</v>
      </c>
      <c r="DU199" s="30">
        <f t="shared" ref="DU199:DU225" si="600">+SUMIF($B$6:$B$59,$B199,$DU$6:$DU$59)</f>
        <v>0</v>
      </c>
      <c r="DV199" s="78" t="e">
        <f t="shared" si="545"/>
        <v>#DIV/0!</v>
      </c>
      <c r="DW199" s="79">
        <f t="shared" ref="DW199:DW225" si="601">+SUMIF($B$6:$B$59,$B199,$DW$6:$DW$59)</f>
        <v>0</v>
      </c>
      <c r="DX199" s="30">
        <f t="shared" ref="DX199:DX225" si="602">+SUMIF($B$6:$B$59,$B199,$DX$6:$DX$59)</f>
        <v>0</v>
      </c>
      <c r="DY199" s="78" t="e">
        <f t="shared" si="546"/>
        <v>#DIV/0!</v>
      </c>
      <c r="DZ199" s="79">
        <f t="shared" ref="DZ199:DZ225" si="603">+SUMIF($B$6:$B$59,$B199,$DZ$6:$DZ$59)</f>
        <v>0</v>
      </c>
      <c r="EA199" s="30">
        <f t="shared" ref="EA199:EA225" si="604">+SUMIF($B$6:$B$59,$B199,$EA$6:$EA$59)</f>
        <v>0</v>
      </c>
      <c r="EB199" s="78" t="e">
        <f t="shared" si="547"/>
        <v>#DIV/0!</v>
      </c>
      <c r="EC199" s="79">
        <f t="shared" ref="EC199:EC225" si="605">+SUMIF($B$6:$B$59,$B199,$EC$6:$EC$62)</f>
        <v>0</v>
      </c>
      <c r="ED199" s="30">
        <f t="shared" ref="ED199:ED225" si="606">+SUMIF($B$6:$B$59,$B199,$DX$6:$DX$59)</f>
        <v>0</v>
      </c>
      <c r="EE199" s="78" t="e">
        <f t="shared" si="548"/>
        <v>#DIV/0!</v>
      </c>
      <c r="EF199" s="79">
        <f t="shared" ref="EF199:EF225" si="607">+SUMIF($B$6:$B$63,B199,$EF$6:$EF$63)</f>
        <v>0</v>
      </c>
      <c r="EG199" s="30">
        <f t="shared" ref="EG199:EG225" si="608">+SUMIF($B$6:$B$59,B199,$EG$6:$EG$62)</f>
        <v>0</v>
      </c>
      <c r="EH199" s="78" t="e">
        <f t="shared" si="549"/>
        <v>#DIV/0!</v>
      </c>
      <c r="EI199" s="79">
        <f t="shared" ref="EI199:EI225" si="609">+SUMIF($B$6:$B$59,$B199,$EI$6:$EI$59)</f>
        <v>0</v>
      </c>
      <c r="EJ199" s="30">
        <f t="shared" ref="EJ199:EJ225" si="610">+SUMIF($B$6:$B$59,$B199,$EJ$6:$EJ$59)</f>
        <v>0</v>
      </c>
      <c r="EK199" s="78" t="e">
        <f t="shared" si="550"/>
        <v>#DIV/0!</v>
      </c>
    </row>
    <row r="200" spans="1:141" s="12" customFormat="1" ht="14.25" hidden="1" customHeight="1">
      <c r="A200" s="30">
        <v>41</v>
      </c>
      <c r="B200" s="26">
        <v>9149</v>
      </c>
      <c r="C200" s="86" t="s">
        <v>134</v>
      </c>
      <c r="D200" s="24"/>
      <c r="E200" s="60"/>
      <c r="F200" s="59"/>
      <c r="G200" s="82">
        <f t="shared" si="480"/>
        <v>0</v>
      </c>
      <c r="H200" s="81">
        <f t="shared" si="481"/>
        <v>0</v>
      </c>
      <c r="I200" s="19">
        <f t="shared" si="482"/>
        <v>0</v>
      </c>
      <c r="J200" s="11">
        <f t="shared" si="483"/>
        <v>0</v>
      </c>
      <c r="K200" s="19">
        <f t="shared" si="484"/>
        <v>0</v>
      </c>
      <c r="L200" s="19">
        <f t="shared" si="485"/>
        <v>0</v>
      </c>
      <c r="M200" s="19">
        <f t="shared" si="486"/>
        <v>0</v>
      </c>
      <c r="N200" s="19">
        <f t="shared" si="487"/>
        <v>0</v>
      </c>
      <c r="O200" s="19">
        <f t="shared" si="488"/>
        <v>0</v>
      </c>
      <c r="P200" s="19">
        <f t="shared" si="489"/>
        <v>0</v>
      </c>
      <c r="Q200" s="19">
        <f t="shared" si="490"/>
        <v>0</v>
      </c>
      <c r="R200" s="19">
        <f t="shared" si="491"/>
        <v>0</v>
      </c>
      <c r="S200" s="19">
        <f t="shared" si="492"/>
        <v>0</v>
      </c>
      <c r="T200" s="19">
        <f t="shared" si="493"/>
        <v>0</v>
      </c>
      <c r="U200" s="19">
        <f t="shared" si="494"/>
        <v>0</v>
      </c>
      <c r="V200" s="19">
        <f t="shared" si="495"/>
        <v>0</v>
      </c>
      <c r="W200" s="19">
        <f t="shared" si="496"/>
        <v>0</v>
      </c>
      <c r="X200" s="19">
        <f t="shared" si="497"/>
        <v>0</v>
      </c>
      <c r="Y200" s="19">
        <f t="shared" si="498"/>
        <v>0</v>
      </c>
      <c r="Z200" s="19">
        <f t="shared" si="499"/>
        <v>0</v>
      </c>
      <c r="AA200" s="18"/>
      <c r="AB200" s="56">
        <f t="shared" si="500"/>
        <v>0</v>
      </c>
      <c r="AC200" s="16">
        <f t="shared" si="501"/>
        <v>0</v>
      </c>
      <c r="AD200" s="15" t="e">
        <f t="shared" si="502"/>
        <v>#DIV/0!</v>
      </c>
      <c r="AE200" s="42"/>
      <c r="AF200" s="10" t="e">
        <f t="shared" si="503"/>
        <v>#DIV/0!</v>
      </c>
      <c r="AG200" s="10"/>
      <c r="AH200" s="21">
        <f t="shared" si="504"/>
        <v>0</v>
      </c>
      <c r="AI200" s="54" t="e">
        <f t="shared" si="505"/>
        <v>#DIV/0!</v>
      </c>
      <c r="AJ200" s="25">
        <f t="shared" si="506"/>
        <v>0</v>
      </c>
      <c r="AK200" s="25">
        <f t="shared" si="507"/>
        <v>0</v>
      </c>
      <c r="AL200" s="25">
        <f t="shared" si="508"/>
        <v>0</v>
      </c>
      <c r="AM200" s="25">
        <f t="shared" si="509"/>
        <v>0</v>
      </c>
      <c r="AN200" s="25">
        <f t="shared" si="510"/>
        <v>0</v>
      </c>
      <c r="AO200" s="25">
        <f t="shared" si="511"/>
        <v>0</v>
      </c>
      <c r="AP200" s="25">
        <f t="shared" si="512"/>
        <v>0</v>
      </c>
      <c r="AQ200" s="25">
        <f t="shared" si="513"/>
        <v>0</v>
      </c>
      <c r="AR200" s="25">
        <f t="shared" si="514"/>
        <v>0</v>
      </c>
      <c r="AS200" s="25">
        <f t="shared" si="515"/>
        <v>0</v>
      </c>
      <c r="AT200" s="25">
        <f t="shared" si="516"/>
        <v>0</v>
      </c>
      <c r="AU200" s="80"/>
      <c r="AV200" s="79">
        <f t="shared" si="517"/>
        <v>10</v>
      </c>
      <c r="AW200" s="79">
        <f t="shared" si="551"/>
        <v>55816</v>
      </c>
      <c r="AX200" s="30">
        <f t="shared" si="552"/>
        <v>0</v>
      </c>
      <c r="AY200" s="78">
        <f t="shared" si="518"/>
        <v>0</v>
      </c>
      <c r="AZ200" s="79">
        <f t="shared" si="553"/>
        <v>0</v>
      </c>
      <c r="BA200" s="30">
        <f t="shared" si="554"/>
        <v>0</v>
      </c>
      <c r="BB200" s="78" t="e">
        <f t="shared" si="519"/>
        <v>#DIV/0!</v>
      </c>
      <c r="BC200" s="79">
        <f t="shared" si="555"/>
        <v>0</v>
      </c>
      <c r="BD200" s="30">
        <f t="shared" si="556"/>
        <v>0</v>
      </c>
      <c r="BE200" s="78" t="e">
        <f t="shared" si="520"/>
        <v>#DIV/0!</v>
      </c>
      <c r="BF200" s="79">
        <f t="shared" si="557"/>
        <v>0</v>
      </c>
      <c r="BG200" s="30">
        <f t="shared" si="558"/>
        <v>0</v>
      </c>
      <c r="BH200" s="78" t="e">
        <f t="shared" si="521"/>
        <v>#DIV/0!</v>
      </c>
      <c r="BI200" s="79">
        <f t="shared" si="559"/>
        <v>0</v>
      </c>
      <c r="BJ200" s="30">
        <f t="shared" si="560"/>
        <v>0</v>
      </c>
      <c r="BK200" s="78" t="e">
        <f t="shared" si="522"/>
        <v>#DIV/0!</v>
      </c>
      <c r="BL200" s="79">
        <f t="shared" si="561"/>
        <v>0</v>
      </c>
      <c r="BM200" s="30">
        <f t="shared" si="562"/>
        <v>0</v>
      </c>
      <c r="BN200" s="78" t="e">
        <f t="shared" si="523"/>
        <v>#DIV/0!</v>
      </c>
      <c r="BO200" s="79">
        <f t="shared" si="563"/>
        <v>0</v>
      </c>
      <c r="BP200" s="30">
        <f t="shared" si="564"/>
        <v>0</v>
      </c>
      <c r="BQ200" s="78" t="e">
        <f t="shared" si="524"/>
        <v>#DIV/0!</v>
      </c>
      <c r="BR200" s="79">
        <f t="shared" si="565"/>
        <v>0</v>
      </c>
      <c r="BS200" s="30">
        <f t="shared" si="566"/>
        <v>0</v>
      </c>
      <c r="BT200" s="78" t="e">
        <f t="shared" si="525"/>
        <v>#DIV/0!</v>
      </c>
      <c r="BU200" s="79">
        <f t="shared" si="567"/>
        <v>0</v>
      </c>
      <c r="BV200" s="30">
        <f t="shared" si="568"/>
        <v>0</v>
      </c>
      <c r="BW200" s="78" t="e">
        <f t="shared" si="526"/>
        <v>#DIV/0!</v>
      </c>
      <c r="BX200" s="79">
        <f t="shared" si="569"/>
        <v>0</v>
      </c>
      <c r="BY200" s="30">
        <f t="shared" si="570"/>
        <v>0</v>
      </c>
      <c r="BZ200" s="78" t="e">
        <f t="shared" si="527"/>
        <v>#DIV/0!</v>
      </c>
      <c r="CA200" s="79">
        <f t="shared" si="571"/>
        <v>0</v>
      </c>
      <c r="CB200" s="30">
        <f t="shared" si="572"/>
        <v>0</v>
      </c>
      <c r="CC200" s="78" t="e">
        <f t="shared" si="528"/>
        <v>#DIV/0!</v>
      </c>
      <c r="CD200" s="79">
        <f t="shared" si="573"/>
        <v>0</v>
      </c>
      <c r="CE200" s="30">
        <f t="shared" si="574"/>
        <v>0</v>
      </c>
      <c r="CF200" s="78" t="e">
        <f t="shared" si="529"/>
        <v>#DIV/0!</v>
      </c>
      <c r="CG200" s="79">
        <f t="shared" si="575"/>
        <v>0</v>
      </c>
      <c r="CH200" s="30">
        <f t="shared" si="576"/>
        <v>0</v>
      </c>
      <c r="CI200" s="78" t="e">
        <f t="shared" si="530"/>
        <v>#DIV/0!</v>
      </c>
      <c r="CJ200" s="79">
        <f t="shared" si="577"/>
        <v>0</v>
      </c>
      <c r="CK200" s="30">
        <f t="shared" si="578"/>
        <v>0</v>
      </c>
      <c r="CL200" s="78" t="e">
        <f t="shared" si="531"/>
        <v>#DIV/0!</v>
      </c>
      <c r="CM200" s="79">
        <f t="shared" si="579"/>
        <v>0</v>
      </c>
      <c r="CN200" s="30">
        <f t="shared" si="580"/>
        <v>0</v>
      </c>
      <c r="CO200" s="78" t="e">
        <f t="shared" si="532"/>
        <v>#DIV/0!</v>
      </c>
      <c r="CP200" s="79">
        <f t="shared" si="581"/>
        <v>0</v>
      </c>
      <c r="CQ200" s="30">
        <f t="shared" si="582"/>
        <v>0</v>
      </c>
      <c r="CR200" s="78" t="e">
        <f t="shared" si="533"/>
        <v>#DIV/0!</v>
      </c>
      <c r="CS200" s="79">
        <f t="shared" si="583"/>
        <v>0</v>
      </c>
      <c r="CT200" s="30">
        <f t="shared" si="584"/>
        <v>0</v>
      </c>
      <c r="CU200" s="78" t="e">
        <f t="shared" si="534"/>
        <v>#DIV/0!</v>
      </c>
      <c r="CV200" s="79">
        <f t="shared" si="585"/>
        <v>0</v>
      </c>
      <c r="CW200" s="30">
        <f t="shared" si="586"/>
        <v>0</v>
      </c>
      <c r="CX200" s="78" t="e">
        <f t="shared" si="535"/>
        <v>#DIV/0!</v>
      </c>
      <c r="CY200" s="79">
        <f t="shared" si="587"/>
        <v>0</v>
      </c>
      <c r="CZ200" s="30">
        <f t="shared" si="588"/>
        <v>0</v>
      </c>
      <c r="DA200" s="78" t="e">
        <f t="shared" si="536"/>
        <v>#DIV/0!</v>
      </c>
      <c r="DB200" s="79">
        <f t="shared" si="589"/>
        <v>0</v>
      </c>
      <c r="DC200" s="30">
        <f t="shared" si="590"/>
        <v>0</v>
      </c>
      <c r="DD200" s="78" t="e">
        <f t="shared" si="537"/>
        <v>#DIV/0!</v>
      </c>
      <c r="DE200" s="79">
        <f t="shared" si="591"/>
        <v>0</v>
      </c>
      <c r="DF200" s="30">
        <f t="shared" si="592"/>
        <v>0</v>
      </c>
      <c r="DG200" s="78" t="e">
        <f t="shared" si="538"/>
        <v>#DIV/0!</v>
      </c>
      <c r="DH200" s="79">
        <f t="shared" si="593"/>
        <v>0</v>
      </c>
      <c r="DI200" s="30">
        <f t="shared" si="594"/>
        <v>0</v>
      </c>
      <c r="DJ200" s="78" t="e">
        <f t="shared" si="539"/>
        <v>#DIV/0!</v>
      </c>
      <c r="DK200" s="79">
        <f t="shared" si="595"/>
        <v>0</v>
      </c>
      <c r="DL200" s="30">
        <f t="shared" si="596"/>
        <v>0</v>
      </c>
      <c r="DM200" s="78" t="e">
        <f t="shared" si="540"/>
        <v>#DIV/0!</v>
      </c>
      <c r="DN200" s="79">
        <f t="shared" si="541"/>
        <v>0</v>
      </c>
      <c r="DO200" s="30">
        <f t="shared" si="542"/>
        <v>0</v>
      </c>
      <c r="DP200" s="78" t="e">
        <f t="shared" si="543"/>
        <v>#DIV/0!</v>
      </c>
      <c r="DQ200" s="79">
        <f t="shared" si="597"/>
        <v>0</v>
      </c>
      <c r="DR200" s="30">
        <f t="shared" si="598"/>
        <v>0</v>
      </c>
      <c r="DS200" s="78" t="e">
        <f t="shared" si="544"/>
        <v>#DIV/0!</v>
      </c>
      <c r="DT200" s="79">
        <f t="shared" si="599"/>
        <v>0</v>
      </c>
      <c r="DU200" s="30">
        <f t="shared" si="600"/>
        <v>0</v>
      </c>
      <c r="DV200" s="78" t="e">
        <f t="shared" si="545"/>
        <v>#DIV/0!</v>
      </c>
      <c r="DW200" s="79">
        <f t="shared" si="601"/>
        <v>0</v>
      </c>
      <c r="DX200" s="30">
        <f t="shared" si="602"/>
        <v>0</v>
      </c>
      <c r="DY200" s="78" t="e">
        <f t="shared" si="546"/>
        <v>#DIV/0!</v>
      </c>
      <c r="DZ200" s="79">
        <f t="shared" si="603"/>
        <v>0</v>
      </c>
      <c r="EA200" s="30">
        <f t="shared" si="604"/>
        <v>0</v>
      </c>
      <c r="EB200" s="78" t="e">
        <f t="shared" si="547"/>
        <v>#DIV/0!</v>
      </c>
      <c r="EC200" s="79">
        <f t="shared" si="605"/>
        <v>0</v>
      </c>
      <c r="ED200" s="30">
        <f t="shared" si="606"/>
        <v>0</v>
      </c>
      <c r="EE200" s="78" t="e">
        <f t="shared" si="548"/>
        <v>#DIV/0!</v>
      </c>
      <c r="EF200" s="79">
        <f t="shared" si="607"/>
        <v>0</v>
      </c>
      <c r="EG200" s="30">
        <f t="shared" si="608"/>
        <v>0</v>
      </c>
      <c r="EH200" s="78" t="e">
        <f t="shared" si="549"/>
        <v>#DIV/0!</v>
      </c>
      <c r="EI200" s="79">
        <f t="shared" si="609"/>
        <v>0</v>
      </c>
      <c r="EJ200" s="30">
        <f t="shared" si="610"/>
        <v>0</v>
      </c>
      <c r="EK200" s="78" t="e">
        <f t="shared" si="550"/>
        <v>#DIV/0!</v>
      </c>
    </row>
    <row r="201" spans="1:141" s="12" customFormat="1" ht="14.25" hidden="1" customHeight="1">
      <c r="A201" s="25">
        <v>42</v>
      </c>
      <c r="B201" s="26"/>
      <c r="C201" s="85" t="s">
        <v>133</v>
      </c>
      <c r="D201" s="88" t="s">
        <v>7</v>
      </c>
      <c r="E201" s="23" t="s">
        <v>132</v>
      </c>
      <c r="F201" s="25"/>
      <c r="G201" s="82">
        <f t="shared" si="480"/>
        <v>0</v>
      </c>
      <c r="H201" s="81">
        <f t="shared" si="481"/>
        <v>21.17</v>
      </c>
      <c r="I201" s="19">
        <f t="shared" si="482"/>
        <v>0</v>
      </c>
      <c r="J201" s="11">
        <f t="shared" si="483"/>
        <v>2.8200000000000003</v>
      </c>
      <c r="K201" s="19">
        <f t="shared" si="484"/>
        <v>0</v>
      </c>
      <c r="L201" s="19">
        <f t="shared" si="485"/>
        <v>0</v>
      </c>
      <c r="M201" s="19">
        <f t="shared" si="486"/>
        <v>0</v>
      </c>
      <c r="N201" s="19">
        <f t="shared" si="487"/>
        <v>0.99</v>
      </c>
      <c r="O201" s="19">
        <f t="shared" si="488"/>
        <v>0</v>
      </c>
      <c r="P201" s="19">
        <f t="shared" si="489"/>
        <v>0</v>
      </c>
      <c r="Q201" s="19">
        <f t="shared" si="490"/>
        <v>0</v>
      </c>
      <c r="R201" s="19">
        <f t="shared" si="491"/>
        <v>0</v>
      </c>
      <c r="S201" s="19">
        <f t="shared" si="492"/>
        <v>0</v>
      </c>
      <c r="T201" s="19">
        <f t="shared" si="493"/>
        <v>1.17</v>
      </c>
      <c r="U201" s="19">
        <f t="shared" si="494"/>
        <v>0</v>
      </c>
      <c r="V201" s="19">
        <f t="shared" si="495"/>
        <v>0</v>
      </c>
      <c r="W201" s="19">
        <f t="shared" si="496"/>
        <v>0</v>
      </c>
      <c r="X201" s="19">
        <f t="shared" si="497"/>
        <v>0.66</v>
      </c>
      <c r="Y201" s="19">
        <f t="shared" si="498"/>
        <v>0</v>
      </c>
      <c r="Z201" s="19">
        <f t="shared" si="499"/>
        <v>0</v>
      </c>
      <c r="AA201" s="18"/>
      <c r="AB201" s="56" t="e">
        <f t="shared" si="500"/>
        <v>#VALUE!</v>
      </c>
      <c r="AC201" s="16">
        <f t="shared" si="501"/>
        <v>117408</v>
      </c>
      <c r="AD201" s="15" t="e">
        <f t="shared" si="502"/>
        <v>#VALUE!</v>
      </c>
      <c r="AE201" s="42"/>
      <c r="AF201" s="10">
        <f t="shared" si="503"/>
        <v>5545.961265942371</v>
      </c>
      <c r="AG201" s="10"/>
      <c r="AH201" s="21">
        <f t="shared" si="504"/>
        <v>200</v>
      </c>
      <c r="AI201" s="54">
        <f t="shared" si="505"/>
        <v>1.7034614336331425E-3</v>
      </c>
      <c r="AJ201" s="25">
        <f t="shared" si="506"/>
        <v>0</v>
      </c>
      <c r="AK201" s="25">
        <f t="shared" si="507"/>
        <v>0</v>
      </c>
      <c r="AL201" s="25">
        <f t="shared" si="508"/>
        <v>0</v>
      </c>
      <c r="AM201" s="25">
        <f t="shared" si="509"/>
        <v>200</v>
      </c>
      <c r="AN201" s="25">
        <f t="shared" si="510"/>
        <v>0</v>
      </c>
      <c r="AO201" s="25">
        <f t="shared" si="511"/>
        <v>0</v>
      </c>
      <c r="AP201" s="25">
        <f t="shared" si="512"/>
        <v>0</v>
      </c>
      <c r="AQ201" s="25">
        <f t="shared" si="513"/>
        <v>0</v>
      </c>
      <c r="AR201" s="25">
        <f t="shared" si="514"/>
        <v>0</v>
      </c>
      <c r="AS201" s="25">
        <f t="shared" si="515"/>
        <v>0</v>
      </c>
      <c r="AT201" s="25">
        <f t="shared" si="516"/>
        <v>0</v>
      </c>
      <c r="AU201" s="80"/>
      <c r="AV201" s="79">
        <f t="shared" si="517"/>
        <v>0</v>
      </c>
      <c r="AW201" s="79">
        <f t="shared" si="551"/>
        <v>0</v>
      </c>
      <c r="AX201" s="30">
        <f t="shared" si="552"/>
        <v>0</v>
      </c>
      <c r="AY201" s="78" t="e">
        <f t="shared" si="518"/>
        <v>#DIV/0!</v>
      </c>
      <c r="AZ201" s="79">
        <f t="shared" si="553"/>
        <v>0</v>
      </c>
      <c r="BA201" s="30">
        <f t="shared" si="554"/>
        <v>0</v>
      </c>
      <c r="BB201" s="78" t="e">
        <f t="shared" si="519"/>
        <v>#DIV/0!</v>
      </c>
      <c r="BC201" s="79">
        <f t="shared" si="555"/>
        <v>0</v>
      </c>
      <c r="BD201" s="30">
        <f t="shared" si="556"/>
        <v>0</v>
      </c>
      <c r="BE201" s="78" t="e">
        <f t="shared" si="520"/>
        <v>#DIV/0!</v>
      </c>
      <c r="BF201" s="79">
        <f t="shared" si="557"/>
        <v>0</v>
      </c>
      <c r="BG201" s="30">
        <f t="shared" si="558"/>
        <v>0</v>
      </c>
      <c r="BH201" s="78" t="e">
        <f t="shared" si="521"/>
        <v>#DIV/0!</v>
      </c>
      <c r="BI201" s="79">
        <f t="shared" si="559"/>
        <v>0</v>
      </c>
      <c r="BJ201" s="30">
        <f t="shared" si="560"/>
        <v>0</v>
      </c>
      <c r="BK201" s="78" t="e">
        <f t="shared" si="522"/>
        <v>#DIV/0!</v>
      </c>
      <c r="BL201" s="79">
        <f t="shared" si="561"/>
        <v>0</v>
      </c>
      <c r="BM201" s="30">
        <f t="shared" si="562"/>
        <v>0</v>
      </c>
      <c r="BN201" s="78" t="e">
        <f t="shared" si="523"/>
        <v>#DIV/0!</v>
      </c>
      <c r="BO201" s="79">
        <f t="shared" si="563"/>
        <v>0</v>
      </c>
      <c r="BP201" s="30">
        <f t="shared" si="564"/>
        <v>0</v>
      </c>
      <c r="BQ201" s="78" t="e">
        <f t="shared" si="524"/>
        <v>#DIV/0!</v>
      </c>
      <c r="BR201" s="79">
        <f t="shared" si="565"/>
        <v>0</v>
      </c>
      <c r="BS201" s="30">
        <f t="shared" si="566"/>
        <v>0</v>
      </c>
      <c r="BT201" s="78" t="e">
        <f t="shared" si="525"/>
        <v>#DIV/0!</v>
      </c>
      <c r="BU201" s="79">
        <f t="shared" si="567"/>
        <v>0</v>
      </c>
      <c r="BV201" s="30">
        <f t="shared" si="568"/>
        <v>0</v>
      </c>
      <c r="BW201" s="78" t="e">
        <f t="shared" si="526"/>
        <v>#DIV/0!</v>
      </c>
      <c r="BX201" s="79">
        <f t="shared" si="569"/>
        <v>0</v>
      </c>
      <c r="BY201" s="30">
        <f t="shared" si="570"/>
        <v>0</v>
      </c>
      <c r="BZ201" s="78" t="e">
        <f t="shared" si="527"/>
        <v>#DIV/0!</v>
      </c>
      <c r="CA201" s="79">
        <f t="shared" si="571"/>
        <v>0</v>
      </c>
      <c r="CB201" s="30">
        <f t="shared" si="572"/>
        <v>0</v>
      </c>
      <c r="CC201" s="78" t="e">
        <f t="shared" si="528"/>
        <v>#DIV/0!</v>
      </c>
      <c r="CD201" s="79">
        <f t="shared" si="573"/>
        <v>0</v>
      </c>
      <c r="CE201" s="30">
        <f t="shared" si="574"/>
        <v>0</v>
      </c>
      <c r="CF201" s="78" t="e">
        <f t="shared" si="529"/>
        <v>#DIV/0!</v>
      </c>
      <c r="CG201" s="79">
        <f t="shared" si="575"/>
        <v>0</v>
      </c>
      <c r="CH201" s="30">
        <f t="shared" si="576"/>
        <v>0</v>
      </c>
      <c r="CI201" s="78" t="e">
        <f t="shared" si="530"/>
        <v>#DIV/0!</v>
      </c>
      <c r="CJ201" s="79">
        <f t="shared" si="577"/>
        <v>0</v>
      </c>
      <c r="CK201" s="30">
        <f t="shared" si="578"/>
        <v>0</v>
      </c>
      <c r="CL201" s="78" t="e">
        <f t="shared" si="531"/>
        <v>#DIV/0!</v>
      </c>
      <c r="CM201" s="79">
        <f t="shared" si="579"/>
        <v>0</v>
      </c>
      <c r="CN201" s="30">
        <f t="shared" si="580"/>
        <v>0</v>
      </c>
      <c r="CO201" s="78" t="e">
        <f t="shared" si="532"/>
        <v>#DIV/0!</v>
      </c>
      <c r="CP201" s="79">
        <f t="shared" si="581"/>
        <v>0</v>
      </c>
      <c r="CQ201" s="30">
        <f t="shared" si="582"/>
        <v>0</v>
      </c>
      <c r="CR201" s="78" t="e">
        <f t="shared" si="533"/>
        <v>#DIV/0!</v>
      </c>
      <c r="CS201" s="79">
        <f t="shared" si="583"/>
        <v>0</v>
      </c>
      <c r="CT201" s="30">
        <f t="shared" si="584"/>
        <v>0</v>
      </c>
      <c r="CU201" s="78" t="e">
        <f t="shared" si="534"/>
        <v>#DIV/0!</v>
      </c>
      <c r="CV201" s="79">
        <f t="shared" si="585"/>
        <v>0</v>
      </c>
      <c r="CW201" s="30">
        <f t="shared" si="586"/>
        <v>0</v>
      </c>
      <c r="CX201" s="78" t="e">
        <f t="shared" si="535"/>
        <v>#DIV/0!</v>
      </c>
      <c r="CY201" s="79">
        <f t="shared" si="587"/>
        <v>0</v>
      </c>
      <c r="CZ201" s="30">
        <f t="shared" si="588"/>
        <v>0</v>
      </c>
      <c r="DA201" s="78" t="e">
        <f t="shared" si="536"/>
        <v>#DIV/0!</v>
      </c>
      <c r="DB201" s="79">
        <f t="shared" si="589"/>
        <v>0</v>
      </c>
      <c r="DC201" s="30">
        <f t="shared" si="590"/>
        <v>0</v>
      </c>
      <c r="DD201" s="78" t="e">
        <f t="shared" si="537"/>
        <v>#DIV/0!</v>
      </c>
      <c r="DE201" s="79">
        <f t="shared" si="591"/>
        <v>0</v>
      </c>
      <c r="DF201" s="30">
        <f t="shared" si="592"/>
        <v>0</v>
      </c>
      <c r="DG201" s="78" t="e">
        <f t="shared" si="538"/>
        <v>#DIV/0!</v>
      </c>
      <c r="DH201" s="79">
        <f t="shared" si="593"/>
        <v>0</v>
      </c>
      <c r="DI201" s="30">
        <f t="shared" si="594"/>
        <v>0</v>
      </c>
      <c r="DJ201" s="78" t="e">
        <f t="shared" si="539"/>
        <v>#DIV/0!</v>
      </c>
      <c r="DK201" s="79">
        <f t="shared" si="595"/>
        <v>0</v>
      </c>
      <c r="DL201" s="30">
        <f t="shared" si="596"/>
        <v>0</v>
      </c>
      <c r="DM201" s="78" t="e">
        <f t="shared" si="540"/>
        <v>#DIV/0!</v>
      </c>
      <c r="DN201" s="79">
        <f t="shared" si="541"/>
        <v>0</v>
      </c>
      <c r="DO201" s="30">
        <f t="shared" si="542"/>
        <v>0</v>
      </c>
      <c r="DP201" s="78" t="e">
        <f t="shared" si="543"/>
        <v>#DIV/0!</v>
      </c>
      <c r="DQ201" s="79">
        <f t="shared" si="597"/>
        <v>0</v>
      </c>
      <c r="DR201" s="30">
        <f t="shared" si="598"/>
        <v>0</v>
      </c>
      <c r="DS201" s="78" t="e">
        <f t="shared" si="544"/>
        <v>#DIV/0!</v>
      </c>
      <c r="DT201" s="79">
        <f t="shared" si="599"/>
        <v>0</v>
      </c>
      <c r="DU201" s="30">
        <f t="shared" si="600"/>
        <v>0</v>
      </c>
      <c r="DV201" s="78" t="e">
        <f t="shared" si="545"/>
        <v>#DIV/0!</v>
      </c>
      <c r="DW201" s="79">
        <f t="shared" si="601"/>
        <v>0</v>
      </c>
      <c r="DX201" s="30">
        <f t="shared" si="602"/>
        <v>0</v>
      </c>
      <c r="DY201" s="78" t="e">
        <f t="shared" si="546"/>
        <v>#DIV/0!</v>
      </c>
      <c r="DZ201" s="79">
        <f t="shared" si="603"/>
        <v>0</v>
      </c>
      <c r="EA201" s="30">
        <f t="shared" si="604"/>
        <v>0</v>
      </c>
      <c r="EB201" s="78" t="e">
        <f t="shared" si="547"/>
        <v>#DIV/0!</v>
      </c>
      <c r="EC201" s="79">
        <f t="shared" si="605"/>
        <v>0</v>
      </c>
      <c r="ED201" s="30">
        <f t="shared" si="606"/>
        <v>0</v>
      </c>
      <c r="EE201" s="78" t="e">
        <f t="shared" si="548"/>
        <v>#DIV/0!</v>
      </c>
      <c r="EF201" s="79">
        <f t="shared" si="607"/>
        <v>0</v>
      </c>
      <c r="EG201" s="30">
        <f t="shared" si="608"/>
        <v>0</v>
      </c>
      <c r="EH201" s="78" t="e">
        <f t="shared" si="549"/>
        <v>#DIV/0!</v>
      </c>
      <c r="EI201" s="79">
        <f t="shared" si="609"/>
        <v>0</v>
      </c>
      <c r="EJ201" s="30">
        <f t="shared" si="610"/>
        <v>0</v>
      </c>
      <c r="EK201" s="78" t="e">
        <f t="shared" si="550"/>
        <v>#DIV/0!</v>
      </c>
    </row>
    <row r="202" spans="1:141" s="12" customFormat="1" ht="14.25" hidden="1" customHeight="1">
      <c r="A202" s="30">
        <v>43</v>
      </c>
      <c r="B202" s="26">
        <v>7630</v>
      </c>
      <c r="C202" s="85" t="s">
        <v>131</v>
      </c>
      <c r="D202" s="88" t="s">
        <v>9</v>
      </c>
      <c r="E202" s="23" t="s">
        <v>130</v>
      </c>
      <c r="F202" s="25"/>
      <c r="G202" s="82">
        <f t="shared" si="480"/>
        <v>0</v>
      </c>
      <c r="H202" s="81">
        <f t="shared" si="481"/>
        <v>21.66</v>
      </c>
      <c r="I202" s="19">
        <f t="shared" si="482"/>
        <v>0</v>
      </c>
      <c r="J202" s="11">
        <f t="shared" si="483"/>
        <v>2.33</v>
      </c>
      <c r="K202" s="19">
        <f t="shared" si="484"/>
        <v>0</v>
      </c>
      <c r="L202" s="19">
        <f t="shared" si="485"/>
        <v>0</v>
      </c>
      <c r="M202" s="19">
        <f t="shared" si="486"/>
        <v>0</v>
      </c>
      <c r="N202" s="19">
        <f t="shared" si="487"/>
        <v>0.5</v>
      </c>
      <c r="O202" s="19">
        <f t="shared" si="488"/>
        <v>0</v>
      </c>
      <c r="P202" s="19">
        <f t="shared" si="489"/>
        <v>0</v>
      </c>
      <c r="Q202" s="19">
        <f t="shared" si="490"/>
        <v>0</v>
      </c>
      <c r="R202" s="19">
        <f t="shared" si="491"/>
        <v>0</v>
      </c>
      <c r="S202" s="19">
        <f t="shared" si="492"/>
        <v>0</v>
      </c>
      <c r="T202" s="19">
        <f t="shared" si="493"/>
        <v>1.17</v>
      </c>
      <c r="U202" s="19">
        <f t="shared" si="494"/>
        <v>0</v>
      </c>
      <c r="V202" s="19">
        <f t="shared" si="495"/>
        <v>0</v>
      </c>
      <c r="W202" s="19">
        <f t="shared" si="496"/>
        <v>0</v>
      </c>
      <c r="X202" s="19">
        <f t="shared" si="497"/>
        <v>0.66</v>
      </c>
      <c r="Y202" s="19">
        <f t="shared" si="498"/>
        <v>0</v>
      </c>
      <c r="Z202" s="19">
        <f t="shared" si="499"/>
        <v>0</v>
      </c>
      <c r="AA202" s="18"/>
      <c r="AB202" s="56" t="e">
        <f t="shared" si="500"/>
        <v>#VALUE!</v>
      </c>
      <c r="AC202" s="16">
        <f t="shared" si="501"/>
        <v>123584</v>
      </c>
      <c r="AD202" s="15" t="e">
        <f t="shared" si="502"/>
        <v>#VALUE!</v>
      </c>
      <c r="AE202" s="42"/>
      <c r="AF202" s="10">
        <f t="shared" si="503"/>
        <v>5705.6325023084028</v>
      </c>
      <c r="AG202" s="10"/>
      <c r="AH202" s="21">
        <f t="shared" si="504"/>
        <v>176</v>
      </c>
      <c r="AI202" s="54">
        <f t="shared" si="505"/>
        <v>1.4241325737959607E-3</v>
      </c>
      <c r="AJ202" s="25">
        <f t="shared" si="506"/>
        <v>0</v>
      </c>
      <c r="AK202" s="25">
        <f t="shared" si="507"/>
        <v>0</v>
      </c>
      <c r="AL202" s="25">
        <f t="shared" si="508"/>
        <v>0</v>
      </c>
      <c r="AM202" s="25">
        <f t="shared" si="509"/>
        <v>176</v>
      </c>
      <c r="AN202" s="25">
        <f t="shared" si="510"/>
        <v>0</v>
      </c>
      <c r="AO202" s="25">
        <f t="shared" si="511"/>
        <v>0</v>
      </c>
      <c r="AP202" s="25">
        <f t="shared" si="512"/>
        <v>0</v>
      </c>
      <c r="AQ202" s="25">
        <f t="shared" si="513"/>
        <v>0</v>
      </c>
      <c r="AR202" s="25">
        <f t="shared" si="514"/>
        <v>0</v>
      </c>
      <c r="AS202" s="25">
        <f t="shared" si="515"/>
        <v>0</v>
      </c>
      <c r="AT202" s="25">
        <f t="shared" si="516"/>
        <v>0</v>
      </c>
      <c r="AU202" s="80"/>
      <c r="AV202" s="79">
        <f t="shared" si="517"/>
        <v>0</v>
      </c>
      <c r="AW202" s="79">
        <f t="shared" si="551"/>
        <v>0</v>
      </c>
      <c r="AX202" s="30">
        <f t="shared" si="552"/>
        <v>0</v>
      </c>
      <c r="AY202" s="78" t="e">
        <f t="shared" si="518"/>
        <v>#DIV/0!</v>
      </c>
      <c r="AZ202" s="79">
        <f t="shared" si="553"/>
        <v>0</v>
      </c>
      <c r="BA202" s="30">
        <f t="shared" si="554"/>
        <v>0</v>
      </c>
      <c r="BB202" s="78" t="e">
        <f t="shared" si="519"/>
        <v>#DIV/0!</v>
      </c>
      <c r="BC202" s="79">
        <f t="shared" si="555"/>
        <v>0</v>
      </c>
      <c r="BD202" s="30">
        <f t="shared" si="556"/>
        <v>0</v>
      </c>
      <c r="BE202" s="78" t="e">
        <f t="shared" si="520"/>
        <v>#DIV/0!</v>
      </c>
      <c r="BF202" s="79">
        <f t="shared" si="557"/>
        <v>0</v>
      </c>
      <c r="BG202" s="30">
        <f t="shared" si="558"/>
        <v>0</v>
      </c>
      <c r="BH202" s="78" t="e">
        <f t="shared" si="521"/>
        <v>#DIV/0!</v>
      </c>
      <c r="BI202" s="79">
        <f t="shared" si="559"/>
        <v>0</v>
      </c>
      <c r="BJ202" s="30">
        <f t="shared" si="560"/>
        <v>0</v>
      </c>
      <c r="BK202" s="78" t="e">
        <f t="shared" si="522"/>
        <v>#DIV/0!</v>
      </c>
      <c r="BL202" s="79">
        <f t="shared" si="561"/>
        <v>0</v>
      </c>
      <c r="BM202" s="30">
        <f t="shared" si="562"/>
        <v>0</v>
      </c>
      <c r="BN202" s="78" t="e">
        <f t="shared" si="523"/>
        <v>#DIV/0!</v>
      </c>
      <c r="BO202" s="79">
        <f t="shared" si="563"/>
        <v>0</v>
      </c>
      <c r="BP202" s="30">
        <f t="shared" si="564"/>
        <v>0</v>
      </c>
      <c r="BQ202" s="78" t="e">
        <f t="shared" si="524"/>
        <v>#DIV/0!</v>
      </c>
      <c r="BR202" s="79">
        <f t="shared" si="565"/>
        <v>0</v>
      </c>
      <c r="BS202" s="30">
        <f t="shared" si="566"/>
        <v>0</v>
      </c>
      <c r="BT202" s="78" t="e">
        <f t="shared" si="525"/>
        <v>#DIV/0!</v>
      </c>
      <c r="BU202" s="79">
        <f t="shared" si="567"/>
        <v>0</v>
      </c>
      <c r="BV202" s="30">
        <f t="shared" si="568"/>
        <v>0</v>
      </c>
      <c r="BW202" s="78" t="e">
        <f t="shared" si="526"/>
        <v>#DIV/0!</v>
      </c>
      <c r="BX202" s="79">
        <f t="shared" si="569"/>
        <v>0</v>
      </c>
      <c r="BY202" s="30">
        <f t="shared" si="570"/>
        <v>0</v>
      </c>
      <c r="BZ202" s="78" t="e">
        <f t="shared" si="527"/>
        <v>#DIV/0!</v>
      </c>
      <c r="CA202" s="79">
        <f t="shared" si="571"/>
        <v>0</v>
      </c>
      <c r="CB202" s="30">
        <f t="shared" si="572"/>
        <v>0</v>
      </c>
      <c r="CC202" s="78" t="e">
        <f t="shared" si="528"/>
        <v>#DIV/0!</v>
      </c>
      <c r="CD202" s="79">
        <f t="shared" si="573"/>
        <v>0</v>
      </c>
      <c r="CE202" s="30">
        <f t="shared" si="574"/>
        <v>0</v>
      </c>
      <c r="CF202" s="78" t="e">
        <f t="shared" si="529"/>
        <v>#DIV/0!</v>
      </c>
      <c r="CG202" s="79">
        <f t="shared" si="575"/>
        <v>0</v>
      </c>
      <c r="CH202" s="30">
        <f t="shared" si="576"/>
        <v>0</v>
      </c>
      <c r="CI202" s="78" t="e">
        <f t="shared" si="530"/>
        <v>#DIV/0!</v>
      </c>
      <c r="CJ202" s="79">
        <f t="shared" si="577"/>
        <v>0</v>
      </c>
      <c r="CK202" s="30">
        <f t="shared" si="578"/>
        <v>0</v>
      </c>
      <c r="CL202" s="78" t="e">
        <f t="shared" si="531"/>
        <v>#DIV/0!</v>
      </c>
      <c r="CM202" s="79">
        <f t="shared" si="579"/>
        <v>0</v>
      </c>
      <c r="CN202" s="30">
        <f t="shared" si="580"/>
        <v>0</v>
      </c>
      <c r="CO202" s="78" t="e">
        <f t="shared" si="532"/>
        <v>#DIV/0!</v>
      </c>
      <c r="CP202" s="79">
        <f t="shared" si="581"/>
        <v>0</v>
      </c>
      <c r="CQ202" s="30">
        <f t="shared" si="582"/>
        <v>0</v>
      </c>
      <c r="CR202" s="78" t="e">
        <f t="shared" si="533"/>
        <v>#DIV/0!</v>
      </c>
      <c r="CS202" s="79">
        <f t="shared" si="583"/>
        <v>0</v>
      </c>
      <c r="CT202" s="30">
        <f t="shared" si="584"/>
        <v>0</v>
      </c>
      <c r="CU202" s="78" t="e">
        <f t="shared" si="534"/>
        <v>#DIV/0!</v>
      </c>
      <c r="CV202" s="79">
        <f t="shared" si="585"/>
        <v>0</v>
      </c>
      <c r="CW202" s="30">
        <f t="shared" si="586"/>
        <v>0</v>
      </c>
      <c r="CX202" s="78" t="e">
        <f t="shared" si="535"/>
        <v>#DIV/0!</v>
      </c>
      <c r="CY202" s="79">
        <f t="shared" si="587"/>
        <v>0</v>
      </c>
      <c r="CZ202" s="30">
        <f t="shared" si="588"/>
        <v>0</v>
      </c>
      <c r="DA202" s="78" t="e">
        <f t="shared" si="536"/>
        <v>#DIV/0!</v>
      </c>
      <c r="DB202" s="79">
        <f t="shared" si="589"/>
        <v>0</v>
      </c>
      <c r="DC202" s="30">
        <f t="shared" si="590"/>
        <v>0</v>
      </c>
      <c r="DD202" s="78" t="e">
        <f t="shared" si="537"/>
        <v>#DIV/0!</v>
      </c>
      <c r="DE202" s="79">
        <f t="shared" si="591"/>
        <v>0</v>
      </c>
      <c r="DF202" s="30">
        <f t="shared" si="592"/>
        <v>0</v>
      </c>
      <c r="DG202" s="78" t="e">
        <f t="shared" si="538"/>
        <v>#DIV/0!</v>
      </c>
      <c r="DH202" s="79">
        <f t="shared" si="593"/>
        <v>0</v>
      </c>
      <c r="DI202" s="30">
        <f t="shared" si="594"/>
        <v>0</v>
      </c>
      <c r="DJ202" s="78" t="e">
        <f t="shared" si="539"/>
        <v>#DIV/0!</v>
      </c>
      <c r="DK202" s="79">
        <f t="shared" si="595"/>
        <v>0</v>
      </c>
      <c r="DL202" s="30">
        <f t="shared" si="596"/>
        <v>0</v>
      </c>
      <c r="DM202" s="78" t="e">
        <f t="shared" si="540"/>
        <v>#DIV/0!</v>
      </c>
      <c r="DN202" s="79">
        <f t="shared" si="541"/>
        <v>0</v>
      </c>
      <c r="DO202" s="30">
        <f t="shared" si="542"/>
        <v>0</v>
      </c>
      <c r="DP202" s="78" t="e">
        <f t="shared" si="543"/>
        <v>#DIV/0!</v>
      </c>
      <c r="DQ202" s="79">
        <f t="shared" si="597"/>
        <v>0</v>
      </c>
      <c r="DR202" s="30">
        <f t="shared" si="598"/>
        <v>0</v>
      </c>
      <c r="DS202" s="78" t="e">
        <f t="shared" si="544"/>
        <v>#DIV/0!</v>
      </c>
      <c r="DT202" s="79">
        <f t="shared" si="599"/>
        <v>0</v>
      </c>
      <c r="DU202" s="30">
        <f t="shared" si="600"/>
        <v>0</v>
      </c>
      <c r="DV202" s="78" t="e">
        <f t="shared" si="545"/>
        <v>#DIV/0!</v>
      </c>
      <c r="DW202" s="79">
        <f t="shared" si="601"/>
        <v>0</v>
      </c>
      <c r="DX202" s="30">
        <f t="shared" si="602"/>
        <v>0</v>
      </c>
      <c r="DY202" s="78" t="e">
        <f t="shared" si="546"/>
        <v>#DIV/0!</v>
      </c>
      <c r="DZ202" s="79">
        <f t="shared" si="603"/>
        <v>0</v>
      </c>
      <c r="EA202" s="30">
        <f t="shared" si="604"/>
        <v>0</v>
      </c>
      <c r="EB202" s="78" t="e">
        <f t="shared" si="547"/>
        <v>#DIV/0!</v>
      </c>
      <c r="EC202" s="79">
        <f t="shared" si="605"/>
        <v>0</v>
      </c>
      <c r="ED202" s="30">
        <f t="shared" si="606"/>
        <v>0</v>
      </c>
      <c r="EE202" s="78" t="e">
        <f t="shared" si="548"/>
        <v>#DIV/0!</v>
      </c>
      <c r="EF202" s="79">
        <f t="shared" si="607"/>
        <v>0</v>
      </c>
      <c r="EG202" s="30">
        <f t="shared" si="608"/>
        <v>0</v>
      </c>
      <c r="EH202" s="78" t="e">
        <f t="shared" si="549"/>
        <v>#DIV/0!</v>
      </c>
      <c r="EI202" s="79">
        <f t="shared" si="609"/>
        <v>0</v>
      </c>
      <c r="EJ202" s="30">
        <f t="shared" si="610"/>
        <v>0</v>
      </c>
      <c r="EK202" s="78" t="e">
        <f t="shared" si="550"/>
        <v>#DIV/0!</v>
      </c>
    </row>
    <row r="203" spans="1:141" s="12" customFormat="1" ht="14.25" hidden="1" customHeight="1">
      <c r="A203" s="25">
        <v>44</v>
      </c>
      <c r="B203" s="26"/>
      <c r="C203" s="85" t="s">
        <v>129</v>
      </c>
      <c r="D203" s="87" t="s">
        <v>10</v>
      </c>
      <c r="E203" s="23" t="s">
        <v>128</v>
      </c>
      <c r="F203" s="25"/>
      <c r="G203" s="82">
        <f t="shared" si="480"/>
        <v>0</v>
      </c>
      <c r="H203" s="81">
        <f t="shared" si="481"/>
        <v>19.5</v>
      </c>
      <c r="I203" s="19">
        <f t="shared" si="482"/>
        <v>0</v>
      </c>
      <c r="J203" s="11">
        <f t="shared" si="483"/>
        <v>4.49</v>
      </c>
      <c r="K203" s="19">
        <f t="shared" si="484"/>
        <v>0</v>
      </c>
      <c r="L203" s="19">
        <f t="shared" si="485"/>
        <v>0</v>
      </c>
      <c r="M203" s="19">
        <f t="shared" si="486"/>
        <v>0</v>
      </c>
      <c r="N203" s="19">
        <f t="shared" si="487"/>
        <v>0.66</v>
      </c>
      <c r="O203" s="19">
        <f t="shared" si="488"/>
        <v>0</v>
      </c>
      <c r="P203" s="19">
        <f t="shared" si="489"/>
        <v>0</v>
      </c>
      <c r="Q203" s="19">
        <f t="shared" si="490"/>
        <v>0</v>
      </c>
      <c r="R203" s="19">
        <f t="shared" si="491"/>
        <v>0</v>
      </c>
      <c r="S203" s="19">
        <f t="shared" si="492"/>
        <v>0</v>
      </c>
      <c r="T203" s="19">
        <f t="shared" si="493"/>
        <v>1.17</v>
      </c>
      <c r="U203" s="19">
        <f t="shared" si="494"/>
        <v>0</v>
      </c>
      <c r="V203" s="19">
        <f t="shared" si="495"/>
        <v>2</v>
      </c>
      <c r="W203" s="19">
        <f t="shared" si="496"/>
        <v>0</v>
      </c>
      <c r="X203" s="19">
        <f t="shared" si="497"/>
        <v>0.66</v>
      </c>
      <c r="Y203" s="19">
        <f t="shared" si="498"/>
        <v>0</v>
      </c>
      <c r="Z203" s="19">
        <f t="shared" si="499"/>
        <v>0</v>
      </c>
      <c r="AA203" s="18"/>
      <c r="AB203" s="56" t="e">
        <f t="shared" si="500"/>
        <v>#VALUE!</v>
      </c>
      <c r="AC203" s="16">
        <f t="shared" si="501"/>
        <v>108200</v>
      </c>
      <c r="AD203" s="15" t="e">
        <f t="shared" si="502"/>
        <v>#VALUE!</v>
      </c>
      <c r="AE203" s="42"/>
      <c r="AF203" s="10">
        <f t="shared" si="503"/>
        <v>5548.7179487179483</v>
      </c>
      <c r="AG203" s="10"/>
      <c r="AH203" s="21">
        <f t="shared" si="504"/>
        <v>152</v>
      </c>
      <c r="AI203" s="54">
        <f t="shared" si="505"/>
        <v>1.4048059149722736E-3</v>
      </c>
      <c r="AJ203" s="25">
        <f t="shared" si="506"/>
        <v>0</v>
      </c>
      <c r="AK203" s="25">
        <f t="shared" si="507"/>
        <v>0</v>
      </c>
      <c r="AL203" s="25">
        <f t="shared" si="508"/>
        <v>0</v>
      </c>
      <c r="AM203" s="25">
        <f t="shared" si="509"/>
        <v>152</v>
      </c>
      <c r="AN203" s="25">
        <f t="shared" si="510"/>
        <v>0</v>
      </c>
      <c r="AO203" s="25">
        <f t="shared" si="511"/>
        <v>0</v>
      </c>
      <c r="AP203" s="25">
        <f t="shared" si="512"/>
        <v>0</v>
      </c>
      <c r="AQ203" s="25">
        <f t="shared" si="513"/>
        <v>0</v>
      </c>
      <c r="AR203" s="25">
        <f t="shared" si="514"/>
        <v>0</v>
      </c>
      <c r="AS203" s="25">
        <f t="shared" si="515"/>
        <v>0</v>
      </c>
      <c r="AT203" s="25">
        <f t="shared" si="516"/>
        <v>0</v>
      </c>
      <c r="AU203" s="80"/>
      <c r="AV203" s="79">
        <f t="shared" si="517"/>
        <v>0</v>
      </c>
      <c r="AW203" s="79">
        <f t="shared" si="551"/>
        <v>0</v>
      </c>
      <c r="AX203" s="30">
        <f t="shared" si="552"/>
        <v>0</v>
      </c>
      <c r="AY203" s="78" t="e">
        <f t="shared" si="518"/>
        <v>#DIV/0!</v>
      </c>
      <c r="AZ203" s="79">
        <f t="shared" si="553"/>
        <v>0</v>
      </c>
      <c r="BA203" s="30">
        <f t="shared" si="554"/>
        <v>0</v>
      </c>
      <c r="BB203" s="78" t="e">
        <f t="shared" si="519"/>
        <v>#DIV/0!</v>
      </c>
      <c r="BC203" s="79">
        <f t="shared" si="555"/>
        <v>0</v>
      </c>
      <c r="BD203" s="30">
        <f t="shared" si="556"/>
        <v>0</v>
      </c>
      <c r="BE203" s="78" t="e">
        <f t="shared" si="520"/>
        <v>#DIV/0!</v>
      </c>
      <c r="BF203" s="79">
        <f t="shared" si="557"/>
        <v>0</v>
      </c>
      <c r="BG203" s="30">
        <f t="shared" si="558"/>
        <v>0</v>
      </c>
      <c r="BH203" s="78" t="e">
        <f t="shared" si="521"/>
        <v>#DIV/0!</v>
      </c>
      <c r="BI203" s="79">
        <f t="shared" si="559"/>
        <v>0</v>
      </c>
      <c r="BJ203" s="30">
        <f t="shared" si="560"/>
        <v>0</v>
      </c>
      <c r="BK203" s="78" t="e">
        <f t="shared" si="522"/>
        <v>#DIV/0!</v>
      </c>
      <c r="BL203" s="79">
        <f t="shared" si="561"/>
        <v>0</v>
      </c>
      <c r="BM203" s="30">
        <f t="shared" si="562"/>
        <v>0</v>
      </c>
      <c r="BN203" s="78" t="e">
        <f t="shared" si="523"/>
        <v>#DIV/0!</v>
      </c>
      <c r="BO203" s="79">
        <f t="shared" si="563"/>
        <v>0</v>
      </c>
      <c r="BP203" s="30">
        <f t="shared" si="564"/>
        <v>0</v>
      </c>
      <c r="BQ203" s="78" t="e">
        <f t="shared" si="524"/>
        <v>#DIV/0!</v>
      </c>
      <c r="BR203" s="79">
        <f t="shared" si="565"/>
        <v>0</v>
      </c>
      <c r="BS203" s="30">
        <f t="shared" si="566"/>
        <v>0</v>
      </c>
      <c r="BT203" s="78" t="e">
        <f t="shared" si="525"/>
        <v>#DIV/0!</v>
      </c>
      <c r="BU203" s="79">
        <f t="shared" si="567"/>
        <v>0</v>
      </c>
      <c r="BV203" s="30">
        <f t="shared" si="568"/>
        <v>0</v>
      </c>
      <c r="BW203" s="78" t="e">
        <f t="shared" si="526"/>
        <v>#DIV/0!</v>
      </c>
      <c r="BX203" s="79">
        <f t="shared" si="569"/>
        <v>0</v>
      </c>
      <c r="BY203" s="30">
        <f t="shared" si="570"/>
        <v>0</v>
      </c>
      <c r="BZ203" s="78" t="e">
        <f t="shared" si="527"/>
        <v>#DIV/0!</v>
      </c>
      <c r="CA203" s="79">
        <f t="shared" si="571"/>
        <v>0</v>
      </c>
      <c r="CB203" s="30">
        <f t="shared" si="572"/>
        <v>0</v>
      </c>
      <c r="CC203" s="78" t="e">
        <f t="shared" si="528"/>
        <v>#DIV/0!</v>
      </c>
      <c r="CD203" s="79">
        <f t="shared" si="573"/>
        <v>0</v>
      </c>
      <c r="CE203" s="30">
        <f t="shared" si="574"/>
        <v>0</v>
      </c>
      <c r="CF203" s="78" t="e">
        <f t="shared" si="529"/>
        <v>#DIV/0!</v>
      </c>
      <c r="CG203" s="79">
        <f t="shared" si="575"/>
        <v>0</v>
      </c>
      <c r="CH203" s="30">
        <f t="shared" si="576"/>
        <v>0</v>
      </c>
      <c r="CI203" s="78" t="e">
        <f t="shared" si="530"/>
        <v>#DIV/0!</v>
      </c>
      <c r="CJ203" s="79">
        <f t="shared" si="577"/>
        <v>0</v>
      </c>
      <c r="CK203" s="30">
        <f t="shared" si="578"/>
        <v>0</v>
      </c>
      <c r="CL203" s="78" t="e">
        <f t="shared" si="531"/>
        <v>#DIV/0!</v>
      </c>
      <c r="CM203" s="79">
        <f t="shared" si="579"/>
        <v>0</v>
      </c>
      <c r="CN203" s="30">
        <f t="shared" si="580"/>
        <v>0</v>
      </c>
      <c r="CO203" s="78" t="e">
        <f t="shared" si="532"/>
        <v>#DIV/0!</v>
      </c>
      <c r="CP203" s="79">
        <f t="shared" si="581"/>
        <v>0</v>
      </c>
      <c r="CQ203" s="30">
        <f t="shared" si="582"/>
        <v>0</v>
      </c>
      <c r="CR203" s="78" t="e">
        <f t="shared" si="533"/>
        <v>#DIV/0!</v>
      </c>
      <c r="CS203" s="79">
        <f t="shared" si="583"/>
        <v>0</v>
      </c>
      <c r="CT203" s="30">
        <f t="shared" si="584"/>
        <v>0</v>
      </c>
      <c r="CU203" s="78" t="e">
        <f t="shared" si="534"/>
        <v>#DIV/0!</v>
      </c>
      <c r="CV203" s="79">
        <f t="shared" si="585"/>
        <v>0</v>
      </c>
      <c r="CW203" s="30">
        <f t="shared" si="586"/>
        <v>0</v>
      </c>
      <c r="CX203" s="78" t="e">
        <f t="shared" si="535"/>
        <v>#DIV/0!</v>
      </c>
      <c r="CY203" s="79">
        <f t="shared" si="587"/>
        <v>0</v>
      </c>
      <c r="CZ203" s="30">
        <f t="shared" si="588"/>
        <v>0</v>
      </c>
      <c r="DA203" s="78" t="e">
        <f t="shared" si="536"/>
        <v>#DIV/0!</v>
      </c>
      <c r="DB203" s="79">
        <f t="shared" si="589"/>
        <v>0</v>
      </c>
      <c r="DC203" s="30">
        <f t="shared" si="590"/>
        <v>0</v>
      </c>
      <c r="DD203" s="78" t="e">
        <f t="shared" si="537"/>
        <v>#DIV/0!</v>
      </c>
      <c r="DE203" s="79">
        <f t="shared" si="591"/>
        <v>0</v>
      </c>
      <c r="DF203" s="30">
        <f t="shared" si="592"/>
        <v>0</v>
      </c>
      <c r="DG203" s="78" t="e">
        <f t="shared" si="538"/>
        <v>#DIV/0!</v>
      </c>
      <c r="DH203" s="79">
        <f t="shared" si="593"/>
        <v>0</v>
      </c>
      <c r="DI203" s="30">
        <f t="shared" si="594"/>
        <v>0</v>
      </c>
      <c r="DJ203" s="78" t="e">
        <f t="shared" si="539"/>
        <v>#DIV/0!</v>
      </c>
      <c r="DK203" s="79">
        <f t="shared" si="595"/>
        <v>0</v>
      </c>
      <c r="DL203" s="30">
        <f t="shared" si="596"/>
        <v>0</v>
      </c>
      <c r="DM203" s="78" t="e">
        <f t="shared" si="540"/>
        <v>#DIV/0!</v>
      </c>
      <c r="DN203" s="79">
        <f t="shared" si="541"/>
        <v>0</v>
      </c>
      <c r="DO203" s="30">
        <f t="shared" si="542"/>
        <v>0</v>
      </c>
      <c r="DP203" s="78" t="e">
        <f t="shared" si="543"/>
        <v>#DIV/0!</v>
      </c>
      <c r="DQ203" s="79">
        <f t="shared" si="597"/>
        <v>0</v>
      </c>
      <c r="DR203" s="30">
        <f t="shared" si="598"/>
        <v>0</v>
      </c>
      <c r="DS203" s="78" t="e">
        <f t="shared" si="544"/>
        <v>#DIV/0!</v>
      </c>
      <c r="DT203" s="79">
        <f t="shared" si="599"/>
        <v>0</v>
      </c>
      <c r="DU203" s="30">
        <f t="shared" si="600"/>
        <v>0</v>
      </c>
      <c r="DV203" s="78" t="e">
        <f t="shared" si="545"/>
        <v>#DIV/0!</v>
      </c>
      <c r="DW203" s="79">
        <f t="shared" si="601"/>
        <v>0</v>
      </c>
      <c r="DX203" s="30">
        <f t="shared" si="602"/>
        <v>0</v>
      </c>
      <c r="DY203" s="78" t="e">
        <f t="shared" si="546"/>
        <v>#DIV/0!</v>
      </c>
      <c r="DZ203" s="79">
        <f t="shared" si="603"/>
        <v>0</v>
      </c>
      <c r="EA203" s="30">
        <f t="shared" si="604"/>
        <v>0</v>
      </c>
      <c r="EB203" s="78" t="e">
        <f t="shared" si="547"/>
        <v>#DIV/0!</v>
      </c>
      <c r="EC203" s="79">
        <f t="shared" si="605"/>
        <v>0</v>
      </c>
      <c r="ED203" s="30">
        <f t="shared" si="606"/>
        <v>0</v>
      </c>
      <c r="EE203" s="78" t="e">
        <f t="shared" si="548"/>
        <v>#DIV/0!</v>
      </c>
      <c r="EF203" s="79">
        <f t="shared" si="607"/>
        <v>0</v>
      </c>
      <c r="EG203" s="30">
        <f t="shared" si="608"/>
        <v>0</v>
      </c>
      <c r="EH203" s="78" t="e">
        <f t="shared" si="549"/>
        <v>#DIV/0!</v>
      </c>
      <c r="EI203" s="79">
        <f t="shared" si="609"/>
        <v>0</v>
      </c>
      <c r="EJ203" s="30">
        <f t="shared" si="610"/>
        <v>0</v>
      </c>
      <c r="EK203" s="78" t="e">
        <f t="shared" si="550"/>
        <v>#DIV/0!</v>
      </c>
    </row>
    <row r="204" spans="1:141" s="12" customFormat="1" ht="14.25" hidden="1" customHeight="1">
      <c r="A204" s="30">
        <v>45</v>
      </c>
      <c r="B204" s="26">
        <v>8484</v>
      </c>
      <c r="C204" s="86" t="s">
        <v>127</v>
      </c>
      <c r="D204" s="24"/>
      <c r="E204" s="60"/>
      <c r="F204" s="59"/>
      <c r="G204" s="82">
        <f t="shared" si="480"/>
        <v>0</v>
      </c>
      <c r="H204" s="81">
        <f t="shared" si="481"/>
        <v>0</v>
      </c>
      <c r="I204" s="19">
        <f t="shared" si="482"/>
        <v>0</v>
      </c>
      <c r="J204" s="11">
        <f t="shared" si="483"/>
        <v>0</v>
      </c>
      <c r="K204" s="19">
        <f t="shared" si="484"/>
        <v>0</v>
      </c>
      <c r="L204" s="19">
        <f t="shared" si="485"/>
        <v>0</v>
      </c>
      <c r="M204" s="19">
        <f t="shared" si="486"/>
        <v>0</v>
      </c>
      <c r="N204" s="19">
        <f t="shared" si="487"/>
        <v>0</v>
      </c>
      <c r="O204" s="19">
        <f t="shared" si="488"/>
        <v>0</v>
      </c>
      <c r="P204" s="19">
        <f t="shared" si="489"/>
        <v>0</v>
      </c>
      <c r="Q204" s="19">
        <f t="shared" si="490"/>
        <v>0</v>
      </c>
      <c r="R204" s="19">
        <f t="shared" si="491"/>
        <v>0</v>
      </c>
      <c r="S204" s="19">
        <f t="shared" si="492"/>
        <v>0</v>
      </c>
      <c r="T204" s="19">
        <f t="shared" si="493"/>
        <v>0</v>
      </c>
      <c r="U204" s="19">
        <f t="shared" si="494"/>
        <v>0</v>
      </c>
      <c r="V204" s="19">
        <f t="shared" si="495"/>
        <v>0</v>
      </c>
      <c r="W204" s="19">
        <f t="shared" si="496"/>
        <v>0</v>
      </c>
      <c r="X204" s="19">
        <f t="shared" si="497"/>
        <v>0</v>
      </c>
      <c r="Y204" s="19">
        <f t="shared" si="498"/>
        <v>0</v>
      </c>
      <c r="Z204" s="19">
        <f t="shared" si="499"/>
        <v>0</v>
      </c>
      <c r="AA204" s="18"/>
      <c r="AB204" s="56">
        <f t="shared" si="500"/>
        <v>0</v>
      </c>
      <c r="AC204" s="16">
        <f t="shared" si="501"/>
        <v>0</v>
      </c>
      <c r="AD204" s="15" t="e">
        <f t="shared" si="502"/>
        <v>#DIV/0!</v>
      </c>
      <c r="AE204" s="42"/>
      <c r="AF204" s="10" t="e">
        <f t="shared" si="503"/>
        <v>#DIV/0!</v>
      </c>
      <c r="AG204" s="10"/>
      <c r="AH204" s="21">
        <f t="shared" si="504"/>
        <v>0</v>
      </c>
      <c r="AI204" s="54" t="e">
        <f t="shared" si="505"/>
        <v>#DIV/0!</v>
      </c>
      <c r="AJ204" s="25">
        <f t="shared" si="506"/>
        <v>0</v>
      </c>
      <c r="AK204" s="25">
        <f t="shared" si="507"/>
        <v>0</v>
      </c>
      <c r="AL204" s="25">
        <f t="shared" si="508"/>
        <v>0</v>
      </c>
      <c r="AM204" s="25">
        <f t="shared" si="509"/>
        <v>0</v>
      </c>
      <c r="AN204" s="25">
        <f t="shared" si="510"/>
        <v>0</v>
      </c>
      <c r="AO204" s="25">
        <f t="shared" si="511"/>
        <v>0</v>
      </c>
      <c r="AP204" s="25">
        <f t="shared" si="512"/>
        <v>0</v>
      </c>
      <c r="AQ204" s="25">
        <f t="shared" si="513"/>
        <v>0</v>
      </c>
      <c r="AR204" s="25">
        <f t="shared" si="514"/>
        <v>0</v>
      </c>
      <c r="AS204" s="25">
        <f t="shared" si="515"/>
        <v>0</v>
      </c>
      <c r="AT204" s="25">
        <f t="shared" si="516"/>
        <v>0</v>
      </c>
      <c r="AU204" s="80"/>
      <c r="AV204" s="79">
        <f t="shared" si="517"/>
        <v>0</v>
      </c>
      <c r="AW204" s="79">
        <f t="shared" si="551"/>
        <v>0</v>
      </c>
      <c r="AX204" s="30">
        <f t="shared" si="552"/>
        <v>0</v>
      </c>
      <c r="AY204" s="78" t="e">
        <f t="shared" si="518"/>
        <v>#DIV/0!</v>
      </c>
      <c r="AZ204" s="79">
        <f t="shared" si="553"/>
        <v>0</v>
      </c>
      <c r="BA204" s="30">
        <f t="shared" si="554"/>
        <v>0</v>
      </c>
      <c r="BB204" s="78" t="e">
        <f t="shared" si="519"/>
        <v>#DIV/0!</v>
      </c>
      <c r="BC204" s="79">
        <f t="shared" si="555"/>
        <v>0</v>
      </c>
      <c r="BD204" s="30">
        <f t="shared" si="556"/>
        <v>0</v>
      </c>
      <c r="BE204" s="78" t="e">
        <f t="shared" si="520"/>
        <v>#DIV/0!</v>
      </c>
      <c r="BF204" s="79">
        <f t="shared" si="557"/>
        <v>0</v>
      </c>
      <c r="BG204" s="30">
        <f t="shared" si="558"/>
        <v>0</v>
      </c>
      <c r="BH204" s="78" t="e">
        <f t="shared" si="521"/>
        <v>#DIV/0!</v>
      </c>
      <c r="BI204" s="79">
        <f t="shared" si="559"/>
        <v>0</v>
      </c>
      <c r="BJ204" s="30">
        <f t="shared" si="560"/>
        <v>0</v>
      </c>
      <c r="BK204" s="78" t="e">
        <f t="shared" si="522"/>
        <v>#DIV/0!</v>
      </c>
      <c r="BL204" s="79">
        <f t="shared" si="561"/>
        <v>0</v>
      </c>
      <c r="BM204" s="30">
        <f t="shared" si="562"/>
        <v>0</v>
      </c>
      <c r="BN204" s="78" t="e">
        <f t="shared" si="523"/>
        <v>#DIV/0!</v>
      </c>
      <c r="BO204" s="79">
        <f t="shared" si="563"/>
        <v>0</v>
      </c>
      <c r="BP204" s="30">
        <f t="shared" si="564"/>
        <v>0</v>
      </c>
      <c r="BQ204" s="78" t="e">
        <f t="shared" si="524"/>
        <v>#DIV/0!</v>
      </c>
      <c r="BR204" s="79">
        <f t="shared" si="565"/>
        <v>0</v>
      </c>
      <c r="BS204" s="30">
        <f t="shared" si="566"/>
        <v>0</v>
      </c>
      <c r="BT204" s="78" t="e">
        <f t="shared" si="525"/>
        <v>#DIV/0!</v>
      </c>
      <c r="BU204" s="79">
        <f t="shared" si="567"/>
        <v>0</v>
      </c>
      <c r="BV204" s="30">
        <f t="shared" si="568"/>
        <v>0</v>
      </c>
      <c r="BW204" s="78" t="e">
        <f t="shared" si="526"/>
        <v>#DIV/0!</v>
      </c>
      <c r="BX204" s="79">
        <f t="shared" si="569"/>
        <v>0</v>
      </c>
      <c r="BY204" s="30">
        <f t="shared" si="570"/>
        <v>0</v>
      </c>
      <c r="BZ204" s="78" t="e">
        <f t="shared" si="527"/>
        <v>#DIV/0!</v>
      </c>
      <c r="CA204" s="79">
        <f t="shared" si="571"/>
        <v>0</v>
      </c>
      <c r="CB204" s="30">
        <f t="shared" si="572"/>
        <v>0</v>
      </c>
      <c r="CC204" s="78" t="e">
        <f t="shared" si="528"/>
        <v>#DIV/0!</v>
      </c>
      <c r="CD204" s="79">
        <f t="shared" si="573"/>
        <v>0</v>
      </c>
      <c r="CE204" s="30">
        <f t="shared" si="574"/>
        <v>0</v>
      </c>
      <c r="CF204" s="78" t="e">
        <f t="shared" si="529"/>
        <v>#DIV/0!</v>
      </c>
      <c r="CG204" s="79">
        <f t="shared" si="575"/>
        <v>0</v>
      </c>
      <c r="CH204" s="30">
        <f t="shared" si="576"/>
        <v>0</v>
      </c>
      <c r="CI204" s="78" t="e">
        <f t="shared" si="530"/>
        <v>#DIV/0!</v>
      </c>
      <c r="CJ204" s="79">
        <f t="shared" si="577"/>
        <v>0</v>
      </c>
      <c r="CK204" s="30">
        <f t="shared" si="578"/>
        <v>0</v>
      </c>
      <c r="CL204" s="78" t="e">
        <f t="shared" si="531"/>
        <v>#DIV/0!</v>
      </c>
      <c r="CM204" s="79">
        <f t="shared" si="579"/>
        <v>0</v>
      </c>
      <c r="CN204" s="30">
        <f t="shared" si="580"/>
        <v>0</v>
      </c>
      <c r="CO204" s="78" t="e">
        <f t="shared" si="532"/>
        <v>#DIV/0!</v>
      </c>
      <c r="CP204" s="79">
        <f t="shared" si="581"/>
        <v>0</v>
      </c>
      <c r="CQ204" s="30">
        <f t="shared" si="582"/>
        <v>0</v>
      </c>
      <c r="CR204" s="78" t="e">
        <f t="shared" si="533"/>
        <v>#DIV/0!</v>
      </c>
      <c r="CS204" s="79">
        <f t="shared" si="583"/>
        <v>0</v>
      </c>
      <c r="CT204" s="30">
        <f t="shared" si="584"/>
        <v>0</v>
      </c>
      <c r="CU204" s="78" t="e">
        <f t="shared" si="534"/>
        <v>#DIV/0!</v>
      </c>
      <c r="CV204" s="79">
        <f t="shared" si="585"/>
        <v>0</v>
      </c>
      <c r="CW204" s="30">
        <f t="shared" si="586"/>
        <v>0</v>
      </c>
      <c r="CX204" s="78" t="e">
        <f t="shared" si="535"/>
        <v>#DIV/0!</v>
      </c>
      <c r="CY204" s="79">
        <f t="shared" si="587"/>
        <v>0</v>
      </c>
      <c r="CZ204" s="30">
        <f t="shared" si="588"/>
        <v>0</v>
      </c>
      <c r="DA204" s="78" t="e">
        <f t="shared" si="536"/>
        <v>#DIV/0!</v>
      </c>
      <c r="DB204" s="79">
        <f t="shared" si="589"/>
        <v>0</v>
      </c>
      <c r="DC204" s="30">
        <f t="shared" si="590"/>
        <v>0</v>
      </c>
      <c r="DD204" s="78" t="e">
        <f t="shared" si="537"/>
        <v>#DIV/0!</v>
      </c>
      <c r="DE204" s="79">
        <f t="shared" si="591"/>
        <v>0</v>
      </c>
      <c r="DF204" s="30">
        <f t="shared" si="592"/>
        <v>0</v>
      </c>
      <c r="DG204" s="78" t="e">
        <f t="shared" si="538"/>
        <v>#DIV/0!</v>
      </c>
      <c r="DH204" s="79">
        <f t="shared" si="593"/>
        <v>0</v>
      </c>
      <c r="DI204" s="30">
        <f t="shared" si="594"/>
        <v>0</v>
      </c>
      <c r="DJ204" s="78" t="e">
        <f t="shared" si="539"/>
        <v>#DIV/0!</v>
      </c>
      <c r="DK204" s="79">
        <f t="shared" si="595"/>
        <v>0</v>
      </c>
      <c r="DL204" s="30">
        <f t="shared" si="596"/>
        <v>0</v>
      </c>
      <c r="DM204" s="78" t="e">
        <f t="shared" si="540"/>
        <v>#DIV/0!</v>
      </c>
      <c r="DN204" s="79">
        <f t="shared" si="541"/>
        <v>0</v>
      </c>
      <c r="DO204" s="30">
        <f t="shared" si="542"/>
        <v>0</v>
      </c>
      <c r="DP204" s="78" t="e">
        <f t="shared" si="543"/>
        <v>#DIV/0!</v>
      </c>
      <c r="DQ204" s="79">
        <f t="shared" si="597"/>
        <v>0</v>
      </c>
      <c r="DR204" s="30">
        <f t="shared" si="598"/>
        <v>0</v>
      </c>
      <c r="DS204" s="78" t="e">
        <f t="shared" si="544"/>
        <v>#DIV/0!</v>
      </c>
      <c r="DT204" s="79">
        <f t="shared" si="599"/>
        <v>0</v>
      </c>
      <c r="DU204" s="30">
        <f t="shared" si="600"/>
        <v>0</v>
      </c>
      <c r="DV204" s="78" t="e">
        <f t="shared" si="545"/>
        <v>#DIV/0!</v>
      </c>
      <c r="DW204" s="79">
        <f t="shared" si="601"/>
        <v>0</v>
      </c>
      <c r="DX204" s="30">
        <f t="shared" si="602"/>
        <v>0</v>
      </c>
      <c r="DY204" s="78" t="e">
        <f t="shared" si="546"/>
        <v>#DIV/0!</v>
      </c>
      <c r="DZ204" s="79">
        <f t="shared" si="603"/>
        <v>0</v>
      </c>
      <c r="EA204" s="30">
        <f t="shared" si="604"/>
        <v>0</v>
      </c>
      <c r="EB204" s="78" t="e">
        <f t="shared" si="547"/>
        <v>#DIV/0!</v>
      </c>
      <c r="EC204" s="79">
        <f t="shared" si="605"/>
        <v>0</v>
      </c>
      <c r="ED204" s="30">
        <f t="shared" si="606"/>
        <v>0</v>
      </c>
      <c r="EE204" s="78" t="e">
        <f t="shared" si="548"/>
        <v>#DIV/0!</v>
      </c>
      <c r="EF204" s="79">
        <f t="shared" si="607"/>
        <v>0</v>
      </c>
      <c r="EG204" s="30">
        <f t="shared" si="608"/>
        <v>0</v>
      </c>
      <c r="EH204" s="78" t="e">
        <f t="shared" si="549"/>
        <v>#DIV/0!</v>
      </c>
      <c r="EI204" s="79">
        <f t="shared" si="609"/>
        <v>0</v>
      </c>
      <c r="EJ204" s="30">
        <f t="shared" si="610"/>
        <v>0</v>
      </c>
      <c r="EK204" s="78" t="e">
        <f t="shared" si="550"/>
        <v>#DIV/0!</v>
      </c>
    </row>
    <row r="205" spans="1:141" s="12" customFormat="1" ht="14.25" hidden="1" customHeight="1">
      <c r="A205" s="25">
        <v>46</v>
      </c>
      <c r="B205" s="26">
        <v>8485</v>
      </c>
      <c r="C205" s="85" t="s">
        <v>126</v>
      </c>
      <c r="D205" s="24"/>
      <c r="E205" s="60"/>
      <c r="F205" s="59"/>
      <c r="G205" s="82">
        <f t="shared" si="480"/>
        <v>0</v>
      </c>
      <c r="H205" s="81">
        <f t="shared" si="481"/>
        <v>0</v>
      </c>
      <c r="I205" s="19">
        <f t="shared" si="482"/>
        <v>0</v>
      </c>
      <c r="J205" s="11">
        <f t="shared" si="483"/>
        <v>0</v>
      </c>
      <c r="K205" s="19">
        <f t="shared" si="484"/>
        <v>0</v>
      </c>
      <c r="L205" s="19">
        <f t="shared" si="485"/>
        <v>0</v>
      </c>
      <c r="M205" s="19">
        <f t="shared" si="486"/>
        <v>0</v>
      </c>
      <c r="N205" s="19">
        <f t="shared" si="487"/>
        <v>0</v>
      </c>
      <c r="O205" s="19">
        <f t="shared" si="488"/>
        <v>0</v>
      </c>
      <c r="P205" s="19">
        <f t="shared" si="489"/>
        <v>0</v>
      </c>
      <c r="Q205" s="19">
        <f t="shared" si="490"/>
        <v>0</v>
      </c>
      <c r="R205" s="19">
        <f t="shared" si="491"/>
        <v>0</v>
      </c>
      <c r="S205" s="19">
        <f t="shared" si="492"/>
        <v>0</v>
      </c>
      <c r="T205" s="19">
        <f t="shared" si="493"/>
        <v>0</v>
      </c>
      <c r="U205" s="19">
        <f t="shared" si="494"/>
        <v>0</v>
      </c>
      <c r="V205" s="19">
        <f t="shared" si="495"/>
        <v>0</v>
      </c>
      <c r="W205" s="19">
        <f t="shared" si="496"/>
        <v>0</v>
      </c>
      <c r="X205" s="19">
        <f t="shared" si="497"/>
        <v>0</v>
      </c>
      <c r="Y205" s="19">
        <f t="shared" si="498"/>
        <v>0</v>
      </c>
      <c r="Z205" s="19">
        <f t="shared" si="499"/>
        <v>0</v>
      </c>
      <c r="AA205" s="18"/>
      <c r="AB205" s="56">
        <f t="shared" si="500"/>
        <v>0</v>
      </c>
      <c r="AC205" s="16">
        <f t="shared" si="501"/>
        <v>0</v>
      </c>
      <c r="AD205" s="15" t="e">
        <f t="shared" si="502"/>
        <v>#DIV/0!</v>
      </c>
      <c r="AE205" s="42"/>
      <c r="AF205" s="10" t="e">
        <f t="shared" si="503"/>
        <v>#DIV/0!</v>
      </c>
      <c r="AG205" s="10"/>
      <c r="AH205" s="21">
        <f t="shared" si="504"/>
        <v>0</v>
      </c>
      <c r="AI205" s="54" t="e">
        <f t="shared" si="505"/>
        <v>#DIV/0!</v>
      </c>
      <c r="AJ205" s="25">
        <f t="shared" si="506"/>
        <v>0</v>
      </c>
      <c r="AK205" s="25">
        <f t="shared" si="507"/>
        <v>0</v>
      </c>
      <c r="AL205" s="25">
        <f t="shared" si="508"/>
        <v>0</v>
      </c>
      <c r="AM205" s="25">
        <f t="shared" si="509"/>
        <v>0</v>
      </c>
      <c r="AN205" s="25">
        <f t="shared" si="510"/>
        <v>0</v>
      </c>
      <c r="AO205" s="25">
        <f t="shared" si="511"/>
        <v>0</v>
      </c>
      <c r="AP205" s="25">
        <f t="shared" si="512"/>
        <v>0</v>
      </c>
      <c r="AQ205" s="25">
        <f t="shared" si="513"/>
        <v>0</v>
      </c>
      <c r="AR205" s="25">
        <f t="shared" si="514"/>
        <v>0</v>
      </c>
      <c r="AS205" s="25">
        <f t="shared" si="515"/>
        <v>0</v>
      </c>
      <c r="AT205" s="25">
        <f t="shared" si="516"/>
        <v>0</v>
      </c>
      <c r="AU205" s="80"/>
      <c r="AV205" s="79">
        <f t="shared" si="517"/>
        <v>0</v>
      </c>
      <c r="AW205" s="79">
        <f t="shared" si="551"/>
        <v>0</v>
      </c>
      <c r="AX205" s="30">
        <f t="shared" si="552"/>
        <v>0</v>
      </c>
      <c r="AY205" s="78" t="e">
        <f t="shared" si="518"/>
        <v>#DIV/0!</v>
      </c>
      <c r="AZ205" s="79">
        <f t="shared" si="553"/>
        <v>0</v>
      </c>
      <c r="BA205" s="30">
        <f t="shared" si="554"/>
        <v>0</v>
      </c>
      <c r="BB205" s="78" t="e">
        <f t="shared" si="519"/>
        <v>#DIV/0!</v>
      </c>
      <c r="BC205" s="79">
        <f t="shared" si="555"/>
        <v>0</v>
      </c>
      <c r="BD205" s="30">
        <f t="shared" si="556"/>
        <v>0</v>
      </c>
      <c r="BE205" s="78" t="e">
        <f t="shared" si="520"/>
        <v>#DIV/0!</v>
      </c>
      <c r="BF205" s="79">
        <f t="shared" si="557"/>
        <v>0</v>
      </c>
      <c r="BG205" s="30">
        <f t="shared" si="558"/>
        <v>0</v>
      </c>
      <c r="BH205" s="78" t="e">
        <f t="shared" si="521"/>
        <v>#DIV/0!</v>
      </c>
      <c r="BI205" s="79">
        <f t="shared" si="559"/>
        <v>0</v>
      </c>
      <c r="BJ205" s="30">
        <f t="shared" si="560"/>
        <v>0</v>
      </c>
      <c r="BK205" s="78" t="e">
        <f t="shared" si="522"/>
        <v>#DIV/0!</v>
      </c>
      <c r="BL205" s="79">
        <f t="shared" si="561"/>
        <v>0</v>
      </c>
      <c r="BM205" s="30">
        <f t="shared" si="562"/>
        <v>0</v>
      </c>
      <c r="BN205" s="78" t="e">
        <f t="shared" si="523"/>
        <v>#DIV/0!</v>
      </c>
      <c r="BO205" s="79">
        <f t="shared" si="563"/>
        <v>0</v>
      </c>
      <c r="BP205" s="30">
        <f t="shared" si="564"/>
        <v>0</v>
      </c>
      <c r="BQ205" s="78" t="e">
        <f t="shared" si="524"/>
        <v>#DIV/0!</v>
      </c>
      <c r="BR205" s="79">
        <f t="shared" si="565"/>
        <v>0</v>
      </c>
      <c r="BS205" s="30">
        <f t="shared" si="566"/>
        <v>0</v>
      </c>
      <c r="BT205" s="78" t="e">
        <f t="shared" si="525"/>
        <v>#DIV/0!</v>
      </c>
      <c r="BU205" s="79">
        <f t="shared" si="567"/>
        <v>0</v>
      </c>
      <c r="BV205" s="30">
        <f t="shared" si="568"/>
        <v>0</v>
      </c>
      <c r="BW205" s="78" t="e">
        <f t="shared" si="526"/>
        <v>#DIV/0!</v>
      </c>
      <c r="BX205" s="79">
        <f t="shared" si="569"/>
        <v>0</v>
      </c>
      <c r="BY205" s="30">
        <f t="shared" si="570"/>
        <v>0</v>
      </c>
      <c r="BZ205" s="78" t="e">
        <f t="shared" si="527"/>
        <v>#DIV/0!</v>
      </c>
      <c r="CA205" s="79">
        <f t="shared" si="571"/>
        <v>0</v>
      </c>
      <c r="CB205" s="30">
        <f t="shared" si="572"/>
        <v>0</v>
      </c>
      <c r="CC205" s="78" t="e">
        <f t="shared" si="528"/>
        <v>#DIV/0!</v>
      </c>
      <c r="CD205" s="79">
        <f t="shared" si="573"/>
        <v>0</v>
      </c>
      <c r="CE205" s="30">
        <f t="shared" si="574"/>
        <v>0</v>
      </c>
      <c r="CF205" s="78" t="e">
        <f t="shared" si="529"/>
        <v>#DIV/0!</v>
      </c>
      <c r="CG205" s="79">
        <f t="shared" si="575"/>
        <v>0</v>
      </c>
      <c r="CH205" s="30">
        <f t="shared" si="576"/>
        <v>0</v>
      </c>
      <c r="CI205" s="78" t="e">
        <f t="shared" si="530"/>
        <v>#DIV/0!</v>
      </c>
      <c r="CJ205" s="79">
        <f t="shared" si="577"/>
        <v>0</v>
      </c>
      <c r="CK205" s="30">
        <f t="shared" si="578"/>
        <v>0</v>
      </c>
      <c r="CL205" s="78" t="e">
        <f t="shared" si="531"/>
        <v>#DIV/0!</v>
      </c>
      <c r="CM205" s="79">
        <f t="shared" si="579"/>
        <v>0</v>
      </c>
      <c r="CN205" s="30">
        <f t="shared" si="580"/>
        <v>0</v>
      </c>
      <c r="CO205" s="78" t="e">
        <f t="shared" si="532"/>
        <v>#DIV/0!</v>
      </c>
      <c r="CP205" s="79">
        <f t="shared" si="581"/>
        <v>0</v>
      </c>
      <c r="CQ205" s="30">
        <f t="shared" si="582"/>
        <v>0</v>
      </c>
      <c r="CR205" s="78" t="e">
        <f t="shared" si="533"/>
        <v>#DIV/0!</v>
      </c>
      <c r="CS205" s="79">
        <f t="shared" si="583"/>
        <v>0</v>
      </c>
      <c r="CT205" s="30">
        <f t="shared" si="584"/>
        <v>0</v>
      </c>
      <c r="CU205" s="78" t="e">
        <f t="shared" si="534"/>
        <v>#DIV/0!</v>
      </c>
      <c r="CV205" s="79">
        <f t="shared" si="585"/>
        <v>0</v>
      </c>
      <c r="CW205" s="30">
        <f t="shared" si="586"/>
        <v>0</v>
      </c>
      <c r="CX205" s="78" t="e">
        <f t="shared" si="535"/>
        <v>#DIV/0!</v>
      </c>
      <c r="CY205" s="79">
        <f t="shared" si="587"/>
        <v>0</v>
      </c>
      <c r="CZ205" s="30">
        <f t="shared" si="588"/>
        <v>0</v>
      </c>
      <c r="DA205" s="78" t="e">
        <f t="shared" si="536"/>
        <v>#DIV/0!</v>
      </c>
      <c r="DB205" s="79">
        <f t="shared" si="589"/>
        <v>0</v>
      </c>
      <c r="DC205" s="30">
        <f t="shared" si="590"/>
        <v>0</v>
      </c>
      <c r="DD205" s="78" t="e">
        <f t="shared" si="537"/>
        <v>#DIV/0!</v>
      </c>
      <c r="DE205" s="79">
        <f t="shared" si="591"/>
        <v>0</v>
      </c>
      <c r="DF205" s="30">
        <f t="shared" si="592"/>
        <v>0</v>
      </c>
      <c r="DG205" s="78" t="e">
        <f t="shared" si="538"/>
        <v>#DIV/0!</v>
      </c>
      <c r="DH205" s="79">
        <f t="shared" si="593"/>
        <v>0</v>
      </c>
      <c r="DI205" s="30">
        <f t="shared" si="594"/>
        <v>0</v>
      </c>
      <c r="DJ205" s="78" t="e">
        <f t="shared" si="539"/>
        <v>#DIV/0!</v>
      </c>
      <c r="DK205" s="79">
        <f t="shared" si="595"/>
        <v>0</v>
      </c>
      <c r="DL205" s="30">
        <f t="shared" si="596"/>
        <v>0</v>
      </c>
      <c r="DM205" s="78" t="e">
        <f t="shared" si="540"/>
        <v>#DIV/0!</v>
      </c>
      <c r="DN205" s="79">
        <f t="shared" si="541"/>
        <v>0</v>
      </c>
      <c r="DO205" s="30">
        <f t="shared" si="542"/>
        <v>0</v>
      </c>
      <c r="DP205" s="78" t="e">
        <f t="shared" si="543"/>
        <v>#DIV/0!</v>
      </c>
      <c r="DQ205" s="79">
        <f t="shared" si="597"/>
        <v>0</v>
      </c>
      <c r="DR205" s="30">
        <f t="shared" si="598"/>
        <v>0</v>
      </c>
      <c r="DS205" s="78" t="e">
        <f t="shared" si="544"/>
        <v>#DIV/0!</v>
      </c>
      <c r="DT205" s="79">
        <f t="shared" si="599"/>
        <v>0</v>
      </c>
      <c r="DU205" s="30">
        <f t="shared" si="600"/>
        <v>0</v>
      </c>
      <c r="DV205" s="78" t="e">
        <f t="shared" si="545"/>
        <v>#DIV/0!</v>
      </c>
      <c r="DW205" s="79">
        <f t="shared" si="601"/>
        <v>0</v>
      </c>
      <c r="DX205" s="30">
        <f t="shared" si="602"/>
        <v>0</v>
      </c>
      <c r="DY205" s="78" t="e">
        <f t="shared" si="546"/>
        <v>#DIV/0!</v>
      </c>
      <c r="DZ205" s="79">
        <f t="shared" si="603"/>
        <v>0</v>
      </c>
      <c r="EA205" s="30">
        <f t="shared" si="604"/>
        <v>0</v>
      </c>
      <c r="EB205" s="78" t="e">
        <f t="shared" si="547"/>
        <v>#DIV/0!</v>
      </c>
      <c r="EC205" s="79">
        <f t="shared" si="605"/>
        <v>0</v>
      </c>
      <c r="ED205" s="30">
        <f t="shared" si="606"/>
        <v>0</v>
      </c>
      <c r="EE205" s="78" t="e">
        <f t="shared" si="548"/>
        <v>#DIV/0!</v>
      </c>
      <c r="EF205" s="79">
        <f t="shared" si="607"/>
        <v>0</v>
      </c>
      <c r="EG205" s="30">
        <f t="shared" si="608"/>
        <v>0</v>
      </c>
      <c r="EH205" s="78" t="e">
        <f t="shared" si="549"/>
        <v>#DIV/0!</v>
      </c>
      <c r="EI205" s="79">
        <f t="shared" si="609"/>
        <v>0</v>
      </c>
      <c r="EJ205" s="30">
        <f t="shared" si="610"/>
        <v>0</v>
      </c>
      <c r="EK205" s="78" t="e">
        <f t="shared" si="550"/>
        <v>#DIV/0!</v>
      </c>
    </row>
    <row r="206" spans="1:141" s="12" customFormat="1" ht="14.25" hidden="1" customHeight="1">
      <c r="A206" s="30">
        <v>47</v>
      </c>
      <c r="B206" s="26">
        <v>1657</v>
      </c>
      <c r="C206" s="86" t="s">
        <v>125</v>
      </c>
      <c r="D206" s="24"/>
      <c r="E206" s="60"/>
      <c r="F206" s="59"/>
      <c r="G206" s="82">
        <f t="shared" si="480"/>
        <v>0</v>
      </c>
      <c r="H206" s="81">
        <f t="shared" si="481"/>
        <v>0</v>
      </c>
      <c r="I206" s="19">
        <f t="shared" si="482"/>
        <v>0</v>
      </c>
      <c r="J206" s="11">
        <f t="shared" si="483"/>
        <v>0</v>
      </c>
      <c r="K206" s="19">
        <f t="shared" si="484"/>
        <v>0</v>
      </c>
      <c r="L206" s="19">
        <f t="shared" si="485"/>
        <v>0</v>
      </c>
      <c r="M206" s="19">
        <f t="shared" si="486"/>
        <v>0</v>
      </c>
      <c r="N206" s="19">
        <f t="shared" si="487"/>
        <v>0</v>
      </c>
      <c r="O206" s="19">
        <f t="shared" si="488"/>
        <v>0</v>
      </c>
      <c r="P206" s="19">
        <f t="shared" si="489"/>
        <v>0</v>
      </c>
      <c r="Q206" s="19">
        <f t="shared" si="490"/>
        <v>0</v>
      </c>
      <c r="R206" s="19">
        <f t="shared" si="491"/>
        <v>0</v>
      </c>
      <c r="S206" s="19">
        <f t="shared" si="492"/>
        <v>0</v>
      </c>
      <c r="T206" s="19">
        <f t="shared" si="493"/>
        <v>0</v>
      </c>
      <c r="U206" s="19">
        <f t="shared" si="494"/>
        <v>0</v>
      </c>
      <c r="V206" s="19">
        <f t="shared" si="495"/>
        <v>0</v>
      </c>
      <c r="W206" s="19">
        <f t="shared" si="496"/>
        <v>0</v>
      </c>
      <c r="X206" s="19">
        <f t="shared" si="497"/>
        <v>0</v>
      </c>
      <c r="Y206" s="19">
        <f t="shared" si="498"/>
        <v>0</v>
      </c>
      <c r="Z206" s="19">
        <f t="shared" si="499"/>
        <v>0</v>
      </c>
      <c r="AA206" s="18"/>
      <c r="AB206" s="56">
        <f t="shared" si="500"/>
        <v>0</v>
      </c>
      <c r="AC206" s="16">
        <f t="shared" si="501"/>
        <v>0</v>
      </c>
      <c r="AD206" s="15" t="e">
        <f t="shared" si="502"/>
        <v>#DIV/0!</v>
      </c>
      <c r="AE206" s="42"/>
      <c r="AF206" s="10" t="e">
        <f t="shared" si="503"/>
        <v>#DIV/0!</v>
      </c>
      <c r="AG206" s="10"/>
      <c r="AH206" s="21">
        <f t="shared" si="504"/>
        <v>0</v>
      </c>
      <c r="AI206" s="54" t="e">
        <f t="shared" si="505"/>
        <v>#DIV/0!</v>
      </c>
      <c r="AJ206" s="25">
        <f t="shared" si="506"/>
        <v>0</v>
      </c>
      <c r="AK206" s="25">
        <f t="shared" si="507"/>
        <v>0</v>
      </c>
      <c r="AL206" s="25">
        <f t="shared" si="508"/>
        <v>0</v>
      </c>
      <c r="AM206" s="25">
        <f t="shared" si="509"/>
        <v>0</v>
      </c>
      <c r="AN206" s="25">
        <f t="shared" si="510"/>
        <v>0</v>
      </c>
      <c r="AO206" s="25">
        <f t="shared" si="511"/>
        <v>0</v>
      </c>
      <c r="AP206" s="25">
        <f t="shared" si="512"/>
        <v>0</v>
      </c>
      <c r="AQ206" s="25">
        <f t="shared" si="513"/>
        <v>0</v>
      </c>
      <c r="AR206" s="25">
        <f t="shared" si="514"/>
        <v>0</v>
      </c>
      <c r="AS206" s="25">
        <f t="shared" si="515"/>
        <v>0</v>
      </c>
      <c r="AT206" s="25">
        <f t="shared" si="516"/>
        <v>0</v>
      </c>
      <c r="AU206" s="80"/>
      <c r="AV206" s="79">
        <f t="shared" si="517"/>
        <v>0</v>
      </c>
      <c r="AW206" s="79">
        <f t="shared" si="551"/>
        <v>0</v>
      </c>
      <c r="AX206" s="30">
        <f t="shared" si="552"/>
        <v>0</v>
      </c>
      <c r="AY206" s="78" t="e">
        <f t="shared" si="518"/>
        <v>#DIV/0!</v>
      </c>
      <c r="AZ206" s="79">
        <f t="shared" si="553"/>
        <v>0</v>
      </c>
      <c r="BA206" s="30">
        <f t="shared" si="554"/>
        <v>0</v>
      </c>
      <c r="BB206" s="78" t="e">
        <f t="shared" si="519"/>
        <v>#DIV/0!</v>
      </c>
      <c r="BC206" s="79">
        <f t="shared" si="555"/>
        <v>0</v>
      </c>
      <c r="BD206" s="30">
        <f t="shared" si="556"/>
        <v>0</v>
      </c>
      <c r="BE206" s="78" t="e">
        <f t="shared" si="520"/>
        <v>#DIV/0!</v>
      </c>
      <c r="BF206" s="79">
        <f t="shared" si="557"/>
        <v>0</v>
      </c>
      <c r="BG206" s="30">
        <f t="shared" si="558"/>
        <v>0</v>
      </c>
      <c r="BH206" s="78" t="e">
        <f t="shared" si="521"/>
        <v>#DIV/0!</v>
      </c>
      <c r="BI206" s="79">
        <f t="shared" si="559"/>
        <v>0</v>
      </c>
      <c r="BJ206" s="30">
        <f t="shared" si="560"/>
        <v>0</v>
      </c>
      <c r="BK206" s="78" t="e">
        <f t="shared" si="522"/>
        <v>#DIV/0!</v>
      </c>
      <c r="BL206" s="79">
        <f t="shared" si="561"/>
        <v>0</v>
      </c>
      <c r="BM206" s="30">
        <f t="shared" si="562"/>
        <v>0</v>
      </c>
      <c r="BN206" s="78" t="e">
        <f t="shared" si="523"/>
        <v>#DIV/0!</v>
      </c>
      <c r="BO206" s="79">
        <f t="shared" si="563"/>
        <v>0</v>
      </c>
      <c r="BP206" s="30">
        <f t="shared" si="564"/>
        <v>0</v>
      </c>
      <c r="BQ206" s="78" t="e">
        <f t="shared" si="524"/>
        <v>#DIV/0!</v>
      </c>
      <c r="BR206" s="79">
        <f t="shared" si="565"/>
        <v>0</v>
      </c>
      <c r="BS206" s="30">
        <f t="shared" si="566"/>
        <v>0</v>
      </c>
      <c r="BT206" s="78" t="e">
        <f t="shared" si="525"/>
        <v>#DIV/0!</v>
      </c>
      <c r="BU206" s="79">
        <f t="shared" si="567"/>
        <v>0</v>
      </c>
      <c r="BV206" s="30">
        <f t="shared" si="568"/>
        <v>0</v>
      </c>
      <c r="BW206" s="78" t="e">
        <f t="shared" si="526"/>
        <v>#DIV/0!</v>
      </c>
      <c r="BX206" s="79">
        <f t="shared" si="569"/>
        <v>0</v>
      </c>
      <c r="BY206" s="30">
        <f t="shared" si="570"/>
        <v>0</v>
      </c>
      <c r="BZ206" s="78" t="e">
        <f t="shared" si="527"/>
        <v>#DIV/0!</v>
      </c>
      <c r="CA206" s="79">
        <f t="shared" si="571"/>
        <v>0</v>
      </c>
      <c r="CB206" s="30">
        <f t="shared" si="572"/>
        <v>0</v>
      </c>
      <c r="CC206" s="78" t="e">
        <f t="shared" si="528"/>
        <v>#DIV/0!</v>
      </c>
      <c r="CD206" s="79">
        <f t="shared" si="573"/>
        <v>0</v>
      </c>
      <c r="CE206" s="30">
        <f t="shared" si="574"/>
        <v>0</v>
      </c>
      <c r="CF206" s="78" t="e">
        <f t="shared" si="529"/>
        <v>#DIV/0!</v>
      </c>
      <c r="CG206" s="79">
        <f t="shared" si="575"/>
        <v>0</v>
      </c>
      <c r="CH206" s="30">
        <f t="shared" si="576"/>
        <v>0</v>
      </c>
      <c r="CI206" s="78" t="e">
        <f t="shared" si="530"/>
        <v>#DIV/0!</v>
      </c>
      <c r="CJ206" s="79">
        <f t="shared" si="577"/>
        <v>0</v>
      </c>
      <c r="CK206" s="30">
        <f t="shared" si="578"/>
        <v>0</v>
      </c>
      <c r="CL206" s="78" t="e">
        <f t="shared" si="531"/>
        <v>#DIV/0!</v>
      </c>
      <c r="CM206" s="79">
        <f t="shared" si="579"/>
        <v>0</v>
      </c>
      <c r="CN206" s="30">
        <f t="shared" si="580"/>
        <v>0</v>
      </c>
      <c r="CO206" s="78" t="e">
        <f t="shared" si="532"/>
        <v>#DIV/0!</v>
      </c>
      <c r="CP206" s="79">
        <f t="shared" si="581"/>
        <v>0</v>
      </c>
      <c r="CQ206" s="30">
        <f t="shared" si="582"/>
        <v>0</v>
      </c>
      <c r="CR206" s="78" t="e">
        <f t="shared" si="533"/>
        <v>#DIV/0!</v>
      </c>
      <c r="CS206" s="79">
        <f t="shared" si="583"/>
        <v>0</v>
      </c>
      <c r="CT206" s="30">
        <f t="shared" si="584"/>
        <v>0</v>
      </c>
      <c r="CU206" s="78" t="e">
        <f t="shared" si="534"/>
        <v>#DIV/0!</v>
      </c>
      <c r="CV206" s="79">
        <f t="shared" si="585"/>
        <v>0</v>
      </c>
      <c r="CW206" s="30">
        <f t="shared" si="586"/>
        <v>0</v>
      </c>
      <c r="CX206" s="78" t="e">
        <f t="shared" si="535"/>
        <v>#DIV/0!</v>
      </c>
      <c r="CY206" s="79">
        <f t="shared" si="587"/>
        <v>0</v>
      </c>
      <c r="CZ206" s="30">
        <f t="shared" si="588"/>
        <v>0</v>
      </c>
      <c r="DA206" s="78" t="e">
        <f t="shared" si="536"/>
        <v>#DIV/0!</v>
      </c>
      <c r="DB206" s="79">
        <f t="shared" si="589"/>
        <v>0</v>
      </c>
      <c r="DC206" s="30">
        <f t="shared" si="590"/>
        <v>0</v>
      </c>
      <c r="DD206" s="78" t="e">
        <f t="shared" si="537"/>
        <v>#DIV/0!</v>
      </c>
      <c r="DE206" s="79">
        <f t="shared" si="591"/>
        <v>0</v>
      </c>
      <c r="DF206" s="30">
        <f t="shared" si="592"/>
        <v>0</v>
      </c>
      <c r="DG206" s="78" t="e">
        <f t="shared" si="538"/>
        <v>#DIV/0!</v>
      </c>
      <c r="DH206" s="79">
        <f t="shared" si="593"/>
        <v>0</v>
      </c>
      <c r="DI206" s="30">
        <f t="shared" si="594"/>
        <v>0</v>
      </c>
      <c r="DJ206" s="78" t="e">
        <f t="shared" si="539"/>
        <v>#DIV/0!</v>
      </c>
      <c r="DK206" s="79">
        <f t="shared" si="595"/>
        <v>0</v>
      </c>
      <c r="DL206" s="30">
        <f t="shared" si="596"/>
        <v>0</v>
      </c>
      <c r="DM206" s="78" t="e">
        <f t="shared" si="540"/>
        <v>#DIV/0!</v>
      </c>
      <c r="DN206" s="79">
        <f t="shared" si="541"/>
        <v>0</v>
      </c>
      <c r="DO206" s="30">
        <f t="shared" si="542"/>
        <v>0</v>
      </c>
      <c r="DP206" s="78" t="e">
        <f t="shared" si="543"/>
        <v>#DIV/0!</v>
      </c>
      <c r="DQ206" s="79">
        <f t="shared" si="597"/>
        <v>0</v>
      </c>
      <c r="DR206" s="30">
        <f t="shared" si="598"/>
        <v>0</v>
      </c>
      <c r="DS206" s="78" t="e">
        <f t="shared" si="544"/>
        <v>#DIV/0!</v>
      </c>
      <c r="DT206" s="79">
        <f t="shared" si="599"/>
        <v>0</v>
      </c>
      <c r="DU206" s="30">
        <f t="shared" si="600"/>
        <v>0</v>
      </c>
      <c r="DV206" s="78" t="e">
        <f t="shared" si="545"/>
        <v>#DIV/0!</v>
      </c>
      <c r="DW206" s="79">
        <f t="shared" si="601"/>
        <v>0</v>
      </c>
      <c r="DX206" s="30">
        <f t="shared" si="602"/>
        <v>0</v>
      </c>
      <c r="DY206" s="78" t="e">
        <f t="shared" si="546"/>
        <v>#DIV/0!</v>
      </c>
      <c r="DZ206" s="79">
        <f t="shared" si="603"/>
        <v>0</v>
      </c>
      <c r="EA206" s="30">
        <f t="shared" si="604"/>
        <v>0</v>
      </c>
      <c r="EB206" s="78" t="e">
        <f t="shared" si="547"/>
        <v>#DIV/0!</v>
      </c>
      <c r="EC206" s="79">
        <f t="shared" si="605"/>
        <v>0</v>
      </c>
      <c r="ED206" s="30">
        <f t="shared" si="606"/>
        <v>0</v>
      </c>
      <c r="EE206" s="78" t="e">
        <f t="shared" si="548"/>
        <v>#DIV/0!</v>
      </c>
      <c r="EF206" s="79">
        <f t="shared" si="607"/>
        <v>0</v>
      </c>
      <c r="EG206" s="30">
        <f t="shared" si="608"/>
        <v>0</v>
      </c>
      <c r="EH206" s="78" t="e">
        <f t="shared" si="549"/>
        <v>#DIV/0!</v>
      </c>
      <c r="EI206" s="79">
        <f t="shared" si="609"/>
        <v>0</v>
      </c>
      <c r="EJ206" s="30">
        <f t="shared" si="610"/>
        <v>0</v>
      </c>
      <c r="EK206" s="78" t="e">
        <f t="shared" si="550"/>
        <v>#DIV/0!</v>
      </c>
    </row>
    <row r="207" spans="1:141" s="12" customFormat="1" ht="14.25" hidden="1" customHeight="1">
      <c r="A207" s="25">
        <v>48</v>
      </c>
      <c r="B207" s="26"/>
      <c r="C207" s="85" t="s">
        <v>124</v>
      </c>
      <c r="D207" s="24"/>
      <c r="E207" s="60"/>
      <c r="F207" s="59"/>
      <c r="G207" s="82">
        <f t="shared" si="480"/>
        <v>0</v>
      </c>
      <c r="H207" s="81">
        <f t="shared" si="481"/>
        <v>0</v>
      </c>
      <c r="I207" s="19">
        <f t="shared" si="482"/>
        <v>0</v>
      </c>
      <c r="J207" s="11">
        <f t="shared" si="483"/>
        <v>0</v>
      </c>
      <c r="K207" s="19">
        <f t="shared" si="484"/>
        <v>0</v>
      </c>
      <c r="L207" s="19">
        <f t="shared" si="485"/>
        <v>0</v>
      </c>
      <c r="M207" s="19">
        <f t="shared" si="486"/>
        <v>0</v>
      </c>
      <c r="N207" s="19">
        <f t="shared" si="487"/>
        <v>0</v>
      </c>
      <c r="O207" s="19">
        <f t="shared" si="488"/>
        <v>0</v>
      </c>
      <c r="P207" s="19">
        <f t="shared" si="489"/>
        <v>0</v>
      </c>
      <c r="Q207" s="19">
        <f t="shared" si="490"/>
        <v>0</v>
      </c>
      <c r="R207" s="19">
        <f t="shared" si="491"/>
        <v>0</v>
      </c>
      <c r="S207" s="19">
        <f t="shared" si="492"/>
        <v>0</v>
      </c>
      <c r="T207" s="19">
        <f t="shared" si="493"/>
        <v>0</v>
      </c>
      <c r="U207" s="19">
        <f t="shared" si="494"/>
        <v>0</v>
      </c>
      <c r="V207" s="19">
        <f t="shared" si="495"/>
        <v>0</v>
      </c>
      <c r="W207" s="19">
        <f t="shared" si="496"/>
        <v>0</v>
      </c>
      <c r="X207" s="19">
        <f t="shared" si="497"/>
        <v>0</v>
      </c>
      <c r="Y207" s="19">
        <f t="shared" si="498"/>
        <v>0</v>
      </c>
      <c r="Z207" s="19">
        <f t="shared" si="499"/>
        <v>0</v>
      </c>
      <c r="AA207" s="18"/>
      <c r="AB207" s="56">
        <f t="shared" si="500"/>
        <v>0</v>
      </c>
      <c r="AC207" s="16">
        <f t="shared" si="501"/>
        <v>0</v>
      </c>
      <c r="AD207" s="15" t="e">
        <f t="shared" si="502"/>
        <v>#DIV/0!</v>
      </c>
      <c r="AE207" s="42"/>
      <c r="AF207" s="10" t="e">
        <f t="shared" si="503"/>
        <v>#DIV/0!</v>
      </c>
      <c r="AG207" s="10"/>
      <c r="AH207" s="21">
        <f t="shared" si="504"/>
        <v>0</v>
      </c>
      <c r="AI207" s="54" t="e">
        <f t="shared" si="505"/>
        <v>#DIV/0!</v>
      </c>
      <c r="AJ207" s="25">
        <f t="shared" si="506"/>
        <v>0</v>
      </c>
      <c r="AK207" s="25">
        <f t="shared" si="507"/>
        <v>0</v>
      </c>
      <c r="AL207" s="25">
        <f t="shared" si="508"/>
        <v>0</v>
      </c>
      <c r="AM207" s="25">
        <f t="shared" si="509"/>
        <v>0</v>
      </c>
      <c r="AN207" s="25">
        <f t="shared" si="510"/>
        <v>0</v>
      </c>
      <c r="AO207" s="25">
        <f t="shared" si="511"/>
        <v>0</v>
      </c>
      <c r="AP207" s="25">
        <f t="shared" si="512"/>
        <v>0</v>
      </c>
      <c r="AQ207" s="25">
        <f t="shared" si="513"/>
        <v>0</v>
      </c>
      <c r="AR207" s="25">
        <f t="shared" si="514"/>
        <v>0</v>
      </c>
      <c r="AS207" s="25">
        <f t="shared" si="515"/>
        <v>0</v>
      </c>
      <c r="AT207" s="25">
        <f t="shared" si="516"/>
        <v>0</v>
      </c>
      <c r="AU207" s="80"/>
      <c r="AV207" s="79">
        <f t="shared" si="517"/>
        <v>0</v>
      </c>
      <c r="AW207" s="79">
        <f t="shared" si="551"/>
        <v>0</v>
      </c>
      <c r="AX207" s="30">
        <f t="shared" si="552"/>
        <v>0</v>
      </c>
      <c r="AY207" s="78" t="e">
        <f t="shared" si="518"/>
        <v>#DIV/0!</v>
      </c>
      <c r="AZ207" s="79">
        <f t="shared" si="553"/>
        <v>0</v>
      </c>
      <c r="BA207" s="30">
        <f t="shared" si="554"/>
        <v>0</v>
      </c>
      <c r="BB207" s="78" t="e">
        <f t="shared" si="519"/>
        <v>#DIV/0!</v>
      </c>
      <c r="BC207" s="79">
        <f t="shared" si="555"/>
        <v>0</v>
      </c>
      <c r="BD207" s="30">
        <f t="shared" si="556"/>
        <v>0</v>
      </c>
      <c r="BE207" s="78" t="e">
        <f t="shared" si="520"/>
        <v>#DIV/0!</v>
      </c>
      <c r="BF207" s="79">
        <f t="shared" si="557"/>
        <v>0</v>
      </c>
      <c r="BG207" s="30">
        <f t="shared" si="558"/>
        <v>0</v>
      </c>
      <c r="BH207" s="78" t="e">
        <f t="shared" si="521"/>
        <v>#DIV/0!</v>
      </c>
      <c r="BI207" s="79">
        <f t="shared" si="559"/>
        <v>0</v>
      </c>
      <c r="BJ207" s="30">
        <f t="shared" si="560"/>
        <v>0</v>
      </c>
      <c r="BK207" s="78" t="e">
        <f t="shared" si="522"/>
        <v>#DIV/0!</v>
      </c>
      <c r="BL207" s="79">
        <f t="shared" si="561"/>
        <v>0</v>
      </c>
      <c r="BM207" s="30">
        <f t="shared" si="562"/>
        <v>0</v>
      </c>
      <c r="BN207" s="78" t="e">
        <f t="shared" si="523"/>
        <v>#DIV/0!</v>
      </c>
      <c r="BO207" s="79">
        <f t="shared" si="563"/>
        <v>0</v>
      </c>
      <c r="BP207" s="30">
        <f t="shared" si="564"/>
        <v>0</v>
      </c>
      <c r="BQ207" s="78" t="e">
        <f t="shared" si="524"/>
        <v>#DIV/0!</v>
      </c>
      <c r="BR207" s="79">
        <f t="shared" si="565"/>
        <v>0</v>
      </c>
      <c r="BS207" s="30">
        <f t="shared" si="566"/>
        <v>0</v>
      </c>
      <c r="BT207" s="78" t="e">
        <f t="shared" si="525"/>
        <v>#DIV/0!</v>
      </c>
      <c r="BU207" s="79">
        <f t="shared" si="567"/>
        <v>0</v>
      </c>
      <c r="BV207" s="30">
        <f t="shared" si="568"/>
        <v>0</v>
      </c>
      <c r="BW207" s="78" t="e">
        <f t="shared" si="526"/>
        <v>#DIV/0!</v>
      </c>
      <c r="BX207" s="79">
        <f t="shared" si="569"/>
        <v>0</v>
      </c>
      <c r="BY207" s="30">
        <f t="shared" si="570"/>
        <v>0</v>
      </c>
      <c r="BZ207" s="78" t="e">
        <f t="shared" si="527"/>
        <v>#DIV/0!</v>
      </c>
      <c r="CA207" s="79">
        <f t="shared" si="571"/>
        <v>0</v>
      </c>
      <c r="CB207" s="30">
        <f t="shared" si="572"/>
        <v>0</v>
      </c>
      <c r="CC207" s="78" t="e">
        <f t="shared" si="528"/>
        <v>#DIV/0!</v>
      </c>
      <c r="CD207" s="79">
        <f t="shared" si="573"/>
        <v>0</v>
      </c>
      <c r="CE207" s="30">
        <f t="shared" si="574"/>
        <v>0</v>
      </c>
      <c r="CF207" s="78" t="e">
        <f t="shared" si="529"/>
        <v>#DIV/0!</v>
      </c>
      <c r="CG207" s="79">
        <f t="shared" si="575"/>
        <v>0</v>
      </c>
      <c r="CH207" s="30">
        <f t="shared" si="576"/>
        <v>0</v>
      </c>
      <c r="CI207" s="78" t="e">
        <f t="shared" si="530"/>
        <v>#DIV/0!</v>
      </c>
      <c r="CJ207" s="79">
        <f t="shared" si="577"/>
        <v>0</v>
      </c>
      <c r="CK207" s="30">
        <f t="shared" si="578"/>
        <v>0</v>
      </c>
      <c r="CL207" s="78" t="e">
        <f t="shared" si="531"/>
        <v>#DIV/0!</v>
      </c>
      <c r="CM207" s="79">
        <f t="shared" si="579"/>
        <v>0</v>
      </c>
      <c r="CN207" s="30">
        <f t="shared" si="580"/>
        <v>0</v>
      </c>
      <c r="CO207" s="78" t="e">
        <f t="shared" si="532"/>
        <v>#DIV/0!</v>
      </c>
      <c r="CP207" s="79">
        <f t="shared" si="581"/>
        <v>0</v>
      </c>
      <c r="CQ207" s="30">
        <f t="shared" si="582"/>
        <v>0</v>
      </c>
      <c r="CR207" s="78" t="e">
        <f t="shared" si="533"/>
        <v>#DIV/0!</v>
      </c>
      <c r="CS207" s="79">
        <f t="shared" si="583"/>
        <v>0</v>
      </c>
      <c r="CT207" s="30">
        <f t="shared" si="584"/>
        <v>0</v>
      </c>
      <c r="CU207" s="78" t="e">
        <f t="shared" si="534"/>
        <v>#DIV/0!</v>
      </c>
      <c r="CV207" s="79">
        <f t="shared" si="585"/>
        <v>0</v>
      </c>
      <c r="CW207" s="30">
        <f t="shared" si="586"/>
        <v>0</v>
      </c>
      <c r="CX207" s="78" t="e">
        <f t="shared" si="535"/>
        <v>#DIV/0!</v>
      </c>
      <c r="CY207" s="79">
        <f t="shared" si="587"/>
        <v>0</v>
      </c>
      <c r="CZ207" s="30">
        <f t="shared" si="588"/>
        <v>0</v>
      </c>
      <c r="DA207" s="78" t="e">
        <f t="shared" si="536"/>
        <v>#DIV/0!</v>
      </c>
      <c r="DB207" s="79">
        <f t="shared" si="589"/>
        <v>0</v>
      </c>
      <c r="DC207" s="30">
        <f t="shared" si="590"/>
        <v>0</v>
      </c>
      <c r="DD207" s="78" t="e">
        <f t="shared" si="537"/>
        <v>#DIV/0!</v>
      </c>
      <c r="DE207" s="79">
        <f t="shared" si="591"/>
        <v>0</v>
      </c>
      <c r="DF207" s="30">
        <f t="shared" si="592"/>
        <v>0</v>
      </c>
      <c r="DG207" s="78" t="e">
        <f t="shared" si="538"/>
        <v>#DIV/0!</v>
      </c>
      <c r="DH207" s="79">
        <f t="shared" si="593"/>
        <v>0</v>
      </c>
      <c r="DI207" s="30">
        <f t="shared" si="594"/>
        <v>0</v>
      </c>
      <c r="DJ207" s="78" t="e">
        <f t="shared" si="539"/>
        <v>#DIV/0!</v>
      </c>
      <c r="DK207" s="79">
        <f t="shared" si="595"/>
        <v>0</v>
      </c>
      <c r="DL207" s="30">
        <f t="shared" si="596"/>
        <v>0</v>
      </c>
      <c r="DM207" s="78" t="e">
        <f t="shared" si="540"/>
        <v>#DIV/0!</v>
      </c>
      <c r="DN207" s="79">
        <f t="shared" si="541"/>
        <v>0</v>
      </c>
      <c r="DO207" s="30">
        <f t="shared" si="542"/>
        <v>0</v>
      </c>
      <c r="DP207" s="78" t="e">
        <f t="shared" si="543"/>
        <v>#DIV/0!</v>
      </c>
      <c r="DQ207" s="79">
        <f t="shared" si="597"/>
        <v>0</v>
      </c>
      <c r="DR207" s="30">
        <f t="shared" si="598"/>
        <v>0</v>
      </c>
      <c r="DS207" s="78" t="e">
        <f t="shared" si="544"/>
        <v>#DIV/0!</v>
      </c>
      <c r="DT207" s="79">
        <f t="shared" si="599"/>
        <v>0</v>
      </c>
      <c r="DU207" s="30">
        <f t="shared" si="600"/>
        <v>0</v>
      </c>
      <c r="DV207" s="78" t="e">
        <f t="shared" si="545"/>
        <v>#DIV/0!</v>
      </c>
      <c r="DW207" s="79">
        <f t="shared" si="601"/>
        <v>0</v>
      </c>
      <c r="DX207" s="30">
        <f t="shared" si="602"/>
        <v>0</v>
      </c>
      <c r="DY207" s="78" t="e">
        <f t="shared" si="546"/>
        <v>#DIV/0!</v>
      </c>
      <c r="DZ207" s="79">
        <f t="shared" si="603"/>
        <v>0</v>
      </c>
      <c r="EA207" s="30">
        <f t="shared" si="604"/>
        <v>0</v>
      </c>
      <c r="EB207" s="78" t="e">
        <f t="shared" si="547"/>
        <v>#DIV/0!</v>
      </c>
      <c r="EC207" s="79">
        <f t="shared" si="605"/>
        <v>0</v>
      </c>
      <c r="ED207" s="30">
        <f t="shared" si="606"/>
        <v>0</v>
      </c>
      <c r="EE207" s="78" t="e">
        <f t="shared" si="548"/>
        <v>#DIV/0!</v>
      </c>
      <c r="EF207" s="79">
        <f t="shared" si="607"/>
        <v>0</v>
      </c>
      <c r="EG207" s="30">
        <f t="shared" si="608"/>
        <v>0</v>
      </c>
      <c r="EH207" s="78" t="e">
        <f t="shared" si="549"/>
        <v>#DIV/0!</v>
      </c>
      <c r="EI207" s="79">
        <f t="shared" si="609"/>
        <v>0</v>
      </c>
      <c r="EJ207" s="30">
        <f t="shared" si="610"/>
        <v>0</v>
      </c>
      <c r="EK207" s="78" t="e">
        <f t="shared" si="550"/>
        <v>#DIV/0!</v>
      </c>
    </row>
    <row r="208" spans="1:141" s="12" customFormat="1" ht="14.25" hidden="1" customHeight="1">
      <c r="A208" s="30">
        <v>49</v>
      </c>
      <c r="B208" s="26">
        <v>3438</v>
      </c>
      <c r="C208" s="85" t="s">
        <v>123</v>
      </c>
      <c r="D208" s="24"/>
      <c r="E208" s="60"/>
      <c r="F208" s="59"/>
      <c r="G208" s="82">
        <f t="shared" si="480"/>
        <v>0</v>
      </c>
      <c r="H208" s="81">
        <f t="shared" si="481"/>
        <v>0</v>
      </c>
      <c r="I208" s="19">
        <f t="shared" si="482"/>
        <v>0</v>
      </c>
      <c r="J208" s="11">
        <f t="shared" si="483"/>
        <v>0</v>
      </c>
      <c r="K208" s="19">
        <f t="shared" si="484"/>
        <v>0</v>
      </c>
      <c r="L208" s="19">
        <f t="shared" si="485"/>
        <v>0</v>
      </c>
      <c r="M208" s="19">
        <f t="shared" si="486"/>
        <v>0</v>
      </c>
      <c r="N208" s="19">
        <f t="shared" si="487"/>
        <v>0</v>
      </c>
      <c r="O208" s="19">
        <f t="shared" si="488"/>
        <v>0</v>
      </c>
      <c r="P208" s="19">
        <f t="shared" si="489"/>
        <v>0</v>
      </c>
      <c r="Q208" s="19">
        <f t="shared" si="490"/>
        <v>0</v>
      </c>
      <c r="R208" s="19">
        <f t="shared" si="491"/>
        <v>0</v>
      </c>
      <c r="S208" s="19">
        <f t="shared" si="492"/>
        <v>0</v>
      </c>
      <c r="T208" s="19">
        <f t="shared" si="493"/>
        <v>0</v>
      </c>
      <c r="U208" s="19">
        <f t="shared" si="494"/>
        <v>0</v>
      </c>
      <c r="V208" s="19">
        <f t="shared" si="495"/>
        <v>0</v>
      </c>
      <c r="W208" s="19">
        <f t="shared" si="496"/>
        <v>0</v>
      </c>
      <c r="X208" s="19">
        <f t="shared" si="497"/>
        <v>0</v>
      </c>
      <c r="Y208" s="19">
        <f t="shared" si="498"/>
        <v>0</v>
      </c>
      <c r="Z208" s="19">
        <f t="shared" si="499"/>
        <v>0</v>
      </c>
      <c r="AA208" s="18"/>
      <c r="AB208" s="56">
        <f t="shared" si="500"/>
        <v>0</v>
      </c>
      <c r="AC208" s="16">
        <f t="shared" si="501"/>
        <v>0</v>
      </c>
      <c r="AD208" s="15" t="e">
        <f t="shared" si="502"/>
        <v>#DIV/0!</v>
      </c>
      <c r="AE208" s="42"/>
      <c r="AF208" s="10" t="e">
        <f t="shared" si="503"/>
        <v>#DIV/0!</v>
      </c>
      <c r="AG208" s="10"/>
      <c r="AH208" s="21">
        <f t="shared" si="504"/>
        <v>0</v>
      </c>
      <c r="AI208" s="54" t="e">
        <f t="shared" si="505"/>
        <v>#DIV/0!</v>
      </c>
      <c r="AJ208" s="25">
        <f t="shared" si="506"/>
        <v>0</v>
      </c>
      <c r="AK208" s="25">
        <f t="shared" si="507"/>
        <v>0</v>
      </c>
      <c r="AL208" s="25">
        <f t="shared" si="508"/>
        <v>0</v>
      </c>
      <c r="AM208" s="25">
        <f t="shared" si="509"/>
        <v>0</v>
      </c>
      <c r="AN208" s="25">
        <f t="shared" si="510"/>
        <v>0</v>
      </c>
      <c r="AO208" s="25">
        <f t="shared" si="511"/>
        <v>0</v>
      </c>
      <c r="AP208" s="25">
        <f t="shared" si="512"/>
        <v>0</v>
      </c>
      <c r="AQ208" s="25">
        <f t="shared" si="513"/>
        <v>0</v>
      </c>
      <c r="AR208" s="25">
        <f t="shared" si="514"/>
        <v>0</v>
      </c>
      <c r="AS208" s="25">
        <f t="shared" si="515"/>
        <v>0</v>
      </c>
      <c r="AT208" s="25">
        <f t="shared" si="516"/>
        <v>0</v>
      </c>
      <c r="AU208" s="80"/>
      <c r="AV208" s="79">
        <f t="shared" si="517"/>
        <v>0</v>
      </c>
      <c r="AW208" s="79">
        <f t="shared" si="551"/>
        <v>0</v>
      </c>
      <c r="AX208" s="30">
        <f t="shared" si="552"/>
        <v>0</v>
      </c>
      <c r="AY208" s="78" t="e">
        <f t="shared" si="518"/>
        <v>#DIV/0!</v>
      </c>
      <c r="AZ208" s="79">
        <f t="shared" si="553"/>
        <v>0</v>
      </c>
      <c r="BA208" s="30">
        <f t="shared" si="554"/>
        <v>0</v>
      </c>
      <c r="BB208" s="78" t="e">
        <f t="shared" si="519"/>
        <v>#DIV/0!</v>
      </c>
      <c r="BC208" s="79">
        <f t="shared" si="555"/>
        <v>0</v>
      </c>
      <c r="BD208" s="30">
        <f t="shared" si="556"/>
        <v>0</v>
      </c>
      <c r="BE208" s="78" t="e">
        <f t="shared" si="520"/>
        <v>#DIV/0!</v>
      </c>
      <c r="BF208" s="79">
        <f t="shared" si="557"/>
        <v>0</v>
      </c>
      <c r="BG208" s="30">
        <f t="shared" si="558"/>
        <v>0</v>
      </c>
      <c r="BH208" s="78" t="e">
        <f t="shared" si="521"/>
        <v>#DIV/0!</v>
      </c>
      <c r="BI208" s="79">
        <f t="shared" si="559"/>
        <v>0</v>
      </c>
      <c r="BJ208" s="30">
        <f t="shared" si="560"/>
        <v>0</v>
      </c>
      <c r="BK208" s="78" t="e">
        <f t="shared" si="522"/>
        <v>#DIV/0!</v>
      </c>
      <c r="BL208" s="79">
        <f t="shared" si="561"/>
        <v>0</v>
      </c>
      <c r="BM208" s="30">
        <f t="shared" si="562"/>
        <v>0</v>
      </c>
      <c r="BN208" s="78" t="e">
        <f t="shared" si="523"/>
        <v>#DIV/0!</v>
      </c>
      <c r="BO208" s="79">
        <f t="shared" si="563"/>
        <v>0</v>
      </c>
      <c r="BP208" s="30">
        <f t="shared" si="564"/>
        <v>0</v>
      </c>
      <c r="BQ208" s="78" t="e">
        <f t="shared" si="524"/>
        <v>#DIV/0!</v>
      </c>
      <c r="BR208" s="79">
        <f t="shared" si="565"/>
        <v>0</v>
      </c>
      <c r="BS208" s="30">
        <f t="shared" si="566"/>
        <v>0</v>
      </c>
      <c r="BT208" s="78" t="e">
        <f t="shared" si="525"/>
        <v>#DIV/0!</v>
      </c>
      <c r="BU208" s="79">
        <f t="shared" si="567"/>
        <v>0</v>
      </c>
      <c r="BV208" s="30">
        <f t="shared" si="568"/>
        <v>0</v>
      </c>
      <c r="BW208" s="78" t="e">
        <f t="shared" si="526"/>
        <v>#DIV/0!</v>
      </c>
      <c r="BX208" s="79">
        <f t="shared" si="569"/>
        <v>0</v>
      </c>
      <c r="BY208" s="30">
        <f t="shared" si="570"/>
        <v>0</v>
      </c>
      <c r="BZ208" s="78" t="e">
        <f t="shared" si="527"/>
        <v>#DIV/0!</v>
      </c>
      <c r="CA208" s="79">
        <f t="shared" si="571"/>
        <v>0</v>
      </c>
      <c r="CB208" s="30">
        <f t="shared" si="572"/>
        <v>0</v>
      </c>
      <c r="CC208" s="78" t="e">
        <f t="shared" si="528"/>
        <v>#DIV/0!</v>
      </c>
      <c r="CD208" s="79">
        <f t="shared" si="573"/>
        <v>0</v>
      </c>
      <c r="CE208" s="30">
        <f t="shared" si="574"/>
        <v>0</v>
      </c>
      <c r="CF208" s="78" t="e">
        <f t="shared" si="529"/>
        <v>#DIV/0!</v>
      </c>
      <c r="CG208" s="79">
        <f t="shared" si="575"/>
        <v>0</v>
      </c>
      <c r="CH208" s="30">
        <f t="shared" si="576"/>
        <v>0</v>
      </c>
      <c r="CI208" s="78" t="e">
        <f t="shared" si="530"/>
        <v>#DIV/0!</v>
      </c>
      <c r="CJ208" s="79">
        <f t="shared" si="577"/>
        <v>0</v>
      </c>
      <c r="CK208" s="30">
        <f t="shared" si="578"/>
        <v>0</v>
      </c>
      <c r="CL208" s="78" t="e">
        <f t="shared" si="531"/>
        <v>#DIV/0!</v>
      </c>
      <c r="CM208" s="79">
        <f t="shared" si="579"/>
        <v>0</v>
      </c>
      <c r="CN208" s="30">
        <f t="shared" si="580"/>
        <v>0</v>
      </c>
      <c r="CO208" s="78" t="e">
        <f t="shared" si="532"/>
        <v>#DIV/0!</v>
      </c>
      <c r="CP208" s="79">
        <f t="shared" si="581"/>
        <v>0</v>
      </c>
      <c r="CQ208" s="30">
        <f t="shared" si="582"/>
        <v>0</v>
      </c>
      <c r="CR208" s="78" t="e">
        <f t="shared" si="533"/>
        <v>#DIV/0!</v>
      </c>
      <c r="CS208" s="79">
        <f t="shared" si="583"/>
        <v>0</v>
      </c>
      <c r="CT208" s="30">
        <f t="shared" si="584"/>
        <v>0</v>
      </c>
      <c r="CU208" s="78" t="e">
        <f t="shared" si="534"/>
        <v>#DIV/0!</v>
      </c>
      <c r="CV208" s="79">
        <f t="shared" si="585"/>
        <v>0</v>
      </c>
      <c r="CW208" s="30">
        <f t="shared" si="586"/>
        <v>0</v>
      </c>
      <c r="CX208" s="78" t="e">
        <f t="shared" si="535"/>
        <v>#DIV/0!</v>
      </c>
      <c r="CY208" s="79">
        <f t="shared" si="587"/>
        <v>0</v>
      </c>
      <c r="CZ208" s="30">
        <f t="shared" si="588"/>
        <v>0</v>
      </c>
      <c r="DA208" s="78" t="e">
        <f t="shared" si="536"/>
        <v>#DIV/0!</v>
      </c>
      <c r="DB208" s="79">
        <f t="shared" si="589"/>
        <v>0</v>
      </c>
      <c r="DC208" s="30">
        <f t="shared" si="590"/>
        <v>0</v>
      </c>
      <c r="DD208" s="78" t="e">
        <f t="shared" si="537"/>
        <v>#DIV/0!</v>
      </c>
      <c r="DE208" s="79">
        <f t="shared" si="591"/>
        <v>0</v>
      </c>
      <c r="DF208" s="30">
        <f t="shared" si="592"/>
        <v>0</v>
      </c>
      <c r="DG208" s="78" t="e">
        <f t="shared" si="538"/>
        <v>#DIV/0!</v>
      </c>
      <c r="DH208" s="79">
        <f t="shared" si="593"/>
        <v>0</v>
      </c>
      <c r="DI208" s="30">
        <f t="shared" si="594"/>
        <v>0</v>
      </c>
      <c r="DJ208" s="78" t="e">
        <f t="shared" si="539"/>
        <v>#DIV/0!</v>
      </c>
      <c r="DK208" s="79">
        <f t="shared" si="595"/>
        <v>0</v>
      </c>
      <c r="DL208" s="30">
        <f t="shared" si="596"/>
        <v>0</v>
      </c>
      <c r="DM208" s="78" t="e">
        <f t="shared" si="540"/>
        <v>#DIV/0!</v>
      </c>
      <c r="DN208" s="79">
        <f t="shared" si="541"/>
        <v>0</v>
      </c>
      <c r="DO208" s="30">
        <f t="shared" si="542"/>
        <v>0</v>
      </c>
      <c r="DP208" s="78" t="e">
        <f t="shared" si="543"/>
        <v>#DIV/0!</v>
      </c>
      <c r="DQ208" s="79">
        <f t="shared" si="597"/>
        <v>0</v>
      </c>
      <c r="DR208" s="30">
        <f t="shared" si="598"/>
        <v>0</v>
      </c>
      <c r="DS208" s="78" t="e">
        <f t="shared" si="544"/>
        <v>#DIV/0!</v>
      </c>
      <c r="DT208" s="79">
        <f t="shared" si="599"/>
        <v>0</v>
      </c>
      <c r="DU208" s="30">
        <f t="shared" si="600"/>
        <v>0</v>
      </c>
      <c r="DV208" s="78" t="e">
        <f t="shared" si="545"/>
        <v>#DIV/0!</v>
      </c>
      <c r="DW208" s="79">
        <f t="shared" si="601"/>
        <v>0</v>
      </c>
      <c r="DX208" s="30">
        <f t="shared" si="602"/>
        <v>0</v>
      </c>
      <c r="DY208" s="78" t="e">
        <f t="shared" si="546"/>
        <v>#DIV/0!</v>
      </c>
      <c r="DZ208" s="79">
        <f t="shared" si="603"/>
        <v>0</v>
      </c>
      <c r="EA208" s="30">
        <f t="shared" si="604"/>
        <v>0</v>
      </c>
      <c r="EB208" s="78" t="e">
        <f t="shared" si="547"/>
        <v>#DIV/0!</v>
      </c>
      <c r="EC208" s="79">
        <f t="shared" si="605"/>
        <v>0</v>
      </c>
      <c r="ED208" s="30">
        <f t="shared" si="606"/>
        <v>0</v>
      </c>
      <c r="EE208" s="78" t="e">
        <f t="shared" si="548"/>
        <v>#DIV/0!</v>
      </c>
      <c r="EF208" s="79">
        <f t="shared" si="607"/>
        <v>0</v>
      </c>
      <c r="EG208" s="30">
        <f t="shared" si="608"/>
        <v>0</v>
      </c>
      <c r="EH208" s="78" t="e">
        <f t="shared" si="549"/>
        <v>#DIV/0!</v>
      </c>
      <c r="EI208" s="79">
        <f t="shared" si="609"/>
        <v>0</v>
      </c>
      <c r="EJ208" s="30">
        <f t="shared" si="610"/>
        <v>0</v>
      </c>
      <c r="EK208" s="78" t="e">
        <f t="shared" si="550"/>
        <v>#DIV/0!</v>
      </c>
    </row>
    <row r="209" spans="1:141" s="12" customFormat="1" ht="14.25" hidden="1" customHeight="1">
      <c r="A209" s="25">
        <v>50</v>
      </c>
      <c r="B209" s="26">
        <v>3880</v>
      </c>
      <c r="C209" s="86" t="s">
        <v>122</v>
      </c>
      <c r="D209" s="24"/>
      <c r="E209" s="60"/>
      <c r="F209" s="59"/>
      <c r="G209" s="82">
        <f t="shared" si="480"/>
        <v>0</v>
      </c>
      <c r="H209" s="81">
        <f t="shared" si="481"/>
        <v>0</v>
      </c>
      <c r="I209" s="19">
        <f t="shared" si="482"/>
        <v>0</v>
      </c>
      <c r="J209" s="11">
        <f t="shared" si="483"/>
        <v>0</v>
      </c>
      <c r="K209" s="19">
        <f t="shared" si="484"/>
        <v>0</v>
      </c>
      <c r="L209" s="19">
        <f t="shared" si="485"/>
        <v>0</v>
      </c>
      <c r="M209" s="19">
        <f t="shared" si="486"/>
        <v>0</v>
      </c>
      <c r="N209" s="19">
        <f t="shared" si="487"/>
        <v>0</v>
      </c>
      <c r="O209" s="19">
        <f t="shared" si="488"/>
        <v>0</v>
      </c>
      <c r="P209" s="19">
        <f t="shared" si="489"/>
        <v>0</v>
      </c>
      <c r="Q209" s="19">
        <f t="shared" si="490"/>
        <v>0</v>
      </c>
      <c r="R209" s="19">
        <f t="shared" si="491"/>
        <v>0</v>
      </c>
      <c r="S209" s="19">
        <f t="shared" si="492"/>
        <v>0</v>
      </c>
      <c r="T209" s="19">
        <f t="shared" si="493"/>
        <v>0</v>
      </c>
      <c r="U209" s="19">
        <f t="shared" si="494"/>
        <v>0</v>
      </c>
      <c r="V209" s="19">
        <f t="shared" si="495"/>
        <v>0</v>
      </c>
      <c r="W209" s="19">
        <f t="shared" si="496"/>
        <v>0</v>
      </c>
      <c r="X209" s="19">
        <f t="shared" si="497"/>
        <v>0</v>
      </c>
      <c r="Y209" s="19">
        <f t="shared" si="498"/>
        <v>0</v>
      </c>
      <c r="Z209" s="19">
        <f t="shared" si="499"/>
        <v>0</v>
      </c>
      <c r="AA209" s="18"/>
      <c r="AB209" s="56">
        <f t="shared" si="500"/>
        <v>0</v>
      </c>
      <c r="AC209" s="16">
        <f t="shared" si="501"/>
        <v>0</v>
      </c>
      <c r="AD209" s="15" t="e">
        <f t="shared" si="502"/>
        <v>#DIV/0!</v>
      </c>
      <c r="AE209" s="42"/>
      <c r="AF209" s="10" t="e">
        <f t="shared" si="503"/>
        <v>#DIV/0!</v>
      </c>
      <c r="AG209" s="10"/>
      <c r="AH209" s="21">
        <f t="shared" si="504"/>
        <v>0</v>
      </c>
      <c r="AI209" s="54" t="e">
        <f t="shared" si="505"/>
        <v>#DIV/0!</v>
      </c>
      <c r="AJ209" s="25">
        <f t="shared" si="506"/>
        <v>0</v>
      </c>
      <c r="AK209" s="25">
        <f t="shared" si="507"/>
        <v>0</v>
      </c>
      <c r="AL209" s="25">
        <f t="shared" si="508"/>
        <v>0</v>
      </c>
      <c r="AM209" s="25">
        <f t="shared" si="509"/>
        <v>0</v>
      </c>
      <c r="AN209" s="25">
        <f t="shared" si="510"/>
        <v>0</v>
      </c>
      <c r="AO209" s="25">
        <f t="shared" si="511"/>
        <v>0</v>
      </c>
      <c r="AP209" s="25">
        <f t="shared" si="512"/>
        <v>0</v>
      </c>
      <c r="AQ209" s="25">
        <f t="shared" si="513"/>
        <v>0</v>
      </c>
      <c r="AR209" s="25">
        <f t="shared" si="514"/>
        <v>0</v>
      </c>
      <c r="AS209" s="25">
        <f t="shared" si="515"/>
        <v>0</v>
      </c>
      <c r="AT209" s="25">
        <f t="shared" si="516"/>
        <v>0</v>
      </c>
      <c r="AU209" s="80"/>
      <c r="AV209" s="79">
        <f t="shared" si="517"/>
        <v>0</v>
      </c>
      <c r="AW209" s="79">
        <f t="shared" si="551"/>
        <v>0</v>
      </c>
      <c r="AX209" s="30">
        <f t="shared" si="552"/>
        <v>0</v>
      </c>
      <c r="AY209" s="78" t="e">
        <f t="shared" si="518"/>
        <v>#DIV/0!</v>
      </c>
      <c r="AZ209" s="79">
        <f t="shared" si="553"/>
        <v>0</v>
      </c>
      <c r="BA209" s="30">
        <f t="shared" si="554"/>
        <v>0</v>
      </c>
      <c r="BB209" s="78" t="e">
        <f t="shared" si="519"/>
        <v>#DIV/0!</v>
      </c>
      <c r="BC209" s="79">
        <f t="shared" si="555"/>
        <v>0</v>
      </c>
      <c r="BD209" s="30">
        <f t="shared" si="556"/>
        <v>0</v>
      </c>
      <c r="BE209" s="78" t="e">
        <f t="shared" si="520"/>
        <v>#DIV/0!</v>
      </c>
      <c r="BF209" s="79">
        <f t="shared" si="557"/>
        <v>0</v>
      </c>
      <c r="BG209" s="30">
        <f t="shared" si="558"/>
        <v>0</v>
      </c>
      <c r="BH209" s="78" t="e">
        <f t="shared" si="521"/>
        <v>#DIV/0!</v>
      </c>
      <c r="BI209" s="79">
        <f t="shared" si="559"/>
        <v>0</v>
      </c>
      <c r="BJ209" s="30">
        <f t="shared" si="560"/>
        <v>0</v>
      </c>
      <c r="BK209" s="78" t="e">
        <f t="shared" si="522"/>
        <v>#DIV/0!</v>
      </c>
      <c r="BL209" s="79">
        <f t="shared" si="561"/>
        <v>0</v>
      </c>
      <c r="BM209" s="30">
        <f t="shared" si="562"/>
        <v>0</v>
      </c>
      <c r="BN209" s="78" t="e">
        <f t="shared" si="523"/>
        <v>#DIV/0!</v>
      </c>
      <c r="BO209" s="79">
        <f t="shared" si="563"/>
        <v>0</v>
      </c>
      <c r="BP209" s="30">
        <f t="shared" si="564"/>
        <v>0</v>
      </c>
      <c r="BQ209" s="78" t="e">
        <f t="shared" si="524"/>
        <v>#DIV/0!</v>
      </c>
      <c r="BR209" s="79">
        <f t="shared" si="565"/>
        <v>0</v>
      </c>
      <c r="BS209" s="30">
        <f t="shared" si="566"/>
        <v>0</v>
      </c>
      <c r="BT209" s="78" t="e">
        <f t="shared" si="525"/>
        <v>#DIV/0!</v>
      </c>
      <c r="BU209" s="79">
        <f t="shared" si="567"/>
        <v>0</v>
      </c>
      <c r="BV209" s="30">
        <f t="shared" si="568"/>
        <v>0</v>
      </c>
      <c r="BW209" s="78" t="e">
        <f t="shared" si="526"/>
        <v>#DIV/0!</v>
      </c>
      <c r="BX209" s="79">
        <f t="shared" si="569"/>
        <v>0</v>
      </c>
      <c r="BY209" s="30">
        <f t="shared" si="570"/>
        <v>0</v>
      </c>
      <c r="BZ209" s="78" t="e">
        <f t="shared" si="527"/>
        <v>#DIV/0!</v>
      </c>
      <c r="CA209" s="79">
        <f t="shared" si="571"/>
        <v>0</v>
      </c>
      <c r="CB209" s="30">
        <f t="shared" si="572"/>
        <v>0</v>
      </c>
      <c r="CC209" s="78" t="e">
        <f t="shared" si="528"/>
        <v>#DIV/0!</v>
      </c>
      <c r="CD209" s="79">
        <f t="shared" si="573"/>
        <v>0</v>
      </c>
      <c r="CE209" s="30">
        <f t="shared" si="574"/>
        <v>0</v>
      </c>
      <c r="CF209" s="78" t="e">
        <f t="shared" si="529"/>
        <v>#DIV/0!</v>
      </c>
      <c r="CG209" s="79">
        <f t="shared" si="575"/>
        <v>0</v>
      </c>
      <c r="CH209" s="30">
        <f t="shared" si="576"/>
        <v>0</v>
      </c>
      <c r="CI209" s="78" t="e">
        <f t="shared" si="530"/>
        <v>#DIV/0!</v>
      </c>
      <c r="CJ209" s="79">
        <f t="shared" si="577"/>
        <v>0</v>
      </c>
      <c r="CK209" s="30">
        <f t="shared" si="578"/>
        <v>0</v>
      </c>
      <c r="CL209" s="78" t="e">
        <f t="shared" si="531"/>
        <v>#DIV/0!</v>
      </c>
      <c r="CM209" s="79">
        <f t="shared" si="579"/>
        <v>0</v>
      </c>
      <c r="CN209" s="30">
        <f t="shared" si="580"/>
        <v>0</v>
      </c>
      <c r="CO209" s="78" t="e">
        <f t="shared" si="532"/>
        <v>#DIV/0!</v>
      </c>
      <c r="CP209" s="79">
        <f t="shared" si="581"/>
        <v>0</v>
      </c>
      <c r="CQ209" s="30">
        <f t="shared" si="582"/>
        <v>0</v>
      </c>
      <c r="CR209" s="78" t="e">
        <f t="shared" si="533"/>
        <v>#DIV/0!</v>
      </c>
      <c r="CS209" s="79">
        <f t="shared" si="583"/>
        <v>0</v>
      </c>
      <c r="CT209" s="30">
        <f t="shared" si="584"/>
        <v>0</v>
      </c>
      <c r="CU209" s="78" t="e">
        <f t="shared" si="534"/>
        <v>#DIV/0!</v>
      </c>
      <c r="CV209" s="79">
        <f t="shared" si="585"/>
        <v>0</v>
      </c>
      <c r="CW209" s="30">
        <f t="shared" si="586"/>
        <v>0</v>
      </c>
      <c r="CX209" s="78" t="e">
        <f t="shared" si="535"/>
        <v>#DIV/0!</v>
      </c>
      <c r="CY209" s="79">
        <f t="shared" si="587"/>
        <v>0</v>
      </c>
      <c r="CZ209" s="30">
        <f t="shared" si="588"/>
        <v>0</v>
      </c>
      <c r="DA209" s="78" t="e">
        <f t="shared" si="536"/>
        <v>#DIV/0!</v>
      </c>
      <c r="DB209" s="79">
        <f t="shared" si="589"/>
        <v>0</v>
      </c>
      <c r="DC209" s="30">
        <f t="shared" si="590"/>
        <v>0</v>
      </c>
      <c r="DD209" s="78" t="e">
        <f t="shared" si="537"/>
        <v>#DIV/0!</v>
      </c>
      <c r="DE209" s="79">
        <f t="shared" si="591"/>
        <v>0</v>
      </c>
      <c r="DF209" s="30">
        <f t="shared" si="592"/>
        <v>0</v>
      </c>
      <c r="DG209" s="78" t="e">
        <f t="shared" si="538"/>
        <v>#DIV/0!</v>
      </c>
      <c r="DH209" s="79">
        <f t="shared" si="593"/>
        <v>0</v>
      </c>
      <c r="DI209" s="30">
        <f t="shared" si="594"/>
        <v>0</v>
      </c>
      <c r="DJ209" s="78" t="e">
        <f t="shared" si="539"/>
        <v>#DIV/0!</v>
      </c>
      <c r="DK209" s="79">
        <f t="shared" si="595"/>
        <v>0</v>
      </c>
      <c r="DL209" s="30">
        <f t="shared" si="596"/>
        <v>0</v>
      </c>
      <c r="DM209" s="78" t="e">
        <f t="shared" si="540"/>
        <v>#DIV/0!</v>
      </c>
      <c r="DN209" s="79">
        <f t="shared" si="541"/>
        <v>0</v>
      </c>
      <c r="DO209" s="30">
        <f t="shared" si="542"/>
        <v>0</v>
      </c>
      <c r="DP209" s="78" t="e">
        <f t="shared" si="543"/>
        <v>#DIV/0!</v>
      </c>
      <c r="DQ209" s="79">
        <f t="shared" si="597"/>
        <v>0</v>
      </c>
      <c r="DR209" s="30">
        <f t="shared" si="598"/>
        <v>0</v>
      </c>
      <c r="DS209" s="78" t="e">
        <f t="shared" si="544"/>
        <v>#DIV/0!</v>
      </c>
      <c r="DT209" s="79">
        <f t="shared" si="599"/>
        <v>0</v>
      </c>
      <c r="DU209" s="30">
        <f t="shared" si="600"/>
        <v>0</v>
      </c>
      <c r="DV209" s="78" t="e">
        <f t="shared" si="545"/>
        <v>#DIV/0!</v>
      </c>
      <c r="DW209" s="79">
        <f t="shared" si="601"/>
        <v>0</v>
      </c>
      <c r="DX209" s="30">
        <f t="shared" si="602"/>
        <v>0</v>
      </c>
      <c r="DY209" s="78" t="e">
        <f t="shared" si="546"/>
        <v>#DIV/0!</v>
      </c>
      <c r="DZ209" s="79">
        <f t="shared" si="603"/>
        <v>0</v>
      </c>
      <c r="EA209" s="30">
        <f t="shared" si="604"/>
        <v>0</v>
      </c>
      <c r="EB209" s="78" t="e">
        <f t="shared" si="547"/>
        <v>#DIV/0!</v>
      </c>
      <c r="EC209" s="79">
        <f t="shared" si="605"/>
        <v>0</v>
      </c>
      <c r="ED209" s="30">
        <f t="shared" si="606"/>
        <v>0</v>
      </c>
      <c r="EE209" s="78" t="e">
        <f t="shared" si="548"/>
        <v>#DIV/0!</v>
      </c>
      <c r="EF209" s="79">
        <f t="shared" si="607"/>
        <v>0</v>
      </c>
      <c r="EG209" s="30">
        <f t="shared" si="608"/>
        <v>0</v>
      </c>
      <c r="EH209" s="78" t="e">
        <f t="shared" si="549"/>
        <v>#DIV/0!</v>
      </c>
      <c r="EI209" s="79">
        <f t="shared" si="609"/>
        <v>0</v>
      </c>
      <c r="EJ209" s="30">
        <f t="shared" si="610"/>
        <v>0</v>
      </c>
      <c r="EK209" s="78" t="e">
        <f t="shared" si="550"/>
        <v>#DIV/0!</v>
      </c>
    </row>
    <row r="210" spans="1:141" s="12" customFormat="1" ht="14.25" hidden="1" customHeight="1">
      <c r="A210" s="30">
        <v>51</v>
      </c>
      <c r="B210" s="26">
        <v>1080</v>
      </c>
      <c r="C210" s="85" t="s">
        <v>121</v>
      </c>
      <c r="D210" s="24"/>
      <c r="E210" s="60"/>
      <c r="F210" s="59"/>
      <c r="G210" s="82">
        <f t="shared" si="480"/>
        <v>0</v>
      </c>
      <c r="H210" s="81">
        <f t="shared" si="481"/>
        <v>0</v>
      </c>
      <c r="I210" s="19">
        <f t="shared" si="482"/>
        <v>0</v>
      </c>
      <c r="J210" s="11">
        <f t="shared" si="483"/>
        <v>0</v>
      </c>
      <c r="K210" s="19">
        <f t="shared" si="484"/>
        <v>0</v>
      </c>
      <c r="L210" s="19">
        <f t="shared" si="485"/>
        <v>0</v>
      </c>
      <c r="M210" s="19">
        <f t="shared" si="486"/>
        <v>0</v>
      </c>
      <c r="N210" s="19">
        <f t="shared" si="487"/>
        <v>0</v>
      </c>
      <c r="O210" s="19">
        <f t="shared" si="488"/>
        <v>0</v>
      </c>
      <c r="P210" s="19">
        <f t="shared" si="489"/>
        <v>0</v>
      </c>
      <c r="Q210" s="19">
        <f t="shared" si="490"/>
        <v>0</v>
      </c>
      <c r="R210" s="19">
        <f t="shared" si="491"/>
        <v>0</v>
      </c>
      <c r="S210" s="19">
        <f t="shared" si="492"/>
        <v>0</v>
      </c>
      <c r="T210" s="19">
        <f t="shared" si="493"/>
        <v>0</v>
      </c>
      <c r="U210" s="19">
        <f t="shared" si="494"/>
        <v>0</v>
      </c>
      <c r="V210" s="19">
        <f t="shared" si="495"/>
        <v>0</v>
      </c>
      <c r="W210" s="19">
        <f t="shared" si="496"/>
        <v>0</v>
      </c>
      <c r="X210" s="19">
        <f t="shared" si="497"/>
        <v>0</v>
      </c>
      <c r="Y210" s="19">
        <f t="shared" si="498"/>
        <v>0</v>
      </c>
      <c r="Z210" s="19">
        <f t="shared" si="499"/>
        <v>0</v>
      </c>
      <c r="AA210" s="18"/>
      <c r="AB210" s="56">
        <f t="shared" si="500"/>
        <v>0</v>
      </c>
      <c r="AC210" s="16">
        <f t="shared" si="501"/>
        <v>0</v>
      </c>
      <c r="AD210" s="15" t="e">
        <f t="shared" si="502"/>
        <v>#DIV/0!</v>
      </c>
      <c r="AE210" s="42"/>
      <c r="AF210" s="10" t="e">
        <f t="shared" si="503"/>
        <v>#DIV/0!</v>
      </c>
      <c r="AG210" s="10"/>
      <c r="AH210" s="21">
        <f t="shared" si="504"/>
        <v>0</v>
      </c>
      <c r="AI210" s="54" t="e">
        <f t="shared" si="505"/>
        <v>#DIV/0!</v>
      </c>
      <c r="AJ210" s="25">
        <f t="shared" si="506"/>
        <v>0</v>
      </c>
      <c r="AK210" s="25">
        <f t="shared" si="507"/>
        <v>0</v>
      </c>
      <c r="AL210" s="25">
        <f t="shared" si="508"/>
        <v>0</v>
      </c>
      <c r="AM210" s="25">
        <f t="shared" si="509"/>
        <v>0</v>
      </c>
      <c r="AN210" s="25">
        <f t="shared" si="510"/>
        <v>0</v>
      </c>
      <c r="AO210" s="25">
        <f t="shared" si="511"/>
        <v>0</v>
      </c>
      <c r="AP210" s="25">
        <f t="shared" si="512"/>
        <v>0</v>
      </c>
      <c r="AQ210" s="25">
        <f t="shared" si="513"/>
        <v>0</v>
      </c>
      <c r="AR210" s="25">
        <f t="shared" si="514"/>
        <v>0</v>
      </c>
      <c r="AS210" s="25">
        <f t="shared" si="515"/>
        <v>0</v>
      </c>
      <c r="AT210" s="25">
        <f t="shared" si="516"/>
        <v>0</v>
      </c>
      <c r="AU210" s="80"/>
      <c r="AV210" s="79">
        <f t="shared" si="517"/>
        <v>0</v>
      </c>
      <c r="AW210" s="79">
        <f t="shared" si="551"/>
        <v>0</v>
      </c>
      <c r="AX210" s="30">
        <f t="shared" si="552"/>
        <v>0</v>
      </c>
      <c r="AY210" s="78" t="e">
        <f t="shared" si="518"/>
        <v>#DIV/0!</v>
      </c>
      <c r="AZ210" s="79">
        <f t="shared" si="553"/>
        <v>0</v>
      </c>
      <c r="BA210" s="30">
        <f t="shared" si="554"/>
        <v>0</v>
      </c>
      <c r="BB210" s="78" t="e">
        <f t="shared" si="519"/>
        <v>#DIV/0!</v>
      </c>
      <c r="BC210" s="79">
        <f t="shared" si="555"/>
        <v>0</v>
      </c>
      <c r="BD210" s="30">
        <f t="shared" si="556"/>
        <v>0</v>
      </c>
      <c r="BE210" s="78" t="e">
        <f t="shared" si="520"/>
        <v>#DIV/0!</v>
      </c>
      <c r="BF210" s="79">
        <f t="shared" si="557"/>
        <v>0</v>
      </c>
      <c r="BG210" s="30">
        <f t="shared" si="558"/>
        <v>0</v>
      </c>
      <c r="BH210" s="78" t="e">
        <f t="shared" si="521"/>
        <v>#DIV/0!</v>
      </c>
      <c r="BI210" s="79">
        <f t="shared" si="559"/>
        <v>0</v>
      </c>
      <c r="BJ210" s="30">
        <f t="shared" si="560"/>
        <v>0</v>
      </c>
      <c r="BK210" s="78" t="e">
        <f t="shared" si="522"/>
        <v>#DIV/0!</v>
      </c>
      <c r="BL210" s="79">
        <f t="shared" si="561"/>
        <v>0</v>
      </c>
      <c r="BM210" s="30">
        <f t="shared" si="562"/>
        <v>0</v>
      </c>
      <c r="BN210" s="78" t="e">
        <f t="shared" si="523"/>
        <v>#DIV/0!</v>
      </c>
      <c r="BO210" s="79">
        <f t="shared" si="563"/>
        <v>0</v>
      </c>
      <c r="BP210" s="30">
        <f t="shared" si="564"/>
        <v>0</v>
      </c>
      <c r="BQ210" s="78" t="e">
        <f t="shared" si="524"/>
        <v>#DIV/0!</v>
      </c>
      <c r="BR210" s="79">
        <f t="shared" si="565"/>
        <v>0</v>
      </c>
      <c r="BS210" s="30">
        <f t="shared" si="566"/>
        <v>0</v>
      </c>
      <c r="BT210" s="78" t="e">
        <f t="shared" si="525"/>
        <v>#DIV/0!</v>
      </c>
      <c r="BU210" s="79">
        <f t="shared" si="567"/>
        <v>0</v>
      </c>
      <c r="BV210" s="30">
        <f t="shared" si="568"/>
        <v>0</v>
      </c>
      <c r="BW210" s="78" t="e">
        <f t="shared" si="526"/>
        <v>#DIV/0!</v>
      </c>
      <c r="BX210" s="79">
        <f t="shared" si="569"/>
        <v>0</v>
      </c>
      <c r="BY210" s="30">
        <f t="shared" si="570"/>
        <v>0</v>
      </c>
      <c r="BZ210" s="78" t="e">
        <f t="shared" si="527"/>
        <v>#DIV/0!</v>
      </c>
      <c r="CA210" s="79">
        <f t="shared" si="571"/>
        <v>0</v>
      </c>
      <c r="CB210" s="30">
        <f t="shared" si="572"/>
        <v>0</v>
      </c>
      <c r="CC210" s="78" t="e">
        <f t="shared" si="528"/>
        <v>#DIV/0!</v>
      </c>
      <c r="CD210" s="79">
        <f t="shared" si="573"/>
        <v>0</v>
      </c>
      <c r="CE210" s="30">
        <f t="shared" si="574"/>
        <v>0</v>
      </c>
      <c r="CF210" s="78" t="e">
        <f t="shared" si="529"/>
        <v>#DIV/0!</v>
      </c>
      <c r="CG210" s="79">
        <f t="shared" si="575"/>
        <v>0</v>
      </c>
      <c r="CH210" s="30">
        <f t="shared" si="576"/>
        <v>0</v>
      </c>
      <c r="CI210" s="78" t="e">
        <f t="shared" si="530"/>
        <v>#DIV/0!</v>
      </c>
      <c r="CJ210" s="79">
        <f t="shared" si="577"/>
        <v>0</v>
      </c>
      <c r="CK210" s="30">
        <f t="shared" si="578"/>
        <v>0</v>
      </c>
      <c r="CL210" s="78" t="e">
        <f t="shared" si="531"/>
        <v>#DIV/0!</v>
      </c>
      <c r="CM210" s="79">
        <f t="shared" si="579"/>
        <v>0</v>
      </c>
      <c r="CN210" s="30">
        <f t="shared" si="580"/>
        <v>0</v>
      </c>
      <c r="CO210" s="78" t="e">
        <f t="shared" si="532"/>
        <v>#DIV/0!</v>
      </c>
      <c r="CP210" s="79">
        <f t="shared" si="581"/>
        <v>0</v>
      </c>
      <c r="CQ210" s="30">
        <f t="shared" si="582"/>
        <v>0</v>
      </c>
      <c r="CR210" s="78" t="e">
        <f t="shared" si="533"/>
        <v>#DIV/0!</v>
      </c>
      <c r="CS210" s="79">
        <f t="shared" si="583"/>
        <v>0</v>
      </c>
      <c r="CT210" s="30">
        <f t="shared" si="584"/>
        <v>0</v>
      </c>
      <c r="CU210" s="78" t="e">
        <f t="shared" si="534"/>
        <v>#DIV/0!</v>
      </c>
      <c r="CV210" s="79">
        <f t="shared" si="585"/>
        <v>0</v>
      </c>
      <c r="CW210" s="30">
        <f t="shared" si="586"/>
        <v>0</v>
      </c>
      <c r="CX210" s="78" t="e">
        <f t="shared" si="535"/>
        <v>#DIV/0!</v>
      </c>
      <c r="CY210" s="79">
        <f t="shared" si="587"/>
        <v>0</v>
      </c>
      <c r="CZ210" s="30">
        <f t="shared" si="588"/>
        <v>0</v>
      </c>
      <c r="DA210" s="78" t="e">
        <f t="shared" si="536"/>
        <v>#DIV/0!</v>
      </c>
      <c r="DB210" s="79">
        <f t="shared" si="589"/>
        <v>0</v>
      </c>
      <c r="DC210" s="30">
        <f t="shared" si="590"/>
        <v>0</v>
      </c>
      <c r="DD210" s="78" t="e">
        <f t="shared" si="537"/>
        <v>#DIV/0!</v>
      </c>
      <c r="DE210" s="79">
        <f t="shared" si="591"/>
        <v>0</v>
      </c>
      <c r="DF210" s="30">
        <f t="shared" si="592"/>
        <v>0</v>
      </c>
      <c r="DG210" s="78" t="e">
        <f t="shared" si="538"/>
        <v>#DIV/0!</v>
      </c>
      <c r="DH210" s="79">
        <f t="shared" si="593"/>
        <v>0</v>
      </c>
      <c r="DI210" s="30">
        <f t="shared" si="594"/>
        <v>0</v>
      </c>
      <c r="DJ210" s="78" t="e">
        <f t="shared" si="539"/>
        <v>#DIV/0!</v>
      </c>
      <c r="DK210" s="79">
        <f t="shared" si="595"/>
        <v>0</v>
      </c>
      <c r="DL210" s="30">
        <f t="shared" si="596"/>
        <v>0</v>
      </c>
      <c r="DM210" s="78" t="e">
        <f t="shared" si="540"/>
        <v>#DIV/0!</v>
      </c>
      <c r="DN210" s="79">
        <f t="shared" si="541"/>
        <v>0</v>
      </c>
      <c r="DO210" s="30">
        <f t="shared" si="542"/>
        <v>0</v>
      </c>
      <c r="DP210" s="78" t="e">
        <f t="shared" si="543"/>
        <v>#DIV/0!</v>
      </c>
      <c r="DQ210" s="79">
        <f t="shared" si="597"/>
        <v>0</v>
      </c>
      <c r="DR210" s="30">
        <f t="shared" si="598"/>
        <v>0</v>
      </c>
      <c r="DS210" s="78" t="e">
        <f t="shared" si="544"/>
        <v>#DIV/0!</v>
      </c>
      <c r="DT210" s="79">
        <f t="shared" si="599"/>
        <v>0</v>
      </c>
      <c r="DU210" s="30">
        <f t="shared" si="600"/>
        <v>0</v>
      </c>
      <c r="DV210" s="78" t="e">
        <f t="shared" si="545"/>
        <v>#DIV/0!</v>
      </c>
      <c r="DW210" s="79">
        <f t="shared" si="601"/>
        <v>0</v>
      </c>
      <c r="DX210" s="30">
        <f t="shared" si="602"/>
        <v>0</v>
      </c>
      <c r="DY210" s="78" t="e">
        <f t="shared" si="546"/>
        <v>#DIV/0!</v>
      </c>
      <c r="DZ210" s="79">
        <f t="shared" si="603"/>
        <v>0</v>
      </c>
      <c r="EA210" s="30">
        <f t="shared" si="604"/>
        <v>0</v>
      </c>
      <c r="EB210" s="78" t="e">
        <f t="shared" si="547"/>
        <v>#DIV/0!</v>
      </c>
      <c r="EC210" s="79">
        <f t="shared" si="605"/>
        <v>0</v>
      </c>
      <c r="ED210" s="30">
        <f t="shared" si="606"/>
        <v>0</v>
      </c>
      <c r="EE210" s="78" t="e">
        <f t="shared" si="548"/>
        <v>#DIV/0!</v>
      </c>
      <c r="EF210" s="79">
        <f t="shared" si="607"/>
        <v>0</v>
      </c>
      <c r="EG210" s="30">
        <f t="shared" si="608"/>
        <v>0</v>
      </c>
      <c r="EH210" s="78" t="e">
        <f t="shared" si="549"/>
        <v>#DIV/0!</v>
      </c>
      <c r="EI210" s="79">
        <f t="shared" si="609"/>
        <v>0</v>
      </c>
      <c r="EJ210" s="30">
        <f t="shared" si="610"/>
        <v>0</v>
      </c>
      <c r="EK210" s="78" t="e">
        <f t="shared" si="550"/>
        <v>#DIV/0!</v>
      </c>
    </row>
    <row r="211" spans="1:141" s="12" customFormat="1" ht="14.25" hidden="1" customHeight="1">
      <c r="A211" s="25">
        <v>52</v>
      </c>
      <c r="B211" s="26">
        <v>1090</v>
      </c>
      <c r="C211" s="85" t="s">
        <v>120</v>
      </c>
      <c r="D211" s="24"/>
      <c r="E211" s="60"/>
      <c r="F211" s="59"/>
      <c r="G211" s="82">
        <f t="shared" si="480"/>
        <v>0</v>
      </c>
      <c r="H211" s="81">
        <f t="shared" si="481"/>
        <v>0</v>
      </c>
      <c r="I211" s="19">
        <f t="shared" si="482"/>
        <v>0</v>
      </c>
      <c r="J211" s="11">
        <f t="shared" si="483"/>
        <v>0</v>
      </c>
      <c r="K211" s="19">
        <f t="shared" si="484"/>
        <v>0</v>
      </c>
      <c r="L211" s="19">
        <f t="shared" si="485"/>
        <v>0</v>
      </c>
      <c r="M211" s="19">
        <f t="shared" si="486"/>
        <v>0</v>
      </c>
      <c r="N211" s="19">
        <f t="shared" si="487"/>
        <v>0</v>
      </c>
      <c r="O211" s="19">
        <f t="shared" si="488"/>
        <v>0</v>
      </c>
      <c r="P211" s="19">
        <f t="shared" si="489"/>
        <v>0</v>
      </c>
      <c r="Q211" s="19">
        <f t="shared" si="490"/>
        <v>0</v>
      </c>
      <c r="R211" s="19">
        <f t="shared" si="491"/>
        <v>0</v>
      </c>
      <c r="S211" s="19">
        <f t="shared" si="492"/>
        <v>0</v>
      </c>
      <c r="T211" s="19">
        <f t="shared" si="493"/>
        <v>0</v>
      </c>
      <c r="U211" s="19">
        <f t="shared" si="494"/>
        <v>0</v>
      </c>
      <c r="V211" s="19">
        <f t="shared" si="495"/>
        <v>0</v>
      </c>
      <c r="W211" s="19">
        <f t="shared" si="496"/>
        <v>0</v>
      </c>
      <c r="X211" s="19">
        <f t="shared" si="497"/>
        <v>0</v>
      </c>
      <c r="Y211" s="19">
        <f t="shared" si="498"/>
        <v>0</v>
      </c>
      <c r="Z211" s="19">
        <f t="shared" si="499"/>
        <v>0</v>
      </c>
      <c r="AA211" s="18"/>
      <c r="AB211" s="56">
        <f t="shared" si="500"/>
        <v>0</v>
      </c>
      <c r="AC211" s="16">
        <f t="shared" si="501"/>
        <v>0</v>
      </c>
      <c r="AD211" s="15" t="e">
        <f t="shared" si="502"/>
        <v>#DIV/0!</v>
      </c>
      <c r="AE211" s="42"/>
      <c r="AF211" s="10" t="e">
        <f t="shared" si="503"/>
        <v>#DIV/0!</v>
      </c>
      <c r="AG211" s="10"/>
      <c r="AH211" s="21">
        <f t="shared" si="504"/>
        <v>0</v>
      </c>
      <c r="AI211" s="54" t="e">
        <f t="shared" si="505"/>
        <v>#DIV/0!</v>
      </c>
      <c r="AJ211" s="25">
        <f t="shared" si="506"/>
        <v>0</v>
      </c>
      <c r="AK211" s="25">
        <f t="shared" si="507"/>
        <v>0</v>
      </c>
      <c r="AL211" s="25">
        <f t="shared" si="508"/>
        <v>0</v>
      </c>
      <c r="AM211" s="25">
        <f t="shared" si="509"/>
        <v>0</v>
      </c>
      <c r="AN211" s="25">
        <f t="shared" si="510"/>
        <v>0</v>
      </c>
      <c r="AO211" s="25">
        <f t="shared" si="511"/>
        <v>0</v>
      </c>
      <c r="AP211" s="25">
        <f t="shared" si="512"/>
        <v>0</v>
      </c>
      <c r="AQ211" s="25">
        <f t="shared" si="513"/>
        <v>0</v>
      </c>
      <c r="AR211" s="25">
        <f t="shared" si="514"/>
        <v>0</v>
      </c>
      <c r="AS211" s="25">
        <f t="shared" si="515"/>
        <v>0</v>
      </c>
      <c r="AT211" s="25">
        <f t="shared" si="516"/>
        <v>0</v>
      </c>
      <c r="AU211" s="80"/>
      <c r="AV211" s="79">
        <f t="shared" si="517"/>
        <v>0</v>
      </c>
      <c r="AW211" s="79">
        <f t="shared" si="551"/>
        <v>0</v>
      </c>
      <c r="AX211" s="30">
        <f t="shared" si="552"/>
        <v>0</v>
      </c>
      <c r="AY211" s="78" t="e">
        <f t="shared" si="518"/>
        <v>#DIV/0!</v>
      </c>
      <c r="AZ211" s="79">
        <f t="shared" si="553"/>
        <v>0</v>
      </c>
      <c r="BA211" s="30">
        <f t="shared" si="554"/>
        <v>0</v>
      </c>
      <c r="BB211" s="78" t="e">
        <f t="shared" si="519"/>
        <v>#DIV/0!</v>
      </c>
      <c r="BC211" s="79">
        <f t="shared" si="555"/>
        <v>0</v>
      </c>
      <c r="BD211" s="30">
        <f t="shared" si="556"/>
        <v>0</v>
      </c>
      <c r="BE211" s="78" t="e">
        <f t="shared" si="520"/>
        <v>#DIV/0!</v>
      </c>
      <c r="BF211" s="79">
        <f t="shared" si="557"/>
        <v>0</v>
      </c>
      <c r="BG211" s="30">
        <f t="shared" si="558"/>
        <v>0</v>
      </c>
      <c r="BH211" s="78" t="e">
        <f t="shared" si="521"/>
        <v>#DIV/0!</v>
      </c>
      <c r="BI211" s="79">
        <f t="shared" si="559"/>
        <v>0</v>
      </c>
      <c r="BJ211" s="30">
        <f t="shared" si="560"/>
        <v>0</v>
      </c>
      <c r="BK211" s="78" t="e">
        <f t="shared" si="522"/>
        <v>#DIV/0!</v>
      </c>
      <c r="BL211" s="79">
        <f t="shared" si="561"/>
        <v>0</v>
      </c>
      <c r="BM211" s="30">
        <f t="shared" si="562"/>
        <v>0</v>
      </c>
      <c r="BN211" s="78" t="e">
        <f t="shared" si="523"/>
        <v>#DIV/0!</v>
      </c>
      <c r="BO211" s="79">
        <f t="shared" si="563"/>
        <v>0</v>
      </c>
      <c r="BP211" s="30">
        <f t="shared" si="564"/>
        <v>0</v>
      </c>
      <c r="BQ211" s="78" t="e">
        <f t="shared" si="524"/>
        <v>#DIV/0!</v>
      </c>
      <c r="BR211" s="79">
        <f t="shared" si="565"/>
        <v>0</v>
      </c>
      <c r="BS211" s="30">
        <f t="shared" si="566"/>
        <v>0</v>
      </c>
      <c r="BT211" s="78" t="e">
        <f t="shared" si="525"/>
        <v>#DIV/0!</v>
      </c>
      <c r="BU211" s="79">
        <f t="shared" si="567"/>
        <v>0</v>
      </c>
      <c r="BV211" s="30">
        <f t="shared" si="568"/>
        <v>0</v>
      </c>
      <c r="BW211" s="78" t="e">
        <f t="shared" si="526"/>
        <v>#DIV/0!</v>
      </c>
      <c r="BX211" s="79">
        <f t="shared" si="569"/>
        <v>0</v>
      </c>
      <c r="BY211" s="30">
        <f t="shared" si="570"/>
        <v>0</v>
      </c>
      <c r="BZ211" s="78" t="e">
        <f t="shared" si="527"/>
        <v>#DIV/0!</v>
      </c>
      <c r="CA211" s="79">
        <f t="shared" si="571"/>
        <v>0</v>
      </c>
      <c r="CB211" s="30">
        <f t="shared" si="572"/>
        <v>0</v>
      </c>
      <c r="CC211" s="78" t="e">
        <f t="shared" si="528"/>
        <v>#DIV/0!</v>
      </c>
      <c r="CD211" s="79">
        <f t="shared" si="573"/>
        <v>0</v>
      </c>
      <c r="CE211" s="30">
        <f t="shared" si="574"/>
        <v>0</v>
      </c>
      <c r="CF211" s="78" t="e">
        <f t="shared" si="529"/>
        <v>#DIV/0!</v>
      </c>
      <c r="CG211" s="79">
        <f t="shared" si="575"/>
        <v>0</v>
      </c>
      <c r="CH211" s="30">
        <f t="shared" si="576"/>
        <v>0</v>
      </c>
      <c r="CI211" s="78" t="e">
        <f t="shared" si="530"/>
        <v>#DIV/0!</v>
      </c>
      <c r="CJ211" s="79">
        <f t="shared" si="577"/>
        <v>0</v>
      </c>
      <c r="CK211" s="30">
        <f t="shared" si="578"/>
        <v>0</v>
      </c>
      <c r="CL211" s="78" t="e">
        <f t="shared" si="531"/>
        <v>#DIV/0!</v>
      </c>
      <c r="CM211" s="79">
        <f t="shared" si="579"/>
        <v>0</v>
      </c>
      <c r="CN211" s="30">
        <f t="shared" si="580"/>
        <v>0</v>
      </c>
      <c r="CO211" s="78" t="e">
        <f t="shared" si="532"/>
        <v>#DIV/0!</v>
      </c>
      <c r="CP211" s="79">
        <f t="shared" si="581"/>
        <v>0</v>
      </c>
      <c r="CQ211" s="30">
        <f t="shared" si="582"/>
        <v>0</v>
      </c>
      <c r="CR211" s="78" t="e">
        <f t="shared" si="533"/>
        <v>#DIV/0!</v>
      </c>
      <c r="CS211" s="79">
        <f t="shared" si="583"/>
        <v>0</v>
      </c>
      <c r="CT211" s="30">
        <f t="shared" si="584"/>
        <v>0</v>
      </c>
      <c r="CU211" s="78" t="e">
        <f t="shared" si="534"/>
        <v>#DIV/0!</v>
      </c>
      <c r="CV211" s="79">
        <f t="shared" si="585"/>
        <v>0</v>
      </c>
      <c r="CW211" s="30">
        <f t="shared" si="586"/>
        <v>0</v>
      </c>
      <c r="CX211" s="78" t="e">
        <f t="shared" si="535"/>
        <v>#DIV/0!</v>
      </c>
      <c r="CY211" s="79">
        <f t="shared" si="587"/>
        <v>0</v>
      </c>
      <c r="CZ211" s="30">
        <f t="shared" si="588"/>
        <v>0</v>
      </c>
      <c r="DA211" s="78" t="e">
        <f t="shared" si="536"/>
        <v>#DIV/0!</v>
      </c>
      <c r="DB211" s="79">
        <f t="shared" si="589"/>
        <v>0</v>
      </c>
      <c r="DC211" s="30">
        <f t="shared" si="590"/>
        <v>0</v>
      </c>
      <c r="DD211" s="78" t="e">
        <f t="shared" si="537"/>
        <v>#DIV/0!</v>
      </c>
      <c r="DE211" s="79">
        <f t="shared" si="591"/>
        <v>0</v>
      </c>
      <c r="DF211" s="30">
        <f t="shared" si="592"/>
        <v>0</v>
      </c>
      <c r="DG211" s="78" t="e">
        <f t="shared" si="538"/>
        <v>#DIV/0!</v>
      </c>
      <c r="DH211" s="79">
        <f t="shared" si="593"/>
        <v>0</v>
      </c>
      <c r="DI211" s="30">
        <f t="shared" si="594"/>
        <v>0</v>
      </c>
      <c r="DJ211" s="78" t="e">
        <f t="shared" si="539"/>
        <v>#DIV/0!</v>
      </c>
      <c r="DK211" s="79">
        <f t="shared" si="595"/>
        <v>0</v>
      </c>
      <c r="DL211" s="30">
        <f t="shared" si="596"/>
        <v>0</v>
      </c>
      <c r="DM211" s="78" t="e">
        <f t="shared" si="540"/>
        <v>#DIV/0!</v>
      </c>
      <c r="DN211" s="79">
        <f t="shared" si="541"/>
        <v>0</v>
      </c>
      <c r="DO211" s="30">
        <f t="shared" si="542"/>
        <v>0</v>
      </c>
      <c r="DP211" s="78" t="e">
        <f t="shared" si="543"/>
        <v>#DIV/0!</v>
      </c>
      <c r="DQ211" s="79">
        <f t="shared" si="597"/>
        <v>0</v>
      </c>
      <c r="DR211" s="30">
        <f t="shared" si="598"/>
        <v>0</v>
      </c>
      <c r="DS211" s="78" t="e">
        <f t="shared" si="544"/>
        <v>#DIV/0!</v>
      </c>
      <c r="DT211" s="79">
        <f t="shared" si="599"/>
        <v>0</v>
      </c>
      <c r="DU211" s="30">
        <f t="shared" si="600"/>
        <v>0</v>
      </c>
      <c r="DV211" s="78" t="e">
        <f t="shared" si="545"/>
        <v>#DIV/0!</v>
      </c>
      <c r="DW211" s="79">
        <f t="shared" si="601"/>
        <v>0</v>
      </c>
      <c r="DX211" s="30">
        <f t="shared" si="602"/>
        <v>0</v>
      </c>
      <c r="DY211" s="78" t="e">
        <f t="shared" si="546"/>
        <v>#DIV/0!</v>
      </c>
      <c r="DZ211" s="79">
        <f t="shared" si="603"/>
        <v>0</v>
      </c>
      <c r="EA211" s="30">
        <f t="shared" si="604"/>
        <v>0</v>
      </c>
      <c r="EB211" s="78" t="e">
        <f t="shared" si="547"/>
        <v>#DIV/0!</v>
      </c>
      <c r="EC211" s="79">
        <f t="shared" si="605"/>
        <v>0</v>
      </c>
      <c r="ED211" s="30">
        <f t="shared" si="606"/>
        <v>0</v>
      </c>
      <c r="EE211" s="78" t="e">
        <f t="shared" si="548"/>
        <v>#DIV/0!</v>
      </c>
      <c r="EF211" s="79">
        <f t="shared" si="607"/>
        <v>0</v>
      </c>
      <c r="EG211" s="30">
        <f t="shared" si="608"/>
        <v>0</v>
      </c>
      <c r="EH211" s="78" t="e">
        <f t="shared" si="549"/>
        <v>#DIV/0!</v>
      </c>
      <c r="EI211" s="79">
        <f t="shared" si="609"/>
        <v>0</v>
      </c>
      <c r="EJ211" s="30">
        <f t="shared" si="610"/>
        <v>0</v>
      </c>
      <c r="EK211" s="78" t="e">
        <f t="shared" si="550"/>
        <v>#DIV/0!</v>
      </c>
    </row>
    <row r="212" spans="1:141" s="12" customFormat="1" ht="14.25" hidden="1" customHeight="1">
      <c r="A212" s="30">
        <v>53</v>
      </c>
      <c r="B212" s="26">
        <v>5770</v>
      </c>
      <c r="C212" s="86" t="s">
        <v>119</v>
      </c>
      <c r="D212" s="24"/>
      <c r="E212" s="60"/>
      <c r="F212" s="59"/>
      <c r="G212" s="82">
        <f t="shared" si="480"/>
        <v>0</v>
      </c>
      <c r="H212" s="81">
        <f t="shared" si="481"/>
        <v>0</v>
      </c>
      <c r="I212" s="19">
        <f t="shared" si="482"/>
        <v>0</v>
      </c>
      <c r="J212" s="11">
        <f t="shared" si="483"/>
        <v>0</v>
      </c>
      <c r="K212" s="19">
        <f t="shared" si="484"/>
        <v>0</v>
      </c>
      <c r="L212" s="19">
        <f t="shared" si="485"/>
        <v>0</v>
      </c>
      <c r="M212" s="19">
        <f t="shared" si="486"/>
        <v>0</v>
      </c>
      <c r="N212" s="19">
        <f t="shared" si="487"/>
        <v>0</v>
      </c>
      <c r="O212" s="19">
        <f t="shared" si="488"/>
        <v>0</v>
      </c>
      <c r="P212" s="19">
        <f t="shared" si="489"/>
        <v>0</v>
      </c>
      <c r="Q212" s="19">
        <f t="shared" si="490"/>
        <v>0</v>
      </c>
      <c r="R212" s="19">
        <f t="shared" si="491"/>
        <v>0</v>
      </c>
      <c r="S212" s="19">
        <f t="shared" si="492"/>
        <v>0</v>
      </c>
      <c r="T212" s="19">
        <f t="shared" si="493"/>
        <v>0</v>
      </c>
      <c r="U212" s="19">
        <f t="shared" si="494"/>
        <v>0</v>
      </c>
      <c r="V212" s="19">
        <f t="shared" si="495"/>
        <v>0</v>
      </c>
      <c r="W212" s="19">
        <f t="shared" si="496"/>
        <v>0</v>
      </c>
      <c r="X212" s="19">
        <f t="shared" si="497"/>
        <v>0</v>
      </c>
      <c r="Y212" s="19">
        <f t="shared" si="498"/>
        <v>0</v>
      </c>
      <c r="Z212" s="19">
        <f t="shared" si="499"/>
        <v>0</v>
      </c>
      <c r="AA212" s="18"/>
      <c r="AB212" s="56">
        <f t="shared" si="500"/>
        <v>0</v>
      </c>
      <c r="AC212" s="16">
        <f t="shared" si="501"/>
        <v>0</v>
      </c>
      <c r="AD212" s="15" t="e">
        <f t="shared" si="502"/>
        <v>#DIV/0!</v>
      </c>
      <c r="AE212" s="42"/>
      <c r="AF212" s="10" t="e">
        <f t="shared" si="503"/>
        <v>#DIV/0!</v>
      </c>
      <c r="AG212" s="10"/>
      <c r="AH212" s="21">
        <f t="shared" si="504"/>
        <v>0</v>
      </c>
      <c r="AI212" s="54" t="e">
        <f t="shared" si="505"/>
        <v>#DIV/0!</v>
      </c>
      <c r="AJ212" s="25">
        <f t="shared" si="506"/>
        <v>0</v>
      </c>
      <c r="AK212" s="25">
        <f t="shared" si="507"/>
        <v>0</v>
      </c>
      <c r="AL212" s="25">
        <f t="shared" si="508"/>
        <v>0</v>
      </c>
      <c r="AM212" s="25">
        <f t="shared" si="509"/>
        <v>0</v>
      </c>
      <c r="AN212" s="25">
        <f t="shared" si="510"/>
        <v>0</v>
      </c>
      <c r="AO212" s="25">
        <f t="shared" si="511"/>
        <v>0</v>
      </c>
      <c r="AP212" s="25">
        <f t="shared" si="512"/>
        <v>0</v>
      </c>
      <c r="AQ212" s="25">
        <f t="shared" si="513"/>
        <v>0</v>
      </c>
      <c r="AR212" s="25">
        <f t="shared" si="514"/>
        <v>0</v>
      </c>
      <c r="AS212" s="25">
        <f t="shared" si="515"/>
        <v>0</v>
      </c>
      <c r="AT212" s="25">
        <f t="shared" si="516"/>
        <v>0</v>
      </c>
      <c r="AU212" s="80"/>
      <c r="AV212" s="79">
        <f t="shared" si="517"/>
        <v>0</v>
      </c>
      <c r="AW212" s="79">
        <f t="shared" si="551"/>
        <v>0</v>
      </c>
      <c r="AX212" s="30">
        <f t="shared" si="552"/>
        <v>0</v>
      </c>
      <c r="AY212" s="78" t="e">
        <f t="shared" si="518"/>
        <v>#DIV/0!</v>
      </c>
      <c r="AZ212" s="79">
        <f t="shared" si="553"/>
        <v>0</v>
      </c>
      <c r="BA212" s="30">
        <f t="shared" si="554"/>
        <v>0</v>
      </c>
      <c r="BB212" s="78" t="e">
        <f t="shared" si="519"/>
        <v>#DIV/0!</v>
      </c>
      <c r="BC212" s="79">
        <f t="shared" si="555"/>
        <v>0</v>
      </c>
      <c r="BD212" s="30">
        <f t="shared" si="556"/>
        <v>0</v>
      </c>
      <c r="BE212" s="78" t="e">
        <f t="shared" si="520"/>
        <v>#DIV/0!</v>
      </c>
      <c r="BF212" s="79">
        <f t="shared" si="557"/>
        <v>0</v>
      </c>
      <c r="BG212" s="30">
        <f t="shared" si="558"/>
        <v>0</v>
      </c>
      <c r="BH212" s="78" t="e">
        <f t="shared" si="521"/>
        <v>#DIV/0!</v>
      </c>
      <c r="BI212" s="79">
        <f t="shared" si="559"/>
        <v>0</v>
      </c>
      <c r="BJ212" s="30">
        <f t="shared" si="560"/>
        <v>0</v>
      </c>
      <c r="BK212" s="78" t="e">
        <f t="shared" si="522"/>
        <v>#DIV/0!</v>
      </c>
      <c r="BL212" s="79">
        <f t="shared" si="561"/>
        <v>0</v>
      </c>
      <c r="BM212" s="30">
        <f t="shared" si="562"/>
        <v>0</v>
      </c>
      <c r="BN212" s="78" t="e">
        <f t="shared" si="523"/>
        <v>#DIV/0!</v>
      </c>
      <c r="BO212" s="79">
        <f t="shared" si="563"/>
        <v>0</v>
      </c>
      <c r="BP212" s="30">
        <f t="shared" si="564"/>
        <v>0</v>
      </c>
      <c r="BQ212" s="78" t="e">
        <f t="shared" si="524"/>
        <v>#DIV/0!</v>
      </c>
      <c r="BR212" s="79">
        <f t="shared" si="565"/>
        <v>0</v>
      </c>
      <c r="BS212" s="30">
        <f t="shared" si="566"/>
        <v>0</v>
      </c>
      <c r="BT212" s="78" t="e">
        <f t="shared" si="525"/>
        <v>#DIV/0!</v>
      </c>
      <c r="BU212" s="79">
        <f t="shared" si="567"/>
        <v>0</v>
      </c>
      <c r="BV212" s="30">
        <f t="shared" si="568"/>
        <v>0</v>
      </c>
      <c r="BW212" s="78" t="e">
        <f t="shared" si="526"/>
        <v>#DIV/0!</v>
      </c>
      <c r="BX212" s="79">
        <f t="shared" si="569"/>
        <v>0</v>
      </c>
      <c r="BY212" s="30">
        <f t="shared" si="570"/>
        <v>0</v>
      </c>
      <c r="BZ212" s="78" t="e">
        <f t="shared" si="527"/>
        <v>#DIV/0!</v>
      </c>
      <c r="CA212" s="79">
        <f t="shared" si="571"/>
        <v>0</v>
      </c>
      <c r="CB212" s="30">
        <f t="shared" si="572"/>
        <v>0</v>
      </c>
      <c r="CC212" s="78" t="e">
        <f t="shared" si="528"/>
        <v>#DIV/0!</v>
      </c>
      <c r="CD212" s="79">
        <f t="shared" si="573"/>
        <v>0</v>
      </c>
      <c r="CE212" s="30">
        <f t="shared" si="574"/>
        <v>0</v>
      </c>
      <c r="CF212" s="78" t="e">
        <f t="shared" si="529"/>
        <v>#DIV/0!</v>
      </c>
      <c r="CG212" s="79">
        <f t="shared" si="575"/>
        <v>0</v>
      </c>
      <c r="CH212" s="30">
        <f t="shared" si="576"/>
        <v>0</v>
      </c>
      <c r="CI212" s="78" t="e">
        <f t="shared" si="530"/>
        <v>#DIV/0!</v>
      </c>
      <c r="CJ212" s="79">
        <f t="shared" si="577"/>
        <v>0</v>
      </c>
      <c r="CK212" s="30">
        <f t="shared" si="578"/>
        <v>0</v>
      </c>
      <c r="CL212" s="78" t="e">
        <f t="shared" si="531"/>
        <v>#DIV/0!</v>
      </c>
      <c r="CM212" s="79">
        <f t="shared" si="579"/>
        <v>0</v>
      </c>
      <c r="CN212" s="30">
        <f t="shared" si="580"/>
        <v>0</v>
      </c>
      <c r="CO212" s="78" t="e">
        <f t="shared" si="532"/>
        <v>#DIV/0!</v>
      </c>
      <c r="CP212" s="79">
        <f t="shared" si="581"/>
        <v>0</v>
      </c>
      <c r="CQ212" s="30">
        <f t="shared" si="582"/>
        <v>0</v>
      </c>
      <c r="CR212" s="78" t="e">
        <f t="shared" si="533"/>
        <v>#DIV/0!</v>
      </c>
      <c r="CS212" s="79">
        <f t="shared" si="583"/>
        <v>0</v>
      </c>
      <c r="CT212" s="30">
        <f t="shared" si="584"/>
        <v>0</v>
      </c>
      <c r="CU212" s="78" t="e">
        <f t="shared" si="534"/>
        <v>#DIV/0!</v>
      </c>
      <c r="CV212" s="79">
        <f t="shared" si="585"/>
        <v>0</v>
      </c>
      <c r="CW212" s="30">
        <f t="shared" si="586"/>
        <v>0</v>
      </c>
      <c r="CX212" s="78" t="e">
        <f t="shared" si="535"/>
        <v>#DIV/0!</v>
      </c>
      <c r="CY212" s="79">
        <f t="shared" si="587"/>
        <v>0</v>
      </c>
      <c r="CZ212" s="30">
        <f t="shared" si="588"/>
        <v>0</v>
      </c>
      <c r="DA212" s="78" t="e">
        <f t="shared" si="536"/>
        <v>#DIV/0!</v>
      </c>
      <c r="DB212" s="79">
        <f t="shared" si="589"/>
        <v>0</v>
      </c>
      <c r="DC212" s="30">
        <f t="shared" si="590"/>
        <v>0</v>
      </c>
      <c r="DD212" s="78" t="e">
        <f t="shared" si="537"/>
        <v>#DIV/0!</v>
      </c>
      <c r="DE212" s="79">
        <f t="shared" si="591"/>
        <v>0</v>
      </c>
      <c r="DF212" s="30">
        <f t="shared" si="592"/>
        <v>0</v>
      </c>
      <c r="DG212" s="78" t="e">
        <f t="shared" si="538"/>
        <v>#DIV/0!</v>
      </c>
      <c r="DH212" s="79">
        <f t="shared" si="593"/>
        <v>0</v>
      </c>
      <c r="DI212" s="30">
        <f t="shared" si="594"/>
        <v>0</v>
      </c>
      <c r="DJ212" s="78" t="e">
        <f t="shared" si="539"/>
        <v>#DIV/0!</v>
      </c>
      <c r="DK212" s="79">
        <f t="shared" si="595"/>
        <v>0</v>
      </c>
      <c r="DL212" s="30">
        <f t="shared" si="596"/>
        <v>0</v>
      </c>
      <c r="DM212" s="78" t="e">
        <f t="shared" si="540"/>
        <v>#DIV/0!</v>
      </c>
      <c r="DN212" s="79">
        <f t="shared" si="541"/>
        <v>0</v>
      </c>
      <c r="DO212" s="30">
        <f t="shared" si="542"/>
        <v>0</v>
      </c>
      <c r="DP212" s="78" t="e">
        <f t="shared" si="543"/>
        <v>#DIV/0!</v>
      </c>
      <c r="DQ212" s="79">
        <f t="shared" si="597"/>
        <v>0</v>
      </c>
      <c r="DR212" s="30">
        <f t="shared" si="598"/>
        <v>0</v>
      </c>
      <c r="DS212" s="78" t="e">
        <f t="shared" si="544"/>
        <v>#DIV/0!</v>
      </c>
      <c r="DT212" s="79">
        <f t="shared" si="599"/>
        <v>0</v>
      </c>
      <c r="DU212" s="30">
        <f t="shared" si="600"/>
        <v>0</v>
      </c>
      <c r="DV212" s="78" t="e">
        <f t="shared" si="545"/>
        <v>#DIV/0!</v>
      </c>
      <c r="DW212" s="79">
        <f t="shared" si="601"/>
        <v>0</v>
      </c>
      <c r="DX212" s="30">
        <f t="shared" si="602"/>
        <v>0</v>
      </c>
      <c r="DY212" s="78" t="e">
        <f t="shared" si="546"/>
        <v>#DIV/0!</v>
      </c>
      <c r="DZ212" s="79">
        <f t="shared" si="603"/>
        <v>0</v>
      </c>
      <c r="EA212" s="30">
        <f t="shared" si="604"/>
        <v>0</v>
      </c>
      <c r="EB212" s="78" t="e">
        <f t="shared" si="547"/>
        <v>#DIV/0!</v>
      </c>
      <c r="EC212" s="79">
        <f t="shared" si="605"/>
        <v>0</v>
      </c>
      <c r="ED212" s="30">
        <f t="shared" si="606"/>
        <v>0</v>
      </c>
      <c r="EE212" s="78" t="e">
        <f t="shared" si="548"/>
        <v>#DIV/0!</v>
      </c>
      <c r="EF212" s="79">
        <f t="shared" si="607"/>
        <v>0</v>
      </c>
      <c r="EG212" s="30">
        <f t="shared" si="608"/>
        <v>0</v>
      </c>
      <c r="EH212" s="78" t="e">
        <f t="shared" si="549"/>
        <v>#DIV/0!</v>
      </c>
      <c r="EI212" s="79">
        <f t="shared" si="609"/>
        <v>0</v>
      </c>
      <c r="EJ212" s="30">
        <f t="shared" si="610"/>
        <v>0</v>
      </c>
      <c r="EK212" s="78" t="e">
        <f t="shared" si="550"/>
        <v>#DIV/0!</v>
      </c>
    </row>
    <row r="213" spans="1:141" s="12" customFormat="1" ht="14.25" hidden="1" customHeight="1">
      <c r="A213" s="25">
        <v>54</v>
      </c>
      <c r="B213" s="26"/>
      <c r="C213" s="85" t="s">
        <v>118</v>
      </c>
      <c r="D213" s="24"/>
      <c r="E213" s="60"/>
      <c r="F213" s="59"/>
      <c r="G213" s="82">
        <f t="shared" si="480"/>
        <v>0</v>
      </c>
      <c r="H213" s="81">
        <f t="shared" si="481"/>
        <v>0</v>
      </c>
      <c r="I213" s="19">
        <f t="shared" si="482"/>
        <v>0</v>
      </c>
      <c r="J213" s="11">
        <f t="shared" si="483"/>
        <v>0</v>
      </c>
      <c r="K213" s="19">
        <f t="shared" si="484"/>
        <v>0</v>
      </c>
      <c r="L213" s="19">
        <f t="shared" si="485"/>
        <v>0</v>
      </c>
      <c r="M213" s="19">
        <f t="shared" si="486"/>
        <v>0</v>
      </c>
      <c r="N213" s="19">
        <f t="shared" si="487"/>
        <v>0</v>
      </c>
      <c r="O213" s="19">
        <f t="shared" si="488"/>
        <v>0</v>
      </c>
      <c r="P213" s="19">
        <f t="shared" si="489"/>
        <v>0</v>
      </c>
      <c r="Q213" s="19">
        <f t="shared" si="490"/>
        <v>0</v>
      </c>
      <c r="R213" s="19">
        <f t="shared" si="491"/>
        <v>0</v>
      </c>
      <c r="S213" s="19">
        <f t="shared" si="492"/>
        <v>0</v>
      </c>
      <c r="T213" s="19">
        <f t="shared" si="493"/>
        <v>0</v>
      </c>
      <c r="U213" s="19">
        <f t="shared" si="494"/>
        <v>0</v>
      </c>
      <c r="V213" s="19">
        <f t="shared" si="495"/>
        <v>0</v>
      </c>
      <c r="W213" s="19">
        <f t="shared" si="496"/>
        <v>0</v>
      </c>
      <c r="X213" s="19">
        <f t="shared" si="497"/>
        <v>0</v>
      </c>
      <c r="Y213" s="19">
        <f t="shared" si="498"/>
        <v>0</v>
      </c>
      <c r="Z213" s="19">
        <f t="shared" si="499"/>
        <v>0</v>
      </c>
      <c r="AA213" s="18"/>
      <c r="AB213" s="56">
        <f t="shared" si="500"/>
        <v>0</v>
      </c>
      <c r="AC213" s="16">
        <f t="shared" si="501"/>
        <v>0</v>
      </c>
      <c r="AD213" s="15" t="e">
        <f t="shared" si="502"/>
        <v>#DIV/0!</v>
      </c>
      <c r="AE213" s="42"/>
      <c r="AF213" s="10" t="e">
        <f t="shared" si="503"/>
        <v>#DIV/0!</v>
      </c>
      <c r="AG213" s="10"/>
      <c r="AH213" s="21">
        <f t="shared" si="504"/>
        <v>0</v>
      </c>
      <c r="AI213" s="54" t="e">
        <f t="shared" si="505"/>
        <v>#DIV/0!</v>
      </c>
      <c r="AJ213" s="25">
        <f t="shared" si="506"/>
        <v>0</v>
      </c>
      <c r="AK213" s="25">
        <f t="shared" si="507"/>
        <v>0</v>
      </c>
      <c r="AL213" s="25">
        <f t="shared" si="508"/>
        <v>0</v>
      </c>
      <c r="AM213" s="25">
        <f t="shared" si="509"/>
        <v>0</v>
      </c>
      <c r="AN213" s="25">
        <f t="shared" si="510"/>
        <v>0</v>
      </c>
      <c r="AO213" s="25">
        <f t="shared" si="511"/>
        <v>0</v>
      </c>
      <c r="AP213" s="25">
        <f t="shared" si="512"/>
        <v>0</v>
      </c>
      <c r="AQ213" s="25">
        <f t="shared" si="513"/>
        <v>0</v>
      </c>
      <c r="AR213" s="25">
        <f t="shared" si="514"/>
        <v>0</v>
      </c>
      <c r="AS213" s="25">
        <f t="shared" si="515"/>
        <v>0</v>
      </c>
      <c r="AT213" s="25">
        <f t="shared" si="516"/>
        <v>0</v>
      </c>
      <c r="AU213" s="80"/>
      <c r="AV213" s="79">
        <f t="shared" si="517"/>
        <v>0</v>
      </c>
      <c r="AW213" s="79">
        <f t="shared" si="551"/>
        <v>0</v>
      </c>
      <c r="AX213" s="30">
        <f t="shared" si="552"/>
        <v>0</v>
      </c>
      <c r="AY213" s="78" t="e">
        <f t="shared" si="518"/>
        <v>#DIV/0!</v>
      </c>
      <c r="AZ213" s="79">
        <f t="shared" si="553"/>
        <v>0</v>
      </c>
      <c r="BA213" s="30">
        <f t="shared" si="554"/>
        <v>0</v>
      </c>
      <c r="BB213" s="78" t="e">
        <f t="shared" si="519"/>
        <v>#DIV/0!</v>
      </c>
      <c r="BC213" s="79">
        <f t="shared" si="555"/>
        <v>0</v>
      </c>
      <c r="BD213" s="30">
        <f t="shared" si="556"/>
        <v>0</v>
      </c>
      <c r="BE213" s="78" t="e">
        <f t="shared" si="520"/>
        <v>#DIV/0!</v>
      </c>
      <c r="BF213" s="79">
        <f t="shared" si="557"/>
        <v>0</v>
      </c>
      <c r="BG213" s="30">
        <f t="shared" si="558"/>
        <v>0</v>
      </c>
      <c r="BH213" s="78" t="e">
        <f t="shared" si="521"/>
        <v>#DIV/0!</v>
      </c>
      <c r="BI213" s="79">
        <f t="shared" si="559"/>
        <v>0</v>
      </c>
      <c r="BJ213" s="30">
        <f t="shared" si="560"/>
        <v>0</v>
      </c>
      <c r="BK213" s="78" t="e">
        <f t="shared" si="522"/>
        <v>#DIV/0!</v>
      </c>
      <c r="BL213" s="79">
        <f t="shared" si="561"/>
        <v>0</v>
      </c>
      <c r="BM213" s="30">
        <f t="shared" si="562"/>
        <v>0</v>
      </c>
      <c r="BN213" s="78" t="e">
        <f t="shared" si="523"/>
        <v>#DIV/0!</v>
      </c>
      <c r="BO213" s="79">
        <f t="shared" si="563"/>
        <v>0</v>
      </c>
      <c r="BP213" s="30">
        <f t="shared" si="564"/>
        <v>0</v>
      </c>
      <c r="BQ213" s="78" t="e">
        <f t="shared" si="524"/>
        <v>#DIV/0!</v>
      </c>
      <c r="BR213" s="79">
        <f t="shared" si="565"/>
        <v>0</v>
      </c>
      <c r="BS213" s="30">
        <f t="shared" si="566"/>
        <v>0</v>
      </c>
      <c r="BT213" s="78" t="e">
        <f t="shared" si="525"/>
        <v>#DIV/0!</v>
      </c>
      <c r="BU213" s="79">
        <f t="shared" si="567"/>
        <v>0</v>
      </c>
      <c r="BV213" s="30">
        <f t="shared" si="568"/>
        <v>0</v>
      </c>
      <c r="BW213" s="78" t="e">
        <f t="shared" si="526"/>
        <v>#DIV/0!</v>
      </c>
      <c r="BX213" s="79">
        <f t="shared" si="569"/>
        <v>0</v>
      </c>
      <c r="BY213" s="30">
        <f t="shared" si="570"/>
        <v>0</v>
      </c>
      <c r="BZ213" s="78" t="e">
        <f t="shared" si="527"/>
        <v>#DIV/0!</v>
      </c>
      <c r="CA213" s="79">
        <f t="shared" si="571"/>
        <v>0</v>
      </c>
      <c r="CB213" s="30">
        <f t="shared" si="572"/>
        <v>0</v>
      </c>
      <c r="CC213" s="78" t="e">
        <f t="shared" si="528"/>
        <v>#DIV/0!</v>
      </c>
      <c r="CD213" s="79">
        <f t="shared" si="573"/>
        <v>0</v>
      </c>
      <c r="CE213" s="30">
        <f t="shared" si="574"/>
        <v>0</v>
      </c>
      <c r="CF213" s="78" t="e">
        <f t="shared" si="529"/>
        <v>#DIV/0!</v>
      </c>
      <c r="CG213" s="79">
        <f t="shared" si="575"/>
        <v>0</v>
      </c>
      <c r="CH213" s="30">
        <f t="shared" si="576"/>
        <v>0</v>
      </c>
      <c r="CI213" s="78" t="e">
        <f t="shared" si="530"/>
        <v>#DIV/0!</v>
      </c>
      <c r="CJ213" s="79">
        <f t="shared" si="577"/>
        <v>0</v>
      </c>
      <c r="CK213" s="30">
        <f t="shared" si="578"/>
        <v>0</v>
      </c>
      <c r="CL213" s="78" t="e">
        <f t="shared" si="531"/>
        <v>#DIV/0!</v>
      </c>
      <c r="CM213" s="79">
        <f t="shared" si="579"/>
        <v>0</v>
      </c>
      <c r="CN213" s="30">
        <f t="shared" si="580"/>
        <v>0</v>
      </c>
      <c r="CO213" s="78" t="e">
        <f t="shared" si="532"/>
        <v>#DIV/0!</v>
      </c>
      <c r="CP213" s="79">
        <f t="shared" si="581"/>
        <v>0</v>
      </c>
      <c r="CQ213" s="30">
        <f t="shared" si="582"/>
        <v>0</v>
      </c>
      <c r="CR213" s="78" t="e">
        <f t="shared" si="533"/>
        <v>#DIV/0!</v>
      </c>
      <c r="CS213" s="79">
        <f t="shared" si="583"/>
        <v>0</v>
      </c>
      <c r="CT213" s="30">
        <f t="shared" si="584"/>
        <v>0</v>
      </c>
      <c r="CU213" s="78" t="e">
        <f t="shared" si="534"/>
        <v>#DIV/0!</v>
      </c>
      <c r="CV213" s="79">
        <f t="shared" si="585"/>
        <v>0</v>
      </c>
      <c r="CW213" s="30">
        <f t="shared" si="586"/>
        <v>0</v>
      </c>
      <c r="CX213" s="78" t="e">
        <f t="shared" si="535"/>
        <v>#DIV/0!</v>
      </c>
      <c r="CY213" s="79">
        <f t="shared" si="587"/>
        <v>0</v>
      </c>
      <c r="CZ213" s="30">
        <f t="shared" si="588"/>
        <v>0</v>
      </c>
      <c r="DA213" s="78" t="e">
        <f t="shared" si="536"/>
        <v>#DIV/0!</v>
      </c>
      <c r="DB213" s="79">
        <f t="shared" si="589"/>
        <v>0</v>
      </c>
      <c r="DC213" s="30">
        <f t="shared" si="590"/>
        <v>0</v>
      </c>
      <c r="DD213" s="78" t="e">
        <f t="shared" si="537"/>
        <v>#DIV/0!</v>
      </c>
      <c r="DE213" s="79">
        <f t="shared" si="591"/>
        <v>0</v>
      </c>
      <c r="DF213" s="30">
        <f t="shared" si="592"/>
        <v>0</v>
      </c>
      <c r="DG213" s="78" t="e">
        <f t="shared" si="538"/>
        <v>#DIV/0!</v>
      </c>
      <c r="DH213" s="79">
        <f t="shared" si="593"/>
        <v>0</v>
      </c>
      <c r="DI213" s="30">
        <f t="shared" si="594"/>
        <v>0</v>
      </c>
      <c r="DJ213" s="78" t="e">
        <f t="shared" si="539"/>
        <v>#DIV/0!</v>
      </c>
      <c r="DK213" s="79">
        <f t="shared" si="595"/>
        <v>0</v>
      </c>
      <c r="DL213" s="30">
        <f t="shared" si="596"/>
        <v>0</v>
      </c>
      <c r="DM213" s="78" t="e">
        <f t="shared" si="540"/>
        <v>#DIV/0!</v>
      </c>
      <c r="DN213" s="79">
        <f t="shared" si="541"/>
        <v>0</v>
      </c>
      <c r="DO213" s="30">
        <f t="shared" si="542"/>
        <v>0</v>
      </c>
      <c r="DP213" s="78" t="e">
        <f t="shared" si="543"/>
        <v>#DIV/0!</v>
      </c>
      <c r="DQ213" s="79">
        <f t="shared" si="597"/>
        <v>0</v>
      </c>
      <c r="DR213" s="30">
        <f t="shared" si="598"/>
        <v>0</v>
      </c>
      <c r="DS213" s="78" t="e">
        <f t="shared" si="544"/>
        <v>#DIV/0!</v>
      </c>
      <c r="DT213" s="79">
        <f t="shared" si="599"/>
        <v>0</v>
      </c>
      <c r="DU213" s="30">
        <f t="shared" si="600"/>
        <v>0</v>
      </c>
      <c r="DV213" s="78" t="e">
        <f t="shared" si="545"/>
        <v>#DIV/0!</v>
      </c>
      <c r="DW213" s="79">
        <f t="shared" si="601"/>
        <v>0</v>
      </c>
      <c r="DX213" s="30">
        <f t="shared" si="602"/>
        <v>0</v>
      </c>
      <c r="DY213" s="78" t="e">
        <f t="shared" si="546"/>
        <v>#DIV/0!</v>
      </c>
      <c r="DZ213" s="79">
        <f t="shared" si="603"/>
        <v>0</v>
      </c>
      <c r="EA213" s="30">
        <f t="shared" si="604"/>
        <v>0</v>
      </c>
      <c r="EB213" s="78" t="e">
        <f t="shared" si="547"/>
        <v>#DIV/0!</v>
      </c>
      <c r="EC213" s="79">
        <f t="shared" si="605"/>
        <v>0</v>
      </c>
      <c r="ED213" s="30">
        <f t="shared" si="606"/>
        <v>0</v>
      </c>
      <c r="EE213" s="78" t="e">
        <f t="shared" si="548"/>
        <v>#DIV/0!</v>
      </c>
      <c r="EF213" s="79">
        <f t="shared" si="607"/>
        <v>0</v>
      </c>
      <c r="EG213" s="30">
        <f t="shared" si="608"/>
        <v>0</v>
      </c>
      <c r="EH213" s="78" t="e">
        <f t="shared" si="549"/>
        <v>#DIV/0!</v>
      </c>
      <c r="EI213" s="79">
        <f t="shared" si="609"/>
        <v>0</v>
      </c>
      <c r="EJ213" s="30">
        <f t="shared" si="610"/>
        <v>0</v>
      </c>
      <c r="EK213" s="78" t="e">
        <f t="shared" si="550"/>
        <v>#DIV/0!</v>
      </c>
    </row>
    <row r="214" spans="1:141" s="12" customFormat="1" ht="14.25" hidden="1" customHeight="1">
      <c r="A214" s="30">
        <v>55</v>
      </c>
      <c r="B214" s="26"/>
      <c r="C214" s="85" t="s">
        <v>117</v>
      </c>
      <c r="D214" s="24"/>
      <c r="E214" s="60"/>
      <c r="F214" s="59"/>
      <c r="G214" s="82">
        <f t="shared" si="480"/>
        <v>0</v>
      </c>
      <c r="H214" s="81">
        <f t="shared" si="481"/>
        <v>0</v>
      </c>
      <c r="I214" s="19">
        <f t="shared" si="482"/>
        <v>0</v>
      </c>
      <c r="J214" s="11">
        <f t="shared" si="483"/>
        <v>0</v>
      </c>
      <c r="K214" s="19">
        <f t="shared" si="484"/>
        <v>0</v>
      </c>
      <c r="L214" s="19">
        <f t="shared" si="485"/>
        <v>0</v>
      </c>
      <c r="M214" s="19">
        <f t="shared" si="486"/>
        <v>0</v>
      </c>
      <c r="N214" s="19">
        <f t="shared" si="487"/>
        <v>0</v>
      </c>
      <c r="O214" s="19">
        <f t="shared" si="488"/>
        <v>0</v>
      </c>
      <c r="P214" s="19">
        <f t="shared" si="489"/>
        <v>0</v>
      </c>
      <c r="Q214" s="19">
        <f t="shared" si="490"/>
        <v>0</v>
      </c>
      <c r="R214" s="19">
        <f t="shared" si="491"/>
        <v>0</v>
      </c>
      <c r="S214" s="19">
        <f t="shared" si="492"/>
        <v>0</v>
      </c>
      <c r="T214" s="19">
        <f t="shared" si="493"/>
        <v>0</v>
      </c>
      <c r="U214" s="19">
        <f t="shared" si="494"/>
        <v>0</v>
      </c>
      <c r="V214" s="19">
        <f t="shared" si="495"/>
        <v>0</v>
      </c>
      <c r="W214" s="19">
        <f t="shared" si="496"/>
        <v>0</v>
      </c>
      <c r="X214" s="19">
        <f t="shared" si="497"/>
        <v>0</v>
      </c>
      <c r="Y214" s="19">
        <f t="shared" si="498"/>
        <v>0</v>
      </c>
      <c r="Z214" s="19">
        <f t="shared" si="499"/>
        <v>0</v>
      </c>
      <c r="AA214" s="18"/>
      <c r="AB214" s="56">
        <f t="shared" si="500"/>
        <v>0</v>
      </c>
      <c r="AC214" s="16">
        <f t="shared" si="501"/>
        <v>0</v>
      </c>
      <c r="AD214" s="15" t="e">
        <f t="shared" si="502"/>
        <v>#DIV/0!</v>
      </c>
      <c r="AE214" s="42"/>
      <c r="AF214" s="10" t="e">
        <f t="shared" si="503"/>
        <v>#DIV/0!</v>
      </c>
      <c r="AG214" s="10"/>
      <c r="AH214" s="21">
        <f t="shared" si="504"/>
        <v>0</v>
      </c>
      <c r="AI214" s="54" t="e">
        <f t="shared" si="505"/>
        <v>#DIV/0!</v>
      </c>
      <c r="AJ214" s="25">
        <f t="shared" si="506"/>
        <v>0</v>
      </c>
      <c r="AK214" s="25">
        <f t="shared" si="507"/>
        <v>0</v>
      </c>
      <c r="AL214" s="25">
        <f t="shared" si="508"/>
        <v>0</v>
      </c>
      <c r="AM214" s="25">
        <f t="shared" si="509"/>
        <v>0</v>
      </c>
      <c r="AN214" s="25">
        <f t="shared" si="510"/>
        <v>0</v>
      </c>
      <c r="AO214" s="25">
        <f t="shared" si="511"/>
        <v>0</v>
      </c>
      <c r="AP214" s="25">
        <f t="shared" si="512"/>
        <v>0</v>
      </c>
      <c r="AQ214" s="25">
        <f t="shared" si="513"/>
        <v>0</v>
      </c>
      <c r="AR214" s="25">
        <f t="shared" si="514"/>
        <v>0</v>
      </c>
      <c r="AS214" s="25">
        <f t="shared" si="515"/>
        <v>0</v>
      </c>
      <c r="AT214" s="25">
        <f t="shared" si="516"/>
        <v>0</v>
      </c>
      <c r="AU214" s="80"/>
      <c r="AV214" s="79">
        <f t="shared" si="517"/>
        <v>0</v>
      </c>
      <c r="AW214" s="79">
        <f t="shared" si="551"/>
        <v>0</v>
      </c>
      <c r="AX214" s="30">
        <f t="shared" si="552"/>
        <v>0</v>
      </c>
      <c r="AY214" s="78" t="e">
        <f t="shared" si="518"/>
        <v>#DIV/0!</v>
      </c>
      <c r="AZ214" s="79">
        <f t="shared" si="553"/>
        <v>0</v>
      </c>
      <c r="BA214" s="30">
        <f t="shared" si="554"/>
        <v>0</v>
      </c>
      <c r="BB214" s="78" t="e">
        <f t="shared" si="519"/>
        <v>#DIV/0!</v>
      </c>
      <c r="BC214" s="79">
        <f t="shared" si="555"/>
        <v>0</v>
      </c>
      <c r="BD214" s="30">
        <f t="shared" si="556"/>
        <v>0</v>
      </c>
      <c r="BE214" s="78" t="e">
        <f t="shared" si="520"/>
        <v>#DIV/0!</v>
      </c>
      <c r="BF214" s="79">
        <f t="shared" si="557"/>
        <v>0</v>
      </c>
      <c r="BG214" s="30">
        <f t="shared" si="558"/>
        <v>0</v>
      </c>
      <c r="BH214" s="78" t="e">
        <f t="shared" si="521"/>
        <v>#DIV/0!</v>
      </c>
      <c r="BI214" s="79">
        <f t="shared" si="559"/>
        <v>0</v>
      </c>
      <c r="BJ214" s="30">
        <f t="shared" si="560"/>
        <v>0</v>
      </c>
      <c r="BK214" s="78" t="e">
        <f t="shared" si="522"/>
        <v>#DIV/0!</v>
      </c>
      <c r="BL214" s="79">
        <f t="shared" si="561"/>
        <v>0</v>
      </c>
      <c r="BM214" s="30">
        <f t="shared" si="562"/>
        <v>0</v>
      </c>
      <c r="BN214" s="78" t="e">
        <f t="shared" si="523"/>
        <v>#DIV/0!</v>
      </c>
      <c r="BO214" s="79">
        <f t="shared" si="563"/>
        <v>0</v>
      </c>
      <c r="BP214" s="30">
        <f t="shared" si="564"/>
        <v>0</v>
      </c>
      <c r="BQ214" s="78" t="e">
        <f t="shared" si="524"/>
        <v>#DIV/0!</v>
      </c>
      <c r="BR214" s="79">
        <f t="shared" si="565"/>
        <v>0</v>
      </c>
      <c r="BS214" s="30">
        <f t="shared" si="566"/>
        <v>0</v>
      </c>
      <c r="BT214" s="78" t="e">
        <f t="shared" si="525"/>
        <v>#DIV/0!</v>
      </c>
      <c r="BU214" s="79">
        <f t="shared" si="567"/>
        <v>0</v>
      </c>
      <c r="BV214" s="30">
        <f t="shared" si="568"/>
        <v>0</v>
      </c>
      <c r="BW214" s="78" t="e">
        <f t="shared" si="526"/>
        <v>#DIV/0!</v>
      </c>
      <c r="BX214" s="79">
        <f t="shared" si="569"/>
        <v>0</v>
      </c>
      <c r="BY214" s="30">
        <f t="shared" si="570"/>
        <v>0</v>
      </c>
      <c r="BZ214" s="78" t="e">
        <f t="shared" si="527"/>
        <v>#DIV/0!</v>
      </c>
      <c r="CA214" s="79">
        <f t="shared" si="571"/>
        <v>0</v>
      </c>
      <c r="CB214" s="30">
        <f t="shared" si="572"/>
        <v>0</v>
      </c>
      <c r="CC214" s="78" t="e">
        <f t="shared" si="528"/>
        <v>#DIV/0!</v>
      </c>
      <c r="CD214" s="79">
        <f t="shared" si="573"/>
        <v>0</v>
      </c>
      <c r="CE214" s="30">
        <f t="shared" si="574"/>
        <v>0</v>
      </c>
      <c r="CF214" s="78" t="e">
        <f t="shared" si="529"/>
        <v>#DIV/0!</v>
      </c>
      <c r="CG214" s="79">
        <f t="shared" si="575"/>
        <v>0</v>
      </c>
      <c r="CH214" s="30">
        <f t="shared" si="576"/>
        <v>0</v>
      </c>
      <c r="CI214" s="78" t="e">
        <f t="shared" si="530"/>
        <v>#DIV/0!</v>
      </c>
      <c r="CJ214" s="79">
        <f t="shared" si="577"/>
        <v>0</v>
      </c>
      <c r="CK214" s="30">
        <f t="shared" si="578"/>
        <v>0</v>
      </c>
      <c r="CL214" s="78" t="e">
        <f t="shared" si="531"/>
        <v>#DIV/0!</v>
      </c>
      <c r="CM214" s="79">
        <f t="shared" si="579"/>
        <v>0</v>
      </c>
      <c r="CN214" s="30">
        <f t="shared" si="580"/>
        <v>0</v>
      </c>
      <c r="CO214" s="78" t="e">
        <f t="shared" si="532"/>
        <v>#DIV/0!</v>
      </c>
      <c r="CP214" s="79">
        <f t="shared" si="581"/>
        <v>0</v>
      </c>
      <c r="CQ214" s="30">
        <f t="shared" si="582"/>
        <v>0</v>
      </c>
      <c r="CR214" s="78" t="e">
        <f t="shared" si="533"/>
        <v>#DIV/0!</v>
      </c>
      <c r="CS214" s="79">
        <f t="shared" si="583"/>
        <v>0</v>
      </c>
      <c r="CT214" s="30">
        <f t="shared" si="584"/>
        <v>0</v>
      </c>
      <c r="CU214" s="78" t="e">
        <f t="shared" si="534"/>
        <v>#DIV/0!</v>
      </c>
      <c r="CV214" s="79">
        <f t="shared" si="585"/>
        <v>0</v>
      </c>
      <c r="CW214" s="30">
        <f t="shared" si="586"/>
        <v>0</v>
      </c>
      <c r="CX214" s="78" t="e">
        <f t="shared" si="535"/>
        <v>#DIV/0!</v>
      </c>
      <c r="CY214" s="79">
        <f t="shared" si="587"/>
        <v>0</v>
      </c>
      <c r="CZ214" s="30">
        <f t="shared" si="588"/>
        <v>0</v>
      </c>
      <c r="DA214" s="78" t="e">
        <f t="shared" si="536"/>
        <v>#DIV/0!</v>
      </c>
      <c r="DB214" s="79">
        <f t="shared" si="589"/>
        <v>0</v>
      </c>
      <c r="DC214" s="30">
        <f t="shared" si="590"/>
        <v>0</v>
      </c>
      <c r="DD214" s="78" t="e">
        <f t="shared" si="537"/>
        <v>#DIV/0!</v>
      </c>
      <c r="DE214" s="79">
        <f t="shared" si="591"/>
        <v>0</v>
      </c>
      <c r="DF214" s="30">
        <f t="shared" si="592"/>
        <v>0</v>
      </c>
      <c r="DG214" s="78" t="e">
        <f t="shared" si="538"/>
        <v>#DIV/0!</v>
      </c>
      <c r="DH214" s="79">
        <f t="shared" si="593"/>
        <v>0</v>
      </c>
      <c r="DI214" s="30">
        <f t="shared" si="594"/>
        <v>0</v>
      </c>
      <c r="DJ214" s="78" t="e">
        <f t="shared" si="539"/>
        <v>#DIV/0!</v>
      </c>
      <c r="DK214" s="79">
        <f t="shared" si="595"/>
        <v>0</v>
      </c>
      <c r="DL214" s="30">
        <f t="shared" si="596"/>
        <v>0</v>
      </c>
      <c r="DM214" s="78" t="e">
        <f t="shared" si="540"/>
        <v>#DIV/0!</v>
      </c>
      <c r="DN214" s="79">
        <f t="shared" si="541"/>
        <v>0</v>
      </c>
      <c r="DO214" s="30">
        <f t="shared" si="542"/>
        <v>0</v>
      </c>
      <c r="DP214" s="78" t="e">
        <f t="shared" si="543"/>
        <v>#DIV/0!</v>
      </c>
      <c r="DQ214" s="79">
        <f t="shared" si="597"/>
        <v>0</v>
      </c>
      <c r="DR214" s="30">
        <f t="shared" si="598"/>
        <v>0</v>
      </c>
      <c r="DS214" s="78" t="e">
        <f t="shared" si="544"/>
        <v>#DIV/0!</v>
      </c>
      <c r="DT214" s="79">
        <f t="shared" si="599"/>
        <v>0</v>
      </c>
      <c r="DU214" s="30">
        <f t="shared" si="600"/>
        <v>0</v>
      </c>
      <c r="DV214" s="78" t="e">
        <f t="shared" si="545"/>
        <v>#DIV/0!</v>
      </c>
      <c r="DW214" s="79">
        <f t="shared" si="601"/>
        <v>0</v>
      </c>
      <c r="DX214" s="30">
        <f t="shared" si="602"/>
        <v>0</v>
      </c>
      <c r="DY214" s="78" t="e">
        <f t="shared" si="546"/>
        <v>#DIV/0!</v>
      </c>
      <c r="DZ214" s="79">
        <f t="shared" si="603"/>
        <v>0</v>
      </c>
      <c r="EA214" s="30">
        <f t="shared" si="604"/>
        <v>0</v>
      </c>
      <c r="EB214" s="78" t="e">
        <f t="shared" si="547"/>
        <v>#DIV/0!</v>
      </c>
      <c r="EC214" s="79">
        <f t="shared" si="605"/>
        <v>0</v>
      </c>
      <c r="ED214" s="30">
        <f t="shared" si="606"/>
        <v>0</v>
      </c>
      <c r="EE214" s="78" t="e">
        <f t="shared" si="548"/>
        <v>#DIV/0!</v>
      </c>
      <c r="EF214" s="79">
        <f t="shared" si="607"/>
        <v>0</v>
      </c>
      <c r="EG214" s="30">
        <f t="shared" si="608"/>
        <v>0</v>
      </c>
      <c r="EH214" s="78" t="e">
        <f t="shared" si="549"/>
        <v>#DIV/0!</v>
      </c>
      <c r="EI214" s="79">
        <f t="shared" si="609"/>
        <v>0</v>
      </c>
      <c r="EJ214" s="30">
        <f t="shared" si="610"/>
        <v>0</v>
      </c>
      <c r="EK214" s="78" t="e">
        <f t="shared" si="550"/>
        <v>#DIV/0!</v>
      </c>
    </row>
    <row r="215" spans="1:141" s="12" customFormat="1" ht="14.25" hidden="1" customHeight="1">
      <c r="A215" s="25">
        <v>56</v>
      </c>
      <c r="B215" s="26">
        <v>8234</v>
      </c>
      <c r="C215" s="85" t="s">
        <v>116</v>
      </c>
      <c r="D215" s="24"/>
      <c r="E215" s="60"/>
      <c r="F215" s="59"/>
      <c r="G215" s="82">
        <f t="shared" si="480"/>
        <v>0</v>
      </c>
      <c r="H215" s="81">
        <f t="shared" si="481"/>
        <v>0</v>
      </c>
      <c r="I215" s="19">
        <f t="shared" si="482"/>
        <v>0</v>
      </c>
      <c r="J215" s="11">
        <f t="shared" si="483"/>
        <v>0</v>
      </c>
      <c r="K215" s="19">
        <f t="shared" si="484"/>
        <v>0</v>
      </c>
      <c r="L215" s="19">
        <f t="shared" si="485"/>
        <v>0</v>
      </c>
      <c r="M215" s="19">
        <f t="shared" si="486"/>
        <v>0</v>
      </c>
      <c r="N215" s="19">
        <f t="shared" si="487"/>
        <v>0</v>
      </c>
      <c r="O215" s="19">
        <f t="shared" si="488"/>
        <v>0</v>
      </c>
      <c r="P215" s="19">
        <f t="shared" si="489"/>
        <v>0</v>
      </c>
      <c r="Q215" s="19">
        <f t="shared" si="490"/>
        <v>0</v>
      </c>
      <c r="R215" s="19">
        <f t="shared" si="491"/>
        <v>0</v>
      </c>
      <c r="S215" s="19">
        <f t="shared" si="492"/>
        <v>0</v>
      </c>
      <c r="T215" s="19">
        <f t="shared" si="493"/>
        <v>0</v>
      </c>
      <c r="U215" s="19">
        <f t="shared" si="494"/>
        <v>0</v>
      </c>
      <c r="V215" s="19">
        <f t="shared" si="495"/>
        <v>0</v>
      </c>
      <c r="W215" s="19">
        <f t="shared" si="496"/>
        <v>0</v>
      </c>
      <c r="X215" s="19">
        <f t="shared" si="497"/>
        <v>0</v>
      </c>
      <c r="Y215" s="19">
        <f t="shared" si="498"/>
        <v>0</v>
      </c>
      <c r="Z215" s="19">
        <f t="shared" si="499"/>
        <v>0</v>
      </c>
      <c r="AA215" s="18"/>
      <c r="AB215" s="56">
        <f t="shared" si="500"/>
        <v>0</v>
      </c>
      <c r="AC215" s="16">
        <f t="shared" si="501"/>
        <v>0</v>
      </c>
      <c r="AD215" s="15" t="e">
        <f t="shared" si="502"/>
        <v>#DIV/0!</v>
      </c>
      <c r="AE215" s="42"/>
      <c r="AF215" s="10" t="e">
        <f t="shared" si="503"/>
        <v>#DIV/0!</v>
      </c>
      <c r="AG215" s="10"/>
      <c r="AH215" s="21">
        <f t="shared" si="504"/>
        <v>0</v>
      </c>
      <c r="AI215" s="54" t="e">
        <f t="shared" si="505"/>
        <v>#DIV/0!</v>
      </c>
      <c r="AJ215" s="25">
        <f t="shared" si="506"/>
        <v>0</v>
      </c>
      <c r="AK215" s="25">
        <f t="shared" si="507"/>
        <v>0</v>
      </c>
      <c r="AL215" s="25">
        <f t="shared" si="508"/>
        <v>0</v>
      </c>
      <c r="AM215" s="25">
        <f t="shared" si="509"/>
        <v>0</v>
      </c>
      <c r="AN215" s="25">
        <f t="shared" si="510"/>
        <v>0</v>
      </c>
      <c r="AO215" s="25">
        <f t="shared" si="511"/>
        <v>0</v>
      </c>
      <c r="AP215" s="25">
        <f t="shared" si="512"/>
        <v>0</v>
      </c>
      <c r="AQ215" s="25">
        <f t="shared" si="513"/>
        <v>0</v>
      </c>
      <c r="AR215" s="25">
        <f t="shared" si="514"/>
        <v>0</v>
      </c>
      <c r="AS215" s="25">
        <f t="shared" si="515"/>
        <v>0</v>
      </c>
      <c r="AT215" s="25">
        <f t="shared" si="516"/>
        <v>0</v>
      </c>
      <c r="AU215" s="80"/>
      <c r="AV215" s="79">
        <f t="shared" si="517"/>
        <v>0</v>
      </c>
      <c r="AW215" s="79">
        <f t="shared" si="551"/>
        <v>0</v>
      </c>
      <c r="AX215" s="30">
        <f t="shared" si="552"/>
        <v>0</v>
      </c>
      <c r="AY215" s="78" t="e">
        <f t="shared" si="518"/>
        <v>#DIV/0!</v>
      </c>
      <c r="AZ215" s="79">
        <f t="shared" si="553"/>
        <v>0</v>
      </c>
      <c r="BA215" s="30">
        <f t="shared" si="554"/>
        <v>0</v>
      </c>
      <c r="BB215" s="78" t="e">
        <f t="shared" si="519"/>
        <v>#DIV/0!</v>
      </c>
      <c r="BC215" s="79">
        <f t="shared" si="555"/>
        <v>0</v>
      </c>
      <c r="BD215" s="30">
        <f t="shared" si="556"/>
        <v>0</v>
      </c>
      <c r="BE215" s="78" t="e">
        <f t="shared" si="520"/>
        <v>#DIV/0!</v>
      </c>
      <c r="BF215" s="79">
        <f t="shared" si="557"/>
        <v>0</v>
      </c>
      <c r="BG215" s="30">
        <f t="shared" si="558"/>
        <v>0</v>
      </c>
      <c r="BH215" s="78" t="e">
        <f t="shared" si="521"/>
        <v>#DIV/0!</v>
      </c>
      <c r="BI215" s="79">
        <f t="shared" si="559"/>
        <v>0</v>
      </c>
      <c r="BJ215" s="30">
        <f t="shared" si="560"/>
        <v>0</v>
      </c>
      <c r="BK215" s="78" t="e">
        <f t="shared" si="522"/>
        <v>#DIV/0!</v>
      </c>
      <c r="BL215" s="79">
        <f t="shared" si="561"/>
        <v>0</v>
      </c>
      <c r="BM215" s="30">
        <f t="shared" si="562"/>
        <v>0</v>
      </c>
      <c r="BN215" s="78" t="e">
        <f t="shared" si="523"/>
        <v>#DIV/0!</v>
      </c>
      <c r="BO215" s="79">
        <f t="shared" si="563"/>
        <v>0</v>
      </c>
      <c r="BP215" s="30">
        <f t="shared" si="564"/>
        <v>0</v>
      </c>
      <c r="BQ215" s="78" t="e">
        <f t="shared" si="524"/>
        <v>#DIV/0!</v>
      </c>
      <c r="BR215" s="79">
        <f t="shared" si="565"/>
        <v>0</v>
      </c>
      <c r="BS215" s="30">
        <f t="shared" si="566"/>
        <v>0</v>
      </c>
      <c r="BT215" s="78" t="e">
        <f t="shared" si="525"/>
        <v>#DIV/0!</v>
      </c>
      <c r="BU215" s="79">
        <f t="shared" si="567"/>
        <v>0</v>
      </c>
      <c r="BV215" s="30">
        <f t="shared" si="568"/>
        <v>0</v>
      </c>
      <c r="BW215" s="78" t="e">
        <f t="shared" si="526"/>
        <v>#DIV/0!</v>
      </c>
      <c r="BX215" s="79">
        <f t="shared" si="569"/>
        <v>0</v>
      </c>
      <c r="BY215" s="30">
        <f t="shared" si="570"/>
        <v>0</v>
      </c>
      <c r="BZ215" s="78" t="e">
        <f t="shared" si="527"/>
        <v>#DIV/0!</v>
      </c>
      <c r="CA215" s="79">
        <f t="shared" si="571"/>
        <v>0</v>
      </c>
      <c r="CB215" s="30">
        <f t="shared" si="572"/>
        <v>0</v>
      </c>
      <c r="CC215" s="78" t="e">
        <f t="shared" si="528"/>
        <v>#DIV/0!</v>
      </c>
      <c r="CD215" s="79">
        <f t="shared" si="573"/>
        <v>0</v>
      </c>
      <c r="CE215" s="30">
        <f t="shared" si="574"/>
        <v>0</v>
      </c>
      <c r="CF215" s="78" t="e">
        <f t="shared" si="529"/>
        <v>#DIV/0!</v>
      </c>
      <c r="CG215" s="79">
        <f t="shared" si="575"/>
        <v>0</v>
      </c>
      <c r="CH215" s="30">
        <f t="shared" si="576"/>
        <v>0</v>
      </c>
      <c r="CI215" s="78" t="e">
        <f t="shared" si="530"/>
        <v>#DIV/0!</v>
      </c>
      <c r="CJ215" s="79">
        <f t="shared" si="577"/>
        <v>0</v>
      </c>
      <c r="CK215" s="30">
        <f t="shared" si="578"/>
        <v>0</v>
      </c>
      <c r="CL215" s="78" t="e">
        <f t="shared" si="531"/>
        <v>#DIV/0!</v>
      </c>
      <c r="CM215" s="79">
        <f t="shared" si="579"/>
        <v>0</v>
      </c>
      <c r="CN215" s="30">
        <f t="shared" si="580"/>
        <v>0</v>
      </c>
      <c r="CO215" s="78" t="e">
        <f t="shared" si="532"/>
        <v>#DIV/0!</v>
      </c>
      <c r="CP215" s="79">
        <f t="shared" si="581"/>
        <v>0</v>
      </c>
      <c r="CQ215" s="30">
        <f t="shared" si="582"/>
        <v>0</v>
      </c>
      <c r="CR215" s="78" t="e">
        <f t="shared" si="533"/>
        <v>#DIV/0!</v>
      </c>
      <c r="CS215" s="79">
        <f t="shared" si="583"/>
        <v>0</v>
      </c>
      <c r="CT215" s="30">
        <f t="shared" si="584"/>
        <v>0</v>
      </c>
      <c r="CU215" s="78" t="e">
        <f t="shared" si="534"/>
        <v>#DIV/0!</v>
      </c>
      <c r="CV215" s="79">
        <f t="shared" si="585"/>
        <v>0</v>
      </c>
      <c r="CW215" s="30">
        <f t="shared" si="586"/>
        <v>0</v>
      </c>
      <c r="CX215" s="78" t="e">
        <f t="shared" si="535"/>
        <v>#DIV/0!</v>
      </c>
      <c r="CY215" s="79">
        <f t="shared" si="587"/>
        <v>0</v>
      </c>
      <c r="CZ215" s="30">
        <f t="shared" si="588"/>
        <v>0</v>
      </c>
      <c r="DA215" s="78" t="e">
        <f t="shared" si="536"/>
        <v>#DIV/0!</v>
      </c>
      <c r="DB215" s="79">
        <f t="shared" si="589"/>
        <v>0</v>
      </c>
      <c r="DC215" s="30">
        <f t="shared" si="590"/>
        <v>0</v>
      </c>
      <c r="DD215" s="78" t="e">
        <f t="shared" si="537"/>
        <v>#DIV/0!</v>
      </c>
      <c r="DE215" s="79">
        <f t="shared" si="591"/>
        <v>0</v>
      </c>
      <c r="DF215" s="30">
        <f t="shared" si="592"/>
        <v>0</v>
      </c>
      <c r="DG215" s="78" t="e">
        <f t="shared" si="538"/>
        <v>#DIV/0!</v>
      </c>
      <c r="DH215" s="79">
        <f t="shared" si="593"/>
        <v>0</v>
      </c>
      <c r="DI215" s="30">
        <f t="shared" si="594"/>
        <v>0</v>
      </c>
      <c r="DJ215" s="78" t="e">
        <f t="shared" si="539"/>
        <v>#DIV/0!</v>
      </c>
      <c r="DK215" s="79">
        <f t="shared" si="595"/>
        <v>0</v>
      </c>
      <c r="DL215" s="30">
        <f t="shared" si="596"/>
        <v>0</v>
      </c>
      <c r="DM215" s="78" t="e">
        <f t="shared" si="540"/>
        <v>#DIV/0!</v>
      </c>
      <c r="DN215" s="79">
        <f t="shared" si="541"/>
        <v>0</v>
      </c>
      <c r="DO215" s="30">
        <f t="shared" si="542"/>
        <v>0</v>
      </c>
      <c r="DP215" s="78" t="e">
        <f t="shared" si="543"/>
        <v>#DIV/0!</v>
      </c>
      <c r="DQ215" s="79">
        <f t="shared" si="597"/>
        <v>0</v>
      </c>
      <c r="DR215" s="30">
        <f t="shared" si="598"/>
        <v>0</v>
      </c>
      <c r="DS215" s="78" t="e">
        <f t="shared" si="544"/>
        <v>#DIV/0!</v>
      </c>
      <c r="DT215" s="79">
        <f t="shared" si="599"/>
        <v>0</v>
      </c>
      <c r="DU215" s="30">
        <f t="shared" si="600"/>
        <v>0</v>
      </c>
      <c r="DV215" s="78" t="e">
        <f t="shared" si="545"/>
        <v>#DIV/0!</v>
      </c>
      <c r="DW215" s="79">
        <f t="shared" si="601"/>
        <v>0</v>
      </c>
      <c r="DX215" s="30">
        <f t="shared" si="602"/>
        <v>0</v>
      </c>
      <c r="DY215" s="78" t="e">
        <f t="shared" si="546"/>
        <v>#DIV/0!</v>
      </c>
      <c r="DZ215" s="79">
        <f t="shared" si="603"/>
        <v>0</v>
      </c>
      <c r="EA215" s="30">
        <f t="shared" si="604"/>
        <v>0</v>
      </c>
      <c r="EB215" s="78" t="e">
        <f t="shared" si="547"/>
        <v>#DIV/0!</v>
      </c>
      <c r="EC215" s="79">
        <f t="shared" si="605"/>
        <v>0</v>
      </c>
      <c r="ED215" s="30">
        <f t="shared" si="606"/>
        <v>0</v>
      </c>
      <c r="EE215" s="78" t="e">
        <f t="shared" si="548"/>
        <v>#DIV/0!</v>
      </c>
      <c r="EF215" s="79">
        <f t="shared" si="607"/>
        <v>0</v>
      </c>
      <c r="EG215" s="30">
        <f t="shared" si="608"/>
        <v>0</v>
      </c>
      <c r="EH215" s="78" t="e">
        <f t="shared" si="549"/>
        <v>#DIV/0!</v>
      </c>
      <c r="EI215" s="79">
        <f t="shared" si="609"/>
        <v>0</v>
      </c>
      <c r="EJ215" s="30">
        <f t="shared" si="610"/>
        <v>0</v>
      </c>
      <c r="EK215" s="78" t="e">
        <f t="shared" si="550"/>
        <v>#DIV/0!</v>
      </c>
    </row>
    <row r="216" spans="1:141" s="12" customFormat="1" ht="14.25" hidden="1" customHeight="1">
      <c r="A216" s="30">
        <v>57</v>
      </c>
      <c r="B216" s="26">
        <v>8235</v>
      </c>
      <c r="C216" s="85" t="s">
        <v>115</v>
      </c>
      <c r="D216" s="24"/>
      <c r="E216" s="60"/>
      <c r="F216" s="59"/>
      <c r="G216" s="82">
        <f t="shared" si="480"/>
        <v>0</v>
      </c>
      <c r="H216" s="81">
        <f t="shared" si="481"/>
        <v>0</v>
      </c>
      <c r="I216" s="19">
        <f t="shared" si="482"/>
        <v>0</v>
      </c>
      <c r="J216" s="11">
        <f t="shared" si="483"/>
        <v>0</v>
      </c>
      <c r="K216" s="19">
        <f t="shared" si="484"/>
        <v>0</v>
      </c>
      <c r="L216" s="19">
        <f t="shared" si="485"/>
        <v>0</v>
      </c>
      <c r="M216" s="19">
        <f t="shared" si="486"/>
        <v>0</v>
      </c>
      <c r="N216" s="19">
        <f t="shared" si="487"/>
        <v>0</v>
      </c>
      <c r="O216" s="19">
        <f t="shared" si="488"/>
        <v>0</v>
      </c>
      <c r="P216" s="19">
        <f t="shared" si="489"/>
        <v>0</v>
      </c>
      <c r="Q216" s="19">
        <f t="shared" si="490"/>
        <v>0</v>
      </c>
      <c r="R216" s="19">
        <f t="shared" si="491"/>
        <v>0</v>
      </c>
      <c r="S216" s="19">
        <f t="shared" si="492"/>
        <v>0</v>
      </c>
      <c r="T216" s="19">
        <f t="shared" si="493"/>
        <v>0</v>
      </c>
      <c r="U216" s="19">
        <f t="shared" si="494"/>
        <v>0</v>
      </c>
      <c r="V216" s="19">
        <f t="shared" si="495"/>
        <v>0</v>
      </c>
      <c r="W216" s="19">
        <f t="shared" si="496"/>
        <v>0</v>
      </c>
      <c r="X216" s="19">
        <f t="shared" si="497"/>
        <v>0</v>
      </c>
      <c r="Y216" s="19">
        <f t="shared" si="498"/>
        <v>0</v>
      </c>
      <c r="Z216" s="19">
        <f t="shared" si="499"/>
        <v>0</v>
      </c>
      <c r="AA216" s="18"/>
      <c r="AB216" s="56">
        <f t="shared" si="500"/>
        <v>0</v>
      </c>
      <c r="AC216" s="16">
        <f t="shared" si="501"/>
        <v>0</v>
      </c>
      <c r="AD216" s="15" t="e">
        <f t="shared" si="502"/>
        <v>#DIV/0!</v>
      </c>
      <c r="AE216" s="42"/>
      <c r="AF216" s="10" t="e">
        <f t="shared" si="503"/>
        <v>#DIV/0!</v>
      </c>
      <c r="AG216" s="10"/>
      <c r="AH216" s="21">
        <f t="shared" si="504"/>
        <v>0</v>
      </c>
      <c r="AI216" s="54" t="e">
        <f t="shared" si="505"/>
        <v>#DIV/0!</v>
      </c>
      <c r="AJ216" s="25">
        <f t="shared" si="506"/>
        <v>0</v>
      </c>
      <c r="AK216" s="25">
        <f t="shared" si="507"/>
        <v>0</v>
      </c>
      <c r="AL216" s="25">
        <f t="shared" si="508"/>
        <v>0</v>
      </c>
      <c r="AM216" s="25">
        <f t="shared" si="509"/>
        <v>0</v>
      </c>
      <c r="AN216" s="25">
        <f t="shared" si="510"/>
        <v>0</v>
      </c>
      <c r="AO216" s="25">
        <f t="shared" si="511"/>
        <v>0</v>
      </c>
      <c r="AP216" s="25">
        <f t="shared" si="512"/>
        <v>0</v>
      </c>
      <c r="AQ216" s="25">
        <f t="shared" si="513"/>
        <v>0</v>
      </c>
      <c r="AR216" s="25">
        <f t="shared" si="514"/>
        <v>0</v>
      </c>
      <c r="AS216" s="25">
        <f t="shared" si="515"/>
        <v>0</v>
      </c>
      <c r="AT216" s="25">
        <f t="shared" si="516"/>
        <v>0</v>
      </c>
      <c r="AU216" s="80"/>
      <c r="AV216" s="79">
        <f t="shared" si="517"/>
        <v>0</v>
      </c>
      <c r="AW216" s="79">
        <f t="shared" si="551"/>
        <v>0</v>
      </c>
      <c r="AX216" s="30">
        <f t="shared" si="552"/>
        <v>0</v>
      </c>
      <c r="AY216" s="78" t="e">
        <f t="shared" si="518"/>
        <v>#DIV/0!</v>
      </c>
      <c r="AZ216" s="79">
        <f t="shared" si="553"/>
        <v>0</v>
      </c>
      <c r="BA216" s="30">
        <f t="shared" si="554"/>
        <v>0</v>
      </c>
      <c r="BB216" s="78" t="e">
        <f t="shared" si="519"/>
        <v>#DIV/0!</v>
      </c>
      <c r="BC216" s="79">
        <f t="shared" si="555"/>
        <v>0</v>
      </c>
      <c r="BD216" s="30">
        <f t="shared" si="556"/>
        <v>0</v>
      </c>
      <c r="BE216" s="78" t="e">
        <f t="shared" si="520"/>
        <v>#DIV/0!</v>
      </c>
      <c r="BF216" s="79">
        <f t="shared" si="557"/>
        <v>0</v>
      </c>
      <c r="BG216" s="30">
        <f t="shared" si="558"/>
        <v>0</v>
      </c>
      <c r="BH216" s="78" t="e">
        <f t="shared" si="521"/>
        <v>#DIV/0!</v>
      </c>
      <c r="BI216" s="79">
        <f t="shared" si="559"/>
        <v>0</v>
      </c>
      <c r="BJ216" s="30">
        <f t="shared" si="560"/>
        <v>0</v>
      </c>
      <c r="BK216" s="78" t="e">
        <f t="shared" si="522"/>
        <v>#DIV/0!</v>
      </c>
      <c r="BL216" s="79">
        <f t="shared" si="561"/>
        <v>0</v>
      </c>
      <c r="BM216" s="30">
        <f t="shared" si="562"/>
        <v>0</v>
      </c>
      <c r="BN216" s="78" t="e">
        <f t="shared" si="523"/>
        <v>#DIV/0!</v>
      </c>
      <c r="BO216" s="79">
        <f t="shared" si="563"/>
        <v>0</v>
      </c>
      <c r="BP216" s="30">
        <f t="shared" si="564"/>
        <v>0</v>
      </c>
      <c r="BQ216" s="78" t="e">
        <f t="shared" si="524"/>
        <v>#DIV/0!</v>
      </c>
      <c r="BR216" s="79">
        <f t="shared" si="565"/>
        <v>0</v>
      </c>
      <c r="BS216" s="30">
        <f t="shared" si="566"/>
        <v>0</v>
      </c>
      <c r="BT216" s="78" t="e">
        <f t="shared" si="525"/>
        <v>#DIV/0!</v>
      </c>
      <c r="BU216" s="79">
        <f t="shared" si="567"/>
        <v>0</v>
      </c>
      <c r="BV216" s="30">
        <f t="shared" si="568"/>
        <v>0</v>
      </c>
      <c r="BW216" s="78" t="e">
        <f t="shared" si="526"/>
        <v>#DIV/0!</v>
      </c>
      <c r="BX216" s="79">
        <f t="shared" si="569"/>
        <v>0</v>
      </c>
      <c r="BY216" s="30">
        <f t="shared" si="570"/>
        <v>0</v>
      </c>
      <c r="BZ216" s="78" t="e">
        <f t="shared" si="527"/>
        <v>#DIV/0!</v>
      </c>
      <c r="CA216" s="79">
        <f t="shared" si="571"/>
        <v>0</v>
      </c>
      <c r="CB216" s="30">
        <f t="shared" si="572"/>
        <v>0</v>
      </c>
      <c r="CC216" s="78" t="e">
        <f t="shared" si="528"/>
        <v>#DIV/0!</v>
      </c>
      <c r="CD216" s="79">
        <f t="shared" si="573"/>
        <v>0</v>
      </c>
      <c r="CE216" s="30">
        <f t="shared" si="574"/>
        <v>0</v>
      </c>
      <c r="CF216" s="78" t="e">
        <f t="shared" si="529"/>
        <v>#DIV/0!</v>
      </c>
      <c r="CG216" s="79">
        <f t="shared" si="575"/>
        <v>0</v>
      </c>
      <c r="CH216" s="30">
        <f t="shared" si="576"/>
        <v>0</v>
      </c>
      <c r="CI216" s="78" t="e">
        <f t="shared" si="530"/>
        <v>#DIV/0!</v>
      </c>
      <c r="CJ216" s="79">
        <f t="shared" si="577"/>
        <v>0</v>
      </c>
      <c r="CK216" s="30">
        <f t="shared" si="578"/>
        <v>0</v>
      </c>
      <c r="CL216" s="78" t="e">
        <f t="shared" si="531"/>
        <v>#DIV/0!</v>
      </c>
      <c r="CM216" s="79">
        <f t="shared" si="579"/>
        <v>0</v>
      </c>
      <c r="CN216" s="30">
        <f t="shared" si="580"/>
        <v>0</v>
      </c>
      <c r="CO216" s="78" t="e">
        <f t="shared" si="532"/>
        <v>#DIV/0!</v>
      </c>
      <c r="CP216" s="79">
        <f t="shared" si="581"/>
        <v>0</v>
      </c>
      <c r="CQ216" s="30">
        <f t="shared" si="582"/>
        <v>0</v>
      </c>
      <c r="CR216" s="78" t="e">
        <f t="shared" si="533"/>
        <v>#DIV/0!</v>
      </c>
      <c r="CS216" s="79">
        <f t="shared" si="583"/>
        <v>0</v>
      </c>
      <c r="CT216" s="30">
        <f t="shared" si="584"/>
        <v>0</v>
      </c>
      <c r="CU216" s="78" t="e">
        <f t="shared" si="534"/>
        <v>#DIV/0!</v>
      </c>
      <c r="CV216" s="79">
        <f t="shared" si="585"/>
        <v>0</v>
      </c>
      <c r="CW216" s="30">
        <f t="shared" si="586"/>
        <v>0</v>
      </c>
      <c r="CX216" s="78" t="e">
        <f t="shared" si="535"/>
        <v>#DIV/0!</v>
      </c>
      <c r="CY216" s="79">
        <f t="shared" si="587"/>
        <v>0</v>
      </c>
      <c r="CZ216" s="30">
        <f t="shared" si="588"/>
        <v>0</v>
      </c>
      <c r="DA216" s="78" t="e">
        <f t="shared" si="536"/>
        <v>#DIV/0!</v>
      </c>
      <c r="DB216" s="79">
        <f t="shared" si="589"/>
        <v>0</v>
      </c>
      <c r="DC216" s="30">
        <f t="shared" si="590"/>
        <v>0</v>
      </c>
      <c r="DD216" s="78" t="e">
        <f t="shared" si="537"/>
        <v>#DIV/0!</v>
      </c>
      <c r="DE216" s="79">
        <f t="shared" si="591"/>
        <v>0</v>
      </c>
      <c r="DF216" s="30">
        <f t="shared" si="592"/>
        <v>0</v>
      </c>
      <c r="DG216" s="78" t="e">
        <f t="shared" si="538"/>
        <v>#DIV/0!</v>
      </c>
      <c r="DH216" s="79">
        <f t="shared" si="593"/>
        <v>0</v>
      </c>
      <c r="DI216" s="30">
        <f t="shared" si="594"/>
        <v>0</v>
      </c>
      <c r="DJ216" s="78" t="e">
        <f t="shared" si="539"/>
        <v>#DIV/0!</v>
      </c>
      <c r="DK216" s="79">
        <f t="shared" si="595"/>
        <v>0</v>
      </c>
      <c r="DL216" s="30">
        <f t="shared" si="596"/>
        <v>0</v>
      </c>
      <c r="DM216" s="78" t="e">
        <f t="shared" si="540"/>
        <v>#DIV/0!</v>
      </c>
      <c r="DN216" s="79">
        <f t="shared" si="541"/>
        <v>0</v>
      </c>
      <c r="DO216" s="30">
        <f t="shared" si="542"/>
        <v>0</v>
      </c>
      <c r="DP216" s="78" t="e">
        <f t="shared" si="543"/>
        <v>#DIV/0!</v>
      </c>
      <c r="DQ216" s="79">
        <f t="shared" si="597"/>
        <v>0</v>
      </c>
      <c r="DR216" s="30">
        <f t="shared" si="598"/>
        <v>0</v>
      </c>
      <c r="DS216" s="78" t="e">
        <f t="shared" si="544"/>
        <v>#DIV/0!</v>
      </c>
      <c r="DT216" s="79">
        <f t="shared" si="599"/>
        <v>0</v>
      </c>
      <c r="DU216" s="30">
        <f t="shared" si="600"/>
        <v>0</v>
      </c>
      <c r="DV216" s="78" t="e">
        <f t="shared" si="545"/>
        <v>#DIV/0!</v>
      </c>
      <c r="DW216" s="79">
        <f t="shared" si="601"/>
        <v>0</v>
      </c>
      <c r="DX216" s="30">
        <f t="shared" si="602"/>
        <v>0</v>
      </c>
      <c r="DY216" s="78" t="e">
        <f t="shared" si="546"/>
        <v>#DIV/0!</v>
      </c>
      <c r="DZ216" s="79">
        <f t="shared" si="603"/>
        <v>0</v>
      </c>
      <c r="EA216" s="30">
        <f t="shared" si="604"/>
        <v>0</v>
      </c>
      <c r="EB216" s="78" t="e">
        <f t="shared" si="547"/>
        <v>#DIV/0!</v>
      </c>
      <c r="EC216" s="79">
        <f t="shared" si="605"/>
        <v>0</v>
      </c>
      <c r="ED216" s="30">
        <f t="shared" si="606"/>
        <v>0</v>
      </c>
      <c r="EE216" s="78" t="e">
        <f t="shared" si="548"/>
        <v>#DIV/0!</v>
      </c>
      <c r="EF216" s="79">
        <f t="shared" si="607"/>
        <v>0</v>
      </c>
      <c r="EG216" s="30">
        <f t="shared" si="608"/>
        <v>0</v>
      </c>
      <c r="EH216" s="78" t="e">
        <f t="shared" si="549"/>
        <v>#DIV/0!</v>
      </c>
      <c r="EI216" s="79">
        <f t="shared" si="609"/>
        <v>0</v>
      </c>
      <c r="EJ216" s="30">
        <f t="shared" si="610"/>
        <v>0</v>
      </c>
      <c r="EK216" s="78" t="e">
        <f t="shared" si="550"/>
        <v>#DIV/0!</v>
      </c>
    </row>
    <row r="217" spans="1:141" s="12" customFormat="1" ht="14.25" hidden="1" customHeight="1">
      <c r="A217" s="25">
        <v>58</v>
      </c>
      <c r="B217" s="26">
        <v>6773</v>
      </c>
      <c r="C217" s="84" t="s">
        <v>114</v>
      </c>
      <c r="D217" s="24"/>
      <c r="E217" s="60"/>
      <c r="F217" s="59"/>
      <c r="G217" s="82">
        <f t="shared" si="480"/>
        <v>0</v>
      </c>
      <c r="H217" s="81">
        <f t="shared" si="481"/>
        <v>0</v>
      </c>
      <c r="I217" s="19">
        <f t="shared" si="482"/>
        <v>0</v>
      </c>
      <c r="J217" s="11">
        <f t="shared" si="483"/>
        <v>0</v>
      </c>
      <c r="K217" s="19">
        <f t="shared" si="484"/>
        <v>0</v>
      </c>
      <c r="L217" s="19">
        <f t="shared" si="485"/>
        <v>0</v>
      </c>
      <c r="M217" s="19">
        <f t="shared" si="486"/>
        <v>0</v>
      </c>
      <c r="N217" s="19">
        <f t="shared" si="487"/>
        <v>0</v>
      </c>
      <c r="O217" s="19">
        <f t="shared" si="488"/>
        <v>0</v>
      </c>
      <c r="P217" s="19">
        <f t="shared" si="489"/>
        <v>0</v>
      </c>
      <c r="Q217" s="19">
        <f t="shared" si="490"/>
        <v>0</v>
      </c>
      <c r="R217" s="19">
        <f t="shared" si="491"/>
        <v>0</v>
      </c>
      <c r="S217" s="19">
        <f t="shared" si="492"/>
        <v>0</v>
      </c>
      <c r="T217" s="19">
        <f t="shared" si="493"/>
        <v>0</v>
      </c>
      <c r="U217" s="19">
        <f t="shared" si="494"/>
        <v>0</v>
      </c>
      <c r="V217" s="19">
        <f t="shared" si="495"/>
        <v>0</v>
      </c>
      <c r="W217" s="19">
        <f t="shared" si="496"/>
        <v>0</v>
      </c>
      <c r="X217" s="19">
        <f t="shared" si="497"/>
        <v>0</v>
      </c>
      <c r="Y217" s="19">
        <f t="shared" si="498"/>
        <v>0</v>
      </c>
      <c r="Z217" s="19">
        <f t="shared" si="499"/>
        <v>0</v>
      </c>
      <c r="AA217" s="18"/>
      <c r="AB217" s="56">
        <f t="shared" si="500"/>
        <v>0</v>
      </c>
      <c r="AC217" s="16">
        <f t="shared" si="501"/>
        <v>0</v>
      </c>
      <c r="AD217" s="15" t="e">
        <f t="shared" si="502"/>
        <v>#DIV/0!</v>
      </c>
      <c r="AE217" s="42"/>
      <c r="AF217" s="10" t="e">
        <f t="shared" si="503"/>
        <v>#DIV/0!</v>
      </c>
      <c r="AG217" s="10"/>
      <c r="AH217" s="21">
        <f t="shared" si="504"/>
        <v>0</v>
      </c>
      <c r="AI217" s="54" t="e">
        <f t="shared" si="505"/>
        <v>#DIV/0!</v>
      </c>
      <c r="AJ217" s="25">
        <f t="shared" si="506"/>
        <v>0</v>
      </c>
      <c r="AK217" s="25">
        <f t="shared" si="507"/>
        <v>0</v>
      </c>
      <c r="AL217" s="25">
        <f t="shared" si="508"/>
        <v>0</v>
      </c>
      <c r="AM217" s="25">
        <f t="shared" si="509"/>
        <v>0</v>
      </c>
      <c r="AN217" s="25">
        <f t="shared" si="510"/>
        <v>0</v>
      </c>
      <c r="AO217" s="25">
        <f t="shared" si="511"/>
        <v>0</v>
      </c>
      <c r="AP217" s="25">
        <f t="shared" si="512"/>
        <v>0</v>
      </c>
      <c r="AQ217" s="25">
        <f t="shared" si="513"/>
        <v>0</v>
      </c>
      <c r="AR217" s="25">
        <f t="shared" si="514"/>
        <v>0</v>
      </c>
      <c r="AS217" s="25">
        <f t="shared" si="515"/>
        <v>0</v>
      </c>
      <c r="AT217" s="25">
        <f t="shared" si="516"/>
        <v>0</v>
      </c>
      <c r="AU217" s="80"/>
      <c r="AV217" s="79">
        <f t="shared" si="517"/>
        <v>0</v>
      </c>
      <c r="AW217" s="79">
        <f t="shared" si="551"/>
        <v>0</v>
      </c>
      <c r="AX217" s="30">
        <f t="shared" si="552"/>
        <v>0</v>
      </c>
      <c r="AY217" s="78" t="e">
        <f t="shared" si="518"/>
        <v>#DIV/0!</v>
      </c>
      <c r="AZ217" s="79">
        <f t="shared" si="553"/>
        <v>0</v>
      </c>
      <c r="BA217" s="30">
        <f t="shared" si="554"/>
        <v>0</v>
      </c>
      <c r="BB217" s="78" t="e">
        <f t="shared" si="519"/>
        <v>#DIV/0!</v>
      </c>
      <c r="BC217" s="79">
        <f t="shared" si="555"/>
        <v>0</v>
      </c>
      <c r="BD217" s="30">
        <f t="shared" si="556"/>
        <v>0</v>
      </c>
      <c r="BE217" s="78" t="e">
        <f t="shared" si="520"/>
        <v>#DIV/0!</v>
      </c>
      <c r="BF217" s="79">
        <f t="shared" si="557"/>
        <v>0</v>
      </c>
      <c r="BG217" s="30">
        <f t="shared" si="558"/>
        <v>0</v>
      </c>
      <c r="BH217" s="78" t="e">
        <f t="shared" si="521"/>
        <v>#DIV/0!</v>
      </c>
      <c r="BI217" s="79">
        <f t="shared" si="559"/>
        <v>0</v>
      </c>
      <c r="BJ217" s="30">
        <f t="shared" si="560"/>
        <v>0</v>
      </c>
      <c r="BK217" s="78" t="e">
        <f t="shared" si="522"/>
        <v>#DIV/0!</v>
      </c>
      <c r="BL217" s="79">
        <f t="shared" si="561"/>
        <v>0</v>
      </c>
      <c r="BM217" s="30">
        <f t="shared" si="562"/>
        <v>0</v>
      </c>
      <c r="BN217" s="78" t="e">
        <f t="shared" si="523"/>
        <v>#DIV/0!</v>
      </c>
      <c r="BO217" s="79">
        <f t="shared" si="563"/>
        <v>0</v>
      </c>
      <c r="BP217" s="30">
        <f t="shared" si="564"/>
        <v>0</v>
      </c>
      <c r="BQ217" s="78" t="e">
        <f t="shared" si="524"/>
        <v>#DIV/0!</v>
      </c>
      <c r="BR217" s="79">
        <f t="shared" si="565"/>
        <v>0</v>
      </c>
      <c r="BS217" s="30">
        <f t="shared" si="566"/>
        <v>0</v>
      </c>
      <c r="BT217" s="78" t="e">
        <f t="shared" si="525"/>
        <v>#DIV/0!</v>
      </c>
      <c r="BU217" s="79">
        <f t="shared" si="567"/>
        <v>0</v>
      </c>
      <c r="BV217" s="30">
        <f t="shared" si="568"/>
        <v>0</v>
      </c>
      <c r="BW217" s="78" t="e">
        <f t="shared" si="526"/>
        <v>#DIV/0!</v>
      </c>
      <c r="BX217" s="79">
        <f t="shared" si="569"/>
        <v>0</v>
      </c>
      <c r="BY217" s="30">
        <f t="shared" si="570"/>
        <v>0</v>
      </c>
      <c r="BZ217" s="78" t="e">
        <f t="shared" si="527"/>
        <v>#DIV/0!</v>
      </c>
      <c r="CA217" s="79">
        <f t="shared" si="571"/>
        <v>0</v>
      </c>
      <c r="CB217" s="30">
        <f t="shared" si="572"/>
        <v>0</v>
      </c>
      <c r="CC217" s="78" t="e">
        <f t="shared" si="528"/>
        <v>#DIV/0!</v>
      </c>
      <c r="CD217" s="79">
        <f t="shared" si="573"/>
        <v>0</v>
      </c>
      <c r="CE217" s="30">
        <f t="shared" si="574"/>
        <v>0</v>
      </c>
      <c r="CF217" s="78" t="e">
        <f t="shared" si="529"/>
        <v>#DIV/0!</v>
      </c>
      <c r="CG217" s="79">
        <f t="shared" si="575"/>
        <v>0</v>
      </c>
      <c r="CH217" s="30">
        <f t="shared" si="576"/>
        <v>0</v>
      </c>
      <c r="CI217" s="78" t="e">
        <f t="shared" si="530"/>
        <v>#DIV/0!</v>
      </c>
      <c r="CJ217" s="79">
        <f t="shared" si="577"/>
        <v>0</v>
      </c>
      <c r="CK217" s="30">
        <f t="shared" si="578"/>
        <v>0</v>
      </c>
      <c r="CL217" s="78" t="e">
        <f t="shared" si="531"/>
        <v>#DIV/0!</v>
      </c>
      <c r="CM217" s="79">
        <f t="shared" si="579"/>
        <v>0</v>
      </c>
      <c r="CN217" s="30">
        <f t="shared" si="580"/>
        <v>0</v>
      </c>
      <c r="CO217" s="78" t="e">
        <f t="shared" si="532"/>
        <v>#DIV/0!</v>
      </c>
      <c r="CP217" s="79">
        <f t="shared" si="581"/>
        <v>0</v>
      </c>
      <c r="CQ217" s="30">
        <f t="shared" si="582"/>
        <v>0</v>
      </c>
      <c r="CR217" s="78" t="e">
        <f t="shared" si="533"/>
        <v>#DIV/0!</v>
      </c>
      <c r="CS217" s="79">
        <f t="shared" si="583"/>
        <v>0</v>
      </c>
      <c r="CT217" s="30">
        <f t="shared" si="584"/>
        <v>0</v>
      </c>
      <c r="CU217" s="78" t="e">
        <f t="shared" si="534"/>
        <v>#DIV/0!</v>
      </c>
      <c r="CV217" s="79">
        <f t="shared" si="585"/>
        <v>0</v>
      </c>
      <c r="CW217" s="30">
        <f t="shared" si="586"/>
        <v>0</v>
      </c>
      <c r="CX217" s="78" t="e">
        <f t="shared" si="535"/>
        <v>#DIV/0!</v>
      </c>
      <c r="CY217" s="79">
        <f t="shared" si="587"/>
        <v>0</v>
      </c>
      <c r="CZ217" s="30">
        <f t="shared" si="588"/>
        <v>0</v>
      </c>
      <c r="DA217" s="78" t="e">
        <f t="shared" si="536"/>
        <v>#DIV/0!</v>
      </c>
      <c r="DB217" s="79">
        <f t="shared" si="589"/>
        <v>0</v>
      </c>
      <c r="DC217" s="30">
        <f t="shared" si="590"/>
        <v>0</v>
      </c>
      <c r="DD217" s="78" t="e">
        <f t="shared" si="537"/>
        <v>#DIV/0!</v>
      </c>
      <c r="DE217" s="79">
        <f t="shared" si="591"/>
        <v>0</v>
      </c>
      <c r="DF217" s="30">
        <f t="shared" si="592"/>
        <v>0</v>
      </c>
      <c r="DG217" s="78" t="e">
        <f t="shared" si="538"/>
        <v>#DIV/0!</v>
      </c>
      <c r="DH217" s="79">
        <f t="shared" si="593"/>
        <v>0</v>
      </c>
      <c r="DI217" s="30">
        <f t="shared" si="594"/>
        <v>0</v>
      </c>
      <c r="DJ217" s="78" t="e">
        <f t="shared" si="539"/>
        <v>#DIV/0!</v>
      </c>
      <c r="DK217" s="79">
        <f t="shared" si="595"/>
        <v>0</v>
      </c>
      <c r="DL217" s="30">
        <f t="shared" si="596"/>
        <v>0</v>
      </c>
      <c r="DM217" s="78" t="e">
        <f t="shared" si="540"/>
        <v>#DIV/0!</v>
      </c>
      <c r="DN217" s="79">
        <f t="shared" si="541"/>
        <v>0</v>
      </c>
      <c r="DO217" s="30">
        <f t="shared" si="542"/>
        <v>0</v>
      </c>
      <c r="DP217" s="78" t="e">
        <f t="shared" si="543"/>
        <v>#DIV/0!</v>
      </c>
      <c r="DQ217" s="79">
        <f t="shared" si="597"/>
        <v>0</v>
      </c>
      <c r="DR217" s="30">
        <f t="shared" si="598"/>
        <v>0</v>
      </c>
      <c r="DS217" s="78" t="e">
        <f t="shared" si="544"/>
        <v>#DIV/0!</v>
      </c>
      <c r="DT217" s="79">
        <f t="shared" si="599"/>
        <v>0</v>
      </c>
      <c r="DU217" s="30">
        <f t="shared" si="600"/>
        <v>0</v>
      </c>
      <c r="DV217" s="78" t="e">
        <f t="shared" si="545"/>
        <v>#DIV/0!</v>
      </c>
      <c r="DW217" s="79">
        <f t="shared" si="601"/>
        <v>0</v>
      </c>
      <c r="DX217" s="30">
        <f t="shared" si="602"/>
        <v>0</v>
      </c>
      <c r="DY217" s="78" t="e">
        <f t="shared" si="546"/>
        <v>#DIV/0!</v>
      </c>
      <c r="DZ217" s="79">
        <f t="shared" si="603"/>
        <v>0</v>
      </c>
      <c r="EA217" s="30">
        <f t="shared" si="604"/>
        <v>0</v>
      </c>
      <c r="EB217" s="78" t="e">
        <f t="shared" si="547"/>
        <v>#DIV/0!</v>
      </c>
      <c r="EC217" s="79">
        <f t="shared" si="605"/>
        <v>0</v>
      </c>
      <c r="ED217" s="30">
        <f t="shared" si="606"/>
        <v>0</v>
      </c>
      <c r="EE217" s="78" t="e">
        <f t="shared" si="548"/>
        <v>#DIV/0!</v>
      </c>
      <c r="EF217" s="79">
        <f t="shared" si="607"/>
        <v>0</v>
      </c>
      <c r="EG217" s="30">
        <f t="shared" si="608"/>
        <v>0</v>
      </c>
      <c r="EH217" s="78" t="e">
        <f t="shared" si="549"/>
        <v>#DIV/0!</v>
      </c>
      <c r="EI217" s="79">
        <f t="shared" si="609"/>
        <v>0</v>
      </c>
      <c r="EJ217" s="30">
        <f t="shared" si="610"/>
        <v>0</v>
      </c>
      <c r="EK217" s="78" t="e">
        <f t="shared" si="550"/>
        <v>#DIV/0!</v>
      </c>
    </row>
    <row r="218" spans="1:141" s="83" customFormat="1" ht="14.25" hidden="1" customHeight="1">
      <c r="A218" s="30">
        <v>59</v>
      </c>
      <c r="B218" s="26"/>
      <c r="C218" s="25"/>
      <c r="D218" s="24"/>
      <c r="E218" s="60"/>
      <c r="F218" s="59"/>
      <c r="G218" s="82">
        <f t="shared" si="480"/>
        <v>0</v>
      </c>
      <c r="H218" s="81">
        <f t="shared" si="481"/>
        <v>0</v>
      </c>
      <c r="I218" s="19">
        <f t="shared" si="482"/>
        <v>0</v>
      </c>
      <c r="J218" s="11">
        <f t="shared" si="483"/>
        <v>0</v>
      </c>
      <c r="K218" s="19">
        <f t="shared" si="484"/>
        <v>0</v>
      </c>
      <c r="L218" s="19">
        <f t="shared" si="485"/>
        <v>0</v>
      </c>
      <c r="M218" s="19">
        <f t="shared" si="486"/>
        <v>0</v>
      </c>
      <c r="N218" s="19">
        <f t="shared" si="487"/>
        <v>0</v>
      </c>
      <c r="O218" s="19">
        <f t="shared" si="488"/>
        <v>0</v>
      </c>
      <c r="P218" s="19">
        <f t="shared" si="489"/>
        <v>0</v>
      </c>
      <c r="Q218" s="19">
        <f t="shared" si="490"/>
        <v>0</v>
      </c>
      <c r="R218" s="19">
        <f t="shared" si="491"/>
        <v>0</v>
      </c>
      <c r="S218" s="19">
        <f t="shared" si="492"/>
        <v>0</v>
      </c>
      <c r="T218" s="19">
        <f t="shared" si="493"/>
        <v>0</v>
      </c>
      <c r="U218" s="19">
        <f t="shared" si="494"/>
        <v>0</v>
      </c>
      <c r="V218" s="19">
        <f t="shared" si="495"/>
        <v>0</v>
      </c>
      <c r="W218" s="19">
        <f t="shared" si="496"/>
        <v>0</v>
      </c>
      <c r="X218" s="19">
        <f t="shared" si="497"/>
        <v>0</v>
      </c>
      <c r="Y218" s="19">
        <f t="shared" si="498"/>
        <v>0</v>
      </c>
      <c r="Z218" s="19">
        <f t="shared" si="499"/>
        <v>0</v>
      </c>
      <c r="AA218" s="18"/>
      <c r="AB218" s="56">
        <f t="shared" si="500"/>
        <v>0</v>
      </c>
      <c r="AC218" s="16">
        <f t="shared" si="501"/>
        <v>0</v>
      </c>
      <c r="AD218" s="15" t="e">
        <f t="shared" si="502"/>
        <v>#DIV/0!</v>
      </c>
      <c r="AE218" s="42"/>
      <c r="AF218" s="10" t="e">
        <f t="shared" si="503"/>
        <v>#DIV/0!</v>
      </c>
      <c r="AG218" s="10"/>
      <c r="AH218" s="21">
        <f t="shared" si="504"/>
        <v>0</v>
      </c>
      <c r="AI218" s="54" t="e">
        <f t="shared" si="505"/>
        <v>#DIV/0!</v>
      </c>
      <c r="AJ218" s="25">
        <f t="shared" si="506"/>
        <v>0</v>
      </c>
      <c r="AK218" s="25">
        <f t="shared" si="507"/>
        <v>0</v>
      </c>
      <c r="AL218" s="25">
        <f t="shared" si="508"/>
        <v>0</v>
      </c>
      <c r="AM218" s="25">
        <f t="shared" si="509"/>
        <v>0</v>
      </c>
      <c r="AN218" s="25">
        <f t="shared" si="510"/>
        <v>0</v>
      </c>
      <c r="AO218" s="25">
        <f t="shared" si="511"/>
        <v>0</v>
      </c>
      <c r="AP218" s="25">
        <f t="shared" si="512"/>
        <v>0</v>
      </c>
      <c r="AQ218" s="25">
        <f t="shared" si="513"/>
        <v>0</v>
      </c>
      <c r="AR218" s="25">
        <f t="shared" si="514"/>
        <v>0</v>
      </c>
      <c r="AS218" s="25">
        <f t="shared" si="515"/>
        <v>0</v>
      </c>
      <c r="AT218" s="25">
        <f t="shared" si="516"/>
        <v>0</v>
      </c>
      <c r="AU218" s="80"/>
      <c r="AV218" s="79">
        <f t="shared" si="517"/>
        <v>0</v>
      </c>
      <c r="AW218" s="79">
        <f t="shared" si="551"/>
        <v>0</v>
      </c>
      <c r="AX218" s="30">
        <f t="shared" si="552"/>
        <v>0</v>
      </c>
      <c r="AY218" s="78" t="e">
        <f t="shared" si="518"/>
        <v>#DIV/0!</v>
      </c>
      <c r="AZ218" s="79">
        <f t="shared" si="553"/>
        <v>0</v>
      </c>
      <c r="BA218" s="30">
        <f t="shared" si="554"/>
        <v>0</v>
      </c>
      <c r="BB218" s="78" t="e">
        <f t="shared" si="519"/>
        <v>#DIV/0!</v>
      </c>
      <c r="BC218" s="79">
        <f t="shared" si="555"/>
        <v>0</v>
      </c>
      <c r="BD218" s="30">
        <f t="shared" si="556"/>
        <v>0</v>
      </c>
      <c r="BE218" s="78" t="e">
        <f t="shared" si="520"/>
        <v>#DIV/0!</v>
      </c>
      <c r="BF218" s="79">
        <f t="shared" si="557"/>
        <v>0</v>
      </c>
      <c r="BG218" s="30">
        <f t="shared" si="558"/>
        <v>0</v>
      </c>
      <c r="BH218" s="78" t="e">
        <f t="shared" si="521"/>
        <v>#DIV/0!</v>
      </c>
      <c r="BI218" s="79">
        <f t="shared" si="559"/>
        <v>0</v>
      </c>
      <c r="BJ218" s="30">
        <f t="shared" si="560"/>
        <v>0</v>
      </c>
      <c r="BK218" s="78" t="e">
        <f t="shared" si="522"/>
        <v>#DIV/0!</v>
      </c>
      <c r="BL218" s="79">
        <f t="shared" si="561"/>
        <v>0</v>
      </c>
      <c r="BM218" s="30">
        <f t="shared" si="562"/>
        <v>0</v>
      </c>
      <c r="BN218" s="78" t="e">
        <f t="shared" si="523"/>
        <v>#DIV/0!</v>
      </c>
      <c r="BO218" s="79">
        <f t="shared" si="563"/>
        <v>0</v>
      </c>
      <c r="BP218" s="30">
        <f t="shared" si="564"/>
        <v>0</v>
      </c>
      <c r="BQ218" s="78" t="e">
        <f t="shared" si="524"/>
        <v>#DIV/0!</v>
      </c>
      <c r="BR218" s="79">
        <f t="shared" si="565"/>
        <v>0</v>
      </c>
      <c r="BS218" s="30">
        <f t="shared" si="566"/>
        <v>0</v>
      </c>
      <c r="BT218" s="78" t="e">
        <f t="shared" si="525"/>
        <v>#DIV/0!</v>
      </c>
      <c r="BU218" s="79">
        <f t="shared" si="567"/>
        <v>0</v>
      </c>
      <c r="BV218" s="30">
        <f t="shared" si="568"/>
        <v>0</v>
      </c>
      <c r="BW218" s="78" t="e">
        <f t="shared" si="526"/>
        <v>#DIV/0!</v>
      </c>
      <c r="BX218" s="79">
        <f t="shared" si="569"/>
        <v>0</v>
      </c>
      <c r="BY218" s="30">
        <f t="shared" si="570"/>
        <v>0</v>
      </c>
      <c r="BZ218" s="78" t="e">
        <f t="shared" si="527"/>
        <v>#DIV/0!</v>
      </c>
      <c r="CA218" s="79">
        <f t="shared" si="571"/>
        <v>0</v>
      </c>
      <c r="CB218" s="30">
        <f t="shared" si="572"/>
        <v>0</v>
      </c>
      <c r="CC218" s="78" t="e">
        <f t="shared" si="528"/>
        <v>#DIV/0!</v>
      </c>
      <c r="CD218" s="79">
        <f t="shared" si="573"/>
        <v>0</v>
      </c>
      <c r="CE218" s="30">
        <f t="shared" si="574"/>
        <v>0</v>
      </c>
      <c r="CF218" s="78" t="e">
        <f t="shared" si="529"/>
        <v>#DIV/0!</v>
      </c>
      <c r="CG218" s="79">
        <f t="shared" si="575"/>
        <v>0</v>
      </c>
      <c r="CH218" s="30">
        <f t="shared" si="576"/>
        <v>0</v>
      </c>
      <c r="CI218" s="78" t="e">
        <f t="shared" si="530"/>
        <v>#DIV/0!</v>
      </c>
      <c r="CJ218" s="79">
        <f t="shared" si="577"/>
        <v>0</v>
      </c>
      <c r="CK218" s="30">
        <f t="shared" si="578"/>
        <v>0</v>
      </c>
      <c r="CL218" s="78" t="e">
        <f t="shared" si="531"/>
        <v>#DIV/0!</v>
      </c>
      <c r="CM218" s="79">
        <f t="shared" si="579"/>
        <v>0</v>
      </c>
      <c r="CN218" s="30">
        <f t="shared" si="580"/>
        <v>0</v>
      </c>
      <c r="CO218" s="78" t="e">
        <f t="shared" si="532"/>
        <v>#DIV/0!</v>
      </c>
      <c r="CP218" s="79">
        <f t="shared" si="581"/>
        <v>0</v>
      </c>
      <c r="CQ218" s="30">
        <f t="shared" si="582"/>
        <v>0</v>
      </c>
      <c r="CR218" s="78" t="e">
        <f t="shared" si="533"/>
        <v>#DIV/0!</v>
      </c>
      <c r="CS218" s="79">
        <f t="shared" si="583"/>
        <v>0</v>
      </c>
      <c r="CT218" s="30">
        <f t="shared" si="584"/>
        <v>0</v>
      </c>
      <c r="CU218" s="78" t="e">
        <f t="shared" si="534"/>
        <v>#DIV/0!</v>
      </c>
      <c r="CV218" s="79">
        <f t="shared" si="585"/>
        <v>0</v>
      </c>
      <c r="CW218" s="30">
        <f t="shared" si="586"/>
        <v>0</v>
      </c>
      <c r="CX218" s="78" t="e">
        <f t="shared" si="535"/>
        <v>#DIV/0!</v>
      </c>
      <c r="CY218" s="79">
        <f t="shared" si="587"/>
        <v>0</v>
      </c>
      <c r="CZ218" s="30">
        <f t="shared" si="588"/>
        <v>0</v>
      </c>
      <c r="DA218" s="78" t="e">
        <f t="shared" si="536"/>
        <v>#DIV/0!</v>
      </c>
      <c r="DB218" s="79">
        <f t="shared" si="589"/>
        <v>0</v>
      </c>
      <c r="DC218" s="30">
        <f t="shared" si="590"/>
        <v>0</v>
      </c>
      <c r="DD218" s="78" t="e">
        <f t="shared" si="537"/>
        <v>#DIV/0!</v>
      </c>
      <c r="DE218" s="79">
        <f t="shared" si="591"/>
        <v>0</v>
      </c>
      <c r="DF218" s="30">
        <f t="shared" si="592"/>
        <v>0</v>
      </c>
      <c r="DG218" s="78" t="e">
        <f t="shared" si="538"/>
        <v>#DIV/0!</v>
      </c>
      <c r="DH218" s="79">
        <f t="shared" si="593"/>
        <v>0</v>
      </c>
      <c r="DI218" s="30">
        <f t="shared" si="594"/>
        <v>0</v>
      </c>
      <c r="DJ218" s="78" t="e">
        <f t="shared" si="539"/>
        <v>#DIV/0!</v>
      </c>
      <c r="DK218" s="79">
        <f t="shared" si="595"/>
        <v>0</v>
      </c>
      <c r="DL218" s="30">
        <f t="shared" si="596"/>
        <v>0</v>
      </c>
      <c r="DM218" s="78" t="e">
        <f t="shared" si="540"/>
        <v>#DIV/0!</v>
      </c>
      <c r="DN218" s="79">
        <f t="shared" si="541"/>
        <v>0</v>
      </c>
      <c r="DO218" s="30">
        <f t="shared" si="542"/>
        <v>0</v>
      </c>
      <c r="DP218" s="78" t="e">
        <f t="shared" si="543"/>
        <v>#DIV/0!</v>
      </c>
      <c r="DQ218" s="79">
        <f t="shared" si="597"/>
        <v>0</v>
      </c>
      <c r="DR218" s="30">
        <f t="shared" si="598"/>
        <v>0</v>
      </c>
      <c r="DS218" s="78" t="e">
        <f t="shared" si="544"/>
        <v>#DIV/0!</v>
      </c>
      <c r="DT218" s="79">
        <f t="shared" si="599"/>
        <v>0</v>
      </c>
      <c r="DU218" s="30">
        <f t="shared" si="600"/>
        <v>0</v>
      </c>
      <c r="DV218" s="78" t="e">
        <f t="shared" si="545"/>
        <v>#DIV/0!</v>
      </c>
      <c r="DW218" s="79">
        <f t="shared" si="601"/>
        <v>0</v>
      </c>
      <c r="DX218" s="30">
        <f t="shared" si="602"/>
        <v>0</v>
      </c>
      <c r="DY218" s="78" t="e">
        <f t="shared" si="546"/>
        <v>#DIV/0!</v>
      </c>
      <c r="DZ218" s="79">
        <f t="shared" si="603"/>
        <v>0</v>
      </c>
      <c r="EA218" s="30">
        <f t="shared" si="604"/>
        <v>0</v>
      </c>
      <c r="EB218" s="78" t="e">
        <f t="shared" si="547"/>
        <v>#DIV/0!</v>
      </c>
      <c r="EC218" s="79">
        <f t="shared" si="605"/>
        <v>0</v>
      </c>
      <c r="ED218" s="30">
        <f t="shared" si="606"/>
        <v>0</v>
      </c>
      <c r="EE218" s="78" t="e">
        <f t="shared" si="548"/>
        <v>#DIV/0!</v>
      </c>
      <c r="EF218" s="79">
        <f t="shared" si="607"/>
        <v>0</v>
      </c>
      <c r="EG218" s="30">
        <f t="shared" si="608"/>
        <v>0</v>
      </c>
      <c r="EH218" s="78" t="e">
        <f t="shared" si="549"/>
        <v>#DIV/0!</v>
      </c>
      <c r="EI218" s="79">
        <f t="shared" si="609"/>
        <v>0</v>
      </c>
      <c r="EJ218" s="30">
        <f t="shared" si="610"/>
        <v>0</v>
      </c>
      <c r="EK218" s="78" t="e">
        <f t="shared" si="550"/>
        <v>#DIV/0!</v>
      </c>
    </row>
    <row r="219" spans="1:141" s="12" customFormat="1" ht="14.25" hidden="1" customHeight="1">
      <c r="A219" s="25">
        <v>60</v>
      </c>
      <c r="B219" s="26"/>
      <c r="C219" s="25"/>
      <c r="D219" s="24"/>
      <c r="E219" s="60"/>
      <c r="F219" s="59"/>
      <c r="G219" s="82">
        <f t="shared" si="480"/>
        <v>0</v>
      </c>
      <c r="H219" s="81">
        <f t="shared" si="481"/>
        <v>0</v>
      </c>
      <c r="I219" s="19">
        <f t="shared" si="482"/>
        <v>0</v>
      </c>
      <c r="J219" s="11">
        <f t="shared" si="483"/>
        <v>0</v>
      </c>
      <c r="K219" s="19">
        <f t="shared" si="484"/>
        <v>0</v>
      </c>
      <c r="L219" s="19">
        <f t="shared" si="485"/>
        <v>0</v>
      </c>
      <c r="M219" s="19">
        <f t="shared" si="486"/>
        <v>0</v>
      </c>
      <c r="N219" s="19">
        <f t="shared" si="487"/>
        <v>0</v>
      </c>
      <c r="O219" s="19">
        <f t="shared" si="488"/>
        <v>0</v>
      </c>
      <c r="P219" s="19">
        <f t="shared" si="489"/>
        <v>0</v>
      </c>
      <c r="Q219" s="19">
        <f t="shared" si="490"/>
        <v>0</v>
      </c>
      <c r="R219" s="19">
        <f t="shared" si="491"/>
        <v>0</v>
      </c>
      <c r="S219" s="19">
        <f t="shared" si="492"/>
        <v>0</v>
      </c>
      <c r="T219" s="19">
        <f t="shared" si="493"/>
        <v>0</v>
      </c>
      <c r="U219" s="19">
        <f t="shared" si="494"/>
        <v>0</v>
      </c>
      <c r="V219" s="19">
        <f t="shared" si="495"/>
        <v>0</v>
      </c>
      <c r="W219" s="19">
        <f t="shared" si="496"/>
        <v>0</v>
      </c>
      <c r="X219" s="19">
        <f t="shared" si="497"/>
        <v>0</v>
      </c>
      <c r="Y219" s="19">
        <f t="shared" si="498"/>
        <v>0</v>
      </c>
      <c r="Z219" s="19">
        <f t="shared" si="499"/>
        <v>0</v>
      </c>
      <c r="AA219" s="18"/>
      <c r="AB219" s="56">
        <f t="shared" si="500"/>
        <v>0</v>
      </c>
      <c r="AC219" s="16">
        <f t="shared" si="501"/>
        <v>0</v>
      </c>
      <c r="AD219" s="15" t="e">
        <f t="shared" si="502"/>
        <v>#DIV/0!</v>
      </c>
      <c r="AE219" s="42"/>
      <c r="AF219" s="10" t="e">
        <f t="shared" si="503"/>
        <v>#DIV/0!</v>
      </c>
      <c r="AG219" s="10"/>
      <c r="AH219" s="21">
        <f t="shared" si="504"/>
        <v>0</v>
      </c>
      <c r="AI219" s="54" t="e">
        <f t="shared" si="505"/>
        <v>#DIV/0!</v>
      </c>
      <c r="AJ219" s="25">
        <f t="shared" si="506"/>
        <v>0</v>
      </c>
      <c r="AK219" s="25">
        <f t="shared" si="507"/>
        <v>0</v>
      </c>
      <c r="AL219" s="25">
        <f t="shared" si="508"/>
        <v>0</v>
      </c>
      <c r="AM219" s="25">
        <f t="shared" si="509"/>
        <v>0</v>
      </c>
      <c r="AN219" s="25">
        <f t="shared" si="510"/>
        <v>0</v>
      </c>
      <c r="AO219" s="25">
        <f t="shared" si="511"/>
        <v>0</v>
      </c>
      <c r="AP219" s="25">
        <f t="shared" si="512"/>
        <v>0</v>
      </c>
      <c r="AQ219" s="25">
        <f t="shared" si="513"/>
        <v>0</v>
      </c>
      <c r="AR219" s="25">
        <f t="shared" si="514"/>
        <v>0</v>
      </c>
      <c r="AS219" s="25">
        <f t="shared" si="515"/>
        <v>0</v>
      </c>
      <c r="AT219" s="25">
        <f t="shared" si="516"/>
        <v>0</v>
      </c>
      <c r="AU219" s="80"/>
      <c r="AV219" s="79">
        <f t="shared" si="517"/>
        <v>0</v>
      </c>
      <c r="AW219" s="79">
        <f t="shared" si="551"/>
        <v>0</v>
      </c>
      <c r="AX219" s="30">
        <f t="shared" si="552"/>
        <v>0</v>
      </c>
      <c r="AY219" s="78" t="e">
        <f t="shared" si="518"/>
        <v>#DIV/0!</v>
      </c>
      <c r="AZ219" s="79">
        <f t="shared" si="553"/>
        <v>0</v>
      </c>
      <c r="BA219" s="30">
        <f t="shared" si="554"/>
        <v>0</v>
      </c>
      <c r="BB219" s="78" t="e">
        <f t="shared" si="519"/>
        <v>#DIV/0!</v>
      </c>
      <c r="BC219" s="79">
        <f t="shared" si="555"/>
        <v>0</v>
      </c>
      <c r="BD219" s="30">
        <f t="shared" si="556"/>
        <v>0</v>
      </c>
      <c r="BE219" s="78" t="e">
        <f t="shared" si="520"/>
        <v>#DIV/0!</v>
      </c>
      <c r="BF219" s="79">
        <f t="shared" si="557"/>
        <v>0</v>
      </c>
      <c r="BG219" s="30">
        <f t="shared" si="558"/>
        <v>0</v>
      </c>
      <c r="BH219" s="78" t="e">
        <f t="shared" si="521"/>
        <v>#DIV/0!</v>
      </c>
      <c r="BI219" s="79">
        <f t="shared" si="559"/>
        <v>0</v>
      </c>
      <c r="BJ219" s="30">
        <f t="shared" si="560"/>
        <v>0</v>
      </c>
      <c r="BK219" s="78" t="e">
        <f t="shared" si="522"/>
        <v>#DIV/0!</v>
      </c>
      <c r="BL219" s="79">
        <f t="shared" si="561"/>
        <v>0</v>
      </c>
      <c r="BM219" s="30">
        <f t="shared" si="562"/>
        <v>0</v>
      </c>
      <c r="BN219" s="78" t="e">
        <f t="shared" si="523"/>
        <v>#DIV/0!</v>
      </c>
      <c r="BO219" s="79">
        <f t="shared" si="563"/>
        <v>0</v>
      </c>
      <c r="BP219" s="30">
        <f t="shared" si="564"/>
        <v>0</v>
      </c>
      <c r="BQ219" s="78" t="e">
        <f t="shared" si="524"/>
        <v>#DIV/0!</v>
      </c>
      <c r="BR219" s="79">
        <f t="shared" si="565"/>
        <v>0</v>
      </c>
      <c r="BS219" s="30">
        <f t="shared" si="566"/>
        <v>0</v>
      </c>
      <c r="BT219" s="78" t="e">
        <f t="shared" si="525"/>
        <v>#DIV/0!</v>
      </c>
      <c r="BU219" s="79">
        <f t="shared" si="567"/>
        <v>0</v>
      </c>
      <c r="BV219" s="30">
        <f t="shared" si="568"/>
        <v>0</v>
      </c>
      <c r="BW219" s="78" t="e">
        <f t="shared" si="526"/>
        <v>#DIV/0!</v>
      </c>
      <c r="BX219" s="79">
        <f t="shared" si="569"/>
        <v>0</v>
      </c>
      <c r="BY219" s="30">
        <f t="shared" si="570"/>
        <v>0</v>
      </c>
      <c r="BZ219" s="78" t="e">
        <f t="shared" si="527"/>
        <v>#DIV/0!</v>
      </c>
      <c r="CA219" s="79">
        <f t="shared" si="571"/>
        <v>0</v>
      </c>
      <c r="CB219" s="30">
        <f t="shared" si="572"/>
        <v>0</v>
      </c>
      <c r="CC219" s="78" t="e">
        <f t="shared" si="528"/>
        <v>#DIV/0!</v>
      </c>
      <c r="CD219" s="79">
        <f t="shared" si="573"/>
        <v>0</v>
      </c>
      <c r="CE219" s="30">
        <f t="shared" si="574"/>
        <v>0</v>
      </c>
      <c r="CF219" s="78" t="e">
        <f t="shared" si="529"/>
        <v>#DIV/0!</v>
      </c>
      <c r="CG219" s="79">
        <f t="shared" si="575"/>
        <v>0</v>
      </c>
      <c r="CH219" s="30">
        <f t="shared" si="576"/>
        <v>0</v>
      </c>
      <c r="CI219" s="78" t="e">
        <f t="shared" si="530"/>
        <v>#DIV/0!</v>
      </c>
      <c r="CJ219" s="79">
        <f t="shared" si="577"/>
        <v>0</v>
      </c>
      <c r="CK219" s="30">
        <f t="shared" si="578"/>
        <v>0</v>
      </c>
      <c r="CL219" s="78" t="e">
        <f t="shared" si="531"/>
        <v>#DIV/0!</v>
      </c>
      <c r="CM219" s="79">
        <f t="shared" si="579"/>
        <v>0</v>
      </c>
      <c r="CN219" s="30">
        <f t="shared" si="580"/>
        <v>0</v>
      </c>
      <c r="CO219" s="78" t="e">
        <f t="shared" si="532"/>
        <v>#DIV/0!</v>
      </c>
      <c r="CP219" s="79">
        <f t="shared" si="581"/>
        <v>0</v>
      </c>
      <c r="CQ219" s="30">
        <f t="shared" si="582"/>
        <v>0</v>
      </c>
      <c r="CR219" s="78" t="e">
        <f t="shared" si="533"/>
        <v>#DIV/0!</v>
      </c>
      <c r="CS219" s="79">
        <f t="shared" si="583"/>
        <v>0</v>
      </c>
      <c r="CT219" s="30">
        <f t="shared" si="584"/>
        <v>0</v>
      </c>
      <c r="CU219" s="78" t="e">
        <f t="shared" si="534"/>
        <v>#DIV/0!</v>
      </c>
      <c r="CV219" s="79">
        <f t="shared" si="585"/>
        <v>0</v>
      </c>
      <c r="CW219" s="30">
        <f t="shared" si="586"/>
        <v>0</v>
      </c>
      <c r="CX219" s="78" t="e">
        <f t="shared" si="535"/>
        <v>#DIV/0!</v>
      </c>
      <c r="CY219" s="79">
        <f t="shared" si="587"/>
        <v>0</v>
      </c>
      <c r="CZ219" s="30">
        <f t="shared" si="588"/>
        <v>0</v>
      </c>
      <c r="DA219" s="78" t="e">
        <f t="shared" si="536"/>
        <v>#DIV/0!</v>
      </c>
      <c r="DB219" s="79">
        <f t="shared" si="589"/>
        <v>0</v>
      </c>
      <c r="DC219" s="30">
        <f t="shared" si="590"/>
        <v>0</v>
      </c>
      <c r="DD219" s="78" t="e">
        <f t="shared" si="537"/>
        <v>#DIV/0!</v>
      </c>
      <c r="DE219" s="79">
        <f t="shared" si="591"/>
        <v>0</v>
      </c>
      <c r="DF219" s="30">
        <f t="shared" si="592"/>
        <v>0</v>
      </c>
      <c r="DG219" s="78" t="e">
        <f t="shared" si="538"/>
        <v>#DIV/0!</v>
      </c>
      <c r="DH219" s="79">
        <f t="shared" si="593"/>
        <v>0</v>
      </c>
      <c r="DI219" s="30">
        <f t="shared" si="594"/>
        <v>0</v>
      </c>
      <c r="DJ219" s="78" t="e">
        <f t="shared" si="539"/>
        <v>#DIV/0!</v>
      </c>
      <c r="DK219" s="79">
        <f t="shared" si="595"/>
        <v>0</v>
      </c>
      <c r="DL219" s="30">
        <f t="shared" si="596"/>
        <v>0</v>
      </c>
      <c r="DM219" s="78" t="e">
        <f t="shared" si="540"/>
        <v>#DIV/0!</v>
      </c>
      <c r="DN219" s="79">
        <f t="shared" si="541"/>
        <v>0</v>
      </c>
      <c r="DO219" s="30">
        <f t="shared" si="542"/>
        <v>0</v>
      </c>
      <c r="DP219" s="78" t="e">
        <f t="shared" si="543"/>
        <v>#DIV/0!</v>
      </c>
      <c r="DQ219" s="79">
        <f t="shared" si="597"/>
        <v>0</v>
      </c>
      <c r="DR219" s="30">
        <f t="shared" si="598"/>
        <v>0</v>
      </c>
      <c r="DS219" s="78" t="e">
        <f t="shared" si="544"/>
        <v>#DIV/0!</v>
      </c>
      <c r="DT219" s="79">
        <f t="shared" si="599"/>
        <v>0</v>
      </c>
      <c r="DU219" s="30">
        <f t="shared" si="600"/>
        <v>0</v>
      </c>
      <c r="DV219" s="78" t="e">
        <f t="shared" si="545"/>
        <v>#DIV/0!</v>
      </c>
      <c r="DW219" s="79">
        <f t="shared" si="601"/>
        <v>0</v>
      </c>
      <c r="DX219" s="30">
        <f t="shared" si="602"/>
        <v>0</v>
      </c>
      <c r="DY219" s="78" t="e">
        <f t="shared" si="546"/>
        <v>#DIV/0!</v>
      </c>
      <c r="DZ219" s="79">
        <f t="shared" si="603"/>
        <v>0</v>
      </c>
      <c r="EA219" s="30">
        <f t="shared" si="604"/>
        <v>0</v>
      </c>
      <c r="EB219" s="78" t="e">
        <f t="shared" si="547"/>
        <v>#DIV/0!</v>
      </c>
      <c r="EC219" s="79">
        <f t="shared" si="605"/>
        <v>0</v>
      </c>
      <c r="ED219" s="30">
        <f t="shared" si="606"/>
        <v>0</v>
      </c>
      <c r="EE219" s="78" t="e">
        <f t="shared" si="548"/>
        <v>#DIV/0!</v>
      </c>
      <c r="EF219" s="79">
        <f t="shared" si="607"/>
        <v>0</v>
      </c>
      <c r="EG219" s="30">
        <f t="shared" si="608"/>
        <v>0</v>
      </c>
      <c r="EH219" s="78" t="e">
        <f t="shared" si="549"/>
        <v>#DIV/0!</v>
      </c>
      <c r="EI219" s="79">
        <f t="shared" si="609"/>
        <v>0</v>
      </c>
      <c r="EJ219" s="30">
        <f t="shared" si="610"/>
        <v>0</v>
      </c>
      <c r="EK219" s="78" t="e">
        <f t="shared" si="550"/>
        <v>#DIV/0!</v>
      </c>
    </row>
    <row r="220" spans="1:141" s="12" customFormat="1" ht="14.25" hidden="1" customHeight="1">
      <c r="A220" s="30">
        <v>61</v>
      </c>
      <c r="B220" s="26"/>
      <c r="C220" s="25"/>
      <c r="D220" s="24"/>
      <c r="E220" s="60"/>
      <c r="F220" s="59"/>
      <c r="G220" s="82">
        <f t="shared" ref="G220:G225" si="611">+SUMIF($D$327:$D$515,C220,$H$327:$H$515)</f>
        <v>0</v>
      </c>
      <c r="H220" s="81">
        <f t="shared" ref="H220:H225" si="612">+SUMIF($D$327:$D$515,D220,$H$327:$H$515)</f>
        <v>0</v>
      </c>
      <c r="I220" s="19">
        <f t="shared" ref="I220:I225" si="613">+SUMIF($AA$327:$AA$515,AA220,$I$327:$I$515)</f>
        <v>0</v>
      </c>
      <c r="J220" s="11">
        <f t="shared" ref="J220:J225" si="614">SUM(K220:Z220)</f>
        <v>0</v>
      </c>
      <c r="K220" s="19">
        <f t="shared" ref="K220:K225" si="615">+SUMIF($D$327:$D$515,D220,$K$327:$K$515)</f>
        <v>0</v>
      </c>
      <c r="L220" s="19">
        <f t="shared" ref="L220:L225" si="616">+SUMIF($D$327:$D$515,D220,$L$327:$L$515)</f>
        <v>0</v>
      </c>
      <c r="M220" s="19">
        <f t="shared" ref="M220:M225" si="617">+SUMIF($D$327:$D$515,D220,$M$327:$M$515)</f>
        <v>0</v>
      </c>
      <c r="N220" s="19">
        <f t="shared" ref="N220:N225" si="618">+SUMIF($D$327:$D$515,D220,$N$327:$N$515)</f>
        <v>0</v>
      </c>
      <c r="O220" s="19">
        <f t="shared" ref="O220:O225" si="619">+SUMIF($D$327:$D$515,D220,$O$327:$O$515)</f>
        <v>0</v>
      </c>
      <c r="P220" s="19">
        <f t="shared" ref="P220:P225" si="620">+SUMIF($D$327:$D$515,D220,$P$327:$P$515)</f>
        <v>0</v>
      </c>
      <c r="Q220" s="19">
        <f t="shared" ref="Q220:Q225" si="621">+SUMIF($D$327:$D$515,D220,$Q$327:$Q$515)</f>
        <v>0</v>
      </c>
      <c r="R220" s="19">
        <f t="shared" ref="R220:R225" si="622">+SUMIF($D$327:$D$515,D220,$R$327:$R$515)</f>
        <v>0</v>
      </c>
      <c r="S220" s="19">
        <f t="shared" ref="S220:S225" si="623">+SUMIF($D$327:$D$515,D220,$S$327:$S$515)</f>
        <v>0</v>
      </c>
      <c r="T220" s="19">
        <f t="shared" ref="T220:T225" si="624">+SUMIF($D$327:$D$515,D220,$T$327:$T$515)</f>
        <v>0</v>
      </c>
      <c r="U220" s="19">
        <f t="shared" ref="U220:U225" si="625">+SUMIF($D$327:$D$515,D220,$U$327:$U$515)</f>
        <v>0</v>
      </c>
      <c r="V220" s="19">
        <f t="shared" ref="V220:V225" si="626">+SUMIF($D$327:$D$515,D220,$V$327:$V$515)</f>
        <v>0</v>
      </c>
      <c r="W220" s="19">
        <f t="shared" ref="W220:W225" si="627">+SUMIF($D$327:$D$515,D220,$W$327:$W$515)</f>
        <v>0</v>
      </c>
      <c r="X220" s="19">
        <f t="shared" ref="X220:X225" si="628">+SUMIF($D$327:$D$515,D220,$X$327:$X$515)</f>
        <v>0</v>
      </c>
      <c r="Y220" s="19">
        <f t="shared" ref="Y220:Y225" si="629">+SUMIF($D$327:$D$515,D220,$Y$327:$Y$515)</f>
        <v>0</v>
      </c>
      <c r="Z220" s="19">
        <f t="shared" ref="Z220:Z225" si="630">+SUMIF($D$327:$D$515,E220,$Y$327:$Y$515)</f>
        <v>0</v>
      </c>
      <c r="AA220" s="18"/>
      <c r="AB220" s="56">
        <f t="shared" ref="AB220:AB226" si="631">+SUMIF($D$327:$D$515,D220,$AB$327:$AB$515)</f>
        <v>0</v>
      </c>
      <c r="AC220" s="16">
        <f t="shared" ref="AC220:AC225" si="632">+SUMIF($D$327:$D$515,D220,$AC$327:$AC$515)</f>
        <v>0</v>
      </c>
      <c r="AD220" s="15" t="e">
        <f t="shared" ref="AD220:AD225" si="633">+AC220/AB220</f>
        <v>#DIV/0!</v>
      </c>
      <c r="AE220" s="42"/>
      <c r="AF220" s="10" t="e">
        <f t="shared" ref="AF220:AF225" si="634">+AC220/H220</f>
        <v>#DIV/0!</v>
      </c>
      <c r="AG220" s="10"/>
      <c r="AH220" s="21">
        <f t="shared" ref="AH220:AH225" si="635">+SUMIF($D$327:$D$515,D220,$AH$327:$AH$515)</f>
        <v>0</v>
      </c>
      <c r="AI220" s="54" t="e">
        <f t="shared" ref="AI220:AI225" si="636">+AH220/AC220</f>
        <v>#DIV/0!</v>
      </c>
      <c r="AJ220" s="25">
        <f t="shared" ref="AJ220:AJ225" si="637">+SUMIF($D$327:$D$515,D220,$AJ$327:$AJ$515)</f>
        <v>0</v>
      </c>
      <c r="AK220" s="25">
        <f t="shared" ref="AK220:AK225" si="638">+SUMIF($D$327:$D$515,D220,$AK$327:$AK$515)</f>
        <v>0</v>
      </c>
      <c r="AL220" s="25">
        <f t="shared" ref="AL220:AL225" si="639">+SUMIF($D$327:$D$515,D220,$AL$327:$AL$515)</f>
        <v>0</v>
      </c>
      <c r="AM220" s="25">
        <f t="shared" ref="AM220:AM225" si="640">+SUMIF($D$327:$D$515,D220,$AM$327:$AM$515)</f>
        <v>0</v>
      </c>
      <c r="AN220" s="25">
        <f t="shared" ref="AN220:AN225" si="641">+SUMIF($D$327:$D$515,D220,$AN$327:$AN$515)</f>
        <v>0</v>
      </c>
      <c r="AO220" s="25">
        <f t="shared" ref="AO220:AO225" si="642">+SUMIF($D$327:$D$515,D220,$AO$327:$AO$515)</f>
        <v>0</v>
      </c>
      <c r="AP220" s="25">
        <f t="shared" ref="AP220:AP225" si="643">+SUMIF($D$327:$D$515,D220,$AP$327:$AP$515)</f>
        <v>0</v>
      </c>
      <c r="AQ220" s="25">
        <f t="shared" ref="AQ220:AQ225" si="644">+SUMIF($D$327:$D$515,D220,$AQ$327:$AQ$515)</f>
        <v>0</v>
      </c>
      <c r="AR220" s="25">
        <f t="shared" ref="AR220:AR225" si="645">+SUMIF($AB$327:$AB$515,AA220,$AR$327:$AR$515)</f>
        <v>0</v>
      </c>
      <c r="AS220" s="25">
        <f t="shared" ref="AS220:AS225" si="646">+SUMIF($AC$327:$AC$515,AA220,$AS$327:$AS$515)</f>
        <v>0</v>
      </c>
      <c r="AT220" s="25">
        <f t="shared" ref="AT220:AT225" si="647">+SUMIF($D$327:$D$515,D220,$AT$327:$AT$515)</f>
        <v>0</v>
      </c>
      <c r="AU220" s="80"/>
      <c r="AV220" s="79">
        <f t="shared" ref="AV220:AV225" si="648">+SUMIF($B$6:$B$42,B220,$AV$6:$AV$42)</f>
        <v>0</v>
      </c>
      <c r="AW220" s="79">
        <f t="shared" si="551"/>
        <v>0</v>
      </c>
      <c r="AX220" s="30">
        <f t="shared" si="552"/>
        <v>0</v>
      </c>
      <c r="AY220" s="78" t="e">
        <f t="shared" ref="AY220:AY226" si="649">+AX220/AW220</f>
        <v>#DIV/0!</v>
      </c>
      <c r="AZ220" s="79">
        <f t="shared" si="553"/>
        <v>0</v>
      </c>
      <c r="BA220" s="30">
        <f t="shared" si="554"/>
        <v>0</v>
      </c>
      <c r="BB220" s="78" t="e">
        <f t="shared" ref="BB220:BB225" si="650">+BA220/AZ220</f>
        <v>#DIV/0!</v>
      </c>
      <c r="BC220" s="79">
        <f t="shared" si="555"/>
        <v>0</v>
      </c>
      <c r="BD220" s="30">
        <f t="shared" si="556"/>
        <v>0</v>
      </c>
      <c r="BE220" s="78" t="e">
        <f t="shared" ref="BE220:BE225" si="651">+BD220/BC220</f>
        <v>#DIV/0!</v>
      </c>
      <c r="BF220" s="79">
        <f t="shared" si="557"/>
        <v>0</v>
      </c>
      <c r="BG220" s="30">
        <f t="shared" si="558"/>
        <v>0</v>
      </c>
      <c r="BH220" s="78" t="e">
        <f t="shared" ref="BH220:BH225" si="652">+BG220/BF220</f>
        <v>#DIV/0!</v>
      </c>
      <c r="BI220" s="79">
        <f t="shared" si="559"/>
        <v>0</v>
      </c>
      <c r="BJ220" s="30">
        <f t="shared" si="560"/>
        <v>0</v>
      </c>
      <c r="BK220" s="78" t="e">
        <f t="shared" ref="BK220:BK225" si="653">+BJ220/BI220</f>
        <v>#DIV/0!</v>
      </c>
      <c r="BL220" s="79">
        <f t="shared" si="561"/>
        <v>0</v>
      </c>
      <c r="BM220" s="30">
        <f t="shared" si="562"/>
        <v>0</v>
      </c>
      <c r="BN220" s="78" t="e">
        <f t="shared" ref="BN220:BN225" si="654">+BM220/BL220</f>
        <v>#DIV/0!</v>
      </c>
      <c r="BO220" s="79">
        <f t="shared" si="563"/>
        <v>0</v>
      </c>
      <c r="BP220" s="30">
        <f t="shared" si="564"/>
        <v>0</v>
      </c>
      <c r="BQ220" s="78" t="e">
        <f t="shared" ref="BQ220:BQ225" si="655">+BP220/BO220</f>
        <v>#DIV/0!</v>
      </c>
      <c r="BR220" s="79">
        <f t="shared" si="565"/>
        <v>0</v>
      </c>
      <c r="BS220" s="30">
        <f t="shared" si="566"/>
        <v>0</v>
      </c>
      <c r="BT220" s="78" t="e">
        <f t="shared" ref="BT220:BT225" si="656">+BS220/BR220</f>
        <v>#DIV/0!</v>
      </c>
      <c r="BU220" s="79">
        <f t="shared" si="567"/>
        <v>0</v>
      </c>
      <c r="BV220" s="30">
        <f t="shared" si="568"/>
        <v>0</v>
      </c>
      <c r="BW220" s="78" t="e">
        <f t="shared" ref="BW220:BW225" si="657">+BV220/BU220</f>
        <v>#DIV/0!</v>
      </c>
      <c r="BX220" s="79">
        <f t="shared" si="569"/>
        <v>0</v>
      </c>
      <c r="BY220" s="30">
        <f t="shared" si="570"/>
        <v>0</v>
      </c>
      <c r="BZ220" s="78" t="e">
        <f t="shared" ref="BZ220:BZ225" si="658">+BY220/BX220</f>
        <v>#DIV/0!</v>
      </c>
      <c r="CA220" s="79">
        <f t="shared" si="571"/>
        <v>0</v>
      </c>
      <c r="CB220" s="30">
        <f t="shared" si="572"/>
        <v>0</v>
      </c>
      <c r="CC220" s="78" t="e">
        <f t="shared" ref="CC220:CC225" si="659">+CB220/CA220</f>
        <v>#DIV/0!</v>
      </c>
      <c r="CD220" s="79">
        <f t="shared" si="573"/>
        <v>0</v>
      </c>
      <c r="CE220" s="30">
        <f t="shared" si="574"/>
        <v>0</v>
      </c>
      <c r="CF220" s="78" t="e">
        <f t="shared" ref="CF220:CF225" si="660">+CE220/CD220</f>
        <v>#DIV/0!</v>
      </c>
      <c r="CG220" s="79">
        <f t="shared" si="575"/>
        <v>0</v>
      </c>
      <c r="CH220" s="30">
        <f t="shared" si="576"/>
        <v>0</v>
      </c>
      <c r="CI220" s="78" t="e">
        <f t="shared" ref="CI220:CI225" si="661">+CH220/CG220</f>
        <v>#DIV/0!</v>
      </c>
      <c r="CJ220" s="79">
        <f t="shared" si="577"/>
        <v>0</v>
      </c>
      <c r="CK220" s="30">
        <f t="shared" si="578"/>
        <v>0</v>
      </c>
      <c r="CL220" s="78" t="e">
        <f t="shared" ref="CL220:CL225" si="662">+CK220/CJ220</f>
        <v>#DIV/0!</v>
      </c>
      <c r="CM220" s="79">
        <f t="shared" si="579"/>
        <v>0</v>
      </c>
      <c r="CN220" s="30">
        <f t="shared" si="580"/>
        <v>0</v>
      </c>
      <c r="CO220" s="78" t="e">
        <f t="shared" ref="CO220:CO225" si="663">+CN220/CM220</f>
        <v>#DIV/0!</v>
      </c>
      <c r="CP220" s="79">
        <f t="shared" si="581"/>
        <v>0</v>
      </c>
      <c r="CQ220" s="30">
        <f t="shared" si="582"/>
        <v>0</v>
      </c>
      <c r="CR220" s="78" t="e">
        <f t="shared" ref="CR220:CR225" si="664">+CQ220/CP220</f>
        <v>#DIV/0!</v>
      </c>
      <c r="CS220" s="79">
        <f t="shared" si="583"/>
        <v>0</v>
      </c>
      <c r="CT220" s="30">
        <f t="shared" si="584"/>
        <v>0</v>
      </c>
      <c r="CU220" s="78" t="e">
        <f t="shared" ref="CU220:CU225" si="665">+CT220/CS220</f>
        <v>#DIV/0!</v>
      </c>
      <c r="CV220" s="79">
        <f t="shared" si="585"/>
        <v>0</v>
      </c>
      <c r="CW220" s="30">
        <f t="shared" si="586"/>
        <v>0</v>
      </c>
      <c r="CX220" s="78" t="e">
        <f t="shared" ref="CX220:CX225" si="666">+CW220/CV220</f>
        <v>#DIV/0!</v>
      </c>
      <c r="CY220" s="79">
        <f t="shared" si="587"/>
        <v>0</v>
      </c>
      <c r="CZ220" s="30">
        <f t="shared" si="588"/>
        <v>0</v>
      </c>
      <c r="DA220" s="78" t="e">
        <f t="shared" ref="DA220:DA225" si="667">+CZ220/CY220</f>
        <v>#DIV/0!</v>
      </c>
      <c r="DB220" s="79">
        <f t="shared" si="589"/>
        <v>0</v>
      </c>
      <c r="DC220" s="30">
        <f t="shared" si="590"/>
        <v>0</v>
      </c>
      <c r="DD220" s="78" t="e">
        <f t="shared" ref="DD220:DD225" si="668">+DC220/DB220</f>
        <v>#DIV/0!</v>
      </c>
      <c r="DE220" s="79">
        <f t="shared" si="591"/>
        <v>0</v>
      </c>
      <c r="DF220" s="30">
        <f t="shared" si="592"/>
        <v>0</v>
      </c>
      <c r="DG220" s="78" t="e">
        <f t="shared" ref="DG220:DG225" si="669">+DF220/DE220</f>
        <v>#DIV/0!</v>
      </c>
      <c r="DH220" s="79">
        <f t="shared" si="593"/>
        <v>0</v>
      </c>
      <c r="DI220" s="30">
        <f t="shared" si="594"/>
        <v>0</v>
      </c>
      <c r="DJ220" s="78" t="e">
        <f t="shared" ref="DJ220:DJ225" si="670">+DI220/DH220</f>
        <v>#DIV/0!</v>
      </c>
      <c r="DK220" s="79">
        <f t="shared" si="595"/>
        <v>0</v>
      </c>
      <c r="DL220" s="30">
        <f t="shared" si="596"/>
        <v>0</v>
      </c>
      <c r="DM220" s="78" t="e">
        <f t="shared" ref="DM220:DM225" si="671">+DL220/DK220</f>
        <v>#DIV/0!</v>
      </c>
      <c r="DN220" s="79">
        <f t="shared" ref="DN220:DN225" si="672">+SUMIF($C$6:$C$63,$C220,DN$6:DN$63)</f>
        <v>0</v>
      </c>
      <c r="DO220" s="30">
        <f t="shared" ref="DO220:DO225" si="673">+SUMIF($B$6:$B$59,$C220,DO$6:DO$59)</f>
        <v>0</v>
      </c>
      <c r="DP220" s="78" t="e">
        <f t="shared" ref="DP220:DP225" si="674">+DO220/DN220</f>
        <v>#DIV/0!</v>
      </c>
      <c r="DQ220" s="79">
        <f ca="1">+SUMIF($B$6:$B$63,$B220,$DQ$6:$DQ$60)</f>
        <v>0</v>
      </c>
      <c r="DR220" s="30">
        <f>+SUMIF($B$6:$B$42,$B220,$DR$6:$DR$60)</f>
        <v>0</v>
      </c>
      <c r="DS220" s="78" t="e">
        <f t="shared" ref="DS220:DS225" ca="1" si="675">+DR220/DQ220</f>
        <v>#DIV/0!</v>
      </c>
      <c r="DT220" s="79">
        <f t="shared" si="599"/>
        <v>0</v>
      </c>
      <c r="DU220" s="30">
        <f t="shared" si="600"/>
        <v>0</v>
      </c>
      <c r="DV220" s="78" t="e">
        <f t="shared" ref="DV220:DV225" si="676">+DU220/DT220</f>
        <v>#DIV/0!</v>
      </c>
      <c r="DW220" s="79">
        <f t="shared" si="601"/>
        <v>0</v>
      </c>
      <c r="DX220" s="30">
        <f t="shared" si="602"/>
        <v>0</v>
      </c>
      <c r="DY220" s="78" t="e">
        <f t="shared" ref="DY220:DY225" si="677">+DX220/DW220</f>
        <v>#DIV/0!</v>
      </c>
      <c r="DZ220" s="79">
        <f t="shared" si="603"/>
        <v>0</v>
      </c>
      <c r="EA220" s="30">
        <f t="shared" si="604"/>
        <v>0</v>
      </c>
      <c r="EB220" s="78" t="e">
        <f t="shared" ref="EB220:EB225" si="678">+EA220/DZ220</f>
        <v>#DIV/0!</v>
      </c>
      <c r="EC220" s="79">
        <f t="shared" si="605"/>
        <v>0</v>
      </c>
      <c r="ED220" s="30">
        <f t="shared" si="606"/>
        <v>0</v>
      </c>
      <c r="EE220" s="78" t="e">
        <f t="shared" ref="EE220:EE225" si="679">+ED220/EC220</f>
        <v>#DIV/0!</v>
      </c>
      <c r="EF220" s="79">
        <f t="shared" si="607"/>
        <v>0</v>
      </c>
      <c r="EG220" s="30">
        <f t="shared" si="608"/>
        <v>0</v>
      </c>
      <c r="EH220" s="78" t="e">
        <f t="shared" ref="EH220:EH225" si="680">+EG220/EF220</f>
        <v>#DIV/0!</v>
      </c>
      <c r="EI220" s="79">
        <f t="shared" si="609"/>
        <v>0</v>
      </c>
      <c r="EJ220" s="30">
        <f t="shared" si="610"/>
        <v>0</v>
      </c>
      <c r="EK220" s="78" t="e">
        <f t="shared" ref="EK220:EK225" si="681">+EJ220/EI220</f>
        <v>#DIV/0!</v>
      </c>
    </row>
    <row r="221" spans="1:141" s="12" customFormat="1" ht="14.25" hidden="1" customHeight="1">
      <c r="A221" s="25">
        <v>62</v>
      </c>
      <c r="B221" s="26"/>
      <c r="C221" s="25"/>
      <c r="D221" s="24"/>
      <c r="E221" s="60"/>
      <c r="F221" s="59"/>
      <c r="G221" s="82">
        <f t="shared" si="611"/>
        <v>0</v>
      </c>
      <c r="H221" s="81">
        <f t="shared" si="612"/>
        <v>0</v>
      </c>
      <c r="I221" s="19">
        <f t="shared" si="613"/>
        <v>0</v>
      </c>
      <c r="J221" s="11">
        <f t="shared" si="614"/>
        <v>0</v>
      </c>
      <c r="K221" s="19">
        <f t="shared" si="615"/>
        <v>0</v>
      </c>
      <c r="L221" s="19">
        <f t="shared" si="616"/>
        <v>0</v>
      </c>
      <c r="M221" s="19">
        <f t="shared" si="617"/>
        <v>0</v>
      </c>
      <c r="N221" s="19">
        <f t="shared" si="618"/>
        <v>0</v>
      </c>
      <c r="O221" s="19">
        <f t="shared" si="619"/>
        <v>0</v>
      </c>
      <c r="P221" s="19">
        <f t="shared" si="620"/>
        <v>0</v>
      </c>
      <c r="Q221" s="19">
        <f t="shared" si="621"/>
        <v>0</v>
      </c>
      <c r="R221" s="19">
        <f t="shared" si="622"/>
        <v>0</v>
      </c>
      <c r="S221" s="19">
        <f t="shared" si="623"/>
        <v>0</v>
      </c>
      <c r="T221" s="19">
        <f t="shared" si="624"/>
        <v>0</v>
      </c>
      <c r="U221" s="19">
        <f t="shared" si="625"/>
        <v>0</v>
      </c>
      <c r="V221" s="19">
        <f t="shared" si="626"/>
        <v>0</v>
      </c>
      <c r="W221" s="19">
        <f t="shared" si="627"/>
        <v>0</v>
      </c>
      <c r="X221" s="19">
        <f t="shared" si="628"/>
        <v>0</v>
      </c>
      <c r="Y221" s="19">
        <f t="shared" si="629"/>
        <v>0</v>
      </c>
      <c r="Z221" s="19">
        <f t="shared" si="630"/>
        <v>0</v>
      </c>
      <c r="AA221" s="18"/>
      <c r="AB221" s="56">
        <f t="shared" si="631"/>
        <v>0</v>
      </c>
      <c r="AC221" s="16">
        <f t="shared" si="632"/>
        <v>0</v>
      </c>
      <c r="AD221" s="15" t="e">
        <f t="shared" si="633"/>
        <v>#DIV/0!</v>
      </c>
      <c r="AE221" s="42"/>
      <c r="AF221" s="10" t="e">
        <f t="shared" si="634"/>
        <v>#DIV/0!</v>
      </c>
      <c r="AG221" s="10"/>
      <c r="AH221" s="21">
        <f t="shared" si="635"/>
        <v>0</v>
      </c>
      <c r="AI221" s="54" t="e">
        <f t="shared" si="636"/>
        <v>#DIV/0!</v>
      </c>
      <c r="AJ221" s="25">
        <f t="shared" si="637"/>
        <v>0</v>
      </c>
      <c r="AK221" s="25">
        <f t="shared" si="638"/>
        <v>0</v>
      </c>
      <c r="AL221" s="25">
        <f t="shared" si="639"/>
        <v>0</v>
      </c>
      <c r="AM221" s="25">
        <f t="shared" si="640"/>
        <v>0</v>
      </c>
      <c r="AN221" s="25">
        <f t="shared" si="641"/>
        <v>0</v>
      </c>
      <c r="AO221" s="25">
        <f t="shared" si="642"/>
        <v>0</v>
      </c>
      <c r="AP221" s="25">
        <f t="shared" si="643"/>
        <v>0</v>
      </c>
      <c r="AQ221" s="25">
        <f t="shared" si="644"/>
        <v>0</v>
      </c>
      <c r="AR221" s="25">
        <f t="shared" si="645"/>
        <v>0</v>
      </c>
      <c r="AS221" s="25">
        <f t="shared" si="646"/>
        <v>0</v>
      </c>
      <c r="AT221" s="25">
        <f t="shared" si="647"/>
        <v>0</v>
      </c>
      <c r="AU221" s="80"/>
      <c r="AV221" s="79">
        <f t="shared" si="648"/>
        <v>0</v>
      </c>
      <c r="AW221" s="79">
        <f t="shared" si="551"/>
        <v>0</v>
      </c>
      <c r="AX221" s="30">
        <f t="shared" si="552"/>
        <v>0</v>
      </c>
      <c r="AY221" s="78" t="e">
        <f t="shared" si="649"/>
        <v>#DIV/0!</v>
      </c>
      <c r="AZ221" s="79">
        <f t="shared" si="553"/>
        <v>0</v>
      </c>
      <c r="BA221" s="30">
        <f t="shared" si="554"/>
        <v>0</v>
      </c>
      <c r="BB221" s="78" t="e">
        <f t="shared" si="650"/>
        <v>#DIV/0!</v>
      </c>
      <c r="BC221" s="79">
        <f t="shared" si="555"/>
        <v>0</v>
      </c>
      <c r="BD221" s="30">
        <f t="shared" si="556"/>
        <v>0</v>
      </c>
      <c r="BE221" s="78" t="e">
        <f t="shared" si="651"/>
        <v>#DIV/0!</v>
      </c>
      <c r="BF221" s="79">
        <f t="shared" si="557"/>
        <v>0</v>
      </c>
      <c r="BG221" s="30">
        <f t="shared" si="558"/>
        <v>0</v>
      </c>
      <c r="BH221" s="78" t="e">
        <f t="shared" si="652"/>
        <v>#DIV/0!</v>
      </c>
      <c r="BI221" s="79">
        <f t="shared" si="559"/>
        <v>0</v>
      </c>
      <c r="BJ221" s="30">
        <f t="shared" si="560"/>
        <v>0</v>
      </c>
      <c r="BK221" s="78" t="e">
        <f t="shared" si="653"/>
        <v>#DIV/0!</v>
      </c>
      <c r="BL221" s="79">
        <f t="shared" si="561"/>
        <v>0</v>
      </c>
      <c r="BM221" s="30">
        <f t="shared" si="562"/>
        <v>0</v>
      </c>
      <c r="BN221" s="78" t="e">
        <f t="shared" si="654"/>
        <v>#DIV/0!</v>
      </c>
      <c r="BO221" s="79">
        <f t="shared" si="563"/>
        <v>0</v>
      </c>
      <c r="BP221" s="30">
        <f t="shared" si="564"/>
        <v>0</v>
      </c>
      <c r="BQ221" s="78" t="e">
        <f t="shared" si="655"/>
        <v>#DIV/0!</v>
      </c>
      <c r="BR221" s="79">
        <f t="shared" si="565"/>
        <v>0</v>
      </c>
      <c r="BS221" s="30">
        <f t="shared" si="566"/>
        <v>0</v>
      </c>
      <c r="BT221" s="78" t="e">
        <f t="shared" si="656"/>
        <v>#DIV/0!</v>
      </c>
      <c r="BU221" s="79">
        <f t="shared" si="567"/>
        <v>0</v>
      </c>
      <c r="BV221" s="30">
        <f t="shared" si="568"/>
        <v>0</v>
      </c>
      <c r="BW221" s="78" t="e">
        <f t="shared" si="657"/>
        <v>#DIV/0!</v>
      </c>
      <c r="BX221" s="79">
        <f t="shared" si="569"/>
        <v>0</v>
      </c>
      <c r="BY221" s="30">
        <f t="shared" si="570"/>
        <v>0</v>
      </c>
      <c r="BZ221" s="78" t="e">
        <f t="shared" si="658"/>
        <v>#DIV/0!</v>
      </c>
      <c r="CA221" s="79">
        <f t="shared" si="571"/>
        <v>0</v>
      </c>
      <c r="CB221" s="30">
        <f t="shared" si="572"/>
        <v>0</v>
      </c>
      <c r="CC221" s="78" t="e">
        <f t="shared" si="659"/>
        <v>#DIV/0!</v>
      </c>
      <c r="CD221" s="79">
        <f t="shared" si="573"/>
        <v>0</v>
      </c>
      <c r="CE221" s="30">
        <f t="shared" si="574"/>
        <v>0</v>
      </c>
      <c r="CF221" s="78" t="e">
        <f t="shared" si="660"/>
        <v>#DIV/0!</v>
      </c>
      <c r="CG221" s="79">
        <f t="shared" si="575"/>
        <v>0</v>
      </c>
      <c r="CH221" s="30">
        <f t="shared" si="576"/>
        <v>0</v>
      </c>
      <c r="CI221" s="78" t="e">
        <f t="shared" si="661"/>
        <v>#DIV/0!</v>
      </c>
      <c r="CJ221" s="79">
        <f t="shared" si="577"/>
        <v>0</v>
      </c>
      <c r="CK221" s="30">
        <f t="shared" si="578"/>
        <v>0</v>
      </c>
      <c r="CL221" s="78" t="e">
        <f t="shared" si="662"/>
        <v>#DIV/0!</v>
      </c>
      <c r="CM221" s="79">
        <f t="shared" si="579"/>
        <v>0</v>
      </c>
      <c r="CN221" s="30">
        <f t="shared" si="580"/>
        <v>0</v>
      </c>
      <c r="CO221" s="78" t="e">
        <f t="shared" si="663"/>
        <v>#DIV/0!</v>
      </c>
      <c r="CP221" s="79">
        <f t="shared" si="581"/>
        <v>0</v>
      </c>
      <c r="CQ221" s="30">
        <f t="shared" si="582"/>
        <v>0</v>
      </c>
      <c r="CR221" s="78" t="e">
        <f t="shared" si="664"/>
        <v>#DIV/0!</v>
      </c>
      <c r="CS221" s="79">
        <f t="shared" si="583"/>
        <v>0</v>
      </c>
      <c r="CT221" s="30">
        <f t="shared" si="584"/>
        <v>0</v>
      </c>
      <c r="CU221" s="78" t="e">
        <f t="shared" si="665"/>
        <v>#DIV/0!</v>
      </c>
      <c r="CV221" s="79">
        <f t="shared" si="585"/>
        <v>0</v>
      </c>
      <c r="CW221" s="30">
        <f t="shared" si="586"/>
        <v>0</v>
      </c>
      <c r="CX221" s="78" t="e">
        <f t="shared" si="666"/>
        <v>#DIV/0!</v>
      </c>
      <c r="CY221" s="79">
        <f t="shared" si="587"/>
        <v>0</v>
      </c>
      <c r="CZ221" s="30">
        <f t="shared" si="588"/>
        <v>0</v>
      </c>
      <c r="DA221" s="78" t="e">
        <f t="shared" si="667"/>
        <v>#DIV/0!</v>
      </c>
      <c r="DB221" s="79">
        <f t="shared" si="589"/>
        <v>0</v>
      </c>
      <c r="DC221" s="30">
        <f t="shared" si="590"/>
        <v>0</v>
      </c>
      <c r="DD221" s="78" t="e">
        <f t="shared" si="668"/>
        <v>#DIV/0!</v>
      </c>
      <c r="DE221" s="79">
        <f t="shared" si="591"/>
        <v>0</v>
      </c>
      <c r="DF221" s="30">
        <f t="shared" si="592"/>
        <v>0</v>
      </c>
      <c r="DG221" s="78" t="e">
        <f t="shared" si="669"/>
        <v>#DIV/0!</v>
      </c>
      <c r="DH221" s="79">
        <f t="shared" si="593"/>
        <v>0</v>
      </c>
      <c r="DI221" s="30">
        <f t="shared" si="594"/>
        <v>0</v>
      </c>
      <c r="DJ221" s="78" t="e">
        <f t="shared" si="670"/>
        <v>#DIV/0!</v>
      </c>
      <c r="DK221" s="79">
        <f t="shared" si="595"/>
        <v>0</v>
      </c>
      <c r="DL221" s="30">
        <f t="shared" si="596"/>
        <v>0</v>
      </c>
      <c r="DM221" s="78" t="e">
        <f t="shared" si="671"/>
        <v>#DIV/0!</v>
      </c>
      <c r="DN221" s="79">
        <f t="shared" si="672"/>
        <v>0</v>
      </c>
      <c r="DO221" s="30">
        <f t="shared" si="673"/>
        <v>0</v>
      </c>
      <c r="DP221" s="78" t="e">
        <f t="shared" si="674"/>
        <v>#DIV/0!</v>
      </c>
      <c r="DQ221" s="79">
        <f>+SUMIF($B$6:$B$59,$B221,$DQ$6:$DQ$59)</f>
        <v>0</v>
      </c>
      <c r="DR221" s="30">
        <f>+SUMIF($B$6:$B$42,$B221,$DR$6:$DR$42)</f>
        <v>0</v>
      </c>
      <c r="DS221" s="78" t="e">
        <f t="shared" si="675"/>
        <v>#DIV/0!</v>
      </c>
      <c r="DT221" s="79">
        <f t="shared" si="599"/>
        <v>0</v>
      </c>
      <c r="DU221" s="30">
        <f t="shared" si="600"/>
        <v>0</v>
      </c>
      <c r="DV221" s="78" t="e">
        <f t="shared" si="676"/>
        <v>#DIV/0!</v>
      </c>
      <c r="DW221" s="79">
        <f t="shared" si="601"/>
        <v>0</v>
      </c>
      <c r="DX221" s="30">
        <f t="shared" si="602"/>
        <v>0</v>
      </c>
      <c r="DY221" s="78" t="e">
        <f t="shared" si="677"/>
        <v>#DIV/0!</v>
      </c>
      <c r="DZ221" s="79">
        <f t="shared" si="603"/>
        <v>0</v>
      </c>
      <c r="EA221" s="30">
        <f t="shared" si="604"/>
        <v>0</v>
      </c>
      <c r="EB221" s="78" t="e">
        <f t="shared" si="678"/>
        <v>#DIV/0!</v>
      </c>
      <c r="EC221" s="79">
        <f t="shared" si="605"/>
        <v>0</v>
      </c>
      <c r="ED221" s="30">
        <f t="shared" si="606"/>
        <v>0</v>
      </c>
      <c r="EE221" s="78" t="e">
        <f t="shared" si="679"/>
        <v>#DIV/0!</v>
      </c>
      <c r="EF221" s="79">
        <f t="shared" si="607"/>
        <v>0</v>
      </c>
      <c r="EG221" s="30">
        <f t="shared" si="608"/>
        <v>0</v>
      </c>
      <c r="EH221" s="78" t="e">
        <f t="shared" si="680"/>
        <v>#DIV/0!</v>
      </c>
      <c r="EI221" s="79">
        <f t="shared" si="609"/>
        <v>0</v>
      </c>
      <c r="EJ221" s="30">
        <f t="shared" si="610"/>
        <v>0</v>
      </c>
      <c r="EK221" s="78" t="e">
        <f t="shared" si="681"/>
        <v>#DIV/0!</v>
      </c>
    </row>
    <row r="222" spans="1:141" s="12" customFormat="1" ht="14.25" hidden="1" customHeight="1">
      <c r="A222" s="30">
        <v>63</v>
      </c>
      <c r="B222" s="26"/>
      <c r="C222" s="25"/>
      <c r="D222" s="24"/>
      <c r="E222" s="60"/>
      <c r="F222" s="59"/>
      <c r="G222" s="82">
        <f t="shared" si="611"/>
        <v>0</v>
      </c>
      <c r="H222" s="81">
        <f t="shared" si="612"/>
        <v>0</v>
      </c>
      <c r="I222" s="19">
        <f t="shared" si="613"/>
        <v>0</v>
      </c>
      <c r="J222" s="11">
        <f t="shared" si="614"/>
        <v>0</v>
      </c>
      <c r="K222" s="19">
        <f t="shared" si="615"/>
        <v>0</v>
      </c>
      <c r="L222" s="19">
        <f t="shared" si="616"/>
        <v>0</v>
      </c>
      <c r="M222" s="19">
        <f t="shared" si="617"/>
        <v>0</v>
      </c>
      <c r="N222" s="19">
        <f t="shared" si="618"/>
        <v>0</v>
      </c>
      <c r="O222" s="19">
        <f t="shared" si="619"/>
        <v>0</v>
      </c>
      <c r="P222" s="19">
        <f t="shared" si="620"/>
        <v>0</v>
      </c>
      <c r="Q222" s="19">
        <f t="shared" si="621"/>
        <v>0</v>
      </c>
      <c r="R222" s="19">
        <f t="shared" si="622"/>
        <v>0</v>
      </c>
      <c r="S222" s="19">
        <f t="shared" si="623"/>
        <v>0</v>
      </c>
      <c r="T222" s="19">
        <f t="shared" si="624"/>
        <v>0</v>
      </c>
      <c r="U222" s="19">
        <f t="shared" si="625"/>
        <v>0</v>
      </c>
      <c r="V222" s="19">
        <f t="shared" si="626"/>
        <v>0</v>
      </c>
      <c r="W222" s="19">
        <f t="shared" si="627"/>
        <v>0</v>
      </c>
      <c r="X222" s="19">
        <f t="shared" si="628"/>
        <v>0</v>
      </c>
      <c r="Y222" s="19">
        <f t="shared" si="629"/>
        <v>0</v>
      </c>
      <c r="Z222" s="19">
        <f t="shared" si="630"/>
        <v>0</v>
      </c>
      <c r="AA222" s="18"/>
      <c r="AB222" s="56">
        <f t="shared" si="631"/>
        <v>0</v>
      </c>
      <c r="AC222" s="16">
        <f t="shared" si="632"/>
        <v>0</v>
      </c>
      <c r="AD222" s="15" t="e">
        <f t="shared" si="633"/>
        <v>#DIV/0!</v>
      </c>
      <c r="AE222" s="42"/>
      <c r="AF222" s="10" t="e">
        <f t="shared" si="634"/>
        <v>#DIV/0!</v>
      </c>
      <c r="AG222" s="10"/>
      <c r="AH222" s="21">
        <f t="shared" si="635"/>
        <v>0</v>
      </c>
      <c r="AI222" s="54" t="e">
        <f t="shared" si="636"/>
        <v>#DIV/0!</v>
      </c>
      <c r="AJ222" s="25">
        <f t="shared" si="637"/>
        <v>0</v>
      </c>
      <c r="AK222" s="25">
        <f t="shared" si="638"/>
        <v>0</v>
      </c>
      <c r="AL222" s="25">
        <f t="shared" si="639"/>
        <v>0</v>
      </c>
      <c r="AM222" s="25">
        <f t="shared" si="640"/>
        <v>0</v>
      </c>
      <c r="AN222" s="25">
        <f t="shared" si="641"/>
        <v>0</v>
      </c>
      <c r="AO222" s="25">
        <f t="shared" si="642"/>
        <v>0</v>
      </c>
      <c r="AP222" s="25">
        <f t="shared" si="643"/>
        <v>0</v>
      </c>
      <c r="AQ222" s="25">
        <f t="shared" si="644"/>
        <v>0</v>
      </c>
      <c r="AR222" s="25">
        <f t="shared" si="645"/>
        <v>0</v>
      </c>
      <c r="AS222" s="25">
        <f t="shared" si="646"/>
        <v>0</v>
      </c>
      <c r="AT222" s="25">
        <f t="shared" si="647"/>
        <v>0</v>
      </c>
      <c r="AU222" s="80"/>
      <c r="AV222" s="79">
        <f t="shared" si="648"/>
        <v>0</v>
      </c>
      <c r="AW222" s="79">
        <f t="shared" si="551"/>
        <v>0</v>
      </c>
      <c r="AX222" s="30">
        <f t="shared" si="552"/>
        <v>0</v>
      </c>
      <c r="AY222" s="78" t="e">
        <f t="shared" si="649"/>
        <v>#DIV/0!</v>
      </c>
      <c r="AZ222" s="79">
        <f t="shared" si="553"/>
        <v>0</v>
      </c>
      <c r="BA222" s="30">
        <f t="shared" si="554"/>
        <v>0</v>
      </c>
      <c r="BB222" s="78" t="e">
        <f t="shared" si="650"/>
        <v>#DIV/0!</v>
      </c>
      <c r="BC222" s="79">
        <f t="shared" si="555"/>
        <v>0</v>
      </c>
      <c r="BD222" s="30">
        <f t="shared" si="556"/>
        <v>0</v>
      </c>
      <c r="BE222" s="78" t="e">
        <f t="shared" si="651"/>
        <v>#DIV/0!</v>
      </c>
      <c r="BF222" s="79">
        <f t="shared" si="557"/>
        <v>0</v>
      </c>
      <c r="BG222" s="30">
        <f t="shared" si="558"/>
        <v>0</v>
      </c>
      <c r="BH222" s="78" t="e">
        <f t="shared" si="652"/>
        <v>#DIV/0!</v>
      </c>
      <c r="BI222" s="79">
        <f t="shared" si="559"/>
        <v>0</v>
      </c>
      <c r="BJ222" s="30">
        <f t="shared" si="560"/>
        <v>0</v>
      </c>
      <c r="BK222" s="78" t="e">
        <f t="shared" si="653"/>
        <v>#DIV/0!</v>
      </c>
      <c r="BL222" s="79">
        <f t="shared" si="561"/>
        <v>0</v>
      </c>
      <c r="BM222" s="30">
        <f t="shared" si="562"/>
        <v>0</v>
      </c>
      <c r="BN222" s="78" t="e">
        <f t="shared" si="654"/>
        <v>#DIV/0!</v>
      </c>
      <c r="BO222" s="79">
        <f t="shared" si="563"/>
        <v>0</v>
      </c>
      <c r="BP222" s="30">
        <f t="shared" si="564"/>
        <v>0</v>
      </c>
      <c r="BQ222" s="78" t="e">
        <f t="shared" si="655"/>
        <v>#DIV/0!</v>
      </c>
      <c r="BR222" s="79">
        <f t="shared" si="565"/>
        <v>0</v>
      </c>
      <c r="BS222" s="30">
        <f t="shared" si="566"/>
        <v>0</v>
      </c>
      <c r="BT222" s="78" t="e">
        <f t="shared" si="656"/>
        <v>#DIV/0!</v>
      </c>
      <c r="BU222" s="79">
        <f t="shared" si="567"/>
        <v>0</v>
      </c>
      <c r="BV222" s="30">
        <f t="shared" si="568"/>
        <v>0</v>
      </c>
      <c r="BW222" s="78" t="e">
        <f t="shared" si="657"/>
        <v>#DIV/0!</v>
      </c>
      <c r="BX222" s="79">
        <f t="shared" si="569"/>
        <v>0</v>
      </c>
      <c r="BY222" s="30">
        <f t="shared" si="570"/>
        <v>0</v>
      </c>
      <c r="BZ222" s="78" t="e">
        <f t="shared" si="658"/>
        <v>#DIV/0!</v>
      </c>
      <c r="CA222" s="79">
        <f t="shared" si="571"/>
        <v>0</v>
      </c>
      <c r="CB222" s="30">
        <f t="shared" si="572"/>
        <v>0</v>
      </c>
      <c r="CC222" s="78" t="e">
        <f t="shared" si="659"/>
        <v>#DIV/0!</v>
      </c>
      <c r="CD222" s="79">
        <f t="shared" si="573"/>
        <v>0</v>
      </c>
      <c r="CE222" s="30">
        <f t="shared" si="574"/>
        <v>0</v>
      </c>
      <c r="CF222" s="78" t="e">
        <f t="shared" si="660"/>
        <v>#DIV/0!</v>
      </c>
      <c r="CG222" s="79">
        <f t="shared" si="575"/>
        <v>0</v>
      </c>
      <c r="CH222" s="30">
        <f t="shared" si="576"/>
        <v>0</v>
      </c>
      <c r="CI222" s="78" t="e">
        <f t="shared" si="661"/>
        <v>#DIV/0!</v>
      </c>
      <c r="CJ222" s="79">
        <f t="shared" si="577"/>
        <v>0</v>
      </c>
      <c r="CK222" s="30">
        <f t="shared" si="578"/>
        <v>0</v>
      </c>
      <c r="CL222" s="78" t="e">
        <f t="shared" si="662"/>
        <v>#DIV/0!</v>
      </c>
      <c r="CM222" s="79">
        <f t="shared" si="579"/>
        <v>0</v>
      </c>
      <c r="CN222" s="30">
        <f t="shared" si="580"/>
        <v>0</v>
      </c>
      <c r="CO222" s="78" t="e">
        <f t="shared" si="663"/>
        <v>#DIV/0!</v>
      </c>
      <c r="CP222" s="79">
        <f t="shared" si="581"/>
        <v>0</v>
      </c>
      <c r="CQ222" s="30">
        <f t="shared" si="582"/>
        <v>0</v>
      </c>
      <c r="CR222" s="78" t="e">
        <f t="shared" si="664"/>
        <v>#DIV/0!</v>
      </c>
      <c r="CS222" s="79">
        <f t="shared" si="583"/>
        <v>0</v>
      </c>
      <c r="CT222" s="30">
        <f t="shared" si="584"/>
        <v>0</v>
      </c>
      <c r="CU222" s="78" t="e">
        <f t="shared" si="665"/>
        <v>#DIV/0!</v>
      </c>
      <c r="CV222" s="79">
        <f t="shared" si="585"/>
        <v>0</v>
      </c>
      <c r="CW222" s="30">
        <f t="shared" si="586"/>
        <v>0</v>
      </c>
      <c r="CX222" s="78" t="e">
        <f t="shared" si="666"/>
        <v>#DIV/0!</v>
      </c>
      <c r="CY222" s="79">
        <f t="shared" si="587"/>
        <v>0</v>
      </c>
      <c r="CZ222" s="30">
        <f t="shared" si="588"/>
        <v>0</v>
      </c>
      <c r="DA222" s="78" t="e">
        <f t="shared" si="667"/>
        <v>#DIV/0!</v>
      </c>
      <c r="DB222" s="79">
        <f t="shared" si="589"/>
        <v>0</v>
      </c>
      <c r="DC222" s="30">
        <f t="shared" si="590"/>
        <v>0</v>
      </c>
      <c r="DD222" s="78" t="e">
        <f t="shared" si="668"/>
        <v>#DIV/0!</v>
      </c>
      <c r="DE222" s="79">
        <f t="shared" si="591"/>
        <v>0</v>
      </c>
      <c r="DF222" s="30">
        <f t="shared" si="592"/>
        <v>0</v>
      </c>
      <c r="DG222" s="78" t="e">
        <f t="shared" si="669"/>
        <v>#DIV/0!</v>
      </c>
      <c r="DH222" s="79">
        <f t="shared" si="593"/>
        <v>0</v>
      </c>
      <c r="DI222" s="30">
        <f t="shared" si="594"/>
        <v>0</v>
      </c>
      <c r="DJ222" s="78" t="e">
        <f t="shared" si="670"/>
        <v>#DIV/0!</v>
      </c>
      <c r="DK222" s="79">
        <f t="shared" si="595"/>
        <v>0</v>
      </c>
      <c r="DL222" s="30">
        <f t="shared" si="596"/>
        <v>0</v>
      </c>
      <c r="DM222" s="78" t="e">
        <f t="shared" si="671"/>
        <v>#DIV/0!</v>
      </c>
      <c r="DN222" s="79">
        <f t="shared" si="672"/>
        <v>0</v>
      </c>
      <c r="DO222" s="30">
        <f t="shared" si="673"/>
        <v>0</v>
      </c>
      <c r="DP222" s="78" t="e">
        <f t="shared" si="674"/>
        <v>#DIV/0!</v>
      </c>
      <c r="DQ222" s="79">
        <f>+SUMIF($B$6:$B$59,$B222,$DQ$6:$DQ$59)</f>
        <v>0</v>
      </c>
      <c r="DR222" s="30">
        <f>+SUMIF($B$6:$B$42,$B222,$DR$6:$DR$42)</f>
        <v>0</v>
      </c>
      <c r="DS222" s="78" t="e">
        <f t="shared" si="675"/>
        <v>#DIV/0!</v>
      </c>
      <c r="DT222" s="79">
        <f t="shared" si="599"/>
        <v>0</v>
      </c>
      <c r="DU222" s="30">
        <f t="shared" si="600"/>
        <v>0</v>
      </c>
      <c r="DV222" s="78" t="e">
        <f t="shared" si="676"/>
        <v>#DIV/0!</v>
      </c>
      <c r="DW222" s="79">
        <f t="shared" si="601"/>
        <v>0</v>
      </c>
      <c r="DX222" s="30">
        <f t="shared" si="602"/>
        <v>0</v>
      </c>
      <c r="DY222" s="78" t="e">
        <f t="shared" si="677"/>
        <v>#DIV/0!</v>
      </c>
      <c r="DZ222" s="79">
        <f t="shared" si="603"/>
        <v>0</v>
      </c>
      <c r="EA222" s="30">
        <f t="shared" si="604"/>
        <v>0</v>
      </c>
      <c r="EB222" s="78" t="e">
        <f t="shared" si="678"/>
        <v>#DIV/0!</v>
      </c>
      <c r="EC222" s="79">
        <f t="shared" si="605"/>
        <v>0</v>
      </c>
      <c r="ED222" s="30">
        <f t="shared" si="606"/>
        <v>0</v>
      </c>
      <c r="EE222" s="78" t="e">
        <f t="shared" si="679"/>
        <v>#DIV/0!</v>
      </c>
      <c r="EF222" s="79">
        <f t="shared" si="607"/>
        <v>0</v>
      </c>
      <c r="EG222" s="30">
        <f t="shared" si="608"/>
        <v>0</v>
      </c>
      <c r="EH222" s="78" t="e">
        <f t="shared" si="680"/>
        <v>#DIV/0!</v>
      </c>
      <c r="EI222" s="79">
        <f t="shared" si="609"/>
        <v>0</v>
      </c>
      <c r="EJ222" s="30">
        <f t="shared" si="610"/>
        <v>0</v>
      </c>
      <c r="EK222" s="78" t="e">
        <f t="shared" si="681"/>
        <v>#DIV/0!</v>
      </c>
    </row>
    <row r="223" spans="1:141" s="12" customFormat="1" ht="14.25" hidden="1" customHeight="1">
      <c r="A223" s="25">
        <v>64</v>
      </c>
      <c r="B223" s="26"/>
      <c r="C223" s="25"/>
      <c r="D223" s="24"/>
      <c r="E223" s="60"/>
      <c r="F223" s="59"/>
      <c r="G223" s="82">
        <f t="shared" si="611"/>
        <v>0</v>
      </c>
      <c r="H223" s="81">
        <f t="shared" si="612"/>
        <v>0</v>
      </c>
      <c r="I223" s="19">
        <f t="shared" si="613"/>
        <v>0</v>
      </c>
      <c r="J223" s="11">
        <f t="shared" si="614"/>
        <v>0</v>
      </c>
      <c r="K223" s="19">
        <f t="shared" si="615"/>
        <v>0</v>
      </c>
      <c r="L223" s="19">
        <f t="shared" si="616"/>
        <v>0</v>
      </c>
      <c r="M223" s="19">
        <f t="shared" si="617"/>
        <v>0</v>
      </c>
      <c r="N223" s="19">
        <f t="shared" si="618"/>
        <v>0</v>
      </c>
      <c r="O223" s="19">
        <f t="shared" si="619"/>
        <v>0</v>
      </c>
      <c r="P223" s="19">
        <f t="shared" si="620"/>
        <v>0</v>
      </c>
      <c r="Q223" s="19">
        <f t="shared" si="621"/>
        <v>0</v>
      </c>
      <c r="R223" s="19">
        <f t="shared" si="622"/>
        <v>0</v>
      </c>
      <c r="S223" s="19">
        <f t="shared" si="623"/>
        <v>0</v>
      </c>
      <c r="T223" s="19">
        <f t="shared" si="624"/>
        <v>0</v>
      </c>
      <c r="U223" s="19">
        <f t="shared" si="625"/>
        <v>0</v>
      </c>
      <c r="V223" s="19">
        <f t="shared" si="626"/>
        <v>0</v>
      </c>
      <c r="W223" s="19">
        <f t="shared" si="627"/>
        <v>0</v>
      </c>
      <c r="X223" s="19">
        <f t="shared" si="628"/>
        <v>0</v>
      </c>
      <c r="Y223" s="19">
        <f t="shared" si="629"/>
        <v>0</v>
      </c>
      <c r="Z223" s="19">
        <f t="shared" si="630"/>
        <v>0</v>
      </c>
      <c r="AA223" s="18"/>
      <c r="AB223" s="56">
        <f t="shared" si="631"/>
        <v>0</v>
      </c>
      <c r="AC223" s="16">
        <f t="shared" si="632"/>
        <v>0</v>
      </c>
      <c r="AD223" s="15" t="e">
        <f t="shared" si="633"/>
        <v>#DIV/0!</v>
      </c>
      <c r="AE223" s="42"/>
      <c r="AF223" s="10" t="e">
        <f t="shared" si="634"/>
        <v>#DIV/0!</v>
      </c>
      <c r="AG223" s="10"/>
      <c r="AH223" s="21">
        <f t="shared" si="635"/>
        <v>0</v>
      </c>
      <c r="AI223" s="54" t="e">
        <f t="shared" si="636"/>
        <v>#DIV/0!</v>
      </c>
      <c r="AJ223" s="25">
        <f t="shared" si="637"/>
        <v>0</v>
      </c>
      <c r="AK223" s="25">
        <f t="shared" si="638"/>
        <v>0</v>
      </c>
      <c r="AL223" s="25">
        <f t="shared" si="639"/>
        <v>0</v>
      </c>
      <c r="AM223" s="25">
        <f t="shared" si="640"/>
        <v>0</v>
      </c>
      <c r="AN223" s="25">
        <f t="shared" si="641"/>
        <v>0</v>
      </c>
      <c r="AO223" s="25">
        <f t="shared" si="642"/>
        <v>0</v>
      </c>
      <c r="AP223" s="25">
        <f t="shared" si="643"/>
        <v>0</v>
      </c>
      <c r="AQ223" s="25">
        <f t="shared" si="644"/>
        <v>0</v>
      </c>
      <c r="AR223" s="25">
        <f t="shared" si="645"/>
        <v>0</v>
      </c>
      <c r="AS223" s="25">
        <f t="shared" si="646"/>
        <v>0</v>
      </c>
      <c r="AT223" s="25">
        <f t="shared" si="647"/>
        <v>0</v>
      </c>
      <c r="AU223" s="80"/>
      <c r="AV223" s="79">
        <f t="shared" si="648"/>
        <v>0</v>
      </c>
      <c r="AW223" s="79">
        <f t="shared" si="551"/>
        <v>0</v>
      </c>
      <c r="AX223" s="30">
        <f t="shared" si="552"/>
        <v>0</v>
      </c>
      <c r="AY223" s="78" t="e">
        <f t="shared" si="649"/>
        <v>#DIV/0!</v>
      </c>
      <c r="AZ223" s="79">
        <f t="shared" si="553"/>
        <v>0</v>
      </c>
      <c r="BA223" s="30">
        <f t="shared" si="554"/>
        <v>0</v>
      </c>
      <c r="BB223" s="78" t="e">
        <f t="shared" si="650"/>
        <v>#DIV/0!</v>
      </c>
      <c r="BC223" s="79">
        <f t="shared" si="555"/>
        <v>0</v>
      </c>
      <c r="BD223" s="30">
        <f t="shared" si="556"/>
        <v>0</v>
      </c>
      <c r="BE223" s="78" t="e">
        <f t="shared" si="651"/>
        <v>#DIV/0!</v>
      </c>
      <c r="BF223" s="79">
        <f t="shared" si="557"/>
        <v>0</v>
      </c>
      <c r="BG223" s="30">
        <f t="shared" si="558"/>
        <v>0</v>
      </c>
      <c r="BH223" s="78" t="e">
        <f t="shared" si="652"/>
        <v>#DIV/0!</v>
      </c>
      <c r="BI223" s="79">
        <f t="shared" si="559"/>
        <v>0</v>
      </c>
      <c r="BJ223" s="30">
        <f t="shared" si="560"/>
        <v>0</v>
      </c>
      <c r="BK223" s="78" t="e">
        <f t="shared" si="653"/>
        <v>#DIV/0!</v>
      </c>
      <c r="BL223" s="79">
        <f t="shared" si="561"/>
        <v>0</v>
      </c>
      <c r="BM223" s="30">
        <f t="shared" si="562"/>
        <v>0</v>
      </c>
      <c r="BN223" s="78" t="e">
        <f t="shared" si="654"/>
        <v>#DIV/0!</v>
      </c>
      <c r="BO223" s="79">
        <f t="shared" si="563"/>
        <v>0</v>
      </c>
      <c r="BP223" s="30">
        <f t="shared" si="564"/>
        <v>0</v>
      </c>
      <c r="BQ223" s="78" t="e">
        <f t="shared" si="655"/>
        <v>#DIV/0!</v>
      </c>
      <c r="BR223" s="79">
        <f t="shared" si="565"/>
        <v>0</v>
      </c>
      <c r="BS223" s="30">
        <f t="shared" si="566"/>
        <v>0</v>
      </c>
      <c r="BT223" s="78" t="e">
        <f t="shared" si="656"/>
        <v>#DIV/0!</v>
      </c>
      <c r="BU223" s="79">
        <f t="shared" si="567"/>
        <v>0</v>
      </c>
      <c r="BV223" s="30">
        <f t="shared" si="568"/>
        <v>0</v>
      </c>
      <c r="BW223" s="78" t="e">
        <f t="shared" si="657"/>
        <v>#DIV/0!</v>
      </c>
      <c r="BX223" s="79">
        <f t="shared" si="569"/>
        <v>0</v>
      </c>
      <c r="BY223" s="30">
        <f t="shared" si="570"/>
        <v>0</v>
      </c>
      <c r="BZ223" s="78" t="e">
        <f t="shared" si="658"/>
        <v>#DIV/0!</v>
      </c>
      <c r="CA223" s="79">
        <f t="shared" si="571"/>
        <v>0</v>
      </c>
      <c r="CB223" s="30">
        <f t="shared" si="572"/>
        <v>0</v>
      </c>
      <c r="CC223" s="78" t="e">
        <f t="shared" si="659"/>
        <v>#DIV/0!</v>
      </c>
      <c r="CD223" s="79">
        <f t="shared" si="573"/>
        <v>0</v>
      </c>
      <c r="CE223" s="30">
        <f t="shared" si="574"/>
        <v>0</v>
      </c>
      <c r="CF223" s="78" t="e">
        <f t="shared" si="660"/>
        <v>#DIV/0!</v>
      </c>
      <c r="CG223" s="79">
        <f t="shared" si="575"/>
        <v>0</v>
      </c>
      <c r="CH223" s="30">
        <f t="shared" si="576"/>
        <v>0</v>
      </c>
      <c r="CI223" s="78" t="e">
        <f t="shared" si="661"/>
        <v>#DIV/0!</v>
      </c>
      <c r="CJ223" s="79">
        <f t="shared" si="577"/>
        <v>0</v>
      </c>
      <c r="CK223" s="30">
        <f t="shared" si="578"/>
        <v>0</v>
      </c>
      <c r="CL223" s="78" t="e">
        <f t="shared" si="662"/>
        <v>#DIV/0!</v>
      </c>
      <c r="CM223" s="79">
        <f t="shared" si="579"/>
        <v>0</v>
      </c>
      <c r="CN223" s="30">
        <f t="shared" si="580"/>
        <v>0</v>
      </c>
      <c r="CO223" s="78" t="e">
        <f t="shared" si="663"/>
        <v>#DIV/0!</v>
      </c>
      <c r="CP223" s="79">
        <f t="shared" si="581"/>
        <v>0</v>
      </c>
      <c r="CQ223" s="30">
        <f t="shared" si="582"/>
        <v>0</v>
      </c>
      <c r="CR223" s="78" t="e">
        <f t="shared" si="664"/>
        <v>#DIV/0!</v>
      </c>
      <c r="CS223" s="79">
        <f t="shared" si="583"/>
        <v>0</v>
      </c>
      <c r="CT223" s="30">
        <f t="shared" si="584"/>
        <v>0</v>
      </c>
      <c r="CU223" s="78" t="e">
        <f t="shared" si="665"/>
        <v>#DIV/0!</v>
      </c>
      <c r="CV223" s="79">
        <f t="shared" si="585"/>
        <v>0</v>
      </c>
      <c r="CW223" s="30">
        <f t="shared" si="586"/>
        <v>0</v>
      </c>
      <c r="CX223" s="78" t="e">
        <f t="shared" si="666"/>
        <v>#DIV/0!</v>
      </c>
      <c r="CY223" s="79">
        <f t="shared" si="587"/>
        <v>0</v>
      </c>
      <c r="CZ223" s="30">
        <f t="shared" si="588"/>
        <v>0</v>
      </c>
      <c r="DA223" s="78" t="e">
        <f t="shared" si="667"/>
        <v>#DIV/0!</v>
      </c>
      <c r="DB223" s="79">
        <f t="shared" si="589"/>
        <v>0</v>
      </c>
      <c r="DC223" s="30">
        <f t="shared" si="590"/>
        <v>0</v>
      </c>
      <c r="DD223" s="78" t="e">
        <f t="shared" si="668"/>
        <v>#DIV/0!</v>
      </c>
      <c r="DE223" s="79">
        <f t="shared" si="591"/>
        <v>0</v>
      </c>
      <c r="DF223" s="30">
        <f t="shared" si="592"/>
        <v>0</v>
      </c>
      <c r="DG223" s="78" t="e">
        <f t="shared" si="669"/>
        <v>#DIV/0!</v>
      </c>
      <c r="DH223" s="79">
        <f t="shared" si="593"/>
        <v>0</v>
      </c>
      <c r="DI223" s="30">
        <f t="shared" si="594"/>
        <v>0</v>
      </c>
      <c r="DJ223" s="78" t="e">
        <f t="shared" si="670"/>
        <v>#DIV/0!</v>
      </c>
      <c r="DK223" s="79">
        <f t="shared" si="595"/>
        <v>0</v>
      </c>
      <c r="DL223" s="30">
        <f t="shared" si="596"/>
        <v>0</v>
      </c>
      <c r="DM223" s="78" t="e">
        <f t="shared" si="671"/>
        <v>#DIV/0!</v>
      </c>
      <c r="DN223" s="79">
        <f t="shared" si="672"/>
        <v>0</v>
      </c>
      <c r="DO223" s="30">
        <f t="shared" si="673"/>
        <v>0</v>
      </c>
      <c r="DP223" s="78" t="e">
        <f t="shared" si="674"/>
        <v>#DIV/0!</v>
      </c>
      <c r="DQ223" s="79">
        <f>+SUMIF($B$6:$B$59,$B223,$DQ$6:$DQ$59)</f>
        <v>0</v>
      </c>
      <c r="DR223" s="30">
        <f>+SUMIF($B$6:$B$42,$B223,$DR$6:$DR$42)</f>
        <v>0</v>
      </c>
      <c r="DS223" s="78" t="e">
        <f t="shared" si="675"/>
        <v>#DIV/0!</v>
      </c>
      <c r="DT223" s="79">
        <f t="shared" si="599"/>
        <v>0</v>
      </c>
      <c r="DU223" s="30">
        <f t="shared" si="600"/>
        <v>0</v>
      </c>
      <c r="DV223" s="78" t="e">
        <f t="shared" si="676"/>
        <v>#DIV/0!</v>
      </c>
      <c r="DW223" s="79">
        <f t="shared" si="601"/>
        <v>0</v>
      </c>
      <c r="DX223" s="30">
        <f t="shared" si="602"/>
        <v>0</v>
      </c>
      <c r="DY223" s="78" t="e">
        <f t="shared" si="677"/>
        <v>#DIV/0!</v>
      </c>
      <c r="DZ223" s="79">
        <f t="shared" si="603"/>
        <v>0</v>
      </c>
      <c r="EA223" s="30">
        <f t="shared" si="604"/>
        <v>0</v>
      </c>
      <c r="EB223" s="78" t="e">
        <f t="shared" si="678"/>
        <v>#DIV/0!</v>
      </c>
      <c r="EC223" s="79">
        <f t="shared" si="605"/>
        <v>0</v>
      </c>
      <c r="ED223" s="30">
        <f t="shared" si="606"/>
        <v>0</v>
      </c>
      <c r="EE223" s="78" t="e">
        <f t="shared" si="679"/>
        <v>#DIV/0!</v>
      </c>
      <c r="EF223" s="79">
        <f t="shared" si="607"/>
        <v>0</v>
      </c>
      <c r="EG223" s="30">
        <f t="shared" si="608"/>
        <v>0</v>
      </c>
      <c r="EH223" s="78" t="e">
        <f t="shared" si="680"/>
        <v>#DIV/0!</v>
      </c>
      <c r="EI223" s="79">
        <f t="shared" si="609"/>
        <v>0</v>
      </c>
      <c r="EJ223" s="30">
        <f t="shared" si="610"/>
        <v>0</v>
      </c>
      <c r="EK223" s="78" t="e">
        <f t="shared" si="681"/>
        <v>#DIV/0!</v>
      </c>
    </row>
    <row r="224" spans="1:141" s="12" customFormat="1" ht="14.25" hidden="1" customHeight="1">
      <c r="A224" s="30">
        <v>65</v>
      </c>
      <c r="B224" s="26"/>
      <c r="C224" s="25"/>
      <c r="D224" s="24"/>
      <c r="E224" s="60"/>
      <c r="F224" s="59"/>
      <c r="G224" s="82">
        <f t="shared" si="611"/>
        <v>0</v>
      </c>
      <c r="H224" s="81">
        <f t="shared" si="612"/>
        <v>0</v>
      </c>
      <c r="I224" s="19">
        <f t="shared" si="613"/>
        <v>0</v>
      </c>
      <c r="J224" s="11">
        <f t="shared" si="614"/>
        <v>0</v>
      </c>
      <c r="K224" s="19">
        <f t="shared" si="615"/>
        <v>0</v>
      </c>
      <c r="L224" s="19">
        <f t="shared" si="616"/>
        <v>0</v>
      </c>
      <c r="M224" s="19">
        <f t="shared" si="617"/>
        <v>0</v>
      </c>
      <c r="N224" s="19">
        <f t="shared" si="618"/>
        <v>0</v>
      </c>
      <c r="O224" s="19">
        <f t="shared" si="619"/>
        <v>0</v>
      </c>
      <c r="P224" s="19">
        <f t="shared" si="620"/>
        <v>0</v>
      </c>
      <c r="Q224" s="19">
        <f t="shared" si="621"/>
        <v>0</v>
      </c>
      <c r="R224" s="19">
        <f t="shared" si="622"/>
        <v>0</v>
      </c>
      <c r="S224" s="19">
        <f t="shared" si="623"/>
        <v>0</v>
      </c>
      <c r="T224" s="19">
        <f t="shared" si="624"/>
        <v>0</v>
      </c>
      <c r="U224" s="19">
        <f t="shared" si="625"/>
        <v>0</v>
      </c>
      <c r="V224" s="19">
        <f t="shared" si="626"/>
        <v>0</v>
      </c>
      <c r="W224" s="19">
        <f t="shared" si="627"/>
        <v>0</v>
      </c>
      <c r="X224" s="19">
        <f t="shared" si="628"/>
        <v>0</v>
      </c>
      <c r="Y224" s="19">
        <f t="shared" si="629"/>
        <v>0</v>
      </c>
      <c r="Z224" s="19">
        <f t="shared" si="630"/>
        <v>0</v>
      </c>
      <c r="AA224" s="18"/>
      <c r="AB224" s="56">
        <f t="shared" si="631"/>
        <v>0</v>
      </c>
      <c r="AC224" s="16">
        <f t="shared" si="632"/>
        <v>0</v>
      </c>
      <c r="AD224" s="15" t="e">
        <f t="shared" si="633"/>
        <v>#DIV/0!</v>
      </c>
      <c r="AE224" s="42"/>
      <c r="AF224" s="10" t="e">
        <f t="shared" si="634"/>
        <v>#DIV/0!</v>
      </c>
      <c r="AG224" s="10"/>
      <c r="AH224" s="21">
        <f t="shared" si="635"/>
        <v>0</v>
      </c>
      <c r="AI224" s="54" t="e">
        <f t="shared" si="636"/>
        <v>#DIV/0!</v>
      </c>
      <c r="AJ224" s="25">
        <f t="shared" si="637"/>
        <v>0</v>
      </c>
      <c r="AK224" s="25">
        <f t="shared" si="638"/>
        <v>0</v>
      </c>
      <c r="AL224" s="25">
        <f t="shared" si="639"/>
        <v>0</v>
      </c>
      <c r="AM224" s="25">
        <f t="shared" si="640"/>
        <v>0</v>
      </c>
      <c r="AN224" s="25">
        <f t="shared" si="641"/>
        <v>0</v>
      </c>
      <c r="AO224" s="25">
        <f t="shared" si="642"/>
        <v>0</v>
      </c>
      <c r="AP224" s="25">
        <f t="shared" si="643"/>
        <v>0</v>
      </c>
      <c r="AQ224" s="25">
        <f t="shared" si="644"/>
        <v>0</v>
      </c>
      <c r="AR224" s="25">
        <f t="shared" si="645"/>
        <v>0</v>
      </c>
      <c r="AS224" s="25">
        <f t="shared" si="646"/>
        <v>0</v>
      </c>
      <c r="AT224" s="25">
        <f t="shared" si="647"/>
        <v>0</v>
      </c>
      <c r="AU224" s="80"/>
      <c r="AV224" s="79">
        <f t="shared" si="648"/>
        <v>0</v>
      </c>
      <c r="AW224" s="79">
        <f t="shared" si="551"/>
        <v>0</v>
      </c>
      <c r="AX224" s="30">
        <f t="shared" si="552"/>
        <v>0</v>
      </c>
      <c r="AY224" s="78" t="e">
        <f t="shared" si="649"/>
        <v>#DIV/0!</v>
      </c>
      <c r="AZ224" s="79">
        <f t="shared" si="553"/>
        <v>0</v>
      </c>
      <c r="BA224" s="30">
        <f t="shared" si="554"/>
        <v>0</v>
      </c>
      <c r="BB224" s="78" t="e">
        <f t="shared" si="650"/>
        <v>#DIV/0!</v>
      </c>
      <c r="BC224" s="79">
        <f t="shared" si="555"/>
        <v>0</v>
      </c>
      <c r="BD224" s="30">
        <f t="shared" si="556"/>
        <v>0</v>
      </c>
      <c r="BE224" s="78" t="e">
        <f t="shared" si="651"/>
        <v>#DIV/0!</v>
      </c>
      <c r="BF224" s="79">
        <f t="shared" si="557"/>
        <v>0</v>
      </c>
      <c r="BG224" s="30">
        <f t="shared" si="558"/>
        <v>0</v>
      </c>
      <c r="BH224" s="78" t="e">
        <f t="shared" si="652"/>
        <v>#DIV/0!</v>
      </c>
      <c r="BI224" s="79">
        <f t="shared" si="559"/>
        <v>0</v>
      </c>
      <c r="BJ224" s="30">
        <f t="shared" si="560"/>
        <v>0</v>
      </c>
      <c r="BK224" s="78" t="e">
        <f t="shared" si="653"/>
        <v>#DIV/0!</v>
      </c>
      <c r="BL224" s="79">
        <f t="shared" si="561"/>
        <v>0</v>
      </c>
      <c r="BM224" s="30">
        <f t="shared" si="562"/>
        <v>0</v>
      </c>
      <c r="BN224" s="78" t="e">
        <f t="shared" si="654"/>
        <v>#DIV/0!</v>
      </c>
      <c r="BO224" s="79">
        <f t="shared" si="563"/>
        <v>0</v>
      </c>
      <c r="BP224" s="30">
        <f t="shared" si="564"/>
        <v>0</v>
      </c>
      <c r="BQ224" s="78" t="e">
        <f t="shared" si="655"/>
        <v>#DIV/0!</v>
      </c>
      <c r="BR224" s="79">
        <f t="shared" si="565"/>
        <v>0</v>
      </c>
      <c r="BS224" s="30">
        <f t="shared" si="566"/>
        <v>0</v>
      </c>
      <c r="BT224" s="78" t="e">
        <f t="shared" si="656"/>
        <v>#DIV/0!</v>
      </c>
      <c r="BU224" s="79">
        <f t="shared" si="567"/>
        <v>0</v>
      </c>
      <c r="BV224" s="30">
        <f t="shared" si="568"/>
        <v>0</v>
      </c>
      <c r="BW224" s="78" t="e">
        <f t="shared" si="657"/>
        <v>#DIV/0!</v>
      </c>
      <c r="BX224" s="79">
        <f t="shared" si="569"/>
        <v>0</v>
      </c>
      <c r="BY224" s="30">
        <f t="shared" si="570"/>
        <v>0</v>
      </c>
      <c r="BZ224" s="78" t="e">
        <f t="shared" si="658"/>
        <v>#DIV/0!</v>
      </c>
      <c r="CA224" s="79">
        <f t="shared" si="571"/>
        <v>0</v>
      </c>
      <c r="CB224" s="30">
        <f t="shared" si="572"/>
        <v>0</v>
      </c>
      <c r="CC224" s="78" t="e">
        <f t="shared" si="659"/>
        <v>#DIV/0!</v>
      </c>
      <c r="CD224" s="79">
        <f t="shared" si="573"/>
        <v>0</v>
      </c>
      <c r="CE224" s="30">
        <f t="shared" si="574"/>
        <v>0</v>
      </c>
      <c r="CF224" s="78" t="e">
        <f t="shared" si="660"/>
        <v>#DIV/0!</v>
      </c>
      <c r="CG224" s="79">
        <f t="shared" si="575"/>
        <v>0</v>
      </c>
      <c r="CH224" s="30">
        <f t="shared" si="576"/>
        <v>0</v>
      </c>
      <c r="CI224" s="78" t="e">
        <f t="shared" si="661"/>
        <v>#DIV/0!</v>
      </c>
      <c r="CJ224" s="79">
        <f t="shared" si="577"/>
        <v>0</v>
      </c>
      <c r="CK224" s="30">
        <f t="shared" si="578"/>
        <v>0</v>
      </c>
      <c r="CL224" s="78" t="e">
        <f t="shared" si="662"/>
        <v>#DIV/0!</v>
      </c>
      <c r="CM224" s="79">
        <f t="shared" si="579"/>
        <v>0</v>
      </c>
      <c r="CN224" s="30">
        <f t="shared" si="580"/>
        <v>0</v>
      </c>
      <c r="CO224" s="78" t="e">
        <f t="shared" si="663"/>
        <v>#DIV/0!</v>
      </c>
      <c r="CP224" s="79">
        <f t="shared" si="581"/>
        <v>0</v>
      </c>
      <c r="CQ224" s="30">
        <f t="shared" si="582"/>
        <v>0</v>
      </c>
      <c r="CR224" s="78" t="e">
        <f t="shared" si="664"/>
        <v>#DIV/0!</v>
      </c>
      <c r="CS224" s="79">
        <f t="shared" si="583"/>
        <v>0</v>
      </c>
      <c r="CT224" s="30">
        <f t="shared" si="584"/>
        <v>0</v>
      </c>
      <c r="CU224" s="78" t="e">
        <f t="shared" si="665"/>
        <v>#DIV/0!</v>
      </c>
      <c r="CV224" s="79">
        <f t="shared" si="585"/>
        <v>0</v>
      </c>
      <c r="CW224" s="30">
        <f t="shared" si="586"/>
        <v>0</v>
      </c>
      <c r="CX224" s="78" t="e">
        <f t="shared" si="666"/>
        <v>#DIV/0!</v>
      </c>
      <c r="CY224" s="79">
        <f t="shared" si="587"/>
        <v>0</v>
      </c>
      <c r="CZ224" s="30">
        <f t="shared" si="588"/>
        <v>0</v>
      </c>
      <c r="DA224" s="78" t="e">
        <f t="shared" si="667"/>
        <v>#DIV/0!</v>
      </c>
      <c r="DB224" s="79">
        <f t="shared" si="589"/>
        <v>0</v>
      </c>
      <c r="DC224" s="30">
        <f t="shared" si="590"/>
        <v>0</v>
      </c>
      <c r="DD224" s="78" t="e">
        <f t="shared" si="668"/>
        <v>#DIV/0!</v>
      </c>
      <c r="DE224" s="79">
        <f t="shared" si="591"/>
        <v>0</v>
      </c>
      <c r="DF224" s="30">
        <f t="shared" si="592"/>
        <v>0</v>
      </c>
      <c r="DG224" s="78" t="e">
        <f t="shared" si="669"/>
        <v>#DIV/0!</v>
      </c>
      <c r="DH224" s="79">
        <f t="shared" si="593"/>
        <v>0</v>
      </c>
      <c r="DI224" s="30">
        <f t="shared" si="594"/>
        <v>0</v>
      </c>
      <c r="DJ224" s="78" t="e">
        <f t="shared" si="670"/>
        <v>#DIV/0!</v>
      </c>
      <c r="DK224" s="79">
        <f t="shared" si="595"/>
        <v>0</v>
      </c>
      <c r="DL224" s="30">
        <f t="shared" si="596"/>
        <v>0</v>
      </c>
      <c r="DM224" s="78" t="e">
        <f t="shared" si="671"/>
        <v>#DIV/0!</v>
      </c>
      <c r="DN224" s="79">
        <f t="shared" si="672"/>
        <v>0</v>
      </c>
      <c r="DO224" s="30">
        <f t="shared" si="673"/>
        <v>0</v>
      </c>
      <c r="DP224" s="78" t="e">
        <f t="shared" si="674"/>
        <v>#DIV/0!</v>
      </c>
      <c r="DQ224" s="79">
        <f>+SUMIF($B$6:$B$59,$B224,$DQ$6:$DQ$59)</f>
        <v>0</v>
      </c>
      <c r="DR224" s="30">
        <f>+SUMIF($B$6:$B$42,$B224,$DR$6:$DR$42)</f>
        <v>0</v>
      </c>
      <c r="DS224" s="78" t="e">
        <f t="shared" si="675"/>
        <v>#DIV/0!</v>
      </c>
      <c r="DT224" s="79">
        <f t="shared" si="599"/>
        <v>0</v>
      </c>
      <c r="DU224" s="30">
        <f t="shared" si="600"/>
        <v>0</v>
      </c>
      <c r="DV224" s="78" t="e">
        <f t="shared" si="676"/>
        <v>#DIV/0!</v>
      </c>
      <c r="DW224" s="79">
        <f t="shared" si="601"/>
        <v>0</v>
      </c>
      <c r="DX224" s="30">
        <f t="shared" si="602"/>
        <v>0</v>
      </c>
      <c r="DY224" s="78" t="e">
        <f t="shared" si="677"/>
        <v>#DIV/0!</v>
      </c>
      <c r="DZ224" s="79">
        <f t="shared" si="603"/>
        <v>0</v>
      </c>
      <c r="EA224" s="30">
        <f t="shared" si="604"/>
        <v>0</v>
      </c>
      <c r="EB224" s="78" t="e">
        <f t="shared" si="678"/>
        <v>#DIV/0!</v>
      </c>
      <c r="EC224" s="79">
        <f t="shared" si="605"/>
        <v>0</v>
      </c>
      <c r="ED224" s="30">
        <f t="shared" si="606"/>
        <v>0</v>
      </c>
      <c r="EE224" s="78" t="e">
        <f t="shared" si="679"/>
        <v>#DIV/0!</v>
      </c>
      <c r="EF224" s="79">
        <f t="shared" si="607"/>
        <v>0</v>
      </c>
      <c r="EG224" s="30">
        <f t="shared" si="608"/>
        <v>0</v>
      </c>
      <c r="EH224" s="78" t="e">
        <f t="shared" si="680"/>
        <v>#DIV/0!</v>
      </c>
      <c r="EI224" s="79">
        <f t="shared" si="609"/>
        <v>0</v>
      </c>
      <c r="EJ224" s="30">
        <f t="shared" si="610"/>
        <v>0</v>
      </c>
      <c r="EK224" s="78" t="e">
        <f t="shared" si="681"/>
        <v>#DIV/0!</v>
      </c>
    </row>
    <row r="225" spans="1:141" s="12" customFormat="1" ht="14.25" hidden="1" customHeight="1">
      <c r="A225" s="25">
        <v>66</v>
      </c>
      <c r="B225" s="26"/>
      <c r="C225" s="25"/>
      <c r="D225" s="24"/>
      <c r="E225" s="60"/>
      <c r="F225" s="59"/>
      <c r="G225" s="82">
        <f t="shared" si="611"/>
        <v>0</v>
      </c>
      <c r="H225" s="81">
        <f t="shared" si="612"/>
        <v>0</v>
      </c>
      <c r="I225" s="19">
        <f t="shared" si="613"/>
        <v>0</v>
      </c>
      <c r="J225" s="11">
        <f t="shared" si="614"/>
        <v>0</v>
      </c>
      <c r="K225" s="19">
        <f t="shared" si="615"/>
        <v>0</v>
      </c>
      <c r="L225" s="19">
        <f t="shared" si="616"/>
        <v>0</v>
      </c>
      <c r="M225" s="19">
        <f t="shared" si="617"/>
        <v>0</v>
      </c>
      <c r="N225" s="19">
        <f t="shared" si="618"/>
        <v>0</v>
      </c>
      <c r="O225" s="19">
        <f t="shared" si="619"/>
        <v>0</v>
      </c>
      <c r="P225" s="19">
        <f t="shared" si="620"/>
        <v>0</v>
      </c>
      <c r="Q225" s="19">
        <f t="shared" si="621"/>
        <v>0</v>
      </c>
      <c r="R225" s="19">
        <f t="shared" si="622"/>
        <v>0</v>
      </c>
      <c r="S225" s="19">
        <f t="shared" si="623"/>
        <v>0</v>
      </c>
      <c r="T225" s="19">
        <f t="shared" si="624"/>
        <v>0</v>
      </c>
      <c r="U225" s="19">
        <f t="shared" si="625"/>
        <v>0</v>
      </c>
      <c r="V225" s="19">
        <f t="shared" si="626"/>
        <v>0</v>
      </c>
      <c r="W225" s="19">
        <f t="shared" si="627"/>
        <v>0</v>
      </c>
      <c r="X225" s="19">
        <f t="shared" si="628"/>
        <v>0</v>
      </c>
      <c r="Y225" s="19">
        <f t="shared" si="629"/>
        <v>0</v>
      </c>
      <c r="Z225" s="19">
        <f t="shared" si="630"/>
        <v>0</v>
      </c>
      <c r="AA225" s="18"/>
      <c r="AB225" s="56">
        <f t="shared" si="631"/>
        <v>0</v>
      </c>
      <c r="AC225" s="16">
        <f t="shared" si="632"/>
        <v>0</v>
      </c>
      <c r="AD225" s="15" t="e">
        <f t="shared" si="633"/>
        <v>#DIV/0!</v>
      </c>
      <c r="AE225" s="42"/>
      <c r="AF225" s="10" t="e">
        <f t="shared" si="634"/>
        <v>#DIV/0!</v>
      </c>
      <c r="AG225" s="10"/>
      <c r="AH225" s="21">
        <f t="shared" si="635"/>
        <v>0</v>
      </c>
      <c r="AI225" s="54" t="e">
        <f t="shared" si="636"/>
        <v>#DIV/0!</v>
      </c>
      <c r="AJ225" s="25">
        <f t="shared" si="637"/>
        <v>0</v>
      </c>
      <c r="AK225" s="25">
        <f t="shared" si="638"/>
        <v>0</v>
      </c>
      <c r="AL225" s="25">
        <f t="shared" si="639"/>
        <v>0</v>
      </c>
      <c r="AM225" s="25">
        <f t="shared" si="640"/>
        <v>0</v>
      </c>
      <c r="AN225" s="25">
        <f t="shared" si="641"/>
        <v>0</v>
      </c>
      <c r="AO225" s="25">
        <f t="shared" si="642"/>
        <v>0</v>
      </c>
      <c r="AP225" s="25">
        <f t="shared" si="643"/>
        <v>0</v>
      </c>
      <c r="AQ225" s="25">
        <f t="shared" si="644"/>
        <v>0</v>
      </c>
      <c r="AR225" s="25">
        <f t="shared" si="645"/>
        <v>0</v>
      </c>
      <c r="AS225" s="25">
        <f t="shared" si="646"/>
        <v>0</v>
      </c>
      <c r="AT225" s="25">
        <f t="shared" si="647"/>
        <v>0</v>
      </c>
      <c r="AU225" s="80"/>
      <c r="AV225" s="79">
        <f t="shared" si="648"/>
        <v>0</v>
      </c>
      <c r="AW225" s="79">
        <f t="shared" si="551"/>
        <v>0</v>
      </c>
      <c r="AX225" s="30">
        <f t="shared" si="552"/>
        <v>0</v>
      </c>
      <c r="AY225" s="78" t="e">
        <f t="shared" si="649"/>
        <v>#DIV/0!</v>
      </c>
      <c r="AZ225" s="79">
        <f t="shared" si="553"/>
        <v>0</v>
      </c>
      <c r="BA225" s="30">
        <f t="shared" si="554"/>
        <v>0</v>
      </c>
      <c r="BB225" s="78" t="e">
        <f t="shared" si="650"/>
        <v>#DIV/0!</v>
      </c>
      <c r="BC225" s="79">
        <f t="shared" si="555"/>
        <v>0</v>
      </c>
      <c r="BD225" s="30">
        <f t="shared" si="556"/>
        <v>0</v>
      </c>
      <c r="BE225" s="78" t="e">
        <f t="shared" si="651"/>
        <v>#DIV/0!</v>
      </c>
      <c r="BF225" s="79">
        <f t="shared" si="557"/>
        <v>0</v>
      </c>
      <c r="BG225" s="30">
        <f t="shared" si="558"/>
        <v>0</v>
      </c>
      <c r="BH225" s="78" t="e">
        <f t="shared" si="652"/>
        <v>#DIV/0!</v>
      </c>
      <c r="BI225" s="79">
        <f t="shared" si="559"/>
        <v>0</v>
      </c>
      <c r="BJ225" s="30">
        <f t="shared" si="560"/>
        <v>0</v>
      </c>
      <c r="BK225" s="78" t="e">
        <f t="shared" si="653"/>
        <v>#DIV/0!</v>
      </c>
      <c r="BL225" s="79">
        <f t="shared" si="561"/>
        <v>0</v>
      </c>
      <c r="BM225" s="30">
        <f t="shared" si="562"/>
        <v>0</v>
      </c>
      <c r="BN225" s="78" t="e">
        <f t="shared" si="654"/>
        <v>#DIV/0!</v>
      </c>
      <c r="BO225" s="79">
        <f t="shared" si="563"/>
        <v>0</v>
      </c>
      <c r="BP225" s="30">
        <f t="shared" si="564"/>
        <v>0</v>
      </c>
      <c r="BQ225" s="78" t="e">
        <f t="shared" si="655"/>
        <v>#DIV/0!</v>
      </c>
      <c r="BR225" s="79">
        <f t="shared" si="565"/>
        <v>0</v>
      </c>
      <c r="BS225" s="30">
        <f t="shared" si="566"/>
        <v>0</v>
      </c>
      <c r="BT225" s="78" t="e">
        <f t="shared" si="656"/>
        <v>#DIV/0!</v>
      </c>
      <c r="BU225" s="79">
        <f t="shared" si="567"/>
        <v>0</v>
      </c>
      <c r="BV225" s="30">
        <f t="shared" si="568"/>
        <v>0</v>
      </c>
      <c r="BW225" s="78" t="e">
        <f t="shared" si="657"/>
        <v>#DIV/0!</v>
      </c>
      <c r="BX225" s="79">
        <f t="shared" si="569"/>
        <v>0</v>
      </c>
      <c r="BY225" s="30">
        <f t="shared" si="570"/>
        <v>0</v>
      </c>
      <c r="BZ225" s="78" t="e">
        <f t="shared" si="658"/>
        <v>#DIV/0!</v>
      </c>
      <c r="CA225" s="79">
        <f t="shared" si="571"/>
        <v>0</v>
      </c>
      <c r="CB225" s="30">
        <f t="shared" si="572"/>
        <v>0</v>
      </c>
      <c r="CC225" s="78" t="e">
        <f t="shared" si="659"/>
        <v>#DIV/0!</v>
      </c>
      <c r="CD225" s="79">
        <f t="shared" si="573"/>
        <v>0</v>
      </c>
      <c r="CE225" s="30">
        <f t="shared" si="574"/>
        <v>0</v>
      </c>
      <c r="CF225" s="78" t="e">
        <f t="shared" si="660"/>
        <v>#DIV/0!</v>
      </c>
      <c r="CG225" s="79">
        <f t="shared" si="575"/>
        <v>0</v>
      </c>
      <c r="CH225" s="30">
        <f t="shared" si="576"/>
        <v>0</v>
      </c>
      <c r="CI225" s="78" t="e">
        <f t="shared" si="661"/>
        <v>#DIV/0!</v>
      </c>
      <c r="CJ225" s="79">
        <f t="shared" si="577"/>
        <v>0</v>
      </c>
      <c r="CK225" s="30">
        <f t="shared" si="578"/>
        <v>0</v>
      </c>
      <c r="CL225" s="78" t="e">
        <f t="shared" si="662"/>
        <v>#DIV/0!</v>
      </c>
      <c r="CM225" s="79">
        <f t="shared" si="579"/>
        <v>0</v>
      </c>
      <c r="CN225" s="30">
        <f t="shared" si="580"/>
        <v>0</v>
      </c>
      <c r="CO225" s="78" t="e">
        <f t="shared" si="663"/>
        <v>#DIV/0!</v>
      </c>
      <c r="CP225" s="79">
        <f t="shared" si="581"/>
        <v>0</v>
      </c>
      <c r="CQ225" s="30">
        <f t="shared" si="582"/>
        <v>0</v>
      </c>
      <c r="CR225" s="78" t="e">
        <f t="shared" si="664"/>
        <v>#DIV/0!</v>
      </c>
      <c r="CS225" s="79">
        <f t="shared" si="583"/>
        <v>0</v>
      </c>
      <c r="CT225" s="30">
        <f t="shared" si="584"/>
        <v>0</v>
      </c>
      <c r="CU225" s="78" t="e">
        <f t="shared" si="665"/>
        <v>#DIV/0!</v>
      </c>
      <c r="CV225" s="79">
        <f t="shared" si="585"/>
        <v>0</v>
      </c>
      <c r="CW225" s="30">
        <f t="shared" si="586"/>
        <v>0</v>
      </c>
      <c r="CX225" s="78" t="e">
        <f t="shared" si="666"/>
        <v>#DIV/0!</v>
      </c>
      <c r="CY225" s="79">
        <f t="shared" si="587"/>
        <v>0</v>
      </c>
      <c r="CZ225" s="30">
        <f t="shared" si="588"/>
        <v>0</v>
      </c>
      <c r="DA225" s="78" t="e">
        <f t="shared" si="667"/>
        <v>#DIV/0!</v>
      </c>
      <c r="DB225" s="79">
        <f t="shared" si="589"/>
        <v>0</v>
      </c>
      <c r="DC225" s="30">
        <f t="shared" si="590"/>
        <v>0</v>
      </c>
      <c r="DD225" s="78" t="e">
        <f t="shared" si="668"/>
        <v>#DIV/0!</v>
      </c>
      <c r="DE225" s="79">
        <f t="shared" si="591"/>
        <v>0</v>
      </c>
      <c r="DF225" s="30">
        <f t="shared" si="592"/>
        <v>0</v>
      </c>
      <c r="DG225" s="78" t="e">
        <f t="shared" si="669"/>
        <v>#DIV/0!</v>
      </c>
      <c r="DH225" s="79">
        <f t="shared" si="593"/>
        <v>0</v>
      </c>
      <c r="DI225" s="30">
        <f t="shared" si="594"/>
        <v>0</v>
      </c>
      <c r="DJ225" s="78" t="e">
        <f t="shared" si="670"/>
        <v>#DIV/0!</v>
      </c>
      <c r="DK225" s="79">
        <f t="shared" si="595"/>
        <v>0</v>
      </c>
      <c r="DL225" s="30">
        <f t="shared" si="596"/>
        <v>0</v>
      </c>
      <c r="DM225" s="78" t="e">
        <f t="shared" si="671"/>
        <v>#DIV/0!</v>
      </c>
      <c r="DN225" s="79">
        <f t="shared" si="672"/>
        <v>0</v>
      </c>
      <c r="DO225" s="30">
        <f t="shared" si="673"/>
        <v>0</v>
      </c>
      <c r="DP225" s="78" t="e">
        <f t="shared" si="674"/>
        <v>#DIV/0!</v>
      </c>
      <c r="DQ225" s="79">
        <f>+SUMIF($B$6:$B$59,$B225,$DQ$6:$DQ$59)</f>
        <v>0</v>
      </c>
      <c r="DR225" s="30">
        <f>+SUMIF($B$6:$B$42,$B225,$DR$6:$DR$42)</f>
        <v>0</v>
      </c>
      <c r="DS225" s="78" t="e">
        <f t="shared" si="675"/>
        <v>#DIV/0!</v>
      </c>
      <c r="DT225" s="79">
        <f t="shared" si="599"/>
        <v>0</v>
      </c>
      <c r="DU225" s="30">
        <f t="shared" si="600"/>
        <v>0</v>
      </c>
      <c r="DV225" s="78" t="e">
        <f t="shared" si="676"/>
        <v>#DIV/0!</v>
      </c>
      <c r="DW225" s="79">
        <f t="shared" si="601"/>
        <v>0</v>
      </c>
      <c r="DX225" s="30">
        <f t="shared" si="602"/>
        <v>0</v>
      </c>
      <c r="DY225" s="78" t="e">
        <f t="shared" si="677"/>
        <v>#DIV/0!</v>
      </c>
      <c r="DZ225" s="79">
        <f t="shared" si="603"/>
        <v>0</v>
      </c>
      <c r="EA225" s="30">
        <f t="shared" si="604"/>
        <v>0</v>
      </c>
      <c r="EB225" s="78" t="e">
        <f t="shared" si="678"/>
        <v>#DIV/0!</v>
      </c>
      <c r="EC225" s="79">
        <f t="shared" si="605"/>
        <v>0</v>
      </c>
      <c r="ED225" s="30">
        <f t="shared" si="606"/>
        <v>0</v>
      </c>
      <c r="EE225" s="78" t="e">
        <f t="shared" si="679"/>
        <v>#DIV/0!</v>
      </c>
      <c r="EF225" s="79">
        <f t="shared" si="607"/>
        <v>0</v>
      </c>
      <c r="EG225" s="30">
        <f t="shared" si="608"/>
        <v>0</v>
      </c>
      <c r="EH225" s="78" t="e">
        <f t="shared" si="680"/>
        <v>#DIV/0!</v>
      </c>
      <c r="EI225" s="79">
        <f t="shared" si="609"/>
        <v>0</v>
      </c>
      <c r="EJ225" s="30">
        <f t="shared" si="610"/>
        <v>0</v>
      </c>
      <c r="EK225" s="78" t="e">
        <f t="shared" si="681"/>
        <v>#DIV/0!</v>
      </c>
    </row>
    <row r="226" spans="1:141" s="12" customFormat="1" ht="30.75" hidden="1" customHeight="1">
      <c r="A226" s="77"/>
      <c r="B226" s="53"/>
      <c r="C226" s="49"/>
      <c r="D226" s="52"/>
      <c r="E226" s="34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  <c r="AA226" s="49"/>
      <c r="AB226" s="56">
        <f t="shared" si="631"/>
        <v>0</v>
      </c>
      <c r="AC226" s="51"/>
      <c r="AD226" s="49"/>
      <c r="AE226" s="42"/>
      <c r="AF226" s="49"/>
      <c r="AG226" s="49"/>
      <c r="AH226" s="49"/>
      <c r="AI226" s="49"/>
      <c r="AJ226" s="225"/>
      <c r="AK226" s="225"/>
      <c r="AL226" s="225"/>
      <c r="AM226" s="225"/>
      <c r="AN226" s="225"/>
      <c r="AO226" s="225"/>
      <c r="AP226" s="225"/>
      <c r="AQ226" s="225"/>
      <c r="AR226" s="76"/>
      <c r="AS226" s="76"/>
      <c r="AT226" s="225"/>
      <c r="AU226" s="75"/>
      <c r="AV226" s="75"/>
      <c r="AW226" s="75">
        <f ca="1">+SUM(AW156:AW225)</f>
        <v>174966</v>
      </c>
      <c r="AX226" s="75">
        <f>+SUM(AX156:AX225)</f>
        <v>0</v>
      </c>
      <c r="AY226" s="75">
        <f t="shared" ca="1" si="649"/>
        <v>0</v>
      </c>
      <c r="AZ226" s="75"/>
      <c r="BA226" s="75"/>
      <c r="BB226" s="75"/>
      <c r="BC226" s="75"/>
      <c r="BD226" s="75"/>
      <c r="BE226" s="75"/>
      <c r="BF226" s="75"/>
      <c r="BG226" s="75"/>
      <c r="BH226" s="75"/>
      <c r="BI226" s="75"/>
      <c r="BJ226" s="75"/>
      <c r="BK226" s="75"/>
      <c r="BL226" s="75"/>
      <c r="BM226" s="75"/>
      <c r="BN226" s="75"/>
      <c r="BO226" s="75"/>
      <c r="BP226" s="75"/>
      <c r="BQ226" s="75"/>
      <c r="BR226" s="75"/>
      <c r="BS226" s="75"/>
      <c r="BT226" s="75"/>
      <c r="BU226" s="75"/>
      <c r="BV226" s="75"/>
      <c r="BW226" s="75"/>
      <c r="BX226" s="75"/>
      <c r="BY226" s="75"/>
      <c r="BZ226" s="75"/>
      <c r="CA226" s="75"/>
      <c r="CB226" s="75"/>
      <c r="CC226" s="75"/>
      <c r="CD226" s="75"/>
      <c r="CE226" s="75"/>
      <c r="CF226" s="75"/>
      <c r="CG226" s="75"/>
      <c r="CH226" s="75"/>
      <c r="CI226" s="75"/>
      <c r="CJ226" s="75"/>
      <c r="CK226" s="75"/>
      <c r="CL226" s="75"/>
      <c r="CM226" s="75"/>
      <c r="CN226" s="75"/>
      <c r="CO226" s="75"/>
      <c r="CP226" s="75"/>
      <c r="CQ226" s="75"/>
      <c r="CR226" s="75"/>
      <c r="CS226" s="75"/>
      <c r="CT226" s="75"/>
      <c r="CU226" s="75"/>
      <c r="CV226" s="75"/>
      <c r="CW226" s="75"/>
      <c r="CX226" s="75"/>
      <c r="CY226" s="75"/>
      <c r="CZ226" s="75"/>
      <c r="DA226" s="75"/>
      <c r="DB226" s="75"/>
      <c r="DC226" s="75"/>
      <c r="DD226" s="75"/>
      <c r="DE226" s="75"/>
      <c r="DF226" s="75"/>
      <c r="DG226" s="75"/>
      <c r="DH226" s="75"/>
      <c r="DI226" s="75"/>
      <c r="DJ226" s="75"/>
      <c r="DK226" s="75"/>
      <c r="DL226" s="75"/>
      <c r="DM226" s="75"/>
    </row>
    <row r="227" spans="1:141" s="12" customFormat="1" ht="14.25" hidden="1" customHeight="1">
      <c r="A227" s="49"/>
      <c r="B227" s="53"/>
      <c r="C227" s="49"/>
      <c r="D227" s="52"/>
      <c r="E227" s="34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  <c r="AA227" s="49"/>
      <c r="AB227" s="51"/>
      <c r="AC227" s="51"/>
      <c r="AD227" s="49"/>
      <c r="AE227" s="50"/>
      <c r="AF227" s="49"/>
      <c r="AG227" s="49"/>
      <c r="AH227" s="49"/>
      <c r="AI227" s="49"/>
      <c r="AJ227" s="226"/>
      <c r="AK227" s="226"/>
      <c r="AL227" s="226"/>
      <c r="AM227" s="226"/>
      <c r="AN227" s="226"/>
      <c r="AO227" s="226"/>
      <c r="AP227" s="226"/>
      <c r="AQ227" s="226"/>
      <c r="AR227" s="74"/>
      <c r="AS227" s="74"/>
      <c r="AT227" s="226"/>
      <c r="AU227" s="48"/>
      <c r="AV227" s="48"/>
      <c r="AW227" s="48"/>
      <c r="AX227" s="48"/>
      <c r="AY227" s="48"/>
      <c r="AZ227" s="48"/>
      <c r="BA227" s="48"/>
      <c r="BB227" s="48"/>
      <c r="BC227" s="48"/>
      <c r="BD227" s="48"/>
      <c r="BE227" s="48"/>
      <c r="BF227" s="48"/>
      <c r="BG227" s="48"/>
      <c r="BH227" s="48"/>
      <c r="BI227" s="48"/>
      <c r="BJ227" s="48"/>
      <c r="BK227" s="48"/>
      <c r="BL227" s="48"/>
      <c r="BM227" s="48"/>
      <c r="BN227" s="48"/>
      <c r="BO227" s="48"/>
      <c r="BP227" s="48"/>
      <c r="BQ227" s="48"/>
      <c r="BR227" s="48"/>
      <c r="BS227" s="48"/>
      <c r="BT227" s="48"/>
      <c r="BU227" s="48"/>
      <c r="BV227" s="48"/>
      <c r="BW227" s="48"/>
      <c r="BX227" s="48"/>
      <c r="BY227" s="48"/>
      <c r="BZ227" s="48"/>
      <c r="CA227" s="48"/>
      <c r="CB227" s="48"/>
      <c r="CC227" s="48"/>
      <c r="CD227" s="48"/>
      <c r="CE227" s="48"/>
      <c r="CF227" s="48"/>
      <c r="CG227" s="48"/>
      <c r="CH227" s="48"/>
      <c r="CI227" s="48"/>
      <c r="CJ227" s="48"/>
      <c r="CK227" s="48"/>
      <c r="CL227" s="48"/>
      <c r="CM227" s="48"/>
      <c r="CN227" s="48"/>
      <c r="CO227" s="48"/>
      <c r="CP227" s="48"/>
      <c r="CQ227" s="48"/>
      <c r="CR227" s="48"/>
      <c r="CS227" s="48"/>
      <c r="CT227" s="48"/>
      <c r="CU227" s="48"/>
      <c r="CV227" s="48"/>
      <c r="CW227" s="48"/>
      <c r="CX227" s="48"/>
      <c r="CY227" s="48"/>
      <c r="CZ227" s="48"/>
      <c r="DA227" s="48"/>
      <c r="DB227" s="48"/>
      <c r="DC227" s="48"/>
      <c r="DD227" s="48"/>
      <c r="DE227" s="48"/>
      <c r="DF227" s="48"/>
      <c r="DG227" s="48"/>
      <c r="DH227" s="48"/>
      <c r="DI227" s="48"/>
      <c r="DJ227" s="48"/>
      <c r="DK227" s="48"/>
      <c r="DL227" s="48"/>
      <c r="DM227" s="48"/>
      <c r="DN227" s="48"/>
      <c r="DO227" s="48"/>
      <c r="DP227" s="48"/>
      <c r="DQ227" s="48"/>
      <c r="DR227" s="48"/>
      <c r="DS227" s="48"/>
      <c r="DT227" s="48"/>
      <c r="DU227" s="48"/>
      <c r="DV227" s="48"/>
      <c r="DW227" s="48"/>
      <c r="DX227" s="48"/>
      <c r="DY227" s="48"/>
      <c r="DZ227" s="48"/>
      <c r="EA227" s="48"/>
      <c r="EB227" s="48"/>
      <c r="EC227" s="48"/>
      <c r="ED227" s="48"/>
      <c r="EE227" s="48"/>
      <c r="EF227" s="48"/>
      <c r="EG227" s="48"/>
      <c r="EH227" s="48"/>
      <c r="EI227" s="48"/>
      <c r="EJ227" s="48"/>
      <c r="EK227" s="48"/>
    </row>
    <row r="228" spans="1:141" s="12" customFormat="1" ht="52.5" hidden="1" customHeight="1">
      <c r="A228" s="49" t="s">
        <v>113</v>
      </c>
      <c r="B228" s="53"/>
      <c r="C228" s="49" t="s">
        <v>112</v>
      </c>
      <c r="D228" s="34"/>
      <c r="E228" s="73" t="s">
        <v>111</v>
      </c>
      <c r="F228" s="72"/>
      <c r="G228" s="38" t="s">
        <v>110</v>
      </c>
      <c r="H228" s="37" t="s">
        <v>110</v>
      </c>
      <c r="I228" s="19" t="s">
        <v>109</v>
      </c>
      <c r="J228" s="11" t="s">
        <v>108</v>
      </c>
      <c r="K228" s="19" t="str">
        <f t="shared" ref="K228:Z228" si="682">+K3</f>
        <v>Thiếu sản lượng</v>
      </c>
      <c r="L228" s="19" t="str">
        <f t="shared" si="682"/>
        <v>Bật máy, xét máy</v>
      </c>
      <c r="M228" s="19" t="str">
        <f t="shared" si="682"/>
        <v>Chuyển mã</v>
      </c>
      <c r="N228" s="19" t="str">
        <f t="shared" si="682"/>
        <v>Chỉnh máy</v>
      </c>
      <c r="O228" s="19" t="str">
        <f t="shared" si="682"/>
        <v>Chờ chỉnh máy</v>
      </c>
      <c r="P228" s="19" t="str">
        <f t="shared" si="682"/>
        <v>Mất điện</v>
      </c>
      <c r="Q228" s="19" t="str">
        <f t="shared" si="682"/>
        <v>Mất khí</v>
      </c>
      <c r="R228" s="19" t="str">
        <f t="shared" si="682"/>
        <v>Chờ hàng</v>
      </c>
      <c r="S228" s="19" t="str">
        <f t="shared" si="682"/>
        <v>bảo dưỡng máy</v>
      </c>
      <c r="T228" s="19" t="str">
        <f t="shared" si="682"/>
        <v>Nghỉ giải lao</v>
      </c>
      <c r="U228" s="19" t="str">
        <f t="shared" si="682"/>
        <v>Giao ca</v>
      </c>
      <c r="V228" s="19" t="str">
        <f t="shared" si="682"/>
        <v>Dừng máy đi hỗ trợ</v>
      </c>
      <c r="W228" s="19" t="str">
        <f t="shared" si="682"/>
        <v>Giặt cs/cân cs, tuốt-tái pp, GL</v>
      </c>
      <c r="X228" s="19" t="str">
        <f t="shared" si="682"/>
        <v>5s</v>
      </c>
      <c r="Y228" s="19" t="str">
        <f t="shared" si="682"/>
        <v>Học việc, đào tạo</v>
      </c>
      <c r="Z228" s="19" t="str">
        <f t="shared" si="682"/>
        <v>Đi muộn về sớm</v>
      </c>
      <c r="AA228" s="71" t="s">
        <v>107</v>
      </c>
      <c r="AB228" s="70" t="s">
        <v>106</v>
      </c>
      <c r="AC228" s="69" t="s">
        <v>105</v>
      </c>
      <c r="AE228" s="42"/>
      <c r="AF228" s="10" t="s">
        <v>104</v>
      </c>
      <c r="AG228" s="10"/>
      <c r="AH228" s="10" t="s">
        <v>103</v>
      </c>
      <c r="AI228" s="54"/>
      <c r="AJ228" s="68" t="s">
        <v>102</v>
      </c>
      <c r="AK228" s="43" t="s">
        <v>101</v>
      </c>
      <c r="AL228" s="43" t="s">
        <v>100</v>
      </c>
      <c r="AM228" s="67" t="s">
        <v>99</v>
      </c>
      <c r="AN228" s="67" t="s">
        <v>98</v>
      </c>
      <c r="AO228" s="66" t="s">
        <v>97</v>
      </c>
      <c r="AP228" s="67" t="s">
        <v>96</v>
      </c>
      <c r="AQ228" s="66" t="s">
        <v>95</v>
      </c>
      <c r="AR228" s="66" t="s">
        <v>94</v>
      </c>
      <c r="AS228" s="66" t="s">
        <v>93</v>
      </c>
      <c r="AT228" s="66" t="s">
        <v>92</v>
      </c>
      <c r="AU228" s="48"/>
      <c r="AV228" s="48"/>
      <c r="AW228" s="48"/>
      <c r="AX228" s="48"/>
      <c r="AY228" s="48"/>
      <c r="AZ228" s="48"/>
      <c r="BA228" s="48"/>
      <c r="BB228" s="48"/>
      <c r="BC228" s="48"/>
      <c r="BD228" s="48"/>
      <c r="BE228" s="48"/>
      <c r="BF228" s="48"/>
      <c r="BG228" s="48"/>
      <c r="BH228" s="48"/>
      <c r="BI228" s="48"/>
      <c r="BJ228" s="48"/>
      <c r="BK228" s="48"/>
      <c r="BL228" s="48"/>
      <c r="BM228" s="48"/>
      <c r="BN228" s="48"/>
      <c r="BO228" s="48"/>
      <c r="BP228" s="48"/>
      <c r="BQ228" s="48"/>
      <c r="BR228" s="48"/>
      <c r="BS228" s="48"/>
      <c r="BT228" s="48"/>
      <c r="BU228" s="48"/>
      <c r="BV228" s="48"/>
      <c r="BW228" s="48"/>
      <c r="BX228" s="48"/>
      <c r="BY228" s="48"/>
      <c r="BZ228" s="48"/>
      <c r="CA228" s="48"/>
      <c r="CB228" s="48"/>
      <c r="CC228" s="48"/>
      <c r="CD228" s="48"/>
      <c r="CE228" s="48"/>
      <c r="CF228" s="48"/>
      <c r="CG228" s="48"/>
      <c r="CH228" s="48"/>
      <c r="CI228" s="48"/>
      <c r="CJ228" s="48"/>
      <c r="CK228" s="48"/>
      <c r="CL228" s="48"/>
      <c r="CM228" s="48"/>
      <c r="CN228" s="48"/>
      <c r="CO228" s="48"/>
      <c r="CP228" s="48"/>
      <c r="CQ228" s="48"/>
      <c r="CR228" s="48"/>
      <c r="CS228" s="48"/>
      <c r="CT228" s="48"/>
      <c r="CU228" s="48"/>
      <c r="CV228" s="48"/>
      <c r="CW228" s="48"/>
      <c r="CX228" s="48"/>
      <c r="CY228" s="48"/>
      <c r="CZ228" s="48"/>
      <c r="DA228" s="48"/>
      <c r="DB228" s="48"/>
      <c r="DC228" s="48"/>
      <c r="DD228" s="48"/>
      <c r="DE228" s="48"/>
      <c r="DF228" s="48"/>
      <c r="DG228" s="48"/>
      <c r="DH228" s="48"/>
      <c r="DI228" s="48"/>
      <c r="DJ228" s="48"/>
      <c r="DK228" s="48"/>
      <c r="DL228" s="48"/>
      <c r="DM228" s="48"/>
      <c r="DN228" s="48"/>
      <c r="DO228" s="48"/>
      <c r="DP228" s="48"/>
      <c r="DQ228" s="48"/>
      <c r="DR228" s="48"/>
      <c r="DS228" s="48"/>
      <c r="DT228" s="48"/>
      <c r="DU228" s="48"/>
      <c r="DV228" s="48"/>
      <c r="DW228" s="48"/>
      <c r="DX228" s="48"/>
      <c r="DY228" s="48"/>
      <c r="DZ228" s="48"/>
      <c r="EA228" s="48"/>
      <c r="EB228" s="48"/>
      <c r="EC228" s="48"/>
      <c r="ED228" s="48"/>
      <c r="EE228" s="48"/>
      <c r="EF228" s="48"/>
      <c r="EG228" s="48"/>
      <c r="EH228" s="48"/>
      <c r="EI228" s="48"/>
      <c r="EJ228" s="48"/>
      <c r="EK228" s="48"/>
    </row>
    <row r="229" spans="1:141" s="12" customFormat="1" ht="14.25" hidden="1" customHeight="1">
      <c r="A229" s="25">
        <v>1</v>
      </c>
      <c r="B229" s="26"/>
      <c r="C229" s="240" t="s">
        <v>91</v>
      </c>
      <c r="D229" s="63"/>
      <c r="E229" s="64" t="s">
        <v>90</v>
      </c>
      <c r="F229" s="26"/>
      <c r="G229" s="58">
        <f t="shared" ref="G229:G260" si="683">+SUMIF($E$327:$E$515,D229,$H$327:$H$515)</f>
        <v>0</v>
      </c>
      <c r="H229" s="57">
        <f t="shared" ref="H229:H260" si="684">+SUMIF($E$327:$E$515,E229,$H$327:$H$515)</f>
        <v>0</v>
      </c>
      <c r="I229" s="19"/>
      <c r="J229" s="11">
        <f t="shared" ref="J229:J260" si="685">SUM(K229:Z229)</f>
        <v>0</v>
      </c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8"/>
      <c r="AB229" s="56">
        <f t="shared" ref="AB229:AB260" si="686">+SUMIF($E$327:$E$515,E229,$AB$327:$AB$515)</f>
        <v>0</v>
      </c>
      <c r="AC229" s="16">
        <f t="shared" ref="AC229:AC260" si="687">+SUMIF($E$327:$E$515,E229,$AC$327:$AC$515)</f>
        <v>0</v>
      </c>
      <c r="AD229" s="15" t="e">
        <f t="shared" ref="AD229:AD260" si="688">+AC229/AB229</f>
        <v>#DIV/0!</v>
      </c>
      <c r="AE229" s="55"/>
      <c r="AF229" s="10" t="e">
        <f t="shared" ref="AF229:AF260" si="689">+AC229/H229</f>
        <v>#DIV/0!</v>
      </c>
      <c r="AG229" s="10"/>
      <c r="AH229" s="21">
        <f t="shared" ref="AH229:AH260" si="690">+SUMIF($AA$327:$AA$515,E229,$AH$327:$AH$515)</f>
        <v>0</v>
      </c>
      <c r="AI229" s="54" t="e">
        <f t="shared" ref="AI229:AI260" si="691">+AH229/AC229</f>
        <v>#DIV/0!</v>
      </c>
      <c r="AJ229" s="25">
        <f t="shared" ref="AJ229:AJ260" si="692">+SUMIF($E$327:$E$515,E229,$AJ$327:$AJ$515)</f>
        <v>0</v>
      </c>
      <c r="AK229" s="25">
        <f t="shared" ref="AK229:AK260" si="693">+SUMIF($D$327:$D$515,E229,$AK$327:$AK$515)</f>
        <v>0</v>
      </c>
      <c r="AL229" s="25">
        <f t="shared" ref="AL229:AL260" si="694">+SUMIF($D$327:$D$515,E229,$AL$327:$AL$515)</f>
        <v>0</v>
      </c>
      <c r="AM229" s="25">
        <f t="shared" ref="AM229:AM260" si="695">+SUMIF($D$327:$D$515,E229,$AM$327:$AM$515)</f>
        <v>0</v>
      </c>
      <c r="AN229" s="25">
        <f t="shared" ref="AN229:AN260" si="696">+SUMIF($D$327:$D$515,E229,$AN$327:$AN$515)</f>
        <v>0</v>
      </c>
      <c r="AO229" s="25">
        <f t="shared" ref="AO229:AO260" si="697">+SUMIF($D$327:$D$515,E229,$AO$327:$AO$515)</f>
        <v>0</v>
      </c>
      <c r="AP229" s="25">
        <f t="shared" ref="AP229:AP260" si="698">+SUMIF($D$327:$D$515,E229,$AP$327:$AP$515)</f>
        <v>0</v>
      </c>
      <c r="AQ229" s="25">
        <f t="shared" ref="AQ229:AQ260" si="699">+SUMIF($D$327:$D$515,E229,$AQ$327:$AQ$515)</f>
        <v>0</v>
      </c>
      <c r="AR229" s="25">
        <f t="shared" ref="AR229:AR260" si="700">+SUMIF($AB$327:$AB$515,AA229,$AR$327:$AR$515)</f>
        <v>0</v>
      </c>
      <c r="AS229" s="25">
        <f t="shared" ref="AS229:AS260" si="701">+SUMIF($AC$327:$AC$515,AA229,$AS$327:$AS$515)</f>
        <v>0</v>
      </c>
      <c r="AT229" s="25">
        <f t="shared" ref="AT229:AT260" si="702">+SUMIF($D$327:$D$515,E229,$AT$327:$AT$515)</f>
        <v>0</v>
      </c>
      <c r="AU229" s="48"/>
      <c r="AV229" s="48"/>
      <c r="AW229" s="48"/>
      <c r="AX229" s="48"/>
      <c r="AY229" s="48"/>
      <c r="AZ229" s="48"/>
      <c r="BA229" s="48"/>
      <c r="BB229" s="48"/>
      <c r="BC229" s="48"/>
      <c r="BD229" s="48"/>
      <c r="BE229" s="48"/>
      <c r="BF229" s="48"/>
      <c r="BG229" s="48"/>
      <c r="BH229" s="48"/>
      <c r="BI229" s="48"/>
      <c r="BJ229" s="48"/>
      <c r="BK229" s="48"/>
      <c r="BL229" s="48"/>
      <c r="BM229" s="48"/>
      <c r="BN229" s="48"/>
      <c r="BO229" s="48"/>
      <c r="BP229" s="48"/>
      <c r="BQ229" s="48"/>
      <c r="BR229" s="48"/>
      <c r="BS229" s="48"/>
      <c r="BT229" s="48"/>
      <c r="BU229" s="48"/>
      <c r="BV229" s="48"/>
      <c r="BW229" s="48"/>
      <c r="BX229" s="48"/>
      <c r="BY229" s="48"/>
      <c r="BZ229" s="48"/>
      <c r="CA229" s="48"/>
      <c r="CB229" s="48"/>
      <c r="CC229" s="48"/>
      <c r="CD229" s="48"/>
      <c r="CE229" s="48"/>
      <c r="CF229" s="48"/>
      <c r="CG229" s="48"/>
      <c r="CH229" s="48"/>
      <c r="CI229" s="48"/>
      <c r="CJ229" s="48"/>
      <c r="CK229" s="48"/>
      <c r="CL229" s="48"/>
      <c r="CM229" s="48"/>
      <c r="CN229" s="48"/>
      <c r="CO229" s="48"/>
      <c r="CP229" s="48"/>
      <c r="CQ229" s="48"/>
      <c r="CR229" s="48"/>
      <c r="CS229" s="48"/>
      <c r="CT229" s="48"/>
      <c r="CU229" s="48"/>
      <c r="CV229" s="48"/>
      <c r="CW229" s="48"/>
      <c r="CX229" s="48"/>
      <c r="CY229" s="48"/>
      <c r="CZ229" s="48"/>
      <c r="DA229" s="48"/>
      <c r="DB229" s="48"/>
      <c r="DC229" s="48"/>
      <c r="DD229" s="48"/>
      <c r="DE229" s="48"/>
      <c r="DF229" s="48"/>
      <c r="DG229" s="48"/>
      <c r="DH229" s="48"/>
      <c r="DI229" s="48"/>
      <c r="DJ229" s="48"/>
      <c r="DK229" s="48"/>
      <c r="DL229" s="48"/>
      <c r="DM229" s="48"/>
      <c r="DN229" s="48"/>
      <c r="DO229" s="48"/>
      <c r="DP229" s="48"/>
      <c r="DQ229" s="48"/>
      <c r="DR229" s="48"/>
      <c r="DS229" s="48"/>
      <c r="DT229" s="48"/>
      <c r="DU229" s="48"/>
      <c r="DV229" s="48"/>
      <c r="DW229" s="48"/>
      <c r="DX229" s="48"/>
      <c r="DY229" s="48"/>
      <c r="DZ229" s="48"/>
      <c r="EA229" s="48"/>
      <c r="EB229" s="48"/>
      <c r="EC229" s="48"/>
      <c r="ED229" s="48"/>
      <c r="EE229" s="48"/>
      <c r="EF229" s="48"/>
      <c r="EG229" s="48"/>
      <c r="EH229" s="48"/>
      <c r="EI229" s="48"/>
      <c r="EJ229" s="48"/>
      <c r="EK229" s="48"/>
    </row>
    <row r="230" spans="1:141" s="12" customFormat="1" ht="14.25" hidden="1" customHeight="1">
      <c r="A230" s="25">
        <v>2</v>
      </c>
      <c r="B230" s="26"/>
      <c r="C230" s="241"/>
      <c r="D230" s="63"/>
      <c r="E230" s="64" t="s">
        <v>89</v>
      </c>
      <c r="F230" s="26"/>
      <c r="G230" s="58">
        <f t="shared" si="683"/>
        <v>0</v>
      </c>
      <c r="H230" s="57">
        <f t="shared" si="684"/>
        <v>0</v>
      </c>
      <c r="I230" s="19"/>
      <c r="J230" s="11">
        <f t="shared" si="685"/>
        <v>0</v>
      </c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8"/>
      <c r="AB230" s="56">
        <f t="shared" si="686"/>
        <v>0</v>
      </c>
      <c r="AC230" s="16">
        <f t="shared" si="687"/>
        <v>0</v>
      </c>
      <c r="AD230" s="15" t="e">
        <f t="shared" si="688"/>
        <v>#DIV/0!</v>
      </c>
      <c r="AE230" s="55"/>
      <c r="AF230" s="10" t="e">
        <f t="shared" si="689"/>
        <v>#DIV/0!</v>
      </c>
      <c r="AG230" s="10"/>
      <c r="AH230" s="21">
        <f t="shared" si="690"/>
        <v>0</v>
      </c>
      <c r="AI230" s="54" t="e">
        <f t="shared" si="691"/>
        <v>#DIV/0!</v>
      </c>
      <c r="AJ230" s="25">
        <f t="shared" si="692"/>
        <v>0</v>
      </c>
      <c r="AK230" s="25">
        <f t="shared" si="693"/>
        <v>0</v>
      </c>
      <c r="AL230" s="25">
        <f t="shared" si="694"/>
        <v>0</v>
      </c>
      <c r="AM230" s="25">
        <f t="shared" si="695"/>
        <v>0</v>
      </c>
      <c r="AN230" s="25">
        <f t="shared" si="696"/>
        <v>0</v>
      </c>
      <c r="AO230" s="25">
        <f t="shared" si="697"/>
        <v>0</v>
      </c>
      <c r="AP230" s="25">
        <f t="shared" si="698"/>
        <v>0</v>
      </c>
      <c r="AQ230" s="25">
        <f t="shared" si="699"/>
        <v>0</v>
      </c>
      <c r="AR230" s="25">
        <f t="shared" si="700"/>
        <v>0</v>
      </c>
      <c r="AS230" s="25">
        <f t="shared" si="701"/>
        <v>0</v>
      </c>
      <c r="AT230" s="25">
        <f t="shared" si="702"/>
        <v>0</v>
      </c>
      <c r="AU230" s="48"/>
      <c r="AV230" s="48"/>
      <c r="AW230" s="48"/>
      <c r="AX230" s="48"/>
      <c r="AY230" s="48"/>
      <c r="AZ230" s="48"/>
      <c r="BA230" s="48"/>
      <c r="BB230" s="48"/>
      <c r="BC230" s="48"/>
      <c r="BD230" s="48"/>
      <c r="BE230" s="48"/>
      <c r="BF230" s="48"/>
      <c r="BG230" s="48"/>
      <c r="BH230" s="48"/>
      <c r="BI230" s="48"/>
      <c r="BJ230" s="48"/>
      <c r="BK230" s="48"/>
      <c r="BL230" s="48"/>
      <c r="BM230" s="48"/>
      <c r="BN230" s="48"/>
      <c r="BO230" s="48"/>
      <c r="BP230" s="48"/>
      <c r="BQ230" s="48"/>
      <c r="BR230" s="48"/>
      <c r="BS230" s="48"/>
      <c r="BT230" s="48"/>
      <c r="BU230" s="48"/>
      <c r="BV230" s="48"/>
      <c r="BW230" s="48"/>
      <c r="BX230" s="48"/>
      <c r="BY230" s="48"/>
      <c r="BZ230" s="48"/>
      <c r="CA230" s="48"/>
      <c r="CB230" s="48"/>
      <c r="CC230" s="48"/>
      <c r="CD230" s="48"/>
      <c r="CE230" s="48"/>
      <c r="CF230" s="48"/>
      <c r="CG230" s="48"/>
      <c r="CH230" s="48"/>
      <c r="CI230" s="48"/>
      <c r="CJ230" s="48"/>
      <c r="CK230" s="48"/>
      <c r="CL230" s="48"/>
      <c r="CM230" s="48"/>
      <c r="CN230" s="48"/>
      <c r="CO230" s="48"/>
      <c r="CP230" s="48"/>
      <c r="CQ230" s="48"/>
      <c r="CR230" s="48"/>
      <c r="CS230" s="48"/>
      <c r="CT230" s="48"/>
      <c r="CU230" s="48"/>
      <c r="CV230" s="48"/>
      <c r="CW230" s="48"/>
      <c r="CX230" s="48"/>
      <c r="CY230" s="48"/>
      <c r="CZ230" s="48"/>
      <c r="DA230" s="48"/>
      <c r="DB230" s="48"/>
      <c r="DC230" s="48"/>
      <c r="DD230" s="48"/>
      <c r="DE230" s="48"/>
      <c r="DF230" s="48"/>
      <c r="DG230" s="48"/>
      <c r="DH230" s="48"/>
      <c r="DI230" s="48"/>
      <c r="DJ230" s="48"/>
      <c r="DK230" s="48"/>
      <c r="DL230" s="48"/>
      <c r="DM230" s="48"/>
      <c r="DN230" s="48"/>
      <c r="DO230" s="48"/>
      <c r="DP230" s="48"/>
      <c r="DQ230" s="48"/>
      <c r="DR230" s="48"/>
      <c r="DS230" s="48"/>
      <c r="DT230" s="48"/>
      <c r="DU230" s="48"/>
      <c r="DV230" s="48"/>
      <c r="DW230" s="48"/>
      <c r="DX230" s="48"/>
      <c r="DY230" s="48"/>
      <c r="DZ230" s="48"/>
      <c r="EA230" s="48"/>
      <c r="EB230" s="48"/>
      <c r="EC230" s="48"/>
      <c r="ED230" s="48"/>
      <c r="EE230" s="48"/>
      <c r="EF230" s="48"/>
      <c r="EG230" s="48"/>
      <c r="EH230" s="48"/>
      <c r="EI230" s="48"/>
      <c r="EJ230" s="48"/>
      <c r="EK230" s="48"/>
    </row>
    <row r="231" spans="1:141" s="12" customFormat="1" ht="14.25" hidden="1" customHeight="1">
      <c r="A231" s="25">
        <v>3</v>
      </c>
      <c r="B231" s="26"/>
      <c r="C231" s="241"/>
      <c r="D231" s="63"/>
      <c r="E231" s="64" t="s">
        <v>88</v>
      </c>
      <c r="F231" s="26"/>
      <c r="G231" s="58">
        <f t="shared" si="683"/>
        <v>0</v>
      </c>
      <c r="H231" s="57">
        <f t="shared" si="684"/>
        <v>0</v>
      </c>
      <c r="I231" s="19"/>
      <c r="J231" s="11">
        <f t="shared" si="685"/>
        <v>0</v>
      </c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8"/>
      <c r="AB231" s="56">
        <f t="shared" si="686"/>
        <v>0</v>
      </c>
      <c r="AC231" s="16">
        <f t="shared" si="687"/>
        <v>0</v>
      </c>
      <c r="AD231" s="15" t="e">
        <f t="shared" si="688"/>
        <v>#DIV/0!</v>
      </c>
      <c r="AE231" s="55"/>
      <c r="AF231" s="10" t="e">
        <f t="shared" si="689"/>
        <v>#DIV/0!</v>
      </c>
      <c r="AG231" s="10"/>
      <c r="AH231" s="21">
        <f t="shared" si="690"/>
        <v>0</v>
      </c>
      <c r="AI231" s="54" t="e">
        <f t="shared" si="691"/>
        <v>#DIV/0!</v>
      </c>
      <c r="AJ231" s="25">
        <f t="shared" si="692"/>
        <v>0</v>
      </c>
      <c r="AK231" s="25">
        <f t="shared" si="693"/>
        <v>0</v>
      </c>
      <c r="AL231" s="25">
        <f t="shared" si="694"/>
        <v>0</v>
      </c>
      <c r="AM231" s="25">
        <f t="shared" si="695"/>
        <v>0</v>
      </c>
      <c r="AN231" s="25">
        <f t="shared" si="696"/>
        <v>0</v>
      </c>
      <c r="AO231" s="25">
        <f t="shared" si="697"/>
        <v>0</v>
      </c>
      <c r="AP231" s="25">
        <f t="shared" si="698"/>
        <v>0</v>
      </c>
      <c r="AQ231" s="25">
        <f t="shared" si="699"/>
        <v>0</v>
      </c>
      <c r="AR231" s="25">
        <f t="shared" si="700"/>
        <v>0</v>
      </c>
      <c r="AS231" s="25">
        <f t="shared" si="701"/>
        <v>0</v>
      </c>
      <c r="AT231" s="25">
        <f t="shared" si="702"/>
        <v>0</v>
      </c>
      <c r="AU231" s="48"/>
      <c r="AV231" s="48"/>
      <c r="AW231" s="48"/>
      <c r="AX231" s="48"/>
      <c r="AY231" s="48"/>
      <c r="AZ231" s="48"/>
      <c r="BA231" s="48"/>
      <c r="BB231" s="48"/>
      <c r="BC231" s="48"/>
      <c r="BD231" s="48"/>
      <c r="BE231" s="48"/>
      <c r="BF231" s="48"/>
      <c r="BG231" s="48"/>
      <c r="BH231" s="48"/>
      <c r="BI231" s="48"/>
      <c r="BJ231" s="48"/>
      <c r="BK231" s="48"/>
      <c r="BL231" s="48"/>
      <c r="BM231" s="48"/>
      <c r="BN231" s="48"/>
      <c r="BO231" s="48"/>
      <c r="BP231" s="48"/>
      <c r="BQ231" s="48"/>
      <c r="BR231" s="48"/>
      <c r="BS231" s="48"/>
      <c r="BT231" s="48"/>
      <c r="BU231" s="48"/>
      <c r="BV231" s="48"/>
      <c r="BW231" s="48"/>
      <c r="BX231" s="48"/>
      <c r="BY231" s="48"/>
      <c r="BZ231" s="48"/>
      <c r="CA231" s="48"/>
      <c r="CB231" s="48"/>
      <c r="CC231" s="48"/>
      <c r="CD231" s="48"/>
      <c r="CE231" s="48"/>
      <c r="CF231" s="48"/>
      <c r="CG231" s="48"/>
      <c r="CH231" s="48"/>
      <c r="CI231" s="48"/>
      <c r="CJ231" s="48"/>
      <c r="CK231" s="48"/>
      <c r="CL231" s="48"/>
      <c r="CM231" s="48"/>
      <c r="CN231" s="48"/>
      <c r="CO231" s="48"/>
      <c r="CP231" s="48"/>
      <c r="CQ231" s="48"/>
      <c r="CR231" s="48"/>
      <c r="CS231" s="48"/>
      <c r="CT231" s="48"/>
      <c r="CU231" s="48"/>
      <c r="CV231" s="48"/>
      <c r="CW231" s="48"/>
      <c r="CX231" s="48"/>
      <c r="CY231" s="48"/>
      <c r="CZ231" s="48"/>
      <c r="DA231" s="48"/>
      <c r="DB231" s="48"/>
      <c r="DC231" s="48"/>
      <c r="DD231" s="48"/>
      <c r="DE231" s="48"/>
      <c r="DF231" s="48"/>
      <c r="DG231" s="48"/>
      <c r="DH231" s="48"/>
      <c r="DI231" s="48"/>
      <c r="DJ231" s="48"/>
      <c r="DK231" s="48"/>
      <c r="DL231" s="48"/>
      <c r="DM231" s="48"/>
      <c r="DN231" s="48"/>
      <c r="DO231" s="48"/>
      <c r="DP231" s="48"/>
      <c r="DQ231" s="48"/>
      <c r="DR231" s="48"/>
      <c r="DS231" s="48"/>
      <c r="DT231" s="48"/>
      <c r="DU231" s="48"/>
      <c r="DV231" s="48"/>
      <c r="DW231" s="48"/>
      <c r="DX231" s="48"/>
      <c r="DY231" s="48"/>
      <c r="DZ231" s="48"/>
      <c r="EA231" s="48"/>
      <c r="EB231" s="48"/>
      <c r="EC231" s="48"/>
      <c r="ED231" s="48"/>
      <c r="EE231" s="48"/>
      <c r="EF231" s="48"/>
      <c r="EG231" s="48"/>
      <c r="EH231" s="48"/>
      <c r="EI231" s="48"/>
      <c r="EJ231" s="48"/>
      <c r="EK231" s="48"/>
    </row>
    <row r="232" spans="1:141" s="12" customFormat="1" ht="14.25" hidden="1" customHeight="1">
      <c r="A232" s="25">
        <v>4</v>
      </c>
      <c r="B232" s="26"/>
      <c r="C232" s="242"/>
      <c r="D232" s="63"/>
      <c r="E232" s="64" t="s">
        <v>87</v>
      </c>
      <c r="F232" s="26"/>
      <c r="G232" s="58">
        <f t="shared" si="683"/>
        <v>0</v>
      </c>
      <c r="H232" s="57">
        <f t="shared" si="684"/>
        <v>0</v>
      </c>
      <c r="I232" s="19"/>
      <c r="J232" s="11">
        <f t="shared" si="685"/>
        <v>0</v>
      </c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8"/>
      <c r="AB232" s="56">
        <f t="shared" si="686"/>
        <v>0</v>
      </c>
      <c r="AC232" s="16">
        <f t="shared" si="687"/>
        <v>0</v>
      </c>
      <c r="AD232" s="15" t="e">
        <f t="shared" si="688"/>
        <v>#DIV/0!</v>
      </c>
      <c r="AE232" s="55"/>
      <c r="AF232" s="10" t="e">
        <f t="shared" si="689"/>
        <v>#DIV/0!</v>
      </c>
      <c r="AG232" s="10"/>
      <c r="AH232" s="21">
        <f t="shared" si="690"/>
        <v>0</v>
      </c>
      <c r="AI232" s="54" t="e">
        <f t="shared" si="691"/>
        <v>#DIV/0!</v>
      </c>
      <c r="AJ232" s="25">
        <f t="shared" si="692"/>
        <v>0</v>
      </c>
      <c r="AK232" s="25">
        <f t="shared" si="693"/>
        <v>0</v>
      </c>
      <c r="AL232" s="25">
        <f t="shared" si="694"/>
        <v>0</v>
      </c>
      <c r="AM232" s="25">
        <f t="shared" si="695"/>
        <v>0</v>
      </c>
      <c r="AN232" s="25">
        <f t="shared" si="696"/>
        <v>0</v>
      </c>
      <c r="AO232" s="25">
        <f t="shared" si="697"/>
        <v>0</v>
      </c>
      <c r="AP232" s="25">
        <f t="shared" si="698"/>
        <v>0</v>
      </c>
      <c r="AQ232" s="25">
        <f t="shared" si="699"/>
        <v>0</v>
      </c>
      <c r="AR232" s="25">
        <f t="shared" si="700"/>
        <v>0</v>
      </c>
      <c r="AS232" s="25">
        <f t="shared" si="701"/>
        <v>0</v>
      </c>
      <c r="AT232" s="25">
        <f t="shared" si="702"/>
        <v>0</v>
      </c>
      <c r="AU232" s="48"/>
      <c r="AV232" s="48"/>
      <c r="AW232" s="48"/>
      <c r="AX232" s="48"/>
      <c r="AY232" s="48"/>
      <c r="AZ232" s="48"/>
      <c r="BA232" s="48"/>
      <c r="BB232" s="48"/>
      <c r="BC232" s="48"/>
      <c r="BD232" s="48"/>
      <c r="BE232" s="48"/>
      <c r="BF232" s="48"/>
      <c r="BG232" s="48"/>
      <c r="BH232" s="48"/>
      <c r="BI232" s="48"/>
      <c r="BJ232" s="48"/>
      <c r="BK232" s="48"/>
      <c r="BL232" s="48"/>
      <c r="BM232" s="48"/>
      <c r="BN232" s="48"/>
      <c r="BO232" s="48"/>
      <c r="BP232" s="48"/>
      <c r="BQ232" s="48"/>
      <c r="BR232" s="48"/>
      <c r="BS232" s="48"/>
      <c r="BT232" s="48"/>
      <c r="BU232" s="48"/>
      <c r="BV232" s="48"/>
      <c r="BW232" s="48"/>
      <c r="BX232" s="48"/>
      <c r="BY232" s="48"/>
      <c r="BZ232" s="48"/>
      <c r="CA232" s="48"/>
      <c r="CB232" s="48"/>
      <c r="CC232" s="48"/>
      <c r="CD232" s="48"/>
      <c r="CE232" s="48"/>
      <c r="CF232" s="48"/>
      <c r="CG232" s="48"/>
      <c r="CH232" s="48"/>
      <c r="CI232" s="48"/>
      <c r="CJ232" s="48"/>
      <c r="CK232" s="48"/>
      <c r="CL232" s="48"/>
      <c r="CM232" s="48"/>
      <c r="CN232" s="48"/>
      <c r="CO232" s="48"/>
      <c r="CP232" s="48"/>
      <c r="CQ232" s="48"/>
      <c r="CR232" s="48"/>
      <c r="CS232" s="48"/>
      <c r="CT232" s="48"/>
      <c r="CU232" s="48"/>
      <c r="CV232" s="48"/>
      <c r="CW232" s="48"/>
      <c r="CX232" s="48"/>
      <c r="CY232" s="48"/>
      <c r="CZ232" s="48"/>
      <c r="DA232" s="48"/>
      <c r="DB232" s="48"/>
      <c r="DC232" s="48"/>
      <c r="DD232" s="48"/>
      <c r="DE232" s="48"/>
      <c r="DF232" s="48"/>
      <c r="DG232" s="48"/>
      <c r="DH232" s="48"/>
      <c r="DI232" s="48"/>
      <c r="DJ232" s="48"/>
      <c r="DK232" s="48"/>
      <c r="DL232" s="48"/>
      <c r="DM232" s="48"/>
      <c r="DN232" s="48"/>
      <c r="DO232" s="48"/>
      <c r="DP232" s="48"/>
      <c r="DQ232" s="48"/>
      <c r="DR232" s="48"/>
      <c r="DS232" s="48"/>
      <c r="DT232" s="48"/>
      <c r="DU232" s="48"/>
      <c r="DV232" s="48"/>
      <c r="DW232" s="48"/>
      <c r="DX232" s="48"/>
      <c r="DY232" s="48"/>
      <c r="DZ232" s="48"/>
      <c r="EA232" s="48"/>
      <c r="EB232" s="48"/>
      <c r="EC232" s="48"/>
      <c r="ED232" s="48"/>
      <c r="EE232" s="48"/>
      <c r="EF232" s="48"/>
      <c r="EG232" s="48"/>
      <c r="EH232" s="48"/>
      <c r="EI232" s="48"/>
      <c r="EJ232" s="48"/>
      <c r="EK232" s="48"/>
    </row>
    <row r="233" spans="1:141" s="12" customFormat="1" ht="14.25" hidden="1" customHeight="1">
      <c r="A233" s="25">
        <v>5</v>
      </c>
      <c r="B233" s="26"/>
      <c r="C233" s="25"/>
      <c r="D233" s="63"/>
      <c r="E233" s="64" t="s">
        <v>86</v>
      </c>
      <c r="F233" s="26"/>
      <c r="G233" s="58">
        <f t="shared" si="683"/>
        <v>0</v>
      </c>
      <c r="H233" s="57">
        <f t="shared" si="684"/>
        <v>0</v>
      </c>
      <c r="I233" s="19"/>
      <c r="J233" s="11">
        <f t="shared" si="685"/>
        <v>0</v>
      </c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8"/>
      <c r="AB233" s="56">
        <f t="shared" si="686"/>
        <v>0</v>
      </c>
      <c r="AC233" s="16">
        <f t="shared" si="687"/>
        <v>0</v>
      </c>
      <c r="AD233" s="15" t="e">
        <f t="shared" si="688"/>
        <v>#DIV/0!</v>
      </c>
      <c r="AE233" s="55"/>
      <c r="AF233" s="10" t="e">
        <f t="shared" si="689"/>
        <v>#DIV/0!</v>
      </c>
      <c r="AG233" s="10"/>
      <c r="AH233" s="21">
        <f t="shared" si="690"/>
        <v>0</v>
      </c>
      <c r="AI233" s="54" t="e">
        <f t="shared" si="691"/>
        <v>#DIV/0!</v>
      </c>
      <c r="AJ233" s="25">
        <f t="shared" si="692"/>
        <v>0</v>
      </c>
      <c r="AK233" s="25">
        <f t="shared" si="693"/>
        <v>0</v>
      </c>
      <c r="AL233" s="25">
        <f t="shared" si="694"/>
        <v>0</v>
      </c>
      <c r="AM233" s="25">
        <f t="shared" si="695"/>
        <v>0</v>
      </c>
      <c r="AN233" s="25">
        <f t="shared" si="696"/>
        <v>0</v>
      </c>
      <c r="AO233" s="25">
        <f t="shared" si="697"/>
        <v>0</v>
      </c>
      <c r="AP233" s="25">
        <f t="shared" si="698"/>
        <v>0</v>
      </c>
      <c r="AQ233" s="25">
        <f t="shared" si="699"/>
        <v>0</v>
      </c>
      <c r="AR233" s="25">
        <f t="shared" si="700"/>
        <v>0</v>
      </c>
      <c r="AS233" s="25">
        <f t="shared" si="701"/>
        <v>0</v>
      </c>
      <c r="AT233" s="25">
        <f t="shared" si="702"/>
        <v>0</v>
      </c>
      <c r="AU233" s="48"/>
      <c r="AV233" s="48"/>
      <c r="AW233" s="48"/>
      <c r="AX233" s="48"/>
      <c r="AY233" s="48"/>
      <c r="AZ233" s="48"/>
      <c r="BA233" s="48"/>
      <c r="BB233" s="48"/>
      <c r="BC233" s="48"/>
      <c r="BD233" s="48"/>
      <c r="BE233" s="48"/>
      <c r="BF233" s="48"/>
      <c r="BG233" s="48"/>
      <c r="BH233" s="48"/>
      <c r="BI233" s="48"/>
      <c r="BJ233" s="48"/>
      <c r="BK233" s="48"/>
      <c r="BL233" s="48"/>
      <c r="BM233" s="48"/>
      <c r="BN233" s="48"/>
      <c r="BO233" s="48"/>
      <c r="BP233" s="48"/>
      <c r="BQ233" s="48"/>
      <c r="BR233" s="48"/>
      <c r="BS233" s="48"/>
      <c r="BT233" s="48"/>
      <c r="BU233" s="48"/>
      <c r="BV233" s="48"/>
      <c r="BW233" s="48"/>
      <c r="BX233" s="48"/>
      <c r="BY233" s="48"/>
      <c r="BZ233" s="48"/>
      <c r="CA233" s="48"/>
      <c r="CB233" s="48"/>
      <c r="CC233" s="48"/>
      <c r="CD233" s="48"/>
      <c r="CE233" s="48"/>
      <c r="CF233" s="48"/>
      <c r="CG233" s="48"/>
      <c r="CH233" s="48"/>
      <c r="CI233" s="48"/>
      <c r="CJ233" s="48"/>
      <c r="CK233" s="48"/>
      <c r="CL233" s="48"/>
      <c r="CM233" s="48"/>
      <c r="CN233" s="48"/>
      <c r="CO233" s="48"/>
      <c r="CP233" s="48"/>
      <c r="CQ233" s="48"/>
      <c r="CR233" s="48"/>
      <c r="CS233" s="48"/>
      <c r="CT233" s="48"/>
      <c r="CU233" s="48"/>
      <c r="CV233" s="48"/>
      <c r="CW233" s="48"/>
      <c r="CX233" s="48"/>
      <c r="CY233" s="48"/>
      <c r="CZ233" s="48"/>
      <c r="DA233" s="48"/>
      <c r="DB233" s="48"/>
      <c r="DC233" s="48"/>
      <c r="DD233" s="48"/>
      <c r="DE233" s="48"/>
      <c r="DF233" s="48"/>
      <c r="DG233" s="48"/>
      <c r="DH233" s="48"/>
      <c r="DI233" s="48"/>
      <c r="DJ233" s="48"/>
      <c r="DK233" s="48"/>
      <c r="DL233" s="48"/>
      <c r="DM233" s="48"/>
      <c r="DN233" s="48"/>
      <c r="DO233" s="48"/>
      <c r="DP233" s="48"/>
      <c r="DQ233" s="48"/>
      <c r="DR233" s="48"/>
      <c r="DS233" s="48"/>
      <c r="DT233" s="48"/>
      <c r="DU233" s="48"/>
      <c r="DV233" s="48"/>
      <c r="DW233" s="48"/>
      <c r="DX233" s="48"/>
      <c r="DY233" s="48"/>
      <c r="DZ233" s="48"/>
      <c r="EA233" s="48"/>
      <c r="EB233" s="48"/>
      <c r="EC233" s="48"/>
      <c r="ED233" s="48"/>
      <c r="EE233" s="48"/>
      <c r="EF233" s="48"/>
      <c r="EG233" s="48"/>
      <c r="EH233" s="48"/>
      <c r="EI233" s="48"/>
      <c r="EJ233" s="48"/>
      <c r="EK233" s="48"/>
    </row>
    <row r="234" spans="1:141" s="12" customFormat="1" ht="14.25" hidden="1" customHeight="1">
      <c r="A234" s="25">
        <v>6</v>
      </c>
      <c r="B234" s="26"/>
      <c r="C234" s="25"/>
      <c r="D234" s="63"/>
      <c r="E234" s="64" t="s">
        <v>85</v>
      </c>
      <c r="F234" s="26"/>
      <c r="G234" s="58">
        <f t="shared" si="683"/>
        <v>0</v>
      </c>
      <c r="H234" s="57">
        <f t="shared" si="684"/>
        <v>0</v>
      </c>
      <c r="I234" s="19"/>
      <c r="J234" s="11">
        <f t="shared" si="685"/>
        <v>0</v>
      </c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8"/>
      <c r="AB234" s="56">
        <f t="shared" si="686"/>
        <v>0</v>
      </c>
      <c r="AC234" s="16">
        <f t="shared" si="687"/>
        <v>0</v>
      </c>
      <c r="AD234" s="15" t="e">
        <f t="shared" si="688"/>
        <v>#DIV/0!</v>
      </c>
      <c r="AE234" s="55"/>
      <c r="AF234" s="10" t="e">
        <f t="shared" si="689"/>
        <v>#DIV/0!</v>
      </c>
      <c r="AG234" s="10"/>
      <c r="AH234" s="21">
        <f t="shared" si="690"/>
        <v>0</v>
      </c>
      <c r="AI234" s="54" t="e">
        <f t="shared" si="691"/>
        <v>#DIV/0!</v>
      </c>
      <c r="AJ234" s="25">
        <f t="shared" si="692"/>
        <v>0</v>
      </c>
      <c r="AK234" s="25">
        <f t="shared" si="693"/>
        <v>0</v>
      </c>
      <c r="AL234" s="25">
        <f t="shared" si="694"/>
        <v>0</v>
      </c>
      <c r="AM234" s="25">
        <f t="shared" si="695"/>
        <v>0</v>
      </c>
      <c r="AN234" s="25">
        <f t="shared" si="696"/>
        <v>0</v>
      </c>
      <c r="AO234" s="25">
        <f t="shared" si="697"/>
        <v>0</v>
      </c>
      <c r="AP234" s="25">
        <f t="shared" si="698"/>
        <v>0</v>
      </c>
      <c r="AQ234" s="25">
        <f t="shared" si="699"/>
        <v>0</v>
      </c>
      <c r="AR234" s="25">
        <f t="shared" si="700"/>
        <v>0</v>
      </c>
      <c r="AS234" s="25">
        <f t="shared" si="701"/>
        <v>0</v>
      </c>
      <c r="AT234" s="25">
        <f t="shared" si="702"/>
        <v>0</v>
      </c>
      <c r="AU234" s="48"/>
      <c r="AV234" s="48"/>
      <c r="AW234" s="48"/>
      <c r="AX234" s="48"/>
      <c r="AY234" s="48"/>
      <c r="AZ234" s="48"/>
      <c r="BA234" s="48"/>
      <c r="BB234" s="48"/>
      <c r="BC234" s="48"/>
      <c r="BD234" s="48"/>
      <c r="BE234" s="48"/>
      <c r="BF234" s="48"/>
      <c r="BG234" s="48"/>
      <c r="BH234" s="48"/>
      <c r="BI234" s="48"/>
      <c r="BJ234" s="48"/>
      <c r="BK234" s="48"/>
      <c r="BL234" s="48"/>
      <c r="BM234" s="48"/>
      <c r="BN234" s="48"/>
      <c r="BO234" s="48"/>
      <c r="BP234" s="48"/>
      <c r="BQ234" s="48"/>
      <c r="BR234" s="48"/>
      <c r="BS234" s="48"/>
      <c r="BT234" s="48"/>
      <c r="BU234" s="48"/>
      <c r="BV234" s="48"/>
      <c r="BW234" s="48"/>
      <c r="BX234" s="48"/>
      <c r="BY234" s="48"/>
      <c r="BZ234" s="48"/>
      <c r="CA234" s="48"/>
      <c r="CB234" s="48"/>
      <c r="CC234" s="48"/>
      <c r="CD234" s="48"/>
      <c r="CE234" s="48"/>
      <c r="CF234" s="48"/>
      <c r="CG234" s="48"/>
      <c r="CH234" s="48"/>
      <c r="CI234" s="48"/>
      <c r="CJ234" s="48"/>
      <c r="CK234" s="48"/>
      <c r="CL234" s="48"/>
      <c r="CM234" s="48"/>
      <c r="CN234" s="48"/>
      <c r="CO234" s="48"/>
      <c r="CP234" s="48"/>
      <c r="CQ234" s="48"/>
      <c r="CR234" s="48"/>
      <c r="CS234" s="48"/>
      <c r="CT234" s="48"/>
      <c r="CU234" s="48"/>
      <c r="CV234" s="48"/>
      <c r="CW234" s="48"/>
      <c r="CX234" s="48"/>
      <c r="CY234" s="48"/>
      <c r="CZ234" s="48"/>
      <c r="DA234" s="48"/>
      <c r="DB234" s="48"/>
      <c r="DC234" s="48"/>
      <c r="DD234" s="48"/>
      <c r="DE234" s="48"/>
      <c r="DF234" s="48"/>
      <c r="DG234" s="48"/>
      <c r="DH234" s="48"/>
      <c r="DI234" s="48"/>
      <c r="DJ234" s="48"/>
      <c r="DK234" s="48"/>
      <c r="DL234" s="48"/>
      <c r="DM234" s="48"/>
      <c r="DN234" s="48"/>
      <c r="DO234" s="48"/>
      <c r="DP234" s="48"/>
      <c r="DQ234" s="48"/>
      <c r="DR234" s="48"/>
      <c r="DS234" s="48"/>
      <c r="DT234" s="48"/>
      <c r="DU234" s="48"/>
      <c r="DV234" s="48"/>
      <c r="DW234" s="48"/>
      <c r="DX234" s="48"/>
      <c r="DY234" s="48"/>
      <c r="DZ234" s="48"/>
      <c r="EA234" s="48"/>
      <c r="EB234" s="48"/>
      <c r="EC234" s="48"/>
      <c r="ED234" s="48"/>
      <c r="EE234" s="48"/>
      <c r="EF234" s="48"/>
      <c r="EG234" s="48"/>
      <c r="EH234" s="48"/>
      <c r="EI234" s="48"/>
      <c r="EJ234" s="48"/>
      <c r="EK234" s="48"/>
    </row>
    <row r="235" spans="1:141" s="12" customFormat="1" ht="14.25" hidden="1" customHeight="1">
      <c r="A235" s="25">
        <v>7</v>
      </c>
      <c r="B235" s="26"/>
      <c r="C235" s="25"/>
      <c r="D235" s="63"/>
      <c r="E235" s="64" t="s">
        <v>84</v>
      </c>
      <c r="F235" s="26"/>
      <c r="G235" s="58">
        <f t="shared" si="683"/>
        <v>0</v>
      </c>
      <c r="H235" s="57">
        <f t="shared" si="684"/>
        <v>0</v>
      </c>
      <c r="I235" s="19"/>
      <c r="J235" s="11">
        <f t="shared" si="685"/>
        <v>0</v>
      </c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8"/>
      <c r="AB235" s="56">
        <f t="shared" si="686"/>
        <v>0</v>
      </c>
      <c r="AC235" s="16">
        <f t="shared" si="687"/>
        <v>0</v>
      </c>
      <c r="AD235" s="15" t="e">
        <f t="shared" si="688"/>
        <v>#DIV/0!</v>
      </c>
      <c r="AE235" s="55"/>
      <c r="AF235" s="10" t="e">
        <f t="shared" si="689"/>
        <v>#DIV/0!</v>
      </c>
      <c r="AG235" s="10"/>
      <c r="AH235" s="21">
        <f t="shared" si="690"/>
        <v>0</v>
      </c>
      <c r="AI235" s="54" t="e">
        <f t="shared" si="691"/>
        <v>#DIV/0!</v>
      </c>
      <c r="AJ235" s="25">
        <f t="shared" si="692"/>
        <v>0</v>
      </c>
      <c r="AK235" s="25">
        <f t="shared" si="693"/>
        <v>0</v>
      </c>
      <c r="AL235" s="25">
        <f t="shared" si="694"/>
        <v>0</v>
      </c>
      <c r="AM235" s="25">
        <f t="shared" si="695"/>
        <v>0</v>
      </c>
      <c r="AN235" s="25">
        <f t="shared" si="696"/>
        <v>0</v>
      </c>
      <c r="AO235" s="25">
        <f t="shared" si="697"/>
        <v>0</v>
      </c>
      <c r="AP235" s="25">
        <f t="shared" si="698"/>
        <v>0</v>
      </c>
      <c r="AQ235" s="25">
        <f t="shared" si="699"/>
        <v>0</v>
      </c>
      <c r="AR235" s="25">
        <f t="shared" si="700"/>
        <v>0</v>
      </c>
      <c r="AS235" s="25">
        <f t="shared" si="701"/>
        <v>0</v>
      </c>
      <c r="AT235" s="25">
        <f t="shared" si="702"/>
        <v>0</v>
      </c>
      <c r="AU235" s="48"/>
      <c r="AV235" s="48"/>
      <c r="AW235" s="48"/>
      <c r="AX235" s="48"/>
      <c r="AY235" s="48"/>
      <c r="AZ235" s="48"/>
      <c r="BA235" s="48"/>
      <c r="BB235" s="48"/>
      <c r="BC235" s="48"/>
      <c r="BD235" s="48"/>
      <c r="BE235" s="48"/>
      <c r="BF235" s="48"/>
      <c r="BG235" s="48"/>
      <c r="BH235" s="48"/>
      <c r="BI235" s="48"/>
      <c r="BJ235" s="48"/>
      <c r="BK235" s="48"/>
      <c r="BL235" s="48"/>
      <c r="BM235" s="48"/>
      <c r="BN235" s="48"/>
      <c r="BO235" s="48"/>
      <c r="BP235" s="48"/>
      <c r="BQ235" s="48"/>
      <c r="BR235" s="48"/>
      <c r="BS235" s="48"/>
      <c r="BT235" s="48"/>
      <c r="BU235" s="48"/>
      <c r="BV235" s="48"/>
      <c r="BW235" s="48"/>
      <c r="BX235" s="48"/>
      <c r="BY235" s="48"/>
      <c r="BZ235" s="48"/>
      <c r="CA235" s="48"/>
      <c r="CB235" s="48"/>
      <c r="CC235" s="48"/>
      <c r="CD235" s="48"/>
      <c r="CE235" s="48"/>
      <c r="CF235" s="48"/>
      <c r="CG235" s="48"/>
      <c r="CH235" s="48"/>
      <c r="CI235" s="48"/>
      <c r="CJ235" s="48"/>
      <c r="CK235" s="48"/>
      <c r="CL235" s="48"/>
      <c r="CM235" s="48"/>
      <c r="CN235" s="48"/>
      <c r="CO235" s="48"/>
      <c r="CP235" s="48"/>
      <c r="CQ235" s="48"/>
      <c r="CR235" s="48"/>
      <c r="CS235" s="48"/>
      <c r="CT235" s="48"/>
      <c r="CU235" s="48"/>
      <c r="CV235" s="48"/>
      <c r="CW235" s="48"/>
      <c r="CX235" s="48"/>
      <c r="CY235" s="48"/>
      <c r="CZ235" s="48"/>
      <c r="DA235" s="48"/>
      <c r="DB235" s="48"/>
      <c r="DC235" s="48"/>
      <c r="DD235" s="48"/>
      <c r="DE235" s="48"/>
      <c r="DF235" s="48"/>
      <c r="DG235" s="48"/>
      <c r="DH235" s="48"/>
      <c r="DI235" s="48"/>
      <c r="DJ235" s="48"/>
      <c r="DK235" s="48"/>
      <c r="DL235" s="48"/>
      <c r="DM235" s="48"/>
      <c r="DN235" s="48"/>
      <c r="DO235" s="48"/>
      <c r="DP235" s="48"/>
      <c r="DQ235" s="48"/>
      <c r="DR235" s="48"/>
      <c r="DS235" s="48"/>
      <c r="DT235" s="48"/>
      <c r="DU235" s="48"/>
      <c r="DV235" s="48"/>
      <c r="DW235" s="48"/>
      <c r="DX235" s="48"/>
      <c r="DY235" s="48"/>
      <c r="DZ235" s="48"/>
      <c r="EA235" s="48"/>
      <c r="EB235" s="48"/>
      <c r="EC235" s="48"/>
      <c r="ED235" s="48"/>
      <c r="EE235" s="48"/>
      <c r="EF235" s="48"/>
      <c r="EG235" s="48"/>
      <c r="EH235" s="48"/>
      <c r="EI235" s="48"/>
      <c r="EJ235" s="48"/>
      <c r="EK235" s="48"/>
    </row>
    <row r="236" spans="1:141" s="12" customFormat="1" ht="14.25" hidden="1" customHeight="1">
      <c r="A236" s="25">
        <v>8</v>
      </c>
      <c r="B236" s="26"/>
      <c r="C236" s="25"/>
      <c r="D236" s="63"/>
      <c r="E236" s="64" t="s">
        <v>83</v>
      </c>
      <c r="F236" s="26"/>
      <c r="G236" s="58">
        <f t="shared" si="683"/>
        <v>0</v>
      </c>
      <c r="H236" s="57">
        <f t="shared" si="684"/>
        <v>0</v>
      </c>
      <c r="I236" s="19"/>
      <c r="J236" s="11">
        <f t="shared" si="685"/>
        <v>0</v>
      </c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8"/>
      <c r="AB236" s="56">
        <f t="shared" si="686"/>
        <v>0</v>
      </c>
      <c r="AC236" s="16">
        <f t="shared" si="687"/>
        <v>0</v>
      </c>
      <c r="AD236" s="15" t="e">
        <f t="shared" si="688"/>
        <v>#DIV/0!</v>
      </c>
      <c r="AE236" s="55"/>
      <c r="AF236" s="10" t="e">
        <f t="shared" si="689"/>
        <v>#DIV/0!</v>
      </c>
      <c r="AG236" s="10"/>
      <c r="AH236" s="21">
        <f t="shared" si="690"/>
        <v>0</v>
      </c>
      <c r="AI236" s="54" t="e">
        <f t="shared" si="691"/>
        <v>#DIV/0!</v>
      </c>
      <c r="AJ236" s="25">
        <f t="shared" si="692"/>
        <v>0</v>
      </c>
      <c r="AK236" s="25">
        <f t="shared" si="693"/>
        <v>0</v>
      </c>
      <c r="AL236" s="25">
        <f t="shared" si="694"/>
        <v>0</v>
      </c>
      <c r="AM236" s="25">
        <f t="shared" si="695"/>
        <v>0</v>
      </c>
      <c r="AN236" s="25">
        <f t="shared" si="696"/>
        <v>0</v>
      </c>
      <c r="AO236" s="25">
        <f t="shared" si="697"/>
        <v>0</v>
      </c>
      <c r="AP236" s="25">
        <f t="shared" si="698"/>
        <v>0</v>
      </c>
      <c r="AQ236" s="25">
        <f t="shared" si="699"/>
        <v>0</v>
      </c>
      <c r="AR236" s="25">
        <f t="shared" si="700"/>
        <v>0</v>
      </c>
      <c r="AS236" s="25">
        <f t="shared" si="701"/>
        <v>0</v>
      </c>
      <c r="AT236" s="25">
        <f t="shared" si="702"/>
        <v>0</v>
      </c>
      <c r="AU236" s="48"/>
      <c r="AV236" s="48"/>
      <c r="AW236" s="48"/>
      <c r="AX236" s="48"/>
      <c r="AY236" s="48"/>
      <c r="AZ236" s="48"/>
      <c r="BA236" s="48"/>
      <c r="BB236" s="48"/>
      <c r="BC236" s="48"/>
      <c r="BD236" s="48"/>
      <c r="BE236" s="48"/>
      <c r="BF236" s="48"/>
      <c r="BG236" s="48"/>
      <c r="BH236" s="48"/>
      <c r="BI236" s="48"/>
      <c r="BJ236" s="48"/>
      <c r="BK236" s="48"/>
      <c r="BL236" s="48"/>
      <c r="BM236" s="48"/>
      <c r="BN236" s="48"/>
      <c r="BO236" s="48"/>
      <c r="BP236" s="48"/>
      <c r="BQ236" s="48"/>
      <c r="BR236" s="48"/>
      <c r="BS236" s="48"/>
      <c r="BT236" s="48"/>
      <c r="BU236" s="48"/>
      <c r="BV236" s="48"/>
      <c r="BW236" s="48"/>
      <c r="BX236" s="48"/>
      <c r="BY236" s="48"/>
      <c r="BZ236" s="48"/>
      <c r="CA236" s="48"/>
      <c r="CB236" s="48"/>
      <c r="CC236" s="48"/>
      <c r="CD236" s="48"/>
      <c r="CE236" s="48"/>
      <c r="CF236" s="48"/>
      <c r="CG236" s="48"/>
      <c r="CH236" s="48"/>
      <c r="CI236" s="48"/>
      <c r="CJ236" s="48"/>
      <c r="CK236" s="48"/>
      <c r="CL236" s="48"/>
      <c r="CM236" s="48"/>
      <c r="CN236" s="48"/>
      <c r="CO236" s="48"/>
      <c r="CP236" s="48"/>
      <c r="CQ236" s="48"/>
      <c r="CR236" s="48"/>
      <c r="CS236" s="48"/>
      <c r="CT236" s="48"/>
      <c r="CU236" s="48"/>
      <c r="CV236" s="48"/>
      <c r="CW236" s="48"/>
      <c r="CX236" s="48"/>
      <c r="CY236" s="48"/>
      <c r="CZ236" s="48"/>
      <c r="DA236" s="48"/>
      <c r="DB236" s="48"/>
      <c r="DC236" s="48"/>
      <c r="DD236" s="48"/>
      <c r="DE236" s="48"/>
      <c r="DF236" s="48"/>
      <c r="DG236" s="48"/>
      <c r="DH236" s="48"/>
      <c r="DI236" s="48"/>
      <c r="DJ236" s="48"/>
      <c r="DK236" s="48"/>
      <c r="DL236" s="48"/>
      <c r="DM236" s="48"/>
      <c r="DN236" s="48"/>
      <c r="DO236" s="48"/>
      <c r="DP236" s="48"/>
      <c r="DQ236" s="48"/>
      <c r="DR236" s="48"/>
      <c r="DS236" s="48"/>
      <c r="DT236" s="48"/>
      <c r="DU236" s="48"/>
      <c r="DV236" s="48"/>
      <c r="DW236" s="48"/>
      <c r="DX236" s="48"/>
      <c r="DY236" s="48"/>
      <c r="DZ236" s="48"/>
      <c r="EA236" s="48"/>
      <c r="EB236" s="48"/>
      <c r="EC236" s="48"/>
      <c r="ED236" s="48"/>
      <c r="EE236" s="48"/>
      <c r="EF236" s="48"/>
      <c r="EG236" s="48"/>
      <c r="EH236" s="48"/>
      <c r="EI236" s="48"/>
      <c r="EJ236" s="48"/>
      <c r="EK236" s="48"/>
    </row>
    <row r="237" spans="1:141" s="12" customFormat="1" ht="14.25" hidden="1" customHeight="1">
      <c r="A237" s="25">
        <v>9</v>
      </c>
      <c r="B237" s="26"/>
      <c r="C237" s="25"/>
      <c r="D237" s="63"/>
      <c r="E237" s="64" t="s">
        <v>82</v>
      </c>
      <c r="F237" s="26"/>
      <c r="G237" s="58">
        <f t="shared" si="683"/>
        <v>0</v>
      </c>
      <c r="H237" s="57">
        <f t="shared" si="684"/>
        <v>0</v>
      </c>
      <c r="I237" s="19"/>
      <c r="J237" s="11">
        <f t="shared" si="685"/>
        <v>0</v>
      </c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8"/>
      <c r="AB237" s="56">
        <f t="shared" si="686"/>
        <v>0</v>
      </c>
      <c r="AC237" s="16">
        <f t="shared" si="687"/>
        <v>0</v>
      </c>
      <c r="AD237" s="15" t="e">
        <f t="shared" si="688"/>
        <v>#DIV/0!</v>
      </c>
      <c r="AE237" s="55"/>
      <c r="AF237" s="10" t="e">
        <f t="shared" si="689"/>
        <v>#DIV/0!</v>
      </c>
      <c r="AG237" s="10"/>
      <c r="AH237" s="21">
        <f t="shared" si="690"/>
        <v>0</v>
      </c>
      <c r="AI237" s="54" t="e">
        <f t="shared" si="691"/>
        <v>#DIV/0!</v>
      </c>
      <c r="AJ237" s="25">
        <f t="shared" si="692"/>
        <v>0</v>
      </c>
      <c r="AK237" s="25">
        <f t="shared" si="693"/>
        <v>0</v>
      </c>
      <c r="AL237" s="25">
        <f t="shared" si="694"/>
        <v>0</v>
      </c>
      <c r="AM237" s="25">
        <f t="shared" si="695"/>
        <v>0</v>
      </c>
      <c r="AN237" s="25">
        <f t="shared" si="696"/>
        <v>0</v>
      </c>
      <c r="AO237" s="25">
        <f t="shared" si="697"/>
        <v>0</v>
      </c>
      <c r="AP237" s="25">
        <f t="shared" si="698"/>
        <v>0</v>
      </c>
      <c r="AQ237" s="25">
        <f t="shared" si="699"/>
        <v>0</v>
      </c>
      <c r="AR237" s="25">
        <f t="shared" si="700"/>
        <v>0</v>
      </c>
      <c r="AS237" s="25">
        <f t="shared" si="701"/>
        <v>0</v>
      </c>
      <c r="AT237" s="25">
        <f t="shared" si="702"/>
        <v>0</v>
      </c>
      <c r="AU237" s="48"/>
      <c r="AV237" s="48"/>
      <c r="AW237" s="48"/>
      <c r="AX237" s="48"/>
      <c r="AY237" s="48"/>
      <c r="AZ237" s="48"/>
      <c r="BA237" s="48"/>
      <c r="BB237" s="48"/>
      <c r="BC237" s="48"/>
      <c r="BD237" s="48"/>
      <c r="BE237" s="48"/>
      <c r="BF237" s="48"/>
      <c r="BG237" s="48"/>
      <c r="BH237" s="48"/>
      <c r="BI237" s="48"/>
      <c r="BJ237" s="48"/>
      <c r="BK237" s="48"/>
      <c r="BL237" s="48"/>
      <c r="BM237" s="48"/>
      <c r="BN237" s="48"/>
      <c r="BO237" s="48"/>
      <c r="BP237" s="48"/>
      <c r="BQ237" s="48"/>
      <c r="BR237" s="48"/>
      <c r="BS237" s="48"/>
      <c r="BT237" s="48"/>
      <c r="BU237" s="48"/>
      <c r="BV237" s="48"/>
      <c r="BW237" s="48"/>
      <c r="BX237" s="48"/>
      <c r="BY237" s="48"/>
      <c r="BZ237" s="48"/>
      <c r="CA237" s="48"/>
      <c r="CB237" s="48"/>
      <c r="CC237" s="48"/>
      <c r="CD237" s="48"/>
      <c r="CE237" s="48"/>
      <c r="CF237" s="48"/>
      <c r="CG237" s="48"/>
      <c r="CH237" s="48"/>
      <c r="CI237" s="48"/>
      <c r="CJ237" s="48"/>
      <c r="CK237" s="48"/>
      <c r="CL237" s="48"/>
      <c r="CM237" s="48"/>
      <c r="CN237" s="48"/>
      <c r="CO237" s="48"/>
      <c r="CP237" s="48"/>
      <c r="CQ237" s="48"/>
      <c r="CR237" s="48"/>
      <c r="CS237" s="48"/>
      <c r="CT237" s="48"/>
      <c r="CU237" s="48"/>
      <c r="CV237" s="48"/>
      <c r="CW237" s="48"/>
      <c r="CX237" s="48"/>
      <c r="CY237" s="48"/>
      <c r="CZ237" s="48"/>
      <c r="DA237" s="48"/>
      <c r="DB237" s="48"/>
      <c r="DC237" s="48"/>
      <c r="DD237" s="48"/>
      <c r="DE237" s="48"/>
      <c r="DF237" s="48"/>
      <c r="DG237" s="48"/>
      <c r="DH237" s="48"/>
      <c r="DI237" s="48"/>
      <c r="DJ237" s="48"/>
      <c r="DK237" s="48"/>
      <c r="DL237" s="48"/>
      <c r="DM237" s="48"/>
      <c r="DN237" s="48"/>
      <c r="DO237" s="48"/>
      <c r="DP237" s="48"/>
      <c r="DQ237" s="48"/>
      <c r="DR237" s="48"/>
      <c r="DS237" s="48"/>
      <c r="DT237" s="48"/>
      <c r="DU237" s="48"/>
      <c r="DV237" s="48"/>
      <c r="DW237" s="48"/>
      <c r="DX237" s="48"/>
      <c r="DY237" s="48"/>
      <c r="DZ237" s="48"/>
      <c r="EA237" s="48"/>
      <c r="EB237" s="48"/>
      <c r="EC237" s="48"/>
      <c r="ED237" s="48"/>
      <c r="EE237" s="48"/>
      <c r="EF237" s="48"/>
      <c r="EG237" s="48"/>
      <c r="EH237" s="48"/>
      <c r="EI237" s="48"/>
      <c r="EJ237" s="48"/>
      <c r="EK237" s="48"/>
    </row>
    <row r="238" spans="1:141" s="12" customFormat="1" ht="14.25" hidden="1" customHeight="1">
      <c r="A238" s="25">
        <v>10</v>
      </c>
      <c r="B238" s="26"/>
      <c r="C238" s="25"/>
      <c r="D238" s="63"/>
      <c r="E238" s="64" t="s">
        <v>81</v>
      </c>
      <c r="F238" s="26"/>
      <c r="G238" s="58">
        <f t="shared" si="683"/>
        <v>0</v>
      </c>
      <c r="H238" s="57">
        <f t="shared" si="684"/>
        <v>0</v>
      </c>
      <c r="I238" s="19"/>
      <c r="J238" s="11">
        <f t="shared" si="685"/>
        <v>0</v>
      </c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8"/>
      <c r="AB238" s="56">
        <f t="shared" si="686"/>
        <v>0</v>
      </c>
      <c r="AC238" s="16">
        <f t="shared" si="687"/>
        <v>0</v>
      </c>
      <c r="AD238" s="15" t="e">
        <f t="shared" si="688"/>
        <v>#DIV/0!</v>
      </c>
      <c r="AE238" s="55"/>
      <c r="AF238" s="10" t="e">
        <f t="shared" si="689"/>
        <v>#DIV/0!</v>
      </c>
      <c r="AG238" s="10"/>
      <c r="AH238" s="21">
        <f t="shared" si="690"/>
        <v>0</v>
      </c>
      <c r="AI238" s="54" t="e">
        <f t="shared" si="691"/>
        <v>#DIV/0!</v>
      </c>
      <c r="AJ238" s="25">
        <f t="shared" si="692"/>
        <v>0</v>
      </c>
      <c r="AK238" s="25">
        <f t="shared" si="693"/>
        <v>0</v>
      </c>
      <c r="AL238" s="25">
        <f t="shared" si="694"/>
        <v>0</v>
      </c>
      <c r="AM238" s="25">
        <f t="shared" si="695"/>
        <v>0</v>
      </c>
      <c r="AN238" s="25">
        <f t="shared" si="696"/>
        <v>0</v>
      </c>
      <c r="AO238" s="25">
        <f t="shared" si="697"/>
        <v>0</v>
      </c>
      <c r="AP238" s="25">
        <f t="shared" si="698"/>
        <v>0</v>
      </c>
      <c r="AQ238" s="25">
        <f t="shared" si="699"/>
        <v>0</v>
      </c>
      <c r="AR238" s="25">
        <f t="shared" si="700"/>
        <v>0</v>
      </c>
      <c r="AS238" s="25">
        <f t="shared" si="701"/>
        <v>0</v>
      </c>
      <c r="AT238" s="25">
        <f t="shared" si="702"/>
        <v>0</v>
      </c>
      <c r="AU238" s="48"/>
      <c r="AV238" s="48"/>
      <c r="AW238" s="48"/>
      <c r="AX238" s="48"/>
      <c r="AY238" s="48"/>
      <c r="AZ238" s="48"/>
      <c r="BA238" s="48"/>
      <c r="BB238" s="48"/>
      <c r="BC238" s="48"/>
      <c r="BD238" s="48"/>
      <c r="BE238" s="48"/>
      <c r="BF238" s="48"/>
      <c r="BG238" s="48"/>
      <c r="BH238" s="48"/>
      <c r="BI238" s="48"/>
      <c r="BJ238" s="48"/>
      <c r="BK238" s="48"/>
      <c r="BL238" s="48"/>
      <c r="BM238" s="48"/>
      <c r="BN238" s="48"/>
      <c r="BO238" s="48"/>
      <c r="BP238" s="48"/>
      <c r="BQ238" s="48"/>
      <c r="BR238" s="48"/>
      <c r="BS238" s="48"/>
      <c r="BT238" s="48"/>
      <c r="BU238" s="48"/>
      <c r="BV238" s="48"/>
      <c r="BW238" s="48"/>
      <c r="BX238" s="48"/>
      <c r="BY238" s="48"/>
      <c r="BZ238" s="48"/>
      <c r="CA238" s="48"/>
      <c r="CB238" s="48"/>
      <c r="CC238" s="48"/>
      <c r="CD238" s="48"/>
      <c r="CE238" s="48"/>
      <c r="CF238" s="48"/>
      <c r="CG238" s="48"/>
      <c r="CH238" s="48"/>
      <c r="CI238" s="48"/>
      <c r="CJ238" s="48"/>
      <c r="CK238" s="48"/>
      <c r="CL238" s="48"/>
      <c r="CM238" s="48"/>
      <c r="CN238" s="48"/>
      <c r="CO238" s="48"/>
      <c r="CP238" s="48"/>
      <c r="CQ238" s="48"/>
      <c r="CR238" s="48"/>
      <c r="CS238" s="48"/>
      <c r="CT238" s="48"/>
      <c r="CU238" s="48"/>
      <c r="CV238" s="48"/>
      <c r="CW238" s="48"/>
      <c r="CX238" s="48"/>
      <c r="CY238" s="48"/>
      <c r="CZ238" s="48"/>
      <c r="DA238" s="48"/>
      <c r="DB238" s="48"/>
      <c r="DC238" s="48"/>
      <c r="DD238" s="48"/>
      <c r="DE238" s="48"/>
      <c r="DF238" s="48"/>
      <c r="DG238" s="48"/>
      <c r="DH238" s="48"/>
      <c r="DI238" s="48"/>
      <c r="DJ238" s="48"/>
      <c r="DK238" s="48"/>
      <c r="DL238" s="48"/>
      <c r="DM238" s="48"/>
      <c r="DN238" s="48"/>
      <c r="DO238" s="48"/>
      <c r="DP238" s="48"/>
      <c r="DQ238" s="48"/>
      <c r="DR238" s="48"/>
      <c r="DS238" s="48"/>
      <c r="DT238" s="48"/>
      <c r="DU238" s="48"/>
      <c r="DV238" s="48"/>
      <c r="DW238" s="48"/>
      <c r="DX238" s="48"/>
      <c r="DY238" s="48"/>
      <c r="DZ238" s="48"/>
      <c r="EA238" s="48"/>
      <c r="EB238" s="48"/>
      <c r="EC238" s="48"/>
      <c r="ED238" s="48"/>
      <c r="EE238" s="48"/>
      <c r="EF238" s="48"/>
      <c r="EG238" s="48"/>
      <c r="EH238" s="48"/>
      <c r="EI238" s="48"/>
      <c r="EJ238" s="48"/>
      <c r="EK238" s="48"/>
    </row>
    <row r="239" spans="1:141" s="12" customFormat="1" ht="14.25" hidden="1" customHeight="1">
      <c r="A239" s="25">
        <v>11</v>
      </c>
      <c r="B239" s="26"/>
      <c r="C239" s="25"/>
      <c r="D239" s="63"/>
      <c r="E239" s="64" t="s">
        <v>80</v>
      </c>
      <c r="F239" s="26"/>
      <c r="G239" s="58">
        <f t="shared" si="683"/>
        <v>0</v>
      </c>
      <c r="H239" s="57">
        <f t="shared" si="684"/>
        <v>0</v>
      </c>
      <c r="I239" s="19"/>
      <c r="J239" s="11">
        <f t="shared" si="685"/>
        <v>0</v>
      </c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8"/>
      <c r="AB239" s="56">
        <f t="shared" si="686"/>
        <v>0</v>
      </c>
      <c r="AC239" s="16">
        <f t="shared" si="687"/>
        <v>0</v>
      </c>
      <c r="AD239" s="15" t="e">
        <f t="shared" si="688"/>
        <v>#DIV/0!</v>
      </c>
      <c r="AE239" s="55"/>
      <c r="AF239" s="10" t="e">
        <f t="shared" si="689"/>
        <v>#DIV/0!</v>
      </c>
      <c r="AG239" s="10"/>
      <c r="AH239" s="21">
        <f t="shared" si="690"/>
        <v>0</v>
      </c>
      <c r="AI239" s="54" t="e">
        <f t="shared" si="691"/>
        <v>#DIV/0!</v>
      </c>
      <c r="AJ239" s="25">
        <f t="shared" si="692"/>
        <v>0</v>
      </c>
      <c r="AK239" s="25">
        <f t="shared" si="693"/>
        <v>0</v>
      </c>
      <c r="AL239" s="25">
        <f t="shared" si="694"/>
        <v>0</v>
      </c>
      <c r="AM239" s="25">
        <f t="shared" si="695"/>
        <v>0</v>
      </c>
      <c r="AN239" s="25">
        <f t="shared" si="696"/>
        <v>0</v>
      </c>
      <c r="AO239" s="25">
        <f t="shared" si="697"/>
        <v>0</v>
      </c>
      <c r="AP239" s="25">
        <f t="shared" si="698"/>
        <v>0</v>
      </c>
      <c r="AQ239" s="25">
        <f t="shared" si="699"/>
        <v>0</v>
      </c>
      <c r="AR239" s="25">
        <f t="shared" si="700"/>
        <v>0</v>
      </c>
      <c r="AS239" s="25">
        <f t="shared" si="701"/>
        <v>0</v>
      </c>
      <c r="AT239" s="25">
        <f t="shared" si="702"/>
        <v>0</v>
      </c>
      <c r="AU239" s="48"/>
      <c r="AV239" s="48"/>
      <c r="AW239" s="48"/>
      <c r="AX239" s="48"/>
      <c r="AY239" s="48"/>
      <c r="AZ239" s="48"/>
      <c r="BA239" s="48"/>
      <c r="BB239" s="48"/>
      <c r="BC239" s="48"/>
      <c r="BD239" s="48"/>
      <c r="BE239" s="48"/>
      <c r="BF239" s="48"/>
      <c r="BG239" s="48"/>
      <c r="BH239" s="48"/>
      <c r="BI239" s="48"/>
      <c r="BJ239" s="48"/>
      <c r="BK239" s="48"/>
      <c r="BL239" s="48"/>
      <c r="BM239" s="48"/>
      <c r="BN239" s="48"/>
      <c r="BO239" s="48"/>
      <c r="BP239" s="48"/>
      <c r="BQ239" s="48"/>
      <c r="BR239" s="48"/>
      <c r="BS239" s="48"/>
      <c r="BT239" s="48"/>
      <c r="BU239" s="48"/>
      <c r="BV239" s="48"/>
      <c r="BW239" s="48"/>
      <c r="BX239" s="48"/>
      <c r="BY239" s="48"/>
      <c r="BZ239" s="48"/>
      <c r="CA239" s="48"/>
      <c r="CB239" s="48"/>
      <c r="CC239" s="48"/>
      <c r="CD239" s="48"/>
      <c r="CE239" s="48"/>
      <c r="CF239" s="48"/>
      <c r="CG239" s="48"/>
      <c r="CH239" s="48"/>
      <c r="CI239" s="48"/>
      <c r="CJ239" s="48"/>
      <c r="CK239" s="48"/>
      <c r="CL239" s="48"/>
      <c r="CM239" s="48"/>
      <c r="CN239" s="48"/>
      <c r="CO239" s="48"/>
      <c r="CP239" s="48"/>
      <c r="CQ239" s="48"/>
      <c r="CR239" s="48"/>
      <c r="CS239" s="48"/>
      <c r="CT239" s="48"/>
      <c r="CU239" s="48"/>
      <c r="CV239" s="48"/>
      <c r="CW239" s="48"/>
      <c r="CX239" s="48"/>
      <c r="CY239" s="48"/>
      <c r="CZ239" s="48"/>
      <c r="DA239" s="48"/>
      <c r="DB239" s="48"/>
      <c r="DC239" s="48"/>
      <c r="DD239" s="48"/>
      <c r="DE239" s="48"/>
      <c r="DF239" s="48"/>
      <c r="DG239" s="48"/>
      <c r="DH239" s="48"/>
      <c r="DI239" s="48"/>
      <c r="DJ239" s="48"/>
      <c r="DK239" s="48"/>
      <c r="DL239" s="48"/>
      <c r="DM239" s="48"/>
      <c r="DN239" s="48"/>
      <c r="DO239" s="48"/>
      <c r="DP239" s="48"/>
      <c r="DQ239" s="48"/>
      <c r="DR239" s="48"/>
      <c r="DS239" s="48"/>
      <c r="DT239" s="48"/>
      <c r="DU239" s="48"/>
      <c r="DV239" s="48"/>
      <c r="DW239" s="48"/>
      <c r="DX239" s="48"/>
      <c r="DY239" s="48"/>
      <c r="DZ239" s="48"/>
      <c r="EA239" s="48"/>
      <c r="EB239" s="48"/>
      <c r="EC239" s="48"/>
      <c r="ED239" s="48"/>
      <c r="EE239" s="48"/>
      <c r="EF239" s="48"/>
      <c r="EG239" s="48"/>
      <c r="EH239" s="48"/>
      <c r="EI239" s="48"/>
      <c r="EJ239" s="48"/>
      <c r="EK239" s="48"/>
    </row>
    <row r="240" spans="1:141" s="12" customFormat="1" ht="14.25" hidden="1" customHeight="1">
      <c r="A240" s="25">
        <v>12</v>
      </c>
      <c r="B240" s="26"/>
      <c r="C240" s="25"/>
      <c r="D240" s="63"/>
      <c r="E240" s="64" t="s">
        <v>79</v>
      </c>
      <c r="F240" s="26"/>
      <c r="G240" s="58">
        <f t="shared" si="683"/>
        <v>0</v>
      </c>
      <c r="H240" s="57">
        <f t="shared" si="684"/>
        <v>0</v>
      </c>
      <c r="I240" s="19"/>
      <c r="J240" s="11">
        <f t="shared" si="685"/>
        <v>0</v>
      </c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8"/>
      <c r="AB240" s="56">
        <f t="shared" si="686"/>
        <v>0</v>
      </c>
      <c r="AC240" s="16">
        <f t="shared" si="687"/>
        <v>0</v>
      </c>
      <c r="AD240" s="15" t="e">
        <f t="shared" si="688"/>
        <v>#DIV/0!</v>
      </c>
      <c r="AE240" s="55"/>
      <c r="AF240" s="10" t="e">
        <f t="shared" si="689"/>
        <v>#DIV/0!</v>
      </c>
      <c r="AG240" s="10"/>
      <c r="AH240" s="21">
        <f t="shared" si="690"/>
        <v>0</v>
      </c>
      <c r="AI240" s="54" t="e">
        <f t="shared" si="691"/>
        <v>#DIV/0!</v>
      </c>
      <c r="AJ240" s="25">
        <f t="shared" si="692"/>
        <v>0</v>
      </c>
      <c r="AK240" s="25">
        <f t="shared" si="693"/>
        <v>0</v>
      </c>
      <c r="AL240" s="25">
        <f t="shared" si="694"/>
        <v>0</v>
      </c>
      <c r="AM240" s="25">
        <f t="shared" si="695"/>
        <v>0</v>
      </c>
      <c r="AN240" s="25">
        <f t="shared" si="696"/>
        <v>0</v>
      </c>
      <c r="AO240" s="25">
        <f t="shared" si="697"/>
        <v>0</v>
      </c>
      <c r="AP240" s="25">
        <f t="shared" si="698"/>
        <v>0</v>
      </c>
      <c r="AQ240" s="25">
        <f t="shared" si="699"/>
        <v>0</v>
      </c>
      <c r="AR240" s="25">
        <f t="shared" si="700"/>
        <v>0</v>
      </c>
      <c r="AS240" s="25">
        <f t="shared" si="701"/>
        <v>0</v>
      </c>
      <c r="AT240" s="25">
        <f t="shared" si="702"/>
        <v>0</v>
      </c>
      <c r="AU240" s="48"/>
      <c r="AV240" s="48"/>
      <c r="AW240" s="48"/>
      <c r="AX240" s="48"/>
      <c r="AY240" s="48"/>
      <c r="AZ240" s="48"/>
      <c r="BA240" s="48"/>
      <c r="BB240" s="48"/>
      <c r="BC240" s="48"/>
      <c r="BD240" s="48"/>
      <c r="BE240" s="48"/>
      <c r="BF240" s="48"/>
      <c r="BG240" s="48"/>
      <c r="BH240" s="48"/>
      <c r="BI240" s="48"/>
      <c r="BJ240" s="48"/>
      <c r="BK240" s="48"/>
      <c r="BL240" s="48"/>
      <c r="BM240" s="48"/>
      <c r="BN240" s="48"/>
      <c r="BO240" s="48"/>
      <c r="BP240" s="48"/>
      <c r="BQ240" s="48"/>
      <c r="BR240" s="48"/>
      <c r="BS240" s="48"/>
      <c r="BT240" s="48"/>
      <c r="BU240" s="48"/>
      <c r="BV240" s="48"/>
      <c r="BW240" s="48"/>
      <c r="BX240" s="48"/>
      <c r="BY240" s="48"/>
      <c r="BZ240" s="48"/>
      <c r="CA240" s="48"/>
      <c r="CB240" s="48"/>
      <c r="CC240" s="48"/>
      <c r="CD240" s="48"/>
      <c r="CE240" s="48"/>
      <c r="CF240" s="48"/>
      <c r="CG240" s="48"/>
      <c r="CH240" s="48"/>
      <c r="CI240" s="48"/>
      <c r="CJ240" s="48"/>
      <c r="CK240" s="48"/>
      <c r="CL240" s="48"/>
      <c r="CM240" s="48"/>
      <c r="CN240" s="48"/>
      <c r="CO240" s="48"/>
      <c r="CP240" s="48"/>
      <c r="CQ240" s="48"/>
      <c r="CR240" s="48"/>
      <c r="CS240" s="48"/>
      <c r="CT240" s="48"/>
      <c r="CU240" s="48"/>
      <c r="CV240" s="48"/>
      <c r="CW240" s="48"/>
      <c r="CX240" s="48"/>
      <c r="CY240" s="48"/>
      <c r="CZ240" s="48"/>
      <c r="DA240" s="48"/>
      <c r="DB240" s="48"/>
      <c r="DC240" s="48"/>
      <c r="DD240" s="48"/>
      <c r="DE240" s="48"/>
      <c r="DF240" s="48"/>
      <c r="DG240" s="48"/>
      <c r="DH240" s="48"/>
      <c r="DI240" s="48"/>
      <c r="DJ240" s="48"/>
      <c r="DK240" s="48"/>
      <c r="DL240" s="48"/>
      <c r="DM240" s="48"/>
      <c r="DN240" s="48"/>
      <c r="DO240" s="48"/>
      <c r="DP240" s="48"/>
      <c r="DQ240" s="48"/>
      <c r="DR240" s="48"/>
      <c r="DS240" s="48"/>
      <c r="DT240" s="48"/>
      <c r="DU240" s="48"/>
      <c r="DV240" s="48"/>
      <c r="DW240" s="48"/>
      <c r="DX240" s="48"/>
      <c r="DY240" s="48"/>
      <c r="DZ240" s="48"/>
      <c r="EA240" s="48"/>
      <c r="EB240" s="48"/>
      <c r="EC240" s="48"/>
      <c r="ED240" s="48"/>
      <c r="EE240" s="48"/>
      <c r="EF240" s="48"/>
      <c r="EG240" s="48"/>
      <c r="EH240" s="48"/>
      <c r="EI240" s="48"/>
      <c r="EJ240" s="48"/>
      <c r="EK240" s="48"/>
    </row>
    <row r="241" spans="1:141" s="12" customFormat="1" ht="14.25" hidden="1" customHeight="1">
      <c r="A241" s="25">
        <v>13</v>
      </c>
      <c r="B241" s="26"/>
      <c r="C241" s="25"/>
      <c r="D241" s="63"/>
      <c r="E241" s="64" t="s">
        <v>78</v>
      </c>
      <c r="F241" s="26"/>
      <c r="G241" s="58">
        <f t="shared" si="683"/>
        <v>0</v>
      </c>
      <c r="H241" s="57">
        <f t="shared" si="684"/>
        <v>0</v>
      </c>
      <c r="I241" s="19"/>
      <c r="J241" s="11">
        <f t="shared" si="685"/>
        <v>0</v>
      </c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8"/>
      <c r="AB241" s="56">
        <f t="shared" si="686"/>
        <v>0</v>
      </c>
      <c r="AC241" s="16">
        <f t="shared" si="687"/>
        <v>0</v>
      </c>
      <c r="AD241" s="15" t="e">
        <f t="shared" si="688"/>
        <v>#DIV/0!</v>
      </c>
      <c r="AE241" s="55"/>
      <c r="AF241" s="10" t="e">
        <f t="shared" si="689"/>
        <v>#DIV/0!</v>
      </c>
      <c r="AG241" s="10"/>
      <c r="AH241" s="21">
        <f t="shared" si="690"/>
        <v>0</v>
      </c>
      <c r="AI241" s="54" t="e">
        <f t="shared" si="691"/>
        <v>#DIV/0!</v>
      </c>
      <c r="AJ241" s="25">
        <f t="shared" si="692"/>
        <v>0</v>
      </c>
      <c r="AK241" s="25">
        <f t="shared" si="693"/>
        <v>0</v>
      </c>
      <c r="AL241" s="25">
        <f t="shared" si="694"/>
        <v>0</v>
      </c>
      <c r="AM241" s="25">
        <f t="shared" si="695"/>
        <v>0</v>
      </c>
      <c r="AN241" s="25">
        <f t="shared" si="696"/>
        <v>0</v>
      </c>
      <c r="AO241" s="25">
        <f t="shared" si="697"/>
        <v>0</v>
      </c>
      <c r="AP241" s="25">
        <f t="shared" si="698"/>
        <v>0</v>
      </c>
      <c r="AQ241" s="25">
        <f t="shared" si="699"/>
        <v>0</v>
      </c>
      <c r="AR241" s="25">
        <f t="shared" si="700"/>
        <v>0</v>
      </c>
      <c r="AS241" s="25">
        <f t="shared" si="701"/>
        <v>0</v>
      </c>
      <c r="AT241" s="25">
        <f t="shared" si="702"/>
        <v>0</v>
      </c>
      <c r="AU241" s="48"/>
      <c r="AV241" s="48"/>
      <c r="AW241" s="48"/>
      <c r="AX241" s="48"/>
      <c r="AY241" s="48"/>
      <c r="AZ241" s="48"/>
      <c r="BA241" s="48"/>
      <c r="BB241" s="48"/>
      <c r="BC241" s="48"/>
      <c r="BD241" s="48"/>
      <c r="BE241" s="48"/>
      <c r="BF241" s="48"/>
      <c r="BG241" s="48"/>
      <c r="BH241" s="48"/>
      <c r="BI241" s="48"/>
      <c r="BJ241" s="48"/>
      <c r="BK241" s="48"/>
      <c r="BL241" s="48"/>
      <c r="BM241" s="48"/>
      <c r="BN241" s="48"/>
      <c r="BO241" s="48"/>
      <c r="BP241" s="48"/>
      <c r="BQ241" s="48"/>
      <c r="BR241" s="48"/>
      <c r="BS241" s="48"/>
      <c r="BT241" s="48"/>
      <c r="BU241" s="48"/>
      <c r="BV241" s="48"/>
      <c r="BW241" s="48"/>
      <c r="BX241" s="48"/>
      <c r="BY241" s="48"/>
      <c r="BZ241" s="48"/>
      <c r="CA241" s="48"/>
      <c r="CB241" s="48"/>
      <c r="CC241" s="48"/>
      <c r="CD241" s="48"/>
      <c r="CE241" s="48"/>
      <c r="CF241" s="48"/>
      <c r="CG241" s="48"/>
      <c r="CH241" s="48"/>
      <c r="CI241" s="48"/>
      <c r="CJ241" s="48"/>
      <c r="CK241" s="48"/>
      <c r="CL241" s="48"/>
      <c r="CM241" s="48"/>
      <c r="CN241" s="48"/>
      <c r="CO241" s="48"/>
      <c r="CP241" s="48"/>
      <c r="CQ241" s="48"/>
      <c r="CR241" s="48"/>
      <c r="CS241" s="48"/>
      <c r="CT241" s="48"/>
      <c r="CU241" s="48"/>
      <c r="CV241" s="48"/>
      <c r="CW241" s="48"/>
      <c r="CX241" s="48"/>
      <c r="CY241" s="48"/>
      <c r="CZ241" s="48"/>
      <c r="DA241" s="48"/>
      <c r="DB241" s="48"/>
      <c r="DC241" s="48"/>
      <c r="DD241" s="48"/>
      <c r="DE241" s="48"/>
      <c r="DF241" s="48"/>
      <c r="DG241" s="48"/>
      <c r="DH241" s="48"/>
      <c r="DI241" s="48"/>
      <c r="DJ241" s="48"/>
      <c r="DK241" s="48"/>
      <c r="DL241" s="48"/>
      <c r="DM241" s="48"/>
      <c r="DN241" s="48"/>
      <c r="DO241" s="48"/>
      <c r="DP241" s="48"/>
      <c r="DQ241" s="48"/>
      <c r="DR241" s="48"/>
      <c r="DS241" s="48"/>
      <c r="DT241" s="48"/>
      <c r="DU241" s="48"/>
      <c r="DV241" s="48"/>
      <c r="DW241" s="48"/>
      <c r="DX241" s="48"/>
      <c r="DY241" s="48"/>
      <c r="DZ241" s="48"/>
      <c r="EA241" s="48"/>
      <c r="EB241" s="48"/>
      <c r="EC241" s="48"/>
      <c r="ED241" s="48"/>
      <c r="EE241" s="48"/>
      <c r="EF241" s="48"/>
      <c r="EG241" s="48"/>
      <c r="EH241" s="48"/>
      <c r="EI241" s="48"/>
      <c r="EJ241" s="48"/>
      <c r="EK241" s="48"/>
    </row>
    <row r="242" spans="1:141" s="12" customFormat="1" ht="14.25" hidden="1" customHeight="1">
      <c r="A242" s="25">
        <v>14</v>
      </c>
      <c r="B242" s="26"/>
      <c r="C242" s="25"/>
      <c r="D242" s="63"/>
      <c r="E242" s="64" t="s">
        <v>77</v>
      </c>
      <c r="F242" s="26"/>
      <c r="G242" s="58">
        <f t="shared" si="683"/>
        <v>0</v>
      </c>
      <c r="H242" s="57">
        <f t="shared" si="684"/>
        <v>0</v>
      </c>
      <c r="I242" s="19"/>
      <c r="J242" s="11">
        <f t="shared" si="685"/>
        <v>0</v>
      </c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8"/>
      <c r="AB242" s="56">
        <f t="shared" si="686"/>
        <v>0</v>
      </c>
      <c r="AC242" s="16">
        <f t="shared" si="687"/>
        <v>0</v>
      </c>
      <c r="AD242" s="15" t="e">
        <f t="shared" si="688"/>
        <v>#DIV/0!</v>
      </c>
      <c r="AE242" s="55"/>
      <c r="AF242" s="10" t="e">
        <f t="shared" si="689"/>
        <v>#DIV/0!</v>
      </c>
      <c r="AG242" s="10"/>
      <c r="AH242" s="21">
        <f t="shared" si="690"/>
        <v>0</v>
      </c>
      <c r="AI242" s="54" t="e">
        <f t="shared" si="691"/>
        <v>#DIV/0!</v>
      </c>
      <c r="AJ242" s="25">
        <f t="shared" si="692"/>
        <v>0</v>
      </c>
      <c r="AK242" s="25">
        <f t="shared" si="693"/>
        <v>0</v>
      </c>
      <c r="AL242" s="25">
        <f t="shared" si="694"/>
        <v>0</v>
      </c>
      <c r="AM242" s="25">
        <f t="shared" si="695"/>
        <v>0</v>
      </c>
      <c r="AN242" s="25">
        <f t="shared" si="696"/>
        <v>0</v>
      </c>
      <c r="AO242" s="25">
        <f t="shared" si="697"/>
        <v>0</v>
      </c>
      <c r="AP242" s="25">
        <f t="shared" si="698"/>
        <v>0</v>
      </c>
      <c r="AQ242" s="25">
        <f t="shared" si="699"/>
        <v>0</v>
      </c>
      <c r="AR242" s="25">
        <f t="shared" si="700"/>
        <v>0</v>
      </c>
      <c r="AS242" s="25">
        <f t="shared" si="701"/>
        <v>0</v>
      </c>
      <c r="AT242" s="25">
        <f t="shared" si="702"/>
        <v>0</v>
      </c>
      <c r="AU242" s="48"/>
      <c r="AV242" s="48"/>
      <c r="AW242" s="48"/>
      <c r="AX242" s="48"/>
      <c r="AY242" s="48"/>
      <c r="AZ242" s="48"/>
      <c r="BA242" s="48"/>
      <c r="BB242" s="48"/>
      <c r="BC242" s="48"/>
      <c r="BD242" s="48"/>
      <c r="BE242" s="48"/>
      <c r="BF242" s="48"/>
      <c r="BG242" s="48"/>
      <c r="BH242" s="48"/>
      <c r="BI242" s="48"/>
      <c r="BJ242" s="48"/>
      <c r="BK242" s="48"/>
      <c r="BL242" s="48"/>
      <c r="BM242" s="48"/>
      <c r="BN242" s="48"/>
      <c r="BO242" s="48"/>
      <c r="BP242" s="48"/>
      <c r="BQ242" s="48"/>
      <c r="BR242" s="48"/>
      <c r="BS242" s="48"/>
      <c r="BT242" s="48"/>
      <c r="BU242" s="48"/>
      <c r="BV242" s="48"/>
      <c r="BW242" s="48"/>
      <c r="BX242" s="48"/>
      <c r="BY242" s="48"/>
      <c r="BZ242" s="48"/>
      <c r="CA242" s="48"/>
      <c r="CB242" s="48"/>
      <c r="CC242" s="48"/>
      <c r="CD242" s="48"/>
      <c r="CE242" s="48"/>
      <c r="CF242" s="48"/>
      <c r="CG242" s="48"/>
      <c r="CH242" s="48"/>
      <c r="CI242" s="48"/>
      <c r="CJ242" s="48"/>
      <c r="CK242" s="48"/>
      <c r="CL242" s="48"/>
      <c r="CM242" s="48"/>
      <c r="CN242" s="48"/>
      <c r="CO242" s="48"/>
      <c r="CP242" s="48"/>
      <c r="CQ242" s="48"/>
      <c r="CR242" s="48"/>
      <c r="CS242" s="48"/>
      <c r="CT242" s="48"/>
      <c r="CU242" s="48"/>
      <c r="CV242" s="48"/>
      <c r="CW242" s="48"/>
      <c r="CX242" s="48"/>
      <c r="CY242" s="48"/>
      <c r="CZ242" s="48"/>
      <c r="DA242" s="48"/>
      <c r="DB242" s="48"/>
      <c r="DC242" s="48"/>
      <c r="DD242" s="48"/>
      <c r="DE242" s="48"/>
      <c r="DF242" s="48"/>
      <c r="DG242" s="48"/>
      <c r="DH242" s="48"/>
      <c r="DI242" s="48"/>
      <c r="DJ242" s="48"/>
      <c r="DK242" s="48"/>
      <c r="DL242" s="48"/>
      <c r="DM242" s="48"/>
      <c r="DN242" s="48"/>
      <c r="DO242" s="48"/>
      <c r="DP242" s="48"/>
      <c r="DQ242" s="48"/>
      <c r="DR242" s="48"/>
      <c r="DS242" s="48"/>
      <c r="DT242" s="48"/>
      <c r="DU242" s="48"/>
      <c r="DV242" s="48"/>
      <c r="DW242" s="48"/>
      <c r="DX242" s="48"/>
      <c r="DY242" s="48"/>
      <c r="DZ242" s="48"/>
      <c r="EA242" s="48"/>
      <c r="EB242" s="48"/>
      <c r="EC242" s="48"/>
      <c r="ED242" s="48"/>
      <c r="EE242" s="48"/>
      <c r="EF242" s="48"/>
      <c r="EG242" s="48"/>
      <c r="EH242" s="48"/>
      <c r="EI242" s="48"/>
      <c r="EJ242" s="48"/>
      <c r="EK242" s="48"/>
    </row>
    <row r="243" spans="1:141" s="12" customFormat="1" ht="14.25" hidden="1" customHeight="1">
      <c r="A243" s="25">
        <v>15</v>
      </c>
      <c r="B243" s="26"/>
      <c r="C243" s="25"/>
      <c r="D243" s="63"/>
      <c r="E243" s="64" t="s">
        <v>76</v>
      </c>
      <c r="F243" s="26"/>
      <c r="G243" s="58">
        <f t="shared" si="683"/>
        <v>0</v>
      </c>
      <c r="H243" s="57">
        <f t="shared" si="684"/>
        <v>0</v>
      </c>
      <c r="I243" s="19"/>
      <c r="J243" s="11">
        <f t="shared" si="685"/>
        <v>0</v>
      </c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8"/>
      <c r="AB243" s="56">
        <f t="shared" si="686"/>
        <v>0</v>
      </c>
      <c r="AC243" s="16">
        <f t="shared" si="687"/>
        <v>0</v>
      </c>
      <c r="AD243" s="15" t="e">
        <f t="shared" si="688"/>
        <v>#DIV/0!</v>
      </c>
      <c r="AE243" s="55"/>
      <c r="AF243" s="10" t="e">
        <f t="shared" si="689"/>
        <v>#DIV/0!</v>
      </c>
      <c r="AG243" s="10"/>
      <c r="AH243" s="21">
        <f t="shared" si="690"/>
        <v>0</v>
      </c>
      <c r="AI243" s="54" t="e">
        <f t="shared" si="691"/>
        <v>#DIV/0!</v>
      </c>
      <c r="AJ243" s="25">
        <f t="shared" si="692"/>
        <v>0</v>
      </c>
      <c r="AK243" s="25">
        <f t="shared" si="693"/>
        <v>0</v>
      </c>
      <c r="AL243" s="25">
        <f t="shared" si="694"/>
        <v>0</v>
      </c>
      <c r="AM243" s="25">
        <f t="shared" si="695"/>
        <v>0</v>
      </c>
      <c r="AN243" s="25">
        <f t="shared" si="696"/>
        <v>0</v>
      </c>
      <c r="AO243" s="25">
        <f t="shared" si="697"/>
        <v>0</v>
      </c>
      <c r="AP243" s="25">
        <f t="shared" si="698"/>
        <v>0</v>
      </c>
      <c r="AQ243" s="25">
        <f t="shared" si="699"/>
        <v>0</v>
      </c>
      <c r="AR243" s="25">
        <f t="shared" si="700"/>
        <v>0</v>
      </c>
      <c r="AS243" s="25">
        <f t="shared" si="701"/>
        <v>0</v>
      </c>
      <c r="AT243" s="25">
        <f t="shared" si="702"/>
        <v>0</v>
      </c>
      <c r="AU243" s="48"/>
      <c r="AV243" s="48"/>
      <c r="AW243" s="48"/>
      <c r="AX243" s="48"/>
      <c r="AY243" s="48"/>
      <c r="AZ243" s="48"/>
      <c r="BA243" s="48"/>
      <c r="BB243" s="48"/>
      <c r="BC243" s="48"/>
      <c r="BD243" s="48"/>
      <c r="BE243" s="48"/>
      <c r="BF243" s="48"/>
      <c r="BG243" s="48"/>
      <c r="BH243" s="48"/>
      <c r="BI243" s="48"/>
      <c r="BJ243" s="48"/>
      <c r="BK243" s="48"/>
      <c r="BL243" s="48"/>
      <c r="BM243" s="48"/>
      <c r="BN243" s="48"/>
      <c r="BO243" s="48"/>
      <c r="BP243" s="48"/>
      <c r="BQ243" s="48"/>
      <c r="BR243" s="48"/>
      <c r="BS243" s="48"/>
      <c r="BT243" s="48"/>
      <c r="BU243" s="48"/>
      <c r="BV243" s="48"/>
      <c r="BW243" s="48"/>
      <c r="BX243" s="48"/>
      <c r="BY243" s="48"/>
      <c r="BZ243" s="48"/>
      <c r="CA243" s="48"/>
      <c r="CB243" s="48"/>
      <c r="CC243" s="48"/>
      <c r="CD243" s="48"/>
      <c r="CE243" s="48"/>
      <c r="CF243" s="48"/>
      <c r="CG243" s="48"/>
      <c r="CH243" s="48"/>
      <c r="CI243" s="48"/>
      <c r="CJ243" s="48"/>
      <c r="CK243" s="48"/>
      <c r="CL243" s="48"/>
      <c r="CM243" s="48"/>
      <c r="CN243" s="48"/>
      <c r="CO243" s="48"/>
      <c r="CP243" s="48"/>
      <c r="CQ243" s="48"/>
      <c r="CR243" s="48"/>
      <c r="CS243" s="48"/>
      <c r="CT243" s="48"/>
      <c r="CU243" s="48"/>
      <c r="CV243" s="48"/>
      <c r="CW243" s="48"/>
      <c r="CX243" s="48"/>
      <c r="CY243" s="48"/>
      <c r="CZ243" s="48"/>
      <c r="DA243" s="48"/>
      <c r="DB243" s="48"/>
      <c r="DC243" s="48"/>
      <c r="DD243" s="48"/>
      <c r="DE243" s="48"/>
      <c r="DF243" s="48"/>
      <c r="DG243" s="48"/>
      <c r="DH243" s="48"/>
      <c r="DI243" s="48"/>
      <c r="DJ243" s="48"/>
      <c r="DK243" s="48"/>
      <c r="DL243" s="48"/>
      <c r="DM243" s="48"/>
      <c r="DN243" s="48"/>
      <c r="DO243" s="48"/>
      <c r="DP243" s="48"/>
      <c r="DQ243" s="48"/>
      <c r="DR243" s="48"/>
      <c r="DS243" s="48"/>
      <c r="DT243" s="48"/>
      <c r="DU243" s="48"/>
      <c r="DV243" s="48"/>
      <c r="DW243" s="48"/>
      <c r="DX243" s="48"/>
      <c r="DY243" s="48"/>
      <c r="DZ243" s="48"/>
      <c r="EA243" s="48"/>
      <c r="EB243" s="48"/>
      <c r="EC243" s="48"/>
      <c r="ED243" s="48"/>
      <c r="EE243" s="48"/>
      <c r="EF243" s="48"/>
      <c r="EG243" s="48"/>
      <c r="EH243" s="48"/>
      <c r="EI243" s="48"/>
      <c r="EJ243" s="48"/>
      <c r="EK243" s="48"/>
    </row>
    <row r="244" spans="1:141" s="12" customFormat="1" ht="14.25" hidden="1" customHeight="1">
      <c r="A244" s="25">
        <v>16</v>
      </c>
      <c r="B244" s="26"/>
      <c r="C244" s="25"/>
      <c r="D244" s="63"/>
      <c r="E244" s="64" t="s">
        <v>75</v>
      </c>
      <c r="F244" s="26"/>
      <c r="G244" s="58">
        <f t="shared" si="683"/>
        <v>0</v>
      </c>
      <c r="H244" s="57">
        <f t="shared" si="684"/>
        <v>0</v>
      </c>
      <c r="I244" s="19"/>
      <c r="J244" s="11">
        <f t="shared" si="685"/>
        <v>0</v>
      </c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8"/>
      <c r="AB244" s="56">
        <f t="shared" si="686"/>
        <v>0</v>
      </c>
      <c r="AC244" s="16">
        <f t="shared" si="687"/>
        <v>0</v>
      </c>
      <c r="AD244" s="15" t="e">
        <f t="shared" si="688"/>
        <v>#DIV/0!</v>
      </c>
      <c r="AE244" s="55"/>
      <c r="AF244" s="10" t="e">
        <f t="shared" si="689"/>
        <v>#DIV/0!</v>
      </c>
      <c r="AG244" s="10"/>
      <c r="AH244" s="21">
        <f t="shared" si="690"/>
        <v>0</v>
      </c>
      <c r="AI244" s="54" t="e">
        <f t="shared" si="691"/>
        <v>#DIV/0!</v>
      </c>
      <c r="AJ244" s="25">
        <f t="shared" si="692"/>
        <v>0</v>
      </c>
      <c r="AK244" s="25">
        <f t="shared" si="693"/>
        <v>0</v>
      </c>
      <c r="AL244" s="25">
        <f t="shared" si="694"/>
        <v>0</v>
      </c>
      <c r="AM244" s="25">
        <f t="shared" si="695"/>
        <v>0</v>
      </c>
      <c r="AN244" s="25">
        <f t="shared" si="696"/>
        <v>0</v>
      </c>
      <c r="AO244" s="25">
        <f t="shared" si="697"/>
        <v>0</v>
      </c>
      <c r="AP244" s="25">
        <f t="shared" si="698"/>
        <v>0</v>
      </c>
      <c r="AQ244" s="25">
        <f t="shared" si="699"/>
        <v>0</v>
      </c>
      <c r="AR244" s="25">
        <f t="shared" si="700"/>
        <v>0</v>
      </c>
      <c r="AS244" s="25">
        <f t="shared" si="701"/>
        <v>0</v>
      </c>
      <c r="AT244" s="25">
        <f t="shared" si="702"/>
        <v>0</v>
      </c>
      <c r="AU244" s="48"/>
      <c r="AV244" s="48"/>
      <c r="AW244" s="48"/>
      <c r="AX244" s="48"/>
      <c r="AY244" s="48"/>
      <c r="AZ244" s="48"/>
      <c r="BA244" s="48"/>
      <c r="BB244" s="48"/>
      <c r="BC244" s="48"/>
      <c r="BD244" s="48"/>
      <c r="BE244" s="48"/>
      <c r="BF244" s="48"/>
      <c r="BG244" s="48"/>
      <c r="BH244" s="48"/>
      <c r="BI244" s="48"/>
      <c r="BJ244" s="48"/>
      <c r="BK244" s="48"/>
      <c r="BL244" s="48"/>
      <c r="BM244" s="48"/>
      <c r="BN244" s="48"/>
      <c r="BO244" s="48"/>
      <c r="BP244" s="48"/>
      <c r="BQ244" s="48"/>
      <c r="BR244" s="48"/>
      <c r="BS244" s="48"/>
      <c r="BT244" s="48"/>
      <c r="BU244" s="48"/>
      <c r="BV244" s="48"/>
      <c r="BW244" s="48"/>
      <c r="BX244" s="48"/>
      <c r="BY244" s="48"/>
      <c r="BZ244" s="48"/>
      <c r="CA244" s="48"/>
      <c r="CB244" s="48"/>
      <c r="CC244" s="48"/>
      <c r="CD244" s="48"/>
      <c r="CE244" s="48"/>
      <c r="CF244" s="48"/>
      <c r="CG244" s="48"/>
      <c r="CH244" s="48"/>
      <c r="CI244" s="48"/>
      <c r="CJ244" s="48"/>
      <c r="CK244" s="48"/>
      <c r="CL244" s="48"/>
      <c r="CM244" s="48"/>
      <c r="CN244" s="48"/>
      <c r="CO244" s="48"/>
      <c r="CP244" s="48"/>
      <c r="CQ244" s="48"/>
      <c r="CR244" s="48"/>
      <c r="CS244" s="48"/>
      <c r="CT244" s="48"/>
      <c r="CU244" s="48"/>
      <c r="CV244" s="48"/>
      <c r="CW244" s="48"/>
      <c r="CX244" s="48"/>
      <c r="CY244" s="48"/>
      <c r="CZ244" s="48"/>
      <c r="DA244" s="48"/>
      <c r="DB244" s="48"/>
      <c r="DC244" s="48"/>
      <c r="DD244" s="48"/>
      <c r="DE244" s="48"/>
      <c r="DF244" s="48"/>
      <c r="DG244" s="48"/>
      <c r="DH244" s="48"/>
      <c r="DI244" s="48"/>
      <c r="DJ244" s="48"/>
      <c r="DK244" s="48"/>
      <c r="DL244" s="48"/>
      <c r="DM244" s="48"/>
      <c r="DN244" s="48"/>
      <c r="DO244" s="48"/>
      <c r="DP244" s="48"/>
      <c r="DQ244" s="48"/>
      <c r="DR244" s="48"/>
      <c r="DS244" s="48"/>
      <c r="DT244" s="48"/>
      <c r="DU244" s="48"/>
      <c r="DV244" s="48"/>
      <c r="DW244" s="48"/>
      <c r="DX244" s="48"/>
      <c r="DY244" s="48"/>
      <c r="DZ244" s="48"/>
      <c r="EA244" s="48"/>
      <c r="EB244" s="48"/>
      <c r="EC244" s="48"/>
      <c r="ED244" s="48"/>
      <c r="EE244" s="48"/>
      <c r="EF244" s="48"/>
      <c r="EG244" s="48"/>
      <c r="EH244" s="48"/>
      <c r="EI244" s="48"/>
      <c r="EJ244" s="48"/>
      <c r="EK244" s="48"/>
    </row>
    <row r="245" spans="1:141" s="12" customFormat="1" ht="14.25" hidden="1" customHeight="1">
      <c r="A245" s="25">
        <v>17</v>
      </c>
      <c r="B245" s="26"/>
      <c r="C245" s="25"/>
      <c r="D245" s="63"/>
      <c r="E245" s="64" t="s">
        <v>74</v>
      </c>
      <c r="F245" s="26"/>
      <c r="G245" s="58">
        <f t="shared" si="683"/>
        <v>0</v>
      </c>
      <c r="H245" s="57">
        <f t="shared" si="684"/>
        <v>0</v>
      </c>
      <c r="I245" s="19"/>
      <c r="J245" s="11">
        <f t="shared" si="685"/>
        <v>0</v>
      </c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8"/>
      <c r="AB245" s="56">
        <f t="shared" si="686"/>
        <v>0</v>
      </c>
      <c r="AC245" s="16">
        <f t="shared" si="687"/>
        <v>0</v>
      </c>
      <c r="AD245" s="15" t="e">
        <f t="shared" si="688"/>
        <v>#DIV/0!</v>
      </c>
      <c r="AE245" s="55"/>
      <c r="AF245" s="10" t="e">
        <f t="shared" si="689"/>
        <v>#DIV/0!</v>
      </c>
      <c r="AG245" s="10"/>
      <c r="AH245" s="21">
        <f t="shared" si="690"/>
        <v>0</v>
      </c>
      <c r="AI245" s="54" t="e">
        <f t="shared" si="691"/>
        <v>#DIV/0!</v>
      </c>
      <c r="AJ245" s="25">
        <f t="shared" si="692"/>
        <v>0</v>
      </c>
      <c r="AK245" s="25">
        <f t="shared" si="693"/>
        <v>0</v>
      </c>
      <c r="AL245" s="25">
        <f t="shared" si="694"/>
        <v>0</v>
      </c>
      <c r="AM245" s="25">
        <f t="shared" si="695"/>
        <v>0</v>
      </c>
      <c r="AN245" s="25">
        <f t="shared" si="696"/>
        <v>0</v>
      </c>
      <c r="AO245" s="25">
        <f t="shared" si="697"/>
        <v>0</v>
      </c>
      <c r="AP245" s="25">
        <f t="shared" si="698"/>
        <v>0</v>
      </c>
      <c r="AQ245" s="25">
        <f t="shared" si="699"/>
        <v>0</v>
      </c>
      <c r="AR245" s="25">
        <f t="shared" si="700"/>
        <v>0</v>
      </c>
      <c r="AS245" s="25">
        <f t="shared" si="701"/>
        <v>0</v>
      </c>
      <c r="AT245" s="25">
        <f t="shared" si="702"/>
        <v>0</v>
      </c>
      <c r="AU245" s="48"/>
      <c r="AV245" s="48"/>
      <c r="AW245" s="48"/>
      <c r="AX245" s="48"/>
      <c r="AY245" s="48"/>
      <c r="AZ245" s="48"/>
      <c r="BA245" s="48"/>
      <c r="BB245" s="48"/>
      <c r="BC245" s="48"/>
      <c r="BD245" s="48"/>
      <c r="BE245" s="48"/>
      <c r="BF245" s="48"/>
      <c r="BG245" s="48"/>
      <c r="BH245" s="48"/>
      <c r="BI245" s="48"/>
      <c r="BJ245" s="48"/>
      <c r="BK245" s="48"/>
      <c r="BL245" s="48"/>
      <c r="BM245" s="48"/>
      <c r="BN245" s="48"/>
      <c r="BO245" s="48"/>
      <c r="BP245" s="48"/>
      <c r="BQ245" s="48"/>
      <c r="BR245" s="48"/>
      <c r="BS245" s="48"/>
      <c r="BT245" s="48"/>
      <c r="BU245" s="48"/>
      <c r="BV245" s="48"/>
      <c r="BW245" s="48"/>
      <c r="BX245" s="48"/>
      <c r="BY245" s="48"/>
      <c r="BZ245" s="48"/>
      <c r="CA245" s="48"/>
      <c r="CB245" s="48"/>
      <c r="CC245" s="48"/>
      <c r="CD245" s="48"/>
      <c r="CE245" s="48"/>
      <c r="CF245" s="48"/>
      <c r="CG245" s="48"/>
      <c r="CH245" s="48"/>
      <c r="CI245" s="48"/>
      <c r="CJ245" s="48"/>
      <c r="CK245" s="48"/>
      <c r="CL245" s="48"/>
      <c r="CM245" s="48"/>
      <c r="CN245" s="48"/>
      <c r="CO245" s="48"/>
      <c r="CP245" s="48"/>
      <c r="CQ245" s="48"/>
      <c r="CR245" s="48"/>
      <c r="CS245" s="48"/>
      <c r="CT245" s="48"/>
      <c r="CU245" s="48"/>
      <c r="CV245" s="48"/>
      <c r="CW245" s="48"/>
      <c r="CX245" s="48"/>
      <c r="CY245" s="48"/>
      <c r="CZ245" s="48"/>
      <c r="DA245" s="48"/>
      <c r="DB245" s="48"/>
      <c r="DC245" s="48"/>
      <c r="DD245" s="48"/>
      <c r="DE245" s="48"/>
      <c r="DF245" s="48"/>
      <c r="DG245" s="48"/>
      <c r="DH245" s="48"/>
      <c r="DI245" s="48"/>
      <c r="DJ245" s="48"/>
      <c r="DK245" s="48"/>
      <c r="DL245" s="48"/>
      <c r="DM245" s="48"/>
      <c r="DN245" s="48"/>
      <c r="DO245" s="48"/>
      <c r="DP245" s="48"/>
      <c r="DQ245" s="48"/>
      <c r="DR245" s="48"/>
      <c r="DS245" s="48"/>
      <c r="DT245" s="48"/>
      <c r="DU245" s="48"/>
      <c r="DV245" s="48"/>
      <c r="DW245" s="48"/>
      <c r="DX245" s="48"/>
      <c r="DY245" s="48"/>
      <c r="DZ245" s="48"/>
      <c r="EA245" s="48"/>
      <c r="EB245" s="48"/>
      <c r="EC245" s="48"/>
      <c r="ED245" s="48"/>
      <c r="EE245" s="48"/>
      <c r="EF245" s="48"/>
      <c r="EG245" s="48"/>
      <c r="EH245" s="48"/>
      <c r="EI245" s="48"/>
      <c r="EJ245" s="48"/>
      <c r="EK245" s="48"/>
    </row>
    <row r="246" spans="1:141" s="12" customFormat="1" ht="14.25" hidden="1" customHeight="1">
      <c r="A246" s="25">
        <v>18</v>
      </c>
      <c r="B246" s="26"/>
      <c r="C246" s="25"/>
      <c r="D246" s="63"/>
      <c r="E246" s="64" t="s">
        <v>73</v>
      </c>
      <c r="F246" s="26"/>
      <c r="G246" s="58">
        <f t="shared" si="683"/>
        <v>0</v>
      </c>
      <c r="H246" s="57">
        <f t="shared" si="684"/>
        <v>0</v>
      </c>
      <c r="I246" s="19"/>
      <c r="J246" s="11">
        <f t="shared" si="685"/>
        <v>0</v>
      </c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8"/>
      <c r="AB246" s="56">
        <f t="shared" si="686"/>
        <v>0</v>
      </c>
      <c r="AC246" s="16">
        <f t="shared" si="687"/>
        <v>0</v>
      </c>
      <c r="AD246" s="15" t="e">
        <f t="shared" si="688"/>
        <v>#DIV/0!</v>
      </c>
      <c r="AE246" s="55"/>
      <c r="AF246" s="10" t="e">
        <f t="shared" si="689"/>
        <v>#DIV/0!</v>
      </c>
      <c r="AG246" s="10"/>
      <c r="AH246" s="21">
        <f t="shared" si="690"/>
        <v>0</v>
      </c>
      <c r="AI246" s="54" t="e">
        <f t="shared" si="691"/>
        <v>#DIV/0!</v>
      </c>
      <c r="AJ246" s="25">
        <f t="shared" si="692"/>
        <v>0</v>
      </c>
      <c r="AK246" s="25">
        <f t="shared" si="693"/>
        <v>0</v>
      </c>
      <c r="AL246" s="25">
        <f t="shared" si="694"/>
        <v>0</v>
      </c>
      <c r="AM246" s="25">
        <f t="shared" si="695"/>
        <v>0</v>
      </c>
      <c r="AN246" s="25">
        <f t="shared" si="696"/>
        <v>0</v>
      </c>
      <c r="AO246" s="25">
        <f t="shared" si="697"/>
        <v>0</v>
      </c>
      <c r="AP246" s="25">
        <f t="shared" si="698"/>
        <v>0</v>
      </c>
      <c r="AQ246" s="25">
        <f t="shared" si="699"/>
        <v>0</v>
      </c>
      <c r="AR246" s="25">
        <f t="shared" si="700"/>
        <v>0</v>
      </c>
      <c r="AS246" s="25">
        <f t="shared" si="701"/>
        <v>0</v>
      </c>
      <c r="AT246" s="25">
        <f t="shared" si="702"/>
        <v>0</v>
      </c>
      <c r="AU246" s="48"/>
      <c r="AV246" s="48"/>
      <c r="AW246" s="48"/>
      <c r="AX246" s="48"/>
      <c r="AY246" s="48"/>
      <c r="AZ246" s="48"/>
      <c r="BA246" s="48"/>
      <c r="BB246" s="48"/>
      <c r="BC246" s="48"/>
      <c r="BD246" s="48"/>
      <c r="BE246" s="48"/>
      <c r="BF246" s="48"/>
      <c r="BG246" s="48"/>
      <c r="BH246" s="48"/>
      <c r="BI246" s="48"/>
      <c r="BJ246" s="48"/>
      <c r="BK246" s="48"/>
      <c r="BL246" s="48"/>
      <c r="BM246" s="48"/>
      <c r="BN246" s="48"/>
      <c r="BO246" s="48"/>
      <c r="BP246" s="48"/>
      <c r="BQ246" s="48"/>
      <c r="BR246" s="48"/>
      <c r="BS246" s="48"/>
      <c r="BT246" s="48"/>
      <c r="BU246" s="48"/>
      <c r="BV246" s="48"/>
      <c r="BW246" s="48"/>
      <c r="BX246" s="48"/>
      <c r="BY246" s="48"/>
      <c r="BZ246" s="48"/>
      <c r="CA246" s="48"/>
      <c r="CB246" s="48"/>
      <c r="CC246" s="48"/>
      <c r="CD246" s="48"/>
      <c r="CE246" s="48"/>
      <c r="CF246" s="48"/>
      <c r="CG246" s="48"/>
      <c r="CH246" s="48"/>
      <c r="CI246" s="48"/>
      <c r="CJ246" s="48"/>
      <c r="CK246" s="48"/>
      <c r="CL246" s="48"/>
      <c r="CM246" s="48"/>
      <c r="CN246" s="48"/>
      <c r="CO246" s="48"/>
      <c r="CP246" s="48"/>
      <c r="CQ246" s="48"/>
      <c r="CR246" s="48"/>
      <c r="CS246" s="48"/>
      <c r="CT246" s="48"/>
      <c r="CU246" s="48"/>
      <c r="CV246" s="48"/>
      <c r="CW246" s="48"/>
      <c r="CX246" s="48"/>
      <c r="CY246" s="48"/>
      <c r="CZ246" s="48"/>
      <c r="DA246" s="48"/>
      <c r="DB246" s="48"/>
      <c r="DC246" s="48"/>
      <c r="DD246" s="48"/>
      <c r="DE246" s="48"/>
      <c r="DF246" s="48"/>
      <c r="DG246" s="48"/>
      <c r="DH246" s="48"/>
      <c r="DI246" s="48"/>
      <c r="DJ246" s="48"/>
      <c r="DK246" s="48"/>
      <c r="DL246" s="48"/>
      <c r="DM246" s="48"/>
      <c r="DN246" s="48"/>
      <c r="DO246" s="48"/>
      <c r="DP246" s="48"/>
      <c r="DQ246" s="48"/>
      <c r="DR246" s="48"/>
      <c r="DS246" s="48"/>
      <c r="DT246" s="48"/>
      <c r="DU246" s="48"/>
      <c r="DV246" s="48"/>
      <c r="DW246" s="48"/>
      <c r="DX246" s="48"/>
      <c r="DY246" s="48"/>
      <c r="DZ246" s="48"/>
      <c r="EA246" s="48"/>
      <c r="EB246" s="48"/>
      <c r="EC246" s="48"/>
      <c r="ED246" s="48"/>
      <c r="EE246" s="48"/>
      <c r="EF246" s="48"/>
      <c r="EG246" s="48"/>
      <c r="EH246" s="48"/>
      <c r="EI246" s="48"/>
      <c r="EJ246" s="48"/>
      <c r="EK246" s="48"/>
    </row>
    <row r="247" spans="1:141" s="12" customFormat="1" ht="14.25" hidden="1" customHeight="1">
      <c r="A247" s="25">
        <v>19</v>
      </c>
      <c r="B247" s="26"/>
      <c r="C247" s="25"/>
      <c r="D247" s="63"/>
      <c r="E247" s="64" t="s">
        <v>72</v>
      </c>
      <c r="F247" s="26"/>
      <c r="G247" s="58">
        <f t="shared" si="683"/>
        <v>0</v>
      </c>
      <c r="H247" s="57">
        <f t="shared" si="684"/>
        <v>0</v>
      </c>
      <c r="I247" s="19"/>
      <c r="J247" s="11">
        <f t="shared" si="685"/>
        <v>0</v>
      </c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8"/>
      <c r="AB247" s="56">
        <f t="shared" si="686"/>
        <v>0</v>
      </c>
      <c r="AC247" s="16">
        <f t="shared" si="687"/>
        <v>0</v>
      </c>
      <c r="AD247" s="15" t="e">
        <f t="shared" si="688"/>
        <v>#DIV/0!</v>
      </c>
      <c r="AE247" s="55"/>
      <c r="AF247" s="10" t="e">
        <f t="shared" si="689"/>
        <v>#DIV/0!</v>
      </c>
      <c r="AG247" s="10"/>
      <c r="AH247" s="21">
        <f t="shared" si="690"/>
        <v>0</v>
      </c>
      <c r="AI247" s="54" t="e">
        <f t="shared" si="691"/>
        <v>#DIV/0!</v>
      </c>
      <c r="AJ247" s="25">
        <f t="shared" si="692"/>
        <v>0</v>
      </c>
      <c r="AK247" s="25">
        <f t="shared" si="693"/>
        <v>0</v>
      </c>
      <c r="AL247" s="25">
        <f t="shared" si="694"/>
        <v>0</v>
      </c>
      <c r="AM247" s="25">
        <f t="shared" si="695"/>
        <v>0</v>
      </c>
      <c r="AN247" s="25">
        <f t="shared" si="696"/>
        <v>0</v>
      </c>
      <c r="AO247" s="25">
        <f t="shared" si="697"/>
        <v>0</v>
      </c>
      <c r="AP247" s="25">
        <f t="shared" si="698"/>
        <v>0</v>
      </c>
      <c r="AQ247" s="25">
        <f t="shared" si="699"/>
        <v>0</v>
      </c>
      <c r="AR247" s="25">
        <f t="shared" si="700"/>
        <v>0</v>
      </c>
      <c r="AS247" s="25">
        <f t="shared" si="701"/>
        <v>0</v>
      </c>
      <c r="AT247" s="25">
        <f t="shared" si="702"/>
        <v>0</v>
      </c>
      <c r="AU247" s="48"/>
      <c r="AV247" s="48"/>
      <c r="AW247" s="48"/>
      <c r="AX247" s="48"/>
      <c r="AY247" s="48"/>
      <c r="AZ247" s="48"/>
      <c r="BA247" s="48"/>
      <c r="BB247" s="48"/>
      <c r="BC247" s="48"/>
      <c r="BD247" s="48"/>
      <c r="BE247" s="48"/>
      <c r="BF247" s="48"/>
      <c r="BG247" s="48"/>
      <c r="BH247" s="48"/>
      <c r="BI247" s="48"/>
      <c r="BJ247" s="48"/>
      <c r="BK247" s="48"/>
      <c r="BL247" s="48"/>
      <c r="BM247" s="48"/>
      <c r="BN247" s="48"/>
      <c r="BO247" s="48"/>
      <c r="BP247" s="48"/>
      <c r="BQ247" s="48"/>
      <c r="BR247" s="48"/>
      <c r="BS247" s="48"/>
      <c r="BT247" s="48"/>
      <c r="BU247" s="48"/>
      <c r="BV247" s="48"/>
      <c r="BW247" s="48"/>
      <c r="BX247" s="48"/>
      <c r="BY247" s="48"/>
      <c r="BZ247" s="48"/>
      <c r="CA247" s="48"/>
      <c r="CB247" s="48"/>
      <c r="CC247" s="48"/>
      <c r="CD247" s="48"/>
      <c r="CE247" s="48"/>
      <c r="CF247" s="48"/>
      <c r="CG247" s="48"/>
      <c r="CH247" s="48"/>
      <c r="CI247" s="48"/>
      <c r="CJ247" s="48"/>
      <c r="CK247" s="48"/>
      <c r="CL247" s="48"/>
      <c r="CM247" s="48"/>
      <c r="CN247" s="48"/>
      <c r="CO247" s="48"/>
      <c r="CP247" s="48"/>
      <c r="CQ247" s="48"/>
      <c r="CR247" s="48"/>
      <c r="CS247" s="48"/>
      <c r="CT247" s="48"/>
      <c r="CU247" s="48"/>
      <c r="CV247" s="48"/>
      <c r="CW247" s="48"/>
      <c r="CX247" s="48"/>
      <c r="CY247" s="48"/>
      <c r="CZ247" s="48"/>
      <c r="DA247" s="48"/>
      <c r="DB247" s="48"/>
      <c r="DC247" s="48"/>
      <c r="DD247" s="48"/>
      <c r="DE247" s="48"/>
      <c r="DF247" s="48"/>
      <c r="DG247" s="48"/>
      <c r="DH247" s="48"/>
      <c r="DI247" s="48"/>
      <c r="DJ247" s="48"/>
      <c r="DK247" s="48"/>
      <c r="DL247" s="48"/>
      <c r="DM247" s="48"/>
      <c r="DN247" s="48"/>
      <c r="DO247" s="48"/>
      <c r="DP247" s="48"/>
      <c r="DQ247" s="48"/>
      <c r="DR247" s="48"/>
      <c r="DS247" s="48"/>
      <c r="DT247" s="48"/>
      <c r="DU247" s="48"/>
      <c r="DV247" s="48"/>
      <c r="DW247" s="48"/>
      <c r="DX247" s="48"/>
      <c r="DY247" s="48"/>
      <c r="DZ247" s="48"/>
      <c r="EA247" s="48"/>
      <c r="EB247" s="48"/>
      <c r="EC247" s="48"/>
      <c r="ED247" s="48"/>
      <c r="EE247" s="48"/>
      <c r="EF247" s="48"/>
      <c r="EG247" s="48"/>
      <c r="EH247" s="48"/>
      <c r="EI247" s="48"/>
      <c r="EJ247" s="48"/>
      <c r="EK247" s="48"/>
    </row>
    <row r="248" spans="1:141" s="12" customFormat="1" ht="14.25" hidden="1" customHeight="1">
      <c r="A248" s="25">
        <v>20</v>
      </c>
      <c r="B248" s="26"/>
      <c r="C248" s="25"/>
      <c r="D248" s="63"/>
      <c r="E248" s="64" t="s">
        <v>71</v>
      </c>
      <c r="F248" s="26"/>
      <c r="G248" s="58">
        <f t="shared" si="683"/>
        <v>0</v>
      </c>
      <c r="H248" s="57">
        <f t="shared" si="684"/>
        <v>0</v>
      </c>
      <c r="I248" s="19"/>
      <c r="J248" s="11">
        <f t="shared" si="685"/>
        <v>0</v>
      </c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8"/>
      <c r="AB248" s="56">
        <f t="shared" si="686"/>
        <v>0</v>
      </c>
      <c r="AC248" s="16">
        <f t="shared" si="687"/>
        <v>0</v>
      </c>
      <c r="AD248" s="15" t="e">
        <f t="shared" si="688"/>
        <v>#DIV/0!</v>
      </c>
      <c r="AE248" s="55"/>
      <c r="AF248" s="10" t="e">
        <f t="shared" si="689"/>
        <v>#DIV/0!</v>
      </c>
      <c r="AG248" s="10"/>
      <c r="AH248" s="21">
        <f t="shared" si="690"/>
        <v>0</v>
      </c>
      <c r="AI248" s="54" t="e">
        <f t="shared" si="691"/>
        <v>#DIV/0!</v>
      </c>
      <c r="AJ248" s="25">
        <f t="shared" si="692"/>
        <v>0</v>
      </c>
      <c r="AK248" s="25">
        <f t="shared" si="693"/>
        <v>0</v>
      </c>
      <c r="AL248" s="25">
        <f t="shared" si="694"/>
        <v>0</v>
      </c>
      <c r="AM248" s="25">
        <f t="shared" si="695"/>
        <v>0</v>
      </c>
      <c r="AN248" s="25">
        <f t="shared" si="696"/>
        <v>0</v>
      </c>
      <c r="AO248" s="25">
        <f t="shared" si="697"/>
        <v>0</v>
      </c>
      <c r="AP248" s="25">
        <f t="shared" si="698"/>
        <v>0</v>
      </c>
      <c r="AQ248" s="25">
        <f t="shared" si="699"/>
        <v>0</v>
      </c>
      <c r="AR248" s="25">
        <f t="shared" si="700"/>
        <v>0</v>
      </c>
      <c r="AS248" s="25">
        <f t="shared" si="701"/>
        <v>0</v>
      </c>
      <c r="AT248" s="25">
        <f t="shared" si="702"/>
        <v>0</v>
      </c>
      <c r="AU248" s="48"/>
      <c r="AV248" s="48"/>
      <c r="AW248" s="48"/>
      <c r="AX248" s="48"/>
      <c r="AY248" s="48"/>
      <c r="AZ248" s="48"/>
      <c r="BA248" s="48"/>
      <c r="BB248" s="48"/>
      <c r="BC248" s="48"/>
      <c r="BD248" s="48"/>
      <c r="BE248" s="48"/>
      <c r="BF248" s="48"/>
      <c r="BG248" s="48"/>
      <c r="BH248" s="48"/>
      <c r="BI248" s="48"/>
      <c r="BJ248" s="48"/>
      <c r="BK248" s="48"/>
      <c r="BL248" s="48"/>
      <c r="BM248" s="48"/>
      <c r="BN248" s="48"/>
      <c r="BO248" s="48"/>
      <c r="BP248" s="48"/>
      <c r="BQ248" s="48"/>
      <c r="BR248" s="48"/>
      <c r="BS248" s="48"/>
      <c r="BT248" s="48"/>
      <c r="BU248" s="48"/>
      <c r="BV248" s="48"/>
      <c r="BW248" s="48"/>
      <c r="BX248" s="48"/>
      <c r="BY248" s="48"/>
      <c r="BZ248" s="48"/>
      <c r="CA248" s="48"/>
      <c r="CB248" s="48"/>
      <c r="CC248" s="48"/>
      <c r="CD248" s="48"/>
      <c r="CE248" s="48"/>
      <c r="CF248" s="48"/>
      <c r="CG248" s="48"/>
      <c r="CH248" s="48"/>
      <c r="CI248" s="48"/>
      <c r="CJ248" s="48"/>
      <c r="CK248" s="48"/>
      <c r="CL248" s="48"/>
      <c r="CM248" s="48"/>
      <c r="CN248" s="48"/>
      <c r="CO248" s="48"/>
      <c r="CP248" s="48"/>
      <c r="CQ248" s="48"/>
      <c r="CR248" s="48"/>
      <c r="CS248" s="48"/>
      <c r="CT248" s="48"/>
      <c r="CU248" s="48"/>
      <c r="CV248" s="48"/>
      <c r="CW248" s="48"/>
      <c r="CX248" s="48"/>
      <c r="CY248" s="48"/>
      <c r="CZ248" s="48"/>
      <c r="DA248" s="48"/>
      <c r="DB248" s="48"/>
      <c r="DC248" s="48"/>
      <c r="DD248" s="48"/>
      <c r="DE248" s="48"/>
      <c r="DF248" s="48"/>
      <c r="DG248" s="48"/>
      <c r="DH248" s="48"/>
      <c r="DI248" s="48"/>
      <c r="DJ248" s="48"/>
      <c r="DK248" s="48"/>
      <c r="DL248" s="48"/>
      <c r="DM248" s="48"/>
      <c r="DN248" s="48"/>
      <c r="DO248" s="48"/>
      <c r="DP248" s="48"/>
      <c r="DQ248" s="48"/>
      <c r="DR248" s="48"/>
      <c r="DS248" s="48"/>
      <c r="DT248" s="48"/>
      <c r="DU248" s="48"/>
      <c r="DV248" s="48"/>
      <c r="DW248" s="48"/>
      <c r="DX248" s="48"/>
      <c r="DY248" s="48"/>
      <c r="DZ248" s="48"/>
      <c r="EA248" s="48"/>
      <c r="EB248" s="48"/>
      <c r="EC248" s="48"/>
      <c r="ED248" s="48"/>
      <c r="EE248" s="48"/>
      <c r="EF248" s="48"/>
      <c r="EG248" s="48"/>
      <c r="EH248" s="48"/>
      <c r="EI248" s="48"/>
      <c r="EJ248" s="48"/>
      <c r="EK248" s="48"/>
    </row>
    <row r="249" spans="1:141" s="12" customFormat="1" ht="14.25" hidden="1" customHeight="1">
      <c r="A249" s="25">
        <v>21</v>
      </c>
      <c r="B249" s="26"/>
      <c r="C249" s="25"/>
      <c r="D249" s="63"/>
      <c r="E249" s="64" t="s">
        <v>70</v>
      </c>
      <c r="F249" s="26"/>
      <c r="G249" s="58">
        <f t="shared" si="683"/>
        <v>0</v>
      </c>
      <c r="H249" s="57">
        <f t="shared" si="684"/>
        <v>0</v>
      </c>
      <c r="I249" s="19"/>
      <c r="J249" s="11">
        <f t="shared" si="685"/>
        <v>0</v>
      </c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8"/>
      <c r="AB249" s="56">
        <f t="shared" si="686"/>
        <v>0</v>
      </c>
      <c r="AC249" s="16">
        <f t="shared" si="687"/>
        <v>0</v>
      </c>
      <c r="AD249" s="15" t="e">
        <f t="shared" si="688"/>
        <v>#DIV/0!</v>
      </c>
      <c r="AE249" s="55"/>
      <c r="AF249" s="10" t="e">
        <f t="shared" si="689"/>
        <v>#DIV/0!</v>
      </c>
      <c r="AG249" s="10"/>
      <c r="AH249" s="21">
        <f t="shared" si="690"/>
        <v>0</v>
      </c>
      <c r="AI249" s="54" t="e">
        <f t="shared" si="691"/>
        <v>#DIV/0!</v>
      </c>
      <c r="AJ249" s="25">
        <f t="shared" si="692"/>
        <v>0</v>
      </c>
      <c r="AK249" s="25">
        <f t="shared" si="693"/>
        <v>0</v>
      </c>
      <c r="AL249" s="25">
        <f t="shared" si="694"/>
        <v>0</v>
      </c>
      <c r="AM249" s="25">
        <f t="shared" si="695"/>
        <v>0</v>
      </c>
      <c r="AN249" s="25">
        <f t="shared" si="696"/>
        <v>0</v>
      </c>
      <c r="AO249" s="25">
        <f t="shared" si="697"/>
        <v>0</v>
      </c>
      <c r="AP249" s="25">
        <f t="shared" si="698"/>
        <v>0</v>
      </c>
      <c r="AQ249" s="25">
        <f t="shared" si="699"/>
        <v>0</v>
      </c>
      <c r="AR249" s="25">
        <f t="shared" si="700"/>
        <v>0</v>
      </c>
      <c r="AS249" s="25">
        <f t="shared" si="701"/>
        <v>0</v>
      </c>
      <c r="AT249" s="25">
        <f t="shared" si="702"/>
        <v>0</v>
      </c>
      <c r="AU249" s="48"/>
      <c r="AV249" s="48"/>
      <c r="AW249" s="48"/>
      <c r="AX249" s="48"/>
      <c r="AY249" s="48"/>
      <c r="AZ249" s="48"/>
      <c r="BA249" s="48"/>
      <c r="BB249" s="48"/>
      <c r="BC249" s="48"/>
      <c r="BD249" s="48"/>
      <c r="BE249" s="48"/>
      <c r="BF249" s="48"/>
      <c r="BG249" s="48"/>
      <c r="BH249" s="48"/>
      <c r="BI249" s="48"/>
      <c r="BJ249" s="48"/>
      <c r="BK249" s="48"/>
      <c r="BL249" s="48"/>
      <c r="BM249" s="48"/>
      <c r="BN249" s="48"/>
      <c r="BO249" s="48"/>
      <c r="BP249" s="48"/>
      <c r="BQ249" s="48"/>
      <c r="BR249" s="48"/>
      <c r="BS249" s="48"/>
      <c r="BT249" s="48"/>
      <c r="BU249" s="48"/>
      <c r="BV249" s="48"/>
      <c r="BW249" s="48"/>
      <c r="BX249" s="48"/>
      <c r="BY249" s="48"/>
      <c r="BZ249" s="48"/>
      <c r="CA249" s="48"/>
      <c r="CB249" s="48"/>
      <c r="CC249" s="48"/>
      <c r="CD249" s="48"/>
      <c r="CE249" s="48"/>
      <c r="CF249" s="48"/>
      <c r="CG249" s="48"/>
      <c r="CH249" s="48"/>
      <c r="CI249" s="48"/>
      <c r="CJ249" s="48"/>
      <c r="CK249" s="48"/>
      <c r="CL249" s="48"/>
      <c r="CM249" s="48"/>
      <c r="CN249" s="48"/>
      <c r="CO249" s="48"/>
      <c r="CP249" s="48"/>
      <c r="CQ249" s="48"/>
      <c r="CR249" s="48"/>
      <c r="CS249" s="48"/>
      <c r="CT249" s="48"/>
      <c r="CU249" s="48"/>
      <c r="CV249" s="48"/>
      <c r="CW249" s="48"/>
      <c r="CX249" s="48"/>
      <c r="CY249" s="48"/>
      <c r="CZ249" s="48"/>
      <c r="DA249" s="48"/>
      <c r="DB249" s="48"/>
      <c r="DC249" s="48"/>
      <c r="DD249" s="48"/>
      <c r="DE249" s="48"/>
      <c r="DF249" s="48"/>
      <c r="DG249" s="48"/>
      <c r="DH249" s="48"/>
      <c r="DI249" s="48"/>
      <c r="DJ249" s="48"/>
      <c r="DK249" s="48"/>
      <c r="DL249" s="48"/>
      <c r="DM249" s="48"/>
      <c r="DN249" s="48"/>
      <c r="DO249" s="48"/>
      <c r="DP249" s="48"/>
      <c r="DQ249" s="48"/>
      <c r="DR249" s="48"/>
      <c r="DS249" s="48"/>
      <c r="DT249" s="48"/>
      <c r="DU249" s="48"/>
      <c r="DV249" s="48"/>
      <c r="DW249" s="48"/>
      <c r="DX249" s="48"/>
      <c r="DY249" s="48"/>
      <c r="DZ249" s="48"/>
      <c r="EA249" s="48"/>
      <c r="EB249" s="48"/>
      <c r="EC249" s="48"/>
      <c r="ED249" s="48"/>
      <c r="EE249" s="48"/>
      <c r="EF249" s="48"/>
      <c r="EG249" s="48"/>
      <c r="EH249" s="48"/>
      <c r="EI249" s="48"/>
      <c r="EJ249" s="48"/>
      <c r="EK249" s="48"/>
    </row>
    <row r="250" spans="1:141" s="12" customFormat="1" ht="14.25" hidden="1" customHeight="1">
      <c r="A250" s="25">
        <v>22</v>
      </c>
      <c r="B250" s="26"/>
      <c r="C250" s="25"/>
      <c r="D250" s="65"/>
      <c r="E250" s="64" t="s">
        <v>69</v>
      </c>
      <c r="F250" s="26"/>
      <c r="G250" s="58">
        <f t="shared" si="683"/>
        <v>0</v>
      </c>
      <c r="H250" s="57">
        <f t="shared" si="684"/>
        <v>0</v>
      </c>
      <c r="I250" s="19"/>
      <c r="J250" s="11">
        <f t="shared" si="685"/>
        <v>0</v>
      </c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8"/>
      <c r="AB250" s="56">
        <f t="shared" si="686"/>
        <v>0</v>
      </c>
      <c r="AC250" s="16">
        <f t="shared" si="687"/>
        <v>0</v>
      </c>
      <c r="AD250" s="15" t="e">
        <f t="shared" si="688"/>
        <v>#DIV/0!</v>
      </c>
      <c r="AE250" s="55"/>
      <c r="AF250" s="10" t="e">
        <f t="shared" si="689"/>
        <v>#DIV/0!</v>
      </c>
      <c r="AG250" s="10"/>
      <c r="AH250" s="21">
        <f t="shared" si="690"/>
        <v>0</v>
      </c>
      <c r="AI250" s="54" t="e">
        <f t="shared" si="691"/>
        <v>#DIV/0!</v>
      </c>
      <c r="AJ250" s="25">
        <f t="shared" si="692"/>
        <v>0</v>
      </c>
      <c r="AK250" s="25">
        <f t="shared" si="693"/>
        <v>0</v>
      </c>
      <c r="AL250" s="25">
        <f t="shared" si="694"/>
        <v>0</v>
      </c>
      <c r="AM250" s="25">
        <f t="shared" si="695"/>
        <v>0</v>
      </c>
      <c r="AN250" s="25">
        <f t="shared" si="696"/>
        <v>0</v>
      </c>
      <c r="AO250" s="25">
        <f t="shared" si="697"/>
        <v>0</v>
      </c>
      <c r="AP250" s="25">
        <f t="shared" si="698"/>
        <v>0</v>
      </c>
      <c r="AQ250" s="25">
        <f t="shared" si="699"/>
        <v>0</v>
      </c>
      <c r="AR250" s="25">
        <f t="shared" si="700"/>
        <v>0</v>
      </c>
      <c r="AS250" s="25">
        <f t="shared" si="701"/>
        <v>0</v>
      </c>
      <c r="AT250" s="25">
        <f t="shared" si="702"/>
        <v>0</v>
      </c>
      <c r="AU250" s="48"/>
      <c r="AV250" s="48"/>
      <c r="AW250" s="48"/>
      <c r="AX250" s="48"/>
      <c r="AY250" s="48"/>
      <c r="AZ250" s="48"/>
      <c r="BA250" s="48"/>
      <c r="BB250" s="48"/>
      <c r="BC250" s="48"/>
      <c r="BD250" s="48"/>
      <c r="BE250" s="48"/>
      <c r="BF250" s="48"/>
      <c r="BG250" s="48"/>
      <c r="BH250" s="48"/>
      <c r="BI250" s="48"/>
      <c r="BJ250" s="48"/>
      <c r="BK250" s="48"/>
      <c r="BL250" s="48"/>
      <c r="BM250" s="48"/>
      <c r="BN250" s="48"/>
      <c r="BO250" s="48"/>
      <c r="BP250" s="48"/>
      <c r="BQ250" s="48"/>
      <c r="BR250" s="48"/>
      <c r="BS250" s="48"/>
      <c r="BT250" s="48"/>
      <c r="BU250" s="48"/>
      <c r="BV250" s="48"/>
      <c r="BW250" s="48"/>
      <c r="BX250" s="48"/>
      <c r="BY250" s="48"/>
      <c r="BZ250" s="48"/>
      <c r="CA250" s="48"/>
      <c r="CB250" s="48"/>
      <c r="CC250" s="48"/>
      <c r="CD250" s="48"/>
      <c r="CE250" s="48"/>
      <c r="CF250" s="48"/>
      <c r="CG250" s="48"/>
      <c r="CH250" s="48"/>
      <c r="CI250" s="48"/>
      <c r="CJ250" s="48"/>
      <c r="CK250" s="48"/>
      <c r="CL250" s="48"/>
      <c r="CM250" s="48"/>
      <c r="CN250" s="48"/>
      <c r="CO250" s="48"/>
      <c r="CP250" s="48"/>
      <c r="CQ250" s="48"/>
      <c r="CR250" s="48"/>
      <c r="CS250" s="48"/>
      <c r="CT250" s="48"/>
      <c r="CU250" s="48"/>
      <c r="CV250" s="48"/>
      <c r="CW250" s="48"/>
      <c r="CX250" s="48"/>
      <c r="CY250" s="48"/>
      <c r="CZ250" s="48"/>
      <c r="DA250" s="48"/>
      <c r="DB250" s="48"/>
      <c r="DC250" s="48"/>
      <c r="DD250" s="48"/>
      <c r="DE250" s="48"/>
      <c r="DF250" s="48"/>
      <c r="DG250" s="48"/>
      <c r="DH250" s="48"/>
      <c r="DI250" s="48"/>
      <c r="DJ250" s="48"/>
      <c r="DK250" s="48"/>
      <c r="DL250" s="48"/>
      <c r="DM250" s="48"/>
      <c r="DN250" s="48"/>
      <c r="DO250" s="48"/>
      <c r="DP250" s="48"/>
      <c r="DQ250" s="48"/>
      <c r="DR250" s="48"/>
      <c r="DS250" s="48"/>
      <c r="DT250" s="48"/>
      <c r="DU250" s="48"/>
      <c r="DV250" s="48"/>
      <c r="DW250" s="48"/>
      <c r="DX250" s="48"/>
      <c r="DY250" s="48"/>
      <c r="DZ250" s="48"/>
      <c r="EA250" s="48"/>
      <c r="EB250" s="48"/>
      <c r="EC250" s="48"/>
      <c r="ED250" s="48"/>
      <c r="EE250" s="48"/>
      <c r="EF250" s="48"/>
      <c r="EG250" s="48"/>
      <c r="EH250" s="48"/>
      <c r="EI250" s="48"/>
      <c r="EJ250" s="48"/>
      <c r="EK250" s="48"/>
    </row>
    <row r="251" spans="1:141" s="12" customFormat="1" ht="14.25" hidden="1" customHeight="1">
      <c r="A251" s="25">
        <v>23</v>
      </c>
      <c r="B251" s="26"/>
      <c r="C251" s="25"/>
      <c r="D251" s="63"/>
      <c r="E251" s="62" t="s">
        <v>68</v>
      </c>
      <c r="F251" s="61"/>
      <c r="G251" s="58">
        <f t="shared" si="683"/>
        <v>0</v>
      </c>
      <c r="H251" s="57">
        <f t="shared" si="684"/>
        <v>0</v>
      </c>
      <c r="I251" s="19"/>
      <c r="J251" s="11">
        <f t="shared" si="685"/>
        <v>0</v>
      </c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8"/>
      <c r="AB251" s="56">
        <f t="shared" si="686"/>
        <v>0</v>
      </c>
      <c r="AC251" s="16">
        <f t="shared" si="687"/>
        <v>0</v>
      </c>
      <c r="AD251" s="15" t="e">
        <f t="shared" si="688"/>
        <v>#DIV/0!</v>
      </c>
      <c r="AE251" s="55"/>
      <c r="AF251" s="10" t="e">
        <f t="shared" si="689"/>
        <v>#DIV/0!</v>
      </c>
      <c r="AG251" s="10"/>
      <c r="AH251" s="21">
        <f t="shared" si="690"/>
        <v>0</v>
      </c>
      <c r="AI251" s="54" t="e">
        <f t="shared" si="691"/>
        <v>#DIV/0!</v>
      </c>
      <c r="AJ251" s="25">
        <f t="shared" si="692"/>
        <v>0</v>
      </c>
      <c r="AK251" s="25">
        <f t="shared" si="693"/>
        <v>0</v>
      </c>
      <c r="AL251" s="25">
        <f t="shared" si="694"/>
        <v>0</v>
      </c>
      <c r="AM251" s="25">
        <f t="shared" si="695"/>
        <v>0</v>
      </c>
      <c r="AN251" s="25">
        <f t="shared" si="696"/>
        <v>0</v>
      </c>
      <c r="AO251" s="25">
        <f t="shared" si="697"/>
        <v>0</v>
      </c>
      <c r="AP251" s="25">
        <f t="shared" si="698"/>
        <v>0</v>
      </c>
      <c r="AQ251" s="25">
        <f t="shared" si="699"/>
        <v>0</v>
      </c>
      <c r="AR251" s="25">
        <f t="shared" si="700"/>
        <v>0</v>
      </c>
      <c r="AS251" s="25">
        <f t="shared" si="701"/>
        <v>0</v>
      </c>
      <c r="AT251" s="25">
        <f t="shared" si="702"/>
        <v>0</v>
      </c>
      <c r="AU251" s="48"/>
      <c r="AV251" s="48"/>
      <c r="AW251" s="48"/>
      <c r="AX251" s="48"/>
      <c r="AY251" s="48"/>
      <c r="AZ251" s="48"/>
      <c r="BA251" s="48"/>
      <c r="BB251" s="48"/>
      <c r="BC251" s="48"/>
      <c r="BD251" s="48"/>
      <c r="BE251" s="48"/>
      <c r="BF251" s="48"/>
      <c r="BG251" s="48"/>
      <c r="BH251" s="48"/>
      <c r="BI251" s="48"/>
      <c r="BJ251" s="48"/>
      <c r="BK251" s="48"/>
      <c r="BL251" s="48"/>
      <c r="BM251" s="48"/>
      <c r="BN251" s="48"/>
      <c r="BO251" s="48"/>
      <c r="BP251" s="48"/>
      <c r="BQ251" s="48"/>
      <c r="BR251" s="48"/>
      <c r="BS251" s="48"/>
      <c r="BT251" s="48"/>
      <c r="BU251" s="48"/>
      <c r="BV251" s="48"/>
      <c r="BW251" s="48"/>
      <c r="BX251" s="48"/>
      <c r="BY251" s="48"/>
      <c r="BZ251" s="48"/>
      <c r="CA251" s="48"/>
      <c r="CB251" s="48"/>
      <c r="CC251" s="48"/>
      <c r="CD251" s="48"/>
      <c r="CE251" s="48"/>
      <c r="CF251" s="48"/>
      <c r="CG251" s="48"/>
      <c r="CH251" s="48"/>
      <c r="CI251" s="48"/>
      <c r="CJ251" s="48"/>
      <c r="CK251" s="48"/>
      <c r="CL251" s="48"/>
      <c r="CM251" s="48"/>
      <c r="CN251" s="48"/>
      <c r="CO251" s="48"/>
      <c r="CP251" s="48"/>
      <c r="CQ251" s="48"/>
      <c r="CR251" s="48"/>
      <c r="CS251" s="48"/>
      <c r="CT251" s="48"/>
      <c r="CU251" s="48"/>
      <c r="CV251" s="48"/>
      <c r="CW251" s="48"/>
      <c r="CX251" s="48"/>
      <c r="CY251" s="48"/>
      <c r="CZ251" s="48"/>
      <c r="DA251" s="48"/>
      <c r="DB251" s="48"/>
      <c r="DC251" s="48"/>
      <c r="DD251" s="48"/>
      <c r="DE251" s="48"/>
      <c r="DF251" s="48"/>
      <c r="DG251" s="48"/>
      <c r="DH251" s="48"/>
      <c r="DI251" s="48"/>
      <c r="DJ251" s="48"/>
      <c r="DK251" s="48"/>
      <c r="DL251" s="48"/>
      <c r="DM251" s="48"/>
      <c r="DN251" s="48"/>
      <c r="DO251" s="48"/>
      <c r="DP251" s="48"/>
      <c r="DQ251" s="48"/>
      <c r="DR251" s="48"/>
      <c r="DS251" s="48"/>
      <c r="DT251" s="48"/>
      <c r="DU251" s="48"/>
      <c r="DV251" s="48"/>
      <c r="DW251" s="48"/>
      <c r="DX251" s="48"/>
      <c r="DY251" s="48"/>
      <c r="DZ251" s="48"/>
      <c r="EA251" s="48"/>
      <c r="EB251" s="48"/>
      <c r="EC251" s="48"/>
      <c r="ED251" s="48"/>
      <c r="EE251" s="48"/>
      <c r="EF251" s="48"/>
      <c r="EG251" s="48"/>
      <c r="EH251" s="48"/>
      <c r="EI251" s="48"/>
      <c r="EJ251" s="48"/>
      <c r="EK251" s="48"/>
    </row>
    <row r="252" spans="1:141" s="12" customFormat="1" ht="14.25" hidden="1" customHeight="1">
      <c r="A252" s="25">
        <v>24</v>
      </c>
      <c r="B252" s="26"/>
      <c r="C252" s="25"/>
      <c r="D252" s="24"/>
      <c r="E252" s="62" t="s">
        <v>67</v>
      </c>
      <c r="F252" s="61"/>
      <c r="G252" s="58">
        <f t="shared" si="683"/>
        <v>0</v>
      </c>
      <c r="H252" s="57">
        <f t="shared" si="684"/>
        <v>0</v>
      </c>
      <c r="I252" s="19"/>
      <c r="J252" s="11">
        <f t="shared" si="685"/>
        <v>0</v>
      </c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8"/>
      <c r="AB252" s="56">
        <f t="shared" si="686"/>
        <v>0</v>
      </c>
      <c r="AC252" s="16">
        <f t="shared" si="687"/>
        <v>0</v>
      </c>
      <c r="AD252" s="15" t="e">
        <f t="shared" si="688"/>
        <v>#DIV/0!</v>
      </c>
      <c r="AE252" s="55"/>
      <c r="AF252" s="10" t="e">
        <f t="shared" si="689"/>
        <v>#DIV/0!</v>
      </c>
      <c r="AG252" s="10"/>
      <c r="AH252" s="21">
        <f t="shared" si="690"/>
        <v>0</v>
      </c>
      <c r="AI252" s="54" t="e">
        <f t="shared" si="691"/>
        <v>#DIV/0!</v>
      </c>
      <c r="AJ252" s="25">
        <f t="shared" si="692"/>
        <v>0</v>
      </c>
      <c r="AK252" s="25">
        <f t="shared" si="693"/>
        <v>0</v>
      </c>
      <c r="AL252" s="25">
        <f t="shared" si="694"/>
        <v>0</v>
      </c>
      <c r="AM252" s="25">
        <f t="shared" si="695"/>
        <v>0</v>
      </c>
      <c r="AN252" s="25">
        <f t="shared" si="696"/>
        <v>0</v>
      </c>
      <c r="AO252" s="25">
        <f t="shared" si="697"/>
        <v>0</v>
      </c>
      <c r="AP252" s="25">
        <f t="shared" si="698"/>
        <v>0</v>
      </c>
      <c r="AQ252" s="25">
        <f t="shared" si="699"/>
        <v>0</v>
      </c>
      <c r="AR252" s="25">
        <f t="shared" si="700"/>
        <v>0</v>
      </c>
      <c r="AS252" s="25">
        <f t="shared" si="701"/>
        <v>0</v>
      </c>
      <c r="AT252" s="25">
        <f t="shared" si="702"/>
        <v>0</v>
      </c>
      <c r="AU252" s="48"/>
      <c r="AV252" s="48"/>
      <c r="AW252" s="48"/>
      <c r="AX252" s="48"/>
      <c r="AY252" s="48"/>
      <c r="AZ252" s="48"/>
      <c r="BA252" s="48"/>
      <c r="BB252" s="48"/>
      <c r="BC252" s="48"/>
      <c r="BD252" s="48"/>
      <c r="BE252" s="48"/>
      <c r="BF252" s="48"/>
      <c r="BG252" s="48"/>
      <c r="BH252" s="48"/>
      <c r="BI252" s="48"/>
      <c r="BJ252" s="48"/>
      <c r="BK252" s="48"/>
      <c r="BL252" s="48"/>
      <c r="BM252" s="48"/>
      <c r="BN252" s="48"/>
      <c r="BO252" s="48"/>
      <c r="BP252" s="48"/>
      <c r="BQ252" s="48"/>
      <c r="BR252" s="48"/>
      <c r="BS252" s="48"/>
      <c r="BT252" s="48"/>
      <c r="BU252" s="48"/>
      <c r="BV252" s="48"/>
      <c r="BW252" s="48"/>
      <c r="BX252" s="48"/>
      <c r="BY252" s="48"/>
      <c r="BZ252" s="48"/>
      <c r="CA252" s="48"/>
      <c r="CB252" s="48"/>
      <c r="CC252" s="48"/>
      <c r="CD252" s="48"/>
      <c r="CE252" s="48"/>
      <c r="CF252" s="48"/>
      <c r="CG252" s="48"/>
      <c r="CH252" s="48"/>
      <c r="CI252" s="48"/>
      <c r="CJ252" s="48"/>
      <c r="CK252" s="48"/>
      <c r="CL252" s="48"/>
      <c r="CM252" s="48"/>
      <c r="CN252" s="48"/>
      <c r="CO252" s="48"/>
      <c r="CP252" s="48"/>
      <c r="CQ252" s="48"/>
      <c r="CR252" s="48"/>
      <c r="CS252" s="48"/>
      <c r="CT252" s="48"/>
      <c r="CU252" s="48"/>
      <c r="CV252" s="48"/>
      <c r="CW252" s="48"/>
      <c r="CX252" s="48"/>
      <c r="CY252" s="48"/>
      <c r="CZ252" s="48"/>
      <c r="DA252" s="48"/>
      <c r="DB252" s="48"/>
      <c r="DC252" s="48"/>
      <c r="DD252" s="48"/>
      <c r="DE252" s="48"/>
      <c r="DF252" s="48"/>
      <c r="DG252" s="48"/>
      <c r="DH252" s="48"/>
      <c r="DI252" s="48"/>
      <c r="DJ252" s="48"/>
      <c r="DK252" s="48"/>
      <c r="DL252" s="48"/>
      <c r="DM252" s="48"/>
      <c r="DN252" s="48"/>
      <c r="DO252" s="48"/>
      <c r="DP252" s="48"/>
      <c r="DQ252" s="48"/>
      <c r="DR252" s="48"/>
      <c r="DS252" s="48"/>
      <c r="DT252" s="48"/>
      <c r="DU252" s="48"/>
      <c r="DV252" s="48"/>
      <c r="DW252" s="48"/>
      <c r="DX252" s="48"/>
      <c r="DY252" s="48"/>
      <c r="DZ252" s="48"/>
      <c r="EA252" s="48"/>
      <c r="EB252" s="48"/>
      <c r="EC252" s="48"/>
      <c r="ED252" s="48"/>
      <c r="EE252" s="48"/>
      <c r="EF252" s="48"/>
      <c r="EG252" s="48"/>
      <c r="EH252" s="48"/>
      <c r="EI252" s="48"/>
      <c r="EJ252" s="48"/>
      <c r="EK252" s="48"/>
    </row>
    <row r="253" spans="1:141" s="12" customFormat="1" ht="14.25" hidden="1" customHeight="1">
      <c r="A253" s="25">
        <v>25</v>
      </c>
      <c r="B253" s="26"/>
      <c r="C253" s="25"/>
      <c r="D253" s="24"/>
      <c r="E253" s="62" t="s">
        <v>66</v>
      </c>
      <c r="F253" s="61"/>
      <c r="G253" s="58">
        <f t="shared" si="683"/>
        <v>0</v>
      </c>
      <c r="H253" s="57">
        <f t="shared" si="684"/>
        <v>0</v>
      </c>
      <c r="I253" s="19"/>
      <c r="J253" s="11">
        <f t="shared" si="685"/>
        <v>0</v>
      </c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8"/>
      <c r="AB253" s="56">
        <f t="shared" si="686"/>
        <v>0</v>
      </c>
      <c r="AC253" s="16">
        <f t="shared" si="687"/>
        <v>0</v>
      </c>
      <c r="AD253" s="15" t="e">
        <f t="shared" si="688"/>
        <v>#DIV/0!</v>
      </c>
      <c r="AE253" s="55"/>
      <c r="AF253" s="10" t="e">
        <f t="shared" si="689"/>
        <v>#DIV/0!</v>
      </c>
      <c r="AG253" s="10"/>
      <c r="AH253" s="21">
        <f t="shared" si="690"/>
        <v>0</v>
      </c>
      <c r="AI253" s="54" t="e">
        <f t="shared" si="691"/>
        <v>#DIV/0!</v>
      </c>
      <c r="AJ253" s="25">
        <f t="shared" si="692"/>
        <v>0</v>
      </c>
      <c r="AK253" s="25">
        <f t="shared" si="693"/>
        <v>0</v>
      </c>
      <c r="AL253" s="25">
        <f t="shared" si="694"/>
        <v>0</v>
      </c>
      <c r="AM253" s="25">
        <f t="shared" si="695"/>
        <v>0</v>
      </c>
      <c r="AN253" s="25">
        <f t="shared" si="696"/>
        <v>0</v>
      </c>
      <c r="AO253" s="25">
        <f t="shared" si="697"/>
        <v>0</v>
      </c>
      <c r="AP253" s="25">
        <f t="shared" si="698"/>
        <v>0</v>
      </c>
      <c r="AQ253" s="25">
        <f t="shared" si="699"/>
        <v>0</v>
      </c>
      <c r="AR253" s="25">
        <f t="shared" si="700"/>
        <v>0</v>
      </c>
      <c r="AS253" s="25">
        <f t="shared" si="701"/>
        <v>0</v>
      </c>
      <c r="AT253" s="25">
        <f t="shared" si="702"/>
        <v>0</v>
      </c>
      <c r="AU253" s="48"/>
      <c r="AV253" s="48"/>
      <c r="AW253" s="48"/>
      <c r="AX253" s="48"/>
      <c r="AY253" s="48"/>
      <c r="AZ253" s="48"/>
      <c r="BA253" s="48"/>
      <c r="BB253" s="48"/>
      <c r="BC253" s="48"/>
      <c r="BD253" s="48"/>
      <c r="BE253" s="48"/>
      <c r="BF253" s="48"/>
      <c r="BG253" s="48"/>
      <c r="BH253" s="48"/>
      <c r="BI253" s="48"/>
      <c r="BJ253" s="48"/>
      <c r="BK253" s="48"/>
      <c r="BL253" s="48"/>
      <c r="BM253" s="48"/>
      <c r="BN253" s="48"/>
      <c r="BO253" s="48"/>
      <c r="BP253" s="48"/>
      <c r="BQ253" s="48"/>
      <c r="BR253" s="48"/>
      <c r="BS253" s="48"/>
      <c r="BT253" s="48"/>
      <c r="BU253" s="48"/>
      <c r="BV253" s="48"/>
      <c r="BW253" s="48"/>
      <c r="BX253" s="48"/>
      <c r="BY253" s="48"/>
      <c r="BZ253" s="48"/>
      <c r="CA253" s="48"/>
      <c r="CB253" s="48"/>
      <c r="CC253" s="48"/>
      <c r="CD253" s="48"/>
      <c r="CE253" s="48"/>
      <c r="CF253" s="48"/>
      <c r="CG253" s="48"/>
      <c r="CH253" s="48"/>
      <c r="CI253" s="48"/>
      <c r="CJ253" s="48"/>
      <c r="CK253" s="48"/>
      <c r="CL253" s="48"/>
      <c r="CM253" s="48"/>
      <c r="CN253" s="48"/>
      <c r="CO253" s="48"/>
      <c r="CP253" s="48"/>
      <c r="CQ253" s="48"/>
      <c r="CR253" s="48"/>
      <c r="CS253" s="48"/>
      <c r="CT253" s="48"/>
      <c r="CU253" s="48"/>
      <c r="CV253" s="48"/>
      <c r="CW253" s="48"/>
      <c r="CX253" s="48"/>
      <c r="CY253" s="48"/>
      <c r="CZ253" s="48"/>
      <c r="DA253" s="48"/>
      <c r="DB253" s="48"/>
      <c r="DC253" s="48"/>
      <c r="DD253" s="48"/>
      <c r="DE253" s="48"/>
      <c r="DF253" s="48"/>
      <c r="DG253" s="48"/>
      <c r="DH253" s="48"/>
      <c r="DI253" s="48"/>
      <c r="DJ253" s="48"/>
      <c r="DK253" s="48"/>
      <c r="DL253" s="48"/>
      <c r="DM253" s="48"/>
      <c r="DN253" s="48"/>
      <c r="DO253" s="48"/>
      <c r="DP253" s="48"/>
      <c r="DQ253" s="48"/>
      <c r="DR253" s="48"/>
      <c r="DS253" s="48"/>
      <c r="DT253" s="48"/>
      <c r="DU253" s="48"/>
      <c r="DV253" s="48"/>
      <c r="DW253" s="48"/>
      <c r="DX253" s="48"/>
      <c r="DY253" s="48"/>
      <c r="DZ253" s="48"/>
      <c r="EA253" s="48"/>
      <c r="EB253" s="48"/>
      <c r="EC253" s="48"/>
      <c r="ED253" s="48"/>
      <c r="EE253" s="48"/>
      <c r="EF253" s="48"/>
      <c r="EG253" s="48"/>
      <c r="EH253" s="48"/>
      <c r="EI253" s="48"/>
      <c r="EJ253" s="48"/>
      <c r="EK253" s="48"/>
    </row>
    <row r="254" spans="1:141" s="12" customFormat="1" ht="14.25" hidden="1" customHeight="1">
      <c r="A254" s="25">
        <v>26</v>
      </c>
      <c r="B254" s="26"/>
      <c r="C254" s="25"/>
      <c r="D254" s="24"/>
      <c r="E254" s="62" t="s">
        <v>65</v>
      </c>
      <c r="F254" s="61"/>
      <c r="G254" s="58">
        <f t="shared" si="683"/>
        <v>0</v>
      </c>
      <c r="H254" s="57">
        <f t="shared" si="684"/>
        <v>0</v>
      </c>
      <c r="I254" s="19"/>
      <c r="J254" s="11">
        <f t="shared" si="685"/>
        <v>0</v>
      </c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8"/>
      <c r="AB254" s="56">
        <f t="shared" si="686"/>
        <v>0</v>
      </c>
      <c r="AC254" s="16">
        <f t="shared" si="687"/>
        <v>0</v>
      </c>
      <c r="AD254" s="15" t="e">
        <f t="shared" si="688"/>
        <v>#DIV/0!</v>
      </c>
      <c r="AE254" s="55"/>
      <c r="AF254" s="10" t="e">
        <f t="shared" si="689"/>
        <v>#DIV/0!</v>
      </c>
      <c r="AG254" s="10"/>
      <c r="AH254" s="21">
        <f t="shared" si="690"/>
        <v>0</v>
      </c>
      <c r="AI254" s="54" t="e">
        <f t="shared" si="691"/>
        <v>#DIV/0!</v>
      </c>
      <c r="AJ254" s="25">
        <f t="shared" si="692"/>
        <v>0</v>
      </c>
      <c r="AK254" s="25">
        <f t="shared" si="693"/>
        <v>0</v>
      </c>
      <c r="AL254" s="25">
        <f t="shared" si="694"/>
        <v>0</v>
      </c>
      <c r="AM254" s="25">
        <f t="shared" si="695"/>
        <v>0</v>
      </c>
      <c r="AN254" s="25">
        <f t="shared" si="696"/>
        <v>0</v>
      </c>
      <c r="AO254" s="25">
        <f t="shared" si="697"/>
        <v>0</v>
      </c>
      <c r="AP254" s="25">
        <f t="shared" si="698"/>
        <v>0</v>
      </c>
      <c r="AQ254" s="25">
        <f t="shared" si="699"/>
        <v>0</v>
      </c>
      <c r="AR254" s="25">
        <f t="shared" si="700"/>
        <v>0</v>
      </c>
      <c r="AS254" s="25">
        <f t="shared" si="701"/>
        <v>0</v>
      </c>
      <c r="AT254" s="25">
        <f t="shared" si="702"/>
        <v>0</v>
      </c>
      <c r="AU254" s="48"/>
      <c r="AV254" s="48"/>
      <c r="AW254" s="48"/>
      <c r="AX254" s="48"/>
      <c r="AY254" s="48"/>
      <c r="AZ254" s="48"/>
      <c r="BA254" s="48"/>
      <c r="BB254" s="48"/>
      <c r="BC254" s="48"/>
      <c r="BD254" s="48"/>
      <c r="BE254" s="48"/>
      <c r="BF254" s="48"/>
      <c r="BG254" s="48"/>
      <c r="BH254" s="48"/>
      <c r="BI254" s="48"/>
      <c r="BJ254" s="48"/>
      <c r="BK254" s="48"/>
      <c r="BL254" s="48"/>
      <c r="BM254" s="48"/>
      <c r="BN254" s="48"/>
      <c r="BO254" s="48"/>
      <c r="BP254" s="48"/>
      <c r="BQ254" s="48"/>
      <c r="BR254" s="48"/>
      <c r="BS254" s="48"/>
      <c r="BT254" s="48"/>
      <c r="BU254" s="48"/>
      <c r="BV254" s="48"/>
      <c r="BW254" s="48"/>
      <c r="BX254" s="48"/>
      <c r="BY254" s="48"/>
      <c r="BZ254" s="48"/>
      <c r="CA254" s="48"/>
      <c r="CB254" s="48"/>
      <c r="CC254" s="48"/>
      <c r="CD254" s="48"/>
      <c r="CE254" s="48"/>
      <c r="CF254" s="48"/>
      <c r="CG254" s="48"/>
      <c r="CH254" s="48"/>
      <c r="CI254" s="48"/>
      <c r="CJ254" s="48"/>
      <c r="CK254" s="48"/>
      <c r="CL254" s="48"/>
      <c r="CM254" s="48"/>
      <c r="CN254" s="48"/>
      <c r="CO254" s="48"/>
      <c r="CP254" s="48"/>
      <c r="CQ254" s="48"/>
      <c r="CR254" s="48"/>
      <c r="CS254" s="48"/>
      <c r="CT254" s="48"/>
      <c r="CU254" s="48"/>
      <c r="CV254" s="48"/>
      <c r="CW254" s="48"/>
      <c r="CX254" s="48"/>
      <c r="CY254" s="48"/>
      <c r="CZ254" s="48"/>
      <c r="DA254" s="48"/>
      <c r="DB254" s="48"/>
      <c r="DC254" s="48"/>
      <c r="DD254" s="48"/>
      <c r="DE254" s="48"/>
      <c r="DF254" s="48"/>
      <c r="DG254" s="48"/>
      <c r="DH254" s="48"/>
      <c r="DI254" s="48"/>
      <c r="DJ254" s="48"/>
      <c r="DK254" s="48"/>
      <c r="DL254" s="48"/>
      <c r="DM254" s="48"/>
      <c r="DN254" s="48"/>
      <c r="DO254" s="48"/>
      <c r="DP254" s="48"/>
      <c r="DQ254" s="48"/>
      <c r="DR254" s="48"/>
      <c r="DS254" s="48"/>
      <c r="DT254" s="48"/>
      <c r="DU254" s="48"/>
      <c r="DV254" s="48"/>
      <c r="DW254" s="48"/>
      <c r="DX254" s="48"/>
      <c r="DY254" s="48"/>
      <c r="DZ254" s="48"/>
      <c r="EA254" s="48"/>
      <c r="EB254" s="48"/>
      <c r="EC254" s="48"/>
      <c r="ED254" s="48"/>
      <c r="EE254" s="48"/>
      <c r="EF254" s="48"/>
      <c r="EG254" s="48"/>
      <c r="EH254" s="48"/>
      <c r="EI254" s="48"/>
      <c r="EJ254" s="48"/>
      <c r="EK254" s="48"/>
    </row>
    <row r="255" spans="1:141" s="12" customFormat="1" ht="14.25" hidden="1" customHeight="1">
      <c r="A255" s="25">
        <v>27</v>
      </c>
      <c r="B255" s="26"/>
      <c r="C255" s="25"/>
      <c r="D255" s="24"/>
      <c r="E255" s="62" t="s">
        <v>64</v>
      </c>
      <c r="F255" s="61"/>
      <c r="G255" s="58">
        <f t="shared" si="683"/>
        <v>0</v>
      </c>
      <c r="H255" s="57">
        <f t="shared" si="684"/>
        <v>0</v>
      </c>
      <c r="I255" s="19"/>
      <c r="J255" s="11">
        <f t="shared" si="685"/>
        <v>0</v>
      </c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8"/>
      <c r="AB255" s="56">
        <f t="shared" si="686"/>
        <v>0</v>
      </c>
      <c r="AC255" s="16">
        <f t="shared" si="687"/>
        <v>0</v>
      </c>
      <c r="AD255" s="15" t="e">
        <f t="shared" si="688"/>
        <v>#DIV/0!</v>
      </c>
      <c r="AE255" s="55"/>
      <c r="AF255" s="10" t="e">
        <f t="shared" si="689"/>
        <v>#DIV/0!</v>
      </c>
      <c r="AG255" s="10"/>
      <c r="AH255" s="21">
        <f t="shared" si="690"/>
        <v>0</v>
      </c>
      <c r="AI255" s="54" t="e">
        <f t="shared" si="691"/>
        <v>#DIV/0!</v>
      </c>
      <c r="AJ255" s="25">
        <f t="shared" si="692"/>
        <v>0</v>
      </c>
      <c r="AK255" s="25">
        <f t="shared" si="693"/>
        <v>0</v>
      </c>
      <c r="AL255" s="25">
        <f t="shared" si="694"/>
        <v>0</v>
      </c>
      <c r="AM255" s="25">
        <f t="shared" si="695"/>
        <v>0</v>
      </c>
      <c r="AN255" s="25">
        <f t="shared" si="696"/>
        <v>0</v>
      </c>
      <c r="AO255" s="25">
        <f t="shared" si="697"/>
        <v>0</v>
      </c>
      <c r="AP255" s="25">
        <f t="shared" si="698"/>
        <v>0</v>
      </c>
      <c r="AQ255" s="25">
        <f t="shared" si="699"/>
        <v>0</v>
      </c>
      <c r="AR255" s="25">
        <f t="shared" si="700"/>
        <v>0</v>
      </c>
      <c r="AS255" s="25">
        <f t="shared" si="701"/>
        <v>0</v>
      </c>
      <c r="AT255" s="25">
        <f t="shared" si="702"/>
        <v>0</v>
      </c>
      <c r="AU255" s="48"/>
      <c r="AV255" s="48"/>
      <c r="AW255" s="48"/>
      <c r="AX255" s="48"/>
      <c r="AY255" s="48"/>
      <c r="AZ255" s="48"/>
      <c r="BA255" s="48"/>
      <c r="BB255" s="48"/>
      <c r="BC255" s="48"/>
      <c r="BD255" s="48"/>
      <c r="BE255" s="48"/>
      <c r="BF255" s="48"/>
      <c r="BG255" s="48"/>
      <c r="BH255" s="48"/>
      <c r="BI255" s="48"/>
      <c r="BJ255" s="48"/>
      <c r="BK255" s="48"/>
      <c r="BL255" s="48"/>
      <c r="BM255" s="48"/>
      <c r="BN255" s="48"/>
      <c r="BO255" s="48"/>
      <c r="BP255" s="48"/>
      <c r="BQ255" s="48"/>
      <c r="BR255" s="48"/>
      <c r="BS255" s="48"/>
      <c r="BT255" s="48"/>
      <c r="BU255" s="48"/>
      <c r="BV255" s="48"/>
      <c r="BW255" s="48"/>
      <c r="BX255" s="48"/>
      <c r="BY255" s="48"/>
      <c r="BZ255" s="48"/>
      <c r="CA255" s="48"/>
      <c r="CB255" s="48"/>
      <c r="CC255" s="48"/>
      <c r="CD255" s="48"/>
      <c r="CE255" s="48"/>
      <c r="CF255" s="48"/>
      <c r="CG255" s="48"/>
      <c r="CH255" s="48"/>
      <c r="CI255" s="48"/>
      <c r="CJ255" s="48"/>
      <c r="CK255" s="48"/>
      <c r="CL255" s="48"/>
      <c r="CM255" s="48"/>
      <c r="CN255" s="48"/>
      <c r="CO255" s="48"/>
      <c r="CP255" s="48"/>
      <c r="CQ255" s="48"/>
      <c r="CR255" s="48"/>
      <c r="CS255" s="48"/>
      <c r="CT255" s="48"/>
      <c r="CU255" s="48"/>
      <c r="CV255" s="48"/>
      <c r="CW255" s="48"/>
      <c r="CX255" s="48"/>
      <c r="CY255" s="48"/>
      <c r="CZ255" s="48"/>
      <c r="DA255" s="48"/>
      <c r="DB255" s="48"/>
      <c r="DC255" s="48"/>
      <c r="DD255" s="48"/>
      <c r="DE255" s="48"/>
      <c r="DF255" s="48"/>
      <c r="DG255" s="48"/>
      <c r="DH255" s="48"/>
      <c r="DI255" s="48"/>
      <c r="DJ255" s="48"/>
      <c r="DK255" s="48"/>
      <c r="DL255" s="48"/>
      <c r="DM255" s="48"/>
      <c r="DN255" s="48"/>
      <c r="DO255" s="48"/>
      <c r="DP255" s="48"/>
      <c r="DQ255" s="48"/>
      <c r="DR255" s="48"/>
      <c r="DS255" s="48"/>
      <c r="DT255" s="48"/>
      <c r="DU255" s="48"/>
      <c r="DV255" s="48"/>
      <c r="DW255" s="48"/>
      <c r="DX255" s="48"/>
      <c r="DY255" s="48"/>
      <c r="DZ255" s="48"/>
      <c r="EA255" s="48"/>
      <c r="EB255" s="48"/>
      <c r="EC255" s="48"/>
      <c r="ED255" s="48"/>
      <c r="EE255" s="48"/>
      <c r="EF255" s="48"/>
      <c r="EG255" s="48"/>
      <c r="EH255" s="48"/>
      <c r="EI255" s="48"/>
      <c r="EJ255" s="48"/>
      <c r="EK255" s="48"/>
    </row>
    <row r="256" spans="1:141" s="12" customFormat="1" ht="14.25" hidden="1" customHeight="1">
      <c r="A256" s="25">
        <v>28</v>
      </c>
      <c r="B256" s="26"/>
      <c r="C256" s="25"/>
      <c r="D256" s="24"/>
      <c r="E256" s="62" t="s">
        <v>63</v>
      </c>
      <c r="F256" s="61"/>
      <c r="G256" s="58">
        <f t="shared" si="683"/>
        <v>0</v>
      </c>
      <c r="H256" s="57">
        <f t="shared" si="684"/>
        <v>0</v>
      </c>
      <c r="I256" s="19"/>
      <c r="J256" s="11">
        <f t="shared" si="685"/>
        <v>0</v>
      </c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8"/>
      <c r="AB256" s="56">
        <f t="shared" si="686"/>
        <v>0</v>
      </c>
      <c r="AC256" s="16">
        <f t="shared" si="687"/>
        <v>0</v>
      </c>
      <c r="AD256" s="15" t="e">
        <f t="shared" si="688"/>
        <v>#DIV/0!</v>
      </c>
      <c r="AE256" s="55"/>
      <c r="AF256" s="10" t="e">
        <f t="shared" si="689"/>
        <v>#DIV/0!</v>
      </c>
      <c r="AG256" s="10"/>
      <c r="AH256" s="21">
        <f t="shared" si="690"/>
        <v>0</v>
      </c>
      <c r="AI256" s="54" t="e">
        <f t="shared" si="691"/>
        <v>#DIV/0!</v>
      </c>
      <c r="AJ256" s="25">
        <f t="shared" si="692"/>
        <v>0</v>
      </c>
      <c r="AK256" s="25">
        <f t="shared" si="693"/>
        <v>0</v>
      </c>
      <c r="AL256" s="25">
        <f t="shared" si="694"/>
        <v>0</v>
      </c>
      <c r="AM256" s="25">
        <f t="shared" si="695"/>
        <v>0</v>
      </c>
      <c r="AN256" s="25">
        <f t="shared" si="696"/>
        <v>0</v>
      </c>
      <c r="AO256" s="25">
        <f t="shared" si="697"/>
        <v>0</v>
      </c>
      <c r="AP256" s="25">
        <f t="shared" si="698"/>
        <v>0</v>
      </c>
      <c r="AQ256" s="25">
        <f t="shared" si="699"/>
        <v>0</v>
      </c>
      <c r="AR256" s="25">
        <f t="shared" si="700"/>
        <v>0</v>
      </c>
      <c r="AS256" s="25">
        <f t="shared" si="701"/>
        <v>0</v>
      </c>
      <c r="AT256" s="25">
        <f t="shared" si="702"/>
        <v>0</v>
      </c>
      <c r="AU256" s="48"/>
      <c r="AV256" s="48"/>
      <c r="AW256" s="48"/>
      <c r="AX256" s="48"/>
      <c r="AY256" s="48"/>
      <c r="AZ256" s="48"/>
      <c r="BA256" s="48"/>
      <c r="BB256" s="48"/>
      <c r="BC256" s="48"/>
      <c r="BD256" s="48"/>
      <c r="BE256" s="48"/>
      <c r="BF256" s="48"/>
      <c r="BG256" s="48"/>
      <c r="BH256" s="48"/>
      <c r="BI256" s="48"/>
      <c r="BJ256" s="48"/>
      <c r="BK256" s="48"/>
      <c r="BL256" s="48"/>
      <c r="BM256" s="48"/>
      <c r="BN256" s="48"/>
      <c r="BO256" s="48"/>
      <c r="BP256" s="48"/>
      <c r="BQ256" s="48"/>
      <c r="BR256" s="48"/>
      <c r="BS256" s="48"/>
      <c r="BT256" s="48"/>
      <c r="BU256" s="48"/>
      <c r="BV256" s="48"/>
      <c r="BW256" s="48"/>
      <c r="BX256" s="48"/>
      <c r="BY256" s="48"/>
      <c r="BZ256" s="48"/>
      <c r="CA256" s="48"/>
      <c r="CB256" s="48"/>
      <c r="CC256" s="48"/>
      <c r="CD256" s="48"/>
      <c r="CE256" s="48"/>
      <c r="CF256" s="48"/>
      <c r="CG256" s="48"/>
      <c r="CH256" s="48"/>
      <c r="CI256" s="48"/>
      <c r="CJ256" s="48"/>
      <c r="CK256" s="48"/>
      <c r="CL256" s="48"/>
      <c r="CM256" s="48"/>
      <c r="CN256" s="48"/>
      <c r="CO256" s="48"/>
      <c r="CP256" s="48"/>
      <c r="CQ256" s="48"/>
      <c r="CR256" s="48"/>
      <c r="CS256" s="48"/>
      <c r="CT256" s="48"/>
      <c r="CU256" s="48"/>
      <c r="CV256" s="48"/>
      <c r="CW256" s="48"/>
      <c r="CX256" s="48"/>
      <c r="CY256" s="48"/>
      <c r="CZ256" s="48"/>
      <c r="DA256" s="48"/>
      <c r="DB256" s="48"/>
      <c r="DC256" s="48"/>
      <c r="DD256" s="48"/>
      <c r="DE256" s="48"/>
      <c r="DF256" s="48"/>
      <c r="DG256" s="48"/>
      <c r="DH256" s="48"/>
      <c r="DI256" s="48"/>
      <c r="DJ256" s="48"/>
      <c r="DK256" s="48"/>
      <c r="DL256" s="48"/>
      <c r="DM256" s="48"/>
      <c r="DN256" s="48"/>
      <c r="DO256" s="48"/>
      <c r="DP256" s="48"/>
      <c r="DQ256" s="48"/>
      <c r="DR256" s="48"/>
      <c r="DS256" s="48"/>
      <c r="DT256" s="48"/>
      <c r="DU256" s="48"/>
      <c r="DV256" s="48"/>
      <c r="DW256" s="48"/>
      <c r="DX256" s="48"/>
      <c r="DY256" s="48"/>
      <c r="DZ256" s="48"/>
      <c r="EA256" s="48"/>
      <c r="EB256" s="48"/>
      <c r="EC256" s="48"/>
      <c r="ED256" s="48"/>
      <c r="EE256" s="48"/>
      <c r="EF256" s="48"/>
      <c r="EG256" s="48"/>
      <c r="EH256" s="48"/>
      <c r="EI256" s="48"/>
      <c r="EJ256" s="48"/>
      <c r="EK256" s="48"/>
    </row>
    <row r="257" spans="1:141" s="12" customFormat="1" ht="14.25" hidden="1" customHeight="1">
      <c r="A257" s="25">
        <v>29</v>
      </c>
      <c r="B257" s="26"/>
      <c r="C257" s="25"/>
      <c r="D257" s="24"/>
      <c r="E257" s="62" t="s">
        <v>62</v>
      </c>
      <c r="F257" s="61"/>
      <c r="G257" s="58">
        <f t="shared" si="683"/>
        <v>0</v>
      </c>
      <c r="H257" s="57">
        <f t="shared" si="684"/>
        <v>0</v>
      </c>
      <c r="I257" s="19"/>
      <c r="J257" s="11">
        <f t="shared" si="685"/>
        <v>0</v>
      </c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8"/>
      <c r="AB257" s="56">
        <f t="shared" si="686"/>
        <v>0</v>
      </c>
      <c r="AC257" s="16">
        <f t="shared" si="687"/>
        <v>0</v>
      </c>
      <c r="AD257" s="15" t="e">
        <f t="shared" si="688"/>
        <v>#DIV/0!</v>
      </c>
      <c r="AE257" s="55"/>
      <c r="AF257" s="10" t="e">
        <f t="shared" si="689"/>
        <v>#DIV/0!</v>
      </c>
      <c r="AG257" s="10"/>
      <c r="AH257" s="21">
        <f t="shared" si="690"/>
        <v>0</v>
      </c>
      <c r="AI257" s="54" t="e">
        <f t="shared" si="691"/>
        <v>#DIV/0!</v>
      </c>
      <c r="AJ257" s="25">
        <f t="shared" si="692"/>
        <v>0</v>
      </c>
      <c r="AK257" s="25">
        <f t="shared" si="693"/>
        <v>0</v>
      </c>
      <c r="AL257" s="25">
        <f t="shared" si="694"/>
        <v>0</v>
      </c>
      <c r="AM257" s="25">
        <f t="shared" si="695"/>
        <v>0</v>
      </c>
      <c r="AN257" s="25">
        <f t="shared" si="696"/>
        <v>0</v>
      </c>
      <c r="AO257" s="25">
        <f t="shared" si="697"/>
        <v>0</v>
      </c>
      <c r="AP257" s="25">
        <f t="shared" si="698"/>
        <v>0</v>
      </c>
      <c r="AQ257" s="25">
        <f t="shared" si="699"/>
        <v>0</v>
      </c>
      <c r="AR257" s="25">
        <f t="shared" si="700"/>
        <v>0</v>
      </c>
      <c r="AS257" s="25">
        <f t="shared" si="701"/>
        <v>0</v>
      </c>
      <c r="AT257" s="25">
        <f t="shared" si="702"/>
        <v>0</v>
      </c>
      <c r="AU257" s="48"/>
      <c r="AV257" s="48"/>
      <c r="AW257" s="48"/>
      <c r="AX257" s="48"/>
      <c r="AY257" s="48"/>
      <c r="AZ257" s="48"/>
      <c r="BA257" s="48"/>
      <c r="BB257" s="48"/>
      <c r="BC257" s="48"/>
      <c r="BD257" s="48"/>
      <c r="BE257" s="48"/>
      <c r="BF257" s="48"/>
      <c r="BG257" s="48"/>
      <c r="BH257" s="48"/>
      <c r="BI257" s="48"/>
      <c r="BJ257" s="48"/>
      <c r="BK257" s="48"/>
      <c r="BL257" s="48"/>
      <c r="BM257" s="48"/>
      <c r="BN257" s="48"/>
      <c r="BO257" s="48"/>
      <c r="BP257" s="48"/>
      <c r="BQ257" s="48"/>
      <c r="BR257" s="48"/>
      <c r="BS257" s="48"/>
      <c r="BT257" s="48"/>
      <c r="BU257" s="48"/>
      <c r="BV257" s="48"/>
      <c r="BW257" s="48"/>
      <c r="BX257" s="48"/>
      <c r="BY257" s="48"/>
      <c r="BZ257" s="48"/>
      <c r="CA257" s="48"/>
      <c r="CB257" s="48"/>
      <c r="CC257" s="48"/>
      <c r="CD257" s="48"/>
      <c r="CE257" s="48"/>
      <c r="CF257" s="48"/>
      <c r="CG257" s="48"/>
      <c r="CH257" s="48"/>
      <c r="CI257" s="48"/>
      <c r="CJ257" s="48"/>
      <c r="CK257" s="48"/>
      <c r="CL257" s="48"/>
      <c r="CM257" s="48"/>
      <c r="CN257" s="48"/>
      <c r="CO257" s="48"/>
      <c r="CP257" s="48"/>
      <c r="CQ257" s="48"/>
      <c r="CR257" s="48"/>
      <c r="CS257" s="48"/>
      <c r="CT257" s="48"/>
      <c r="CU257" s="48"/>
      <c r="CV257" s="48"/>
      <c r="CW257" s="48"/>
      <c r="CX257" s="48"/>
      <c r="CY257" s="48"/>
      <c r="CZ257" s="48"/>
      <c r="DA257" s="48"/>
      <c r="DB257" s="48"/>
      <c r="DC257" s="48"/>
      <c r="DD257" s="48"/>
      <c r="DE257" s="48"/>
      <c r="DF257" s="48"/>
      <c r="DG257" s="48"/>
      <c r="DH257" s="48"/>
      <c r="DI257" s="48"/>
      <c r="DJ257" s="48"/>
      <c r="DK257" s="48"/>
      <c r="DL257" s="48"/>
      <c r="DM257" s="48"/>
      <c r="DN257" s="48"/>
      <c r="DO257" s="48"/>
      <c r="DP257" s="48"/>
      <c r="DQ257" s="48"/>
      <c r="DR257" s="48"/>
      <c r="DS257" s="48"/>
      <c r="DT257" s="48"/>
      <c r="DU257" s="48"/>
      <c r="DV257" s="48"/>
      <c r="DW257" s="48"/>
      <c r="DX257" s="48"/>
      <c r="DY257" s="48"/>
      <c r="DZ257" s="48"/>
      <c r="EA257" s="48"/>
      <c r="EB257" s="48"/>
      <c r="EC257" s="48"/>
      <c r="ED257" s="48"/>
      <c r="EE257" s="48"/>
      <c r="EF257" s="48"/>
      <c r="EG257" s="48"/>
      <c r="EH257" s="48"/>
      <c r="EI257" s="48"/>
      <c r="EJ257" s="48"/>
      <c r="EK257" s="48"/>
    </row>
    <row r="258" spans="1:141" s="12" customFormat="1" ht="14.25" hidden="1" customHeight="1">
      <c r="A258" s="25">
        <v>30</v>
      </c>
      <c r="B258" s="26"/>
      <c r="C258" s="25"/>
      <c r="D258" s="24"/>
      <c r="E258" s="62" t="s">
        <v>61</v>
      </c>
      <c r="F258" s="61"/>
      <c r="G258" s="58">
        <f t="shared" si="683"/>
        <v>0</v>
      </c>
      <c r="H258" s="57">
        <f t="shared" si="684"/>
        <v>0</v>
      </c>
      <c r="I258" s="19"/>
      <c r="J258" s="11">
        <f t="shared" si="685"/>
        <v>0</v>
      </c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8"/>
      <c r="AB258" s="56">
        <f t="shared" si="686"/>
        <v>0</v>
      </c>
      <c r="AC258" s="16">
        <f t="shared" si="687"/>
        <v>0</v>
      </c>
      <c r="AD258" s="15" t="e">
        <f t="shared" si="688"/>
        <v>#DIV/0!</v>
      </c>
      <c r="AE258" s="55"/>
      <c r="AF258" s="10" t="e">
        <f t="shared" si="689"/>
        <v>#DIV/0!</v>
      </c>
      <c r="AG258" s="10"/>
      <c r="AH258" s="21">
        <f t="shared" si="690"/>
        <v>0</v>
      </c>
      <c r="AI258" s="54" t="e">
        <f t="shared" si="691"/>
        <v>#DIV/0!</v>
      </c>
      <c r="AJ258" s="25">
        <f t="shared" si="692"/>
        <v>0</v>
      </c>
      <c r="AK258" s="25">
        <f t="shared" si="693"/>
        <v>0</v>
      </c>
      <c r="AL258" s="25">
        <f t="shared" si="694"/>
        <v>0</v>
      </c>
      <c r="AM258" s="25">
        <f t="shared" si="695"/>
        <v>0</v>
      </c>
      <c r="AN258" s="25">
        <f t="shared" si="696"/>
        <v>0</v>
      </c>
      <c r="AO258" s="25">
        <f t="shared" si="697"/>
        <v>0</v>
      </c>
      <c r="AP258" s="25">
        <f t="shared" si="698"/>
        <v>0</v>
      </c>
      <c r="AQ258" s="25">
        <f t="shared" si="699"/>
        <v>0</v>
      </c>
      <c r="AR258" s="25">
        <f t="shared" si="700"/>
        <v>0</v>
      </c>
      <c r="AS258" s="25">
        <f t="shared" si="701"/>
        <v>0</v>
      </c>
      <c r="AT258" s="25">
        <f t="shared" si="702"/>
        <v>0</v>
      </c>
      <c r="AU258" s="48"/>
      <c r="AV258" s="48"/>
      <c r="AW258" s="48"/>
      <c r="AX258" s="48"/>
      <c r="AY258" s="48"/>
      <c r="AZ258" s="48"/>
      <c r="BA258" s="48"/>
      <c r="BB258" s="48"/>
      <c r="BC258" s="48"/>
      <c r="BD258" s="48"/>
      <c r="BE258" s="48"/>
      <c r="BF258" s="48"/>
      <c r="BG258" s="48"/>
      <c r="BH258" s="48"/>
      <c r="BI258" s="48"/>
      <c r="BJ258" s="48"/>
      <c r="BK258" s="48"/>
      <c r="BL258" s="48"/>
      <c r="BM258" s="48"/>
      <c r="BN258" s="48"/>
      <c r="BO258" s="48"/>
      <c r="BP258" s="48"/>
      <c r="BQ258" s="48"/>
      <c r="BR258" s="48"/>
      <c r="BS258" s="48"/>
      <c r="BT258" s="48"/>
      <c r="BU258" s="48"/>
      <c r="BV258" s="48"/>
      <c r="BW258" s="48"/>
      <c r="BX258" s="48"/>
      <c r="BY258" s="48"/>
      <c r="BZ258" s="48"/>
      <c r="CA258" s="48"/>
      <c r="CB258" s="48"/>
      <c r="CC258" s="48"/>
      <c r="CD258" s="48"/>
      <c r="CE258" s="48"/>
      <c r="CF258" s="48"/>
      <c r="CG258" s="48"/>
      <c r="CH258" s="48"/>
      <c r="CI258" s="48"/>
      <c r="CJ258" s="48"/>
      <c r="CK258" s="48"/>
      <c r="CL258" s="48"/>
      <c r="CM258" s="48"/>
      <c r="CN258" s="48"/>
      <c r="CO258" s="48"/>
      <c r="CP258" s="48"/>
      <c r="CQ258" s="48"/>
      <c r="CR258" s="48"/>
      <c r="CS258" s="48"/>
      <c r="CT258" s="48"/>
      <c r="CU258" s="48"/>
      <c r="CV258" s="48"/>
      <c r="CW258" s="48"/>
      <c r="CX258" s="48"/>
      <c r="CY258" s="48"/>
      <c r="CZ258" s="48"/>
      <c r="DA258" s="48"/>
      <c r="DB258" s="48"/>
      <c r="DC258" s="48"/>
      <c r="DD258" s="48"/>
      <c r="DE258" s="48"/>
      <c r="DF258" s="48"/>
      <c r="DG258" s="48"/>
      <c r="DH258" s="48"/>
      <c r="DI258" s="48"/>
      <c r="DJ258" s="48"/>
      <c r="DK258" s="48"/>
      <c r="DL258" s="48"/>
      <c r="DM258" s="48"/>
      <c r="DN258" s="48"/>
      <c r="DO258" s="48"/>
      <c r="DP258" s="48"/>
      <c r="DQ258" s="48"/>
      <c r="DR258" s="48"/>
      <c r="DS258" s="48"/>
      <c r="DT258" s="48"/>
      <c r="DU258" s="48"/>
      <c r="DV258" s="48"/>
      <c r="DW258" s="48"/>
      <c r="DX258" s="48"/>
      <c r="DY258" s="48"/>
      <c r="DZ258" s="48"/>
      <c r="EA258" s="48"/>
      <c r="EB258" s="48"/>
      <c r="EC258" s="48"/>
      <c r="ED258" s="48"/>
      <c r="EE258" s="48"/>
      <c r="EF258" s="48"/>
      <c r="EG258" s="48"/>
      <c r="EH258" s="48"/>
      <c r="EI258" s="48"/>
      <c r="EJ258" s="48"/>
      <c r="EK258" s="48"/>
    </row>
    <row r="259" spans="1:141" s="12" customFormat="1" ht="14.25" hidden="1" customHeight="1">
      <c r="A259" s="25">
        <v>31</v>
      </c>
      <c r="B259" s="26"/>
      <c r="C259" s="25"/>
      <c r="D259" s="24"/>
      <c r="E259" s="62" t="s">
        <v>60</v>
      </c>
      <c r="F259" s="61"/>
      <c r="G259" s="58">
        <f t="shared" si="683"/>
        <v>0</v>
      </c>
      <c r="H259" s="57">
        <f t="shared" si="684"/>
        <v>0</v>
      </c>
      <c r="I259" s="19"/>
      <c r="J259" s="11">
        <f t="shared" si="685"/>
        <v>0</v>
      </c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8"/>
      <c r="AB259" s="56">
        <f t="shared" si="686"/>
        <v>0</v>
      </c>
      <c r="AC259" s="16">
        <f t="shared" si="687"/>
        <v>0</v>
      </c>
      <c r="AD259" s="15" t="e">
        <f t="shared" si="688"/>
        <v>#DIV/0!</v>
      </c>
      <c r="AE259" s="55"/>
      <c r="AF259" s="10" t="e">
        <f t="shared" si="689"/>
        <v>#DIV/0!</v>
      </c>
      <c r="AG259" s="10"/>
      <c r="AH259" s="21">
        <f t="shared" si="690"/>
        <v>0</v>
      </c>
      <c r="AI259" s="54" t="e">
        <f t="shared" si="691"/>
        <v>#DIV/0!</v>
      </c>
      <c r="AJ259" s="25">
        <f t="shared" si="692"/>
        <v>0</v>
      </c>
      <c r="AK259" s="25">
        <f t="shared" si="693"/>
        <v>0</v>
      </c>
      <c r="AL259" s="25">
        <f t="shared" si="694"/>
        <v>0</v>
      </c>
      <c r="AM259" s="25">
        <f t="shared" si="695"/>
        <v>0</v>
      </c>
      <c r="AN259" s="25">
        <f t="shared" si="696"/>
        <v>0</v>
      </c>
      <c r="AO259" s="25">
        <f t="shared" si="697"/>
        <v>0</v>
      </c>
      <c r="AP259" s="25">
        <f t="shared" si="698"/>
        <v>0</v>
      </c>
      <c r="AQ259" s="25">
        <f t="shared" si="699"/>
        <v>0</v>
      </c>
      <c r="AR259" s="25">
        <f t="shared" si="700"/>
        <v>0</v>
      </c>
      <c r="AS259" s="25">
        <f t="shared" si="701"/>
        <v>0</v>
      </c>
      <c r="AT259" s="25">
        <f t="shared" si="702"/>
        <v>0</v>
      </c>
      <c r="AU259" s="48"/>
      <c r="AV259" s="48"/>
      <c r="AW259" s="48"/>
      <c r="AX259" s="48"/>
      <c r="AY259" s="48"/>
      <c r="AZ259" s="48"/>
      <c r="BA259" s="48"/>
      <c r="BB259" s="48"/>
      <c r="BC259" s="48"/>
      <c r="BD259" s="48"/>
      <c r="BE259" s="48"/>
      <c r="BF259" s="48"/>
      <c r="BG259" s="48"/>
      <c r="BH259" s="48"/>
      <c r="BI259" s="48"/>
      <c r="BJ259" s="48"/>
      <c r="BK259" s="48"/>
      <c r="BL259" s="48"/>
      <c r="BM259" s="48"/>
      <c r="BN259" s="48"/>
      <c r="BO259" s="48"/>
      <c r="BP259" s="48"/>
      <c r="BQ259" s="48"/>
      <c r="BR259" s="48"/>
      <c r="BS259" s="48"/>
      <c r="BT259" s="48"/>
      <c r="BU259" s="48"/>
      <c r="BV259" s="48"/>
      <c r="BW259" s="48"/>
      <c r="BX259" s="48"/>
      <c r="BY259" s="48"/>
      <c r="BZ259" s="48"/>
      <c r="CA259" s="48"/>
      <c r="CB259" s="48"/>
      <c r="CC259" s="48"/>
      <c r="CD259" s="48"/>
      <c r="CE259" s="48"/>
      <c r="CF259" s="48"/>
      <c r="CG259" s="48"/>
      <c r="CH259" s="48"/>
      <c r="CI259" s="48"/>
      <c r="CJ259" s="48"/>
      <c r="CK259" s="48"/>
      <c r="CL259" s="48"/>
      <c r="CM259" s="48"/>
      <c r="CN259" s="48"/>
      <c r="CO259" s="48"/>
      <c r="CP259" s="48"/>
      <c r="CQ259" s="48"/>
      <c r="CR259" s="48"/>
      <c r="CS259" s="48"/>
      <c r="CT259" s="48"/>
      <c r="CU259" s="48"/>
      <c r="CV259" s="48"/>
      <c r="CW259" s="48"/>
      <c r="CX259" s="48"/>
      <c r="CY259" s="48"/>
      <c r="CZ259" s="48"/>
      <c r="DA259" s="48"/>
      <c r="DB259" s="48"/>
      <c r="DC259" s="48"/>
      <c r="DD259" s="48"/>
      <c r="DE259" s="48"/>
      <c r="DF259" s="48"/>
      <c r="DG259" s="48"/>
      <c r="DH259" s="48"/>
      <c r="DI259" s="48"/>
      <c r="DJ259" s="48"/>
      <c r="DK259" s="48"/>
      <c r="DL259" s="48"/>
      <c r="DM259" s="48"/>
      <c r="DN259" s="48"/>
      <c r="DO259" s="48"/>
      <c r="DP259" s="48"/>
      <c r="DQ259" s="48"/>
      <c r="DR259" s="48"/>
      <c r="DS259" s="48"/>
      <c r="DT259" s="48"/>
      <c r="DU259" s="48"/>
      <c r="DV259" s="48"/>
      <c r="DW259" s="48"/>
      <c r="DX259" s="48"/>
      <c r="DY259" s="48"/>
      <c r="DZ259" s="48"/>
      <c r="EA259" s="48"/>
      <c r="EB259" s="48"/>
      <c r="EC259" s="48"/>
      <c r="ED259" s="48"/>
      <c r="EE259" s="48"/>
      <c r="EF259" s="48"/>
      <c r="EG259" s="48"/>
      <c r="EH259" s="48"/>
      <c r="EI259" s="48"/>
      <c r="EJ259" s="48"/>
      <c r="EK259" s="48"/>
    </row>
    <row r="260" spans="1:141" s="12" customFormat="1" ht="14.25" hidden="1" customHeight="1">
      <c r="A260" s="25">
        <v>32</v>
      </c>
      <c r="B260" s="26"/>
      <c r="C260" s="25"/>
      <c r="D260" s="24"/>
      <c r="E260" s="62" t="s">
        <v>59</v>
      </c>
      <c r="F260" s="61"/>
      <c r="G260" s="58">
        <f t="shared" si="683"/>
        <v>0</v>
      </c>
      <c r="H260" s="57">
        <f t="shared" si="684"/>
        <v>0</v>
      </c>
      <c r="I260" s="19"/>
      <c r="J260" s="11">
        <f t="shared" si="685"/>
        <v>0</v>
      </c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8"/>
      <c r="AB260" s="56">
        <f t="shared" si="686"/>
        <v>0</v>
      </c>
      <c r="AC260" s="16">
        <f t="shared" si="687"/>
        <v>0</v>
      </c>
      <c r="AD260" s="15" t="e">
        <f t="shared" si="688"/>
        <v>#DIV/0!</v>
      </c>
      <c r="AE260" s="55"/>
      <c r="AF260" s="10" t="e">
        <f t="shared" si="689"/>
        <v>#DIV/0!</v>
      </c>
      <c r="AG260" s="10"/>
      <c r="AH260" s="21">
        <f t="shared" si="690"/>
        <v>0</v>
      </c>
      <c r="AI260" s="54" t="e">
        <f t="shared" si="691"/>
        <v>#DIV/0!</v>
      </c>
      <c r="AJ260" s="25">
        <f t="shared" si="692"/>
        <v>0</v>
      </c>
      <c r="AK260" s="25">
        <f t="shared" si="693"/>
        <v>0</v>
      </c>
      <c r="AL260" s="25">
        <f t="shared" si="694"/>
        <v>0</v>
      </c>
      <c r="AM260" s="25">
        <f t="shared" si="695"/>
        <v>0</v>
      </c>
      <c r="AN260" s="25">
        <f t="shared" si="696"/>
        <v>0</v>
      </c>
      <c r="AO260" s="25">
        <f t="shared" si="697"/>
        <v>0</v>
      </c>
      <c r="AP260" s="25">
        <f t="shared" si="698"/>
        <v>0</v>
      </c>
      <c r="AQ260" s="25">
        <f t="shared" si="699"/>
        <v>0</v>
      </c>
      <c r="AR260" s="25">
        <f t="shared" si="700"/>
        <v>0</v>
      </c>
      <c r="AS260" s="25">
        <f t="shared" si="701"/>
        <v>0</v>
      </c>
      <c r="AT260" s="25">
        <f t="shared" si="702"/>
        <v>0</v>
      </c>
      <c r="AU260" s="48"/>
      <c r="AV260" s="48"/>
      <c r="AW260" s="48"/>
      <c r="AX260" s="48"/>
      <c r="AY260" s="48"/>
      <c r="AZ260" s="48"/>
      <c r="BA260" s="48"/>
      <c r="BB260" s="48"/>
      <c r="BC260" s="48"/>
      <c r="BD260" s="48"/>
      <c r="BE260" s="48"/>
      <c r="BF260" s="48"/>
      <c r="BG260" s="48"/>
      <c r="BH260" s="48"/>
      <c r="BI260" s="48"/>
      <c r="BJ260" s="48"/>
      <c r="BK260" s="48"/>
      <c r="BL260" s="48"/>
      <c r="BM260" s="48"/>
      <c r="BN260" s="48"/>
      <c r="BO260" s="48"/>
      <c r="BP260" s="48"/>
      <c r="BQ260" s="48"/>
      <c r="BR260" s="48"/>
      <c r="BS260" s="48"/>
      <c r="BT260" s="48"/>
      <c r="BU260" s="48"/>
      <c r="BV260" s="48"/>
      <c r="BW260" s="48"/>
      <c r="BX260" s="48"/>
      <c r="BY260" s="48"/>
      <c r="BZ260" s="48"/>
      <c r="CA260" s="48"/>
      <c r="CB260" s="48"/>
      <c r="CC260" s="48"/>
      <c r="CD260" s="48"/>
      <c r="CE260" s="48"/>
      <c r="CF260" s="48"/>
      <c r="CG260" s="48"/>
      <c r="CH260" s="48"/>
      <c r="CI260" s="48"/>
      <c r="CJ260" s="48"/>
      <c r="CK260" s="48"/>
      <c r="CL260" s="48"/>
      <c r="CM260" s="48"/>
      <c r="CN260" s="48"/>
      <c r="CO260" s="48"/>
      <c r="CP260" s="48"/>
      <c r="CQ260" s="48"/>
      <c r="CR260" s="48"/>
      <c r="CS260" s="48"/>
      <c r="CT260" s="48"/>
      <c r="CU260" s="48"/>
      <c r="CV260" s="48"/>
      <c r="CW260" s="48"/>
      <c r="CX260" s="48"/>
      <c r="CY260" s="48"/>
      <c r="CZ260" s="48"/>
      <c r="DA260" s="48"/>
      <c r="DB260" s="48"/>
      <c r="DC260" s="48"/>
      <c r="DD260" s="48"/>
      <c r="DE260" s="48"/>
      <c r="DF260" s="48"/>
      <c r="DG260" s="48"/>
      <c r="DH260" s="48"/>
      <c r="DI260" s="48"/>
      <c r="DJ260" s="48"/>
      <c r="DK260" s="48"/>
      <c r="DL260" s="48"/>
      <c r="DM260" s="48"/>
      <c r="DN260" s="48"/>
      <c r="DO260" s="48"/>
      <c r="DP260" s="48"/>
      <c r="DQ260" s="48"/>
      <c r="DR260" s="48"/>
      <c r="DS260" s="48"/>
      <c r="DT260" s="48"/>
      <c r="DU260" s="48"/>
      <c r="DV260" s="48"/>
      <c r="DW260" s="48"/>
      <c r="DX260" s="48"/>
      <c r="DY260" s="48"/>
      <c r="DZ260" s="48"/>
      <c r="EA260" s="48"/>
      <c r="EB260" s="48"/>
      <c r="EC260" s="48"/>
      <c r="ED260" s="48"/>
      <c r="EE260" s="48"/>
      <c r="EF260" s="48"/>
      <c r="EG260" s="48"/>
      <c r="EH260" s="48"/>
      <c r="EI260" s="48"/>
      <c r="EJ260" s="48"/>
      <c r="EK260" s="48"/>
    </row>
    <row r="261" spans="1:141" s="12" customFormat="1" ht="14.25" hidden="1" customHeight="1">
      <c r="A261" s="25">
        <v>33</v>
      </c>
      <c r="B261" s="26"/>
      <c r="C261" s="25"/>
      <c r="D261" s="24"/>
      <c r="E261" s="62" t="s">
        <v>58</v>
      </c>
      <c r="F261" s="61"/>
      <c r="G261" s="58">
        <f t="shared" ref="G261:G292" si="703">+SUMIF($E$327:$E$515,D261,$H$327:$H$515)</f>
        <v>0</v>
      </c>
      <c r="H261" s="57">
        <f t="shared" ref="H261:H292" si="704">+SUMIF($E$327:$E$515,E261,$H$327:$H$515)</f>
        <v>0</v>
      </c>
      <c r="I261" s="19"/>
      <c r="J261" s="11">
        <f t="shared" ref="J261:J292" si="705">SUM(K261:Z261)</f>
        <v>0</v>
      </c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8"/>
      <c r="AB261" s="56">
        <f t="shared" ref="AB261:AB292" si="706">+SUMIF($E$327:$E$515,E261,$AB$327:$AB$515)</f>
        <v>0</v>
      </c>
      <c r="AC261" s="16">
        <f t="shared" ref="AC261:AC292" si="707">+SUMIF($E$327:$E$515,E261,$AC$327:$AC$515)</f>
        <v>0</v>
      </c>
      <c r="AD261" s="15" t="e">
        <f t="shared" ref="AD261:AD292" si="708">+AC261/AB261</f>
        <v>#DIV/0!</v>
      </c>
      <c r="AE261" s="55"/>
      <c r="AF261" s="10" t="e">
        <f t="shared" ref="AF261:AF292" si="709">+AC261/H261</f>
        <v>#DIV/0!</v>
      </c>
      <c r="AG261" s="10"/>
      <c r="AH261" s="21">
        <f t="shared" ref="AH261:AH292" si="710">+SUMIF($AA$327:$AA$515,E261,$AH$327:$AH$515)</f>
        <v>0</v>
      </c>
      <c r="AI261" s="54" t="e">
        <f t="shared" ref="AI261:AI292" si="711">+AH261/AC261</f>
        <v>#DIV/0!</v>
      </c>
      <c r="AJ261" s="25">
        <f t="shared" ref="AJ261:AJ292" si="712">+SUMIF($E$327:$E$515,E261,$AJ$327:$AJ$515)</f>
        <v>0</v>
      </c>
      <c r="AK261" s="25">
        <f t="shared" ref="AK261:AK292" si="713">+SUMIF($D$327:$D$515,E261,$AK$327:$AK$515)</f>
        <v>0</v>
      </c>
      <c r="AL261" s="25">
        <f t="shared" ref="AL261:AL292" si="714">+SUMIF($D$327:$D$515,E261,$AL$327:$AL$515)</f>
        <v>0</v>
      </c>
      <c r="AM261" s="25">
        <f t="shared" ref="AM261:AM292" si="715">+SUMIF($D$327:$D$515,E261,$AM$327:$AM$515)</f>
        <v>0</v>
      </c>
      <c r="AN261" s="25">
        <f t="shared" ref="AN261:AN292" si="716">+SUMIF($D$327:$D$515,E261,$AN$327:$AN$515)</f>
        <v>0</v>
      </c>
      <c r="AO261" s="25">
        <f t="shared" ref="AO261:AO292" si="717">+SUMIF($D$327:$D$515,E261,$AO$327:$AO$515)</f>
        <v>0</v>
      </c>
      <c r="AP261" s="25">
        <f t="shared" ref="AP261:AP292" si="718">+SUMIF($D$327:$D$515,E261,$AP$327:$AP$515)</f>
        <v>0</v>
      </c>
      <c r="AQ261" s="25">
        <f t="shared" ref="AQ261:AQ292" si="719">+SUMIF($D$327:$D$515,E261,$AQ$327:$AQ$515)</f>
        <v>0</v>
      </c>
      <c r="AR261" s="25">
        <f t="shared" ref="AR261:AR292" si="720">+SUMIF($AB$327:$AB$515,AA261,$AR$327:$AR$515)</f>
        <v>0</v>
      </c>
      <c r="AS261" s="25">
        <f t="shared" ref="AS261:AS292" si="721">+SUMIF($AC$327:$AC$515,AA261,$AS$327:$AS$515)</f>
        <v>0</v>
      </c>
      <c r="AT261" s="25">
        <f t="shared" ref="AT261:AT292" si="722">+SUMIF($D$327:$D$515,E261,$AT$327:$AT$515)</f>
        <v>0</v>
      </c>
      <c r="AU261" s="48"/>
      <c r="AV261" s="48"/>
      <c r="AW261" s="48"/>
      <c r="AX261" s="48"/>
      <c r="AY261" s="48"/>
      <c r="AZ261" s="48"/>
      <c r="BA261" s="48"/>
      <c r="BB261" s="48"/>
      <c r="BC261" s="48"/>
      <c r="BD261" s="48"/>
      <c r="BE261" s="48"/>
      <c r="BF261" s="48"/>
      <c r="BG261" s="48"/>
      <c r="BH261" s="48"/>
      <c r="BI261" s="48"/>
      <c r="BJ261" s="48"/>
      <c r="BK261" s="48"/>
      <c r="BL261" s="48"/>
      <c r="BM261" s="48"/>
      <c r="BN261" s="48"/>
      <c r="BO261" s="48"/>
      <c r="BP261" s="48"/>
      <c r="BQ261" s="48"/>
      <c r="BR261" s="48"/>
      <c r="BS261" s="48"/>
      <c r="BT261" s="48"/>
      <c r="BU261" s="48"/>
      <c r="BV261" s="48"/>
      <c r="BW261" s="48"/>
      <c r="BX261" s="48"/>
      <c r="BY261" s="48"/>
      <c r="BZ261" s="48"/>
      <c r="CA261" s="48"/>
      <c r="CB261" s="48"/>
      <c r="CC261" s="48"/>
      <c r="CD261" s="48"/>
      <c r="CE261" s="48"/>
      <c r="CF261" s="48"/>
      <c r="CG261" s="48"/>
      <c r="CH261" s="48"/>
      <c r="CI261" s="48"/>
      <c r="CJ261" s="48"/>
      <c r="CK261" s="48"/>
      <c r="CL261" s="48"/>
      <c r="CM261" s="48"/>
      <c r="CN261" s="48"/>
      <c r="CO261" s="48"/>
      <c r="CP261" s="48"/>
      <c r="CQ261" s="48"/>
      <c r="CR261" s="48"/>
      <c r="CS261" s="48"/>
      <c r="CT261" s="48"/>
      <c r="CU261" s="48"/>
      <c r="CV261" s="48"/>
      <c r="CW261" s="48"/>
      <c r="CX261" s="48"/>
      <c r="CY261" s="48"/>
      <c r="CZ261" s="48"/>
      <c r="DA261" s="48"/>
      <c r="DB261" s="48"/>
      <c r="DC261" s="48"/>
      <c r="DD261" s="48"/>
      <c r="DE261" s="48"/>
      <c r="DF261" s="48"/>
      <c r="DG261" s="48"/>
      <c r="DH261" s="48"/>
      <c r="DI261" s="48"/>
      <c r="DJ261" s="48"/>
      <c r="DK261" s="48"/>
      <c r="DL261" s="48"/>
      <c r="DM261" s="48"/>
      <c r="DN261" s="48"/>
      <c r="DO261" s="48"/>
      <c r="DP261" s="48"/>
      <c r="DQ261" s="48"/>
      <c r="DR261" s="48"/>
      <c r="DS261" s="48"/>
      <c r="DT261" s="48"/>
      <c r="DU261" s="48"/>
      <c r="DV261" s="48"/>
      <c r="DW261" s="48"/>
      <c r="DX261" s="48"/>
      <c r="DY261" s="48"/>
      <c r="DZ261" s="48"/>
      <c r="EA261" s="48"/>
      <c r="EB261" s="48"/>
      <c r="EC261" s="48"/>
      <c r="ED261" s="48"/>
      <c r="EE261" s="48"/>
      <c r="EF261" s="48"/>
      <c r="EG261" s="48"/>
      <c r="EH261" s="48"/>
      <c r="EI261" s="48"/>
      <c r="EJ261" s="48"/>
      <c r="EK261" s="48"/>
    </row>
    <row r="262" spans="1:141" s="12" customFormat="1" ht="14.25" hidden="1" customHeight="1">
      <c r="A262" s="25">
        <v>34</v>
      </c>
      <c r="B262" s="26"/>
      <c r="C262" s="25"/>
      <c r="D262" s="24"/>
      <c r="E262" s="62" t="s">
        <v>57</v>
      </c>
      <c r="F262" s="61"/>
      <c r="G262" s="58">
        <f t="shared" si="703"/>
        <v>0</v>
      </c>
      <c r="H262" s="57">
        <f t="shared" si="704"/>
        <v>0</v>
      </c>
      <c r="I262" s="19"/>
      <c r="J262" s="11">
        <f t="shared" si="705"/>
        <v>0</v>
      </c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8"/>
      <c r="AB262" s="56">
        <f t="shared" si="706"/>
        <v>0</v>
      </c>
      <c r="AC262" s="16">
        <f t="shared" si="707"/>
        <v>0</v>
      </c>
      <c r="AD262" s="15" t="e">
        <f t="shared" si="708"/>
        <v>#DIV/0!</v>
      </c>
      <c r="AE262" s="55"/>
      <c r="AF262" s="10" t="e">
        <f t="shared" si="709"/>
        <v>#DIV/0!</v>
      </c>
      <c r="AG262" s="10"/>
      <c r="AH262" s="21">
        <f t="shared" si="710"/>
        <v>0</v>
      </c>
      <c r="AI262" s="54" t="e">
        <f t="shared" si="711"/>
        <v>#DIV/0!</v>
      </c>
      <c r="AJ262" s="25">
        <f t="shared" si="712"/>
        <v>0</v>
      </c>
      <c r="AK262" s="25">
        <f t="shared" si="713"/>
        <v>0</v>
      </c>
      <c r="AL262" s="25">
        <f t="shared" si="714"/>
        <v>0</v>
      </c>
      <c r="AM262" s="25">
        <f t="shared" si="715"/>
        <v>0</v>
      </c>
      <c r="AN262" s="25">
        <f t="shared" si="716"/>
        <v>0</v>
      </c>
      <c r="AO262" s="25">
        <f t="shared" si="717"/>
        <v>0</v>
      </c>
      <c r="AP262" s="25">
        <f t="shared" si="718"/>
        <v>0</v>
      </c>
      <c r="AQ262" s="25">
        <f t="shared" si="719"/>
        <v>0</v>
      </c>
      <c r="AR262" s="25">
        <f t="shared" si="720"/>
        <v>0</v>
      </c>
      <c r="AS262" s="25">
        <f t="shared" si="721"/>
        <v>0</v>
      </c>
      <c r="AT262" s="25">
        <f t="shared" si="722"/>
        <v>0</v>
      </c>
      <c r="AU262" s="48"/>
      <c r="AV262" s="48"/>
      <c r="AW262" s="48"/>
      <c r="AX262" s="48"/>
      <c r="AY262" s="48"/>
      <c r="AZ262" s="48"/>
      <c r="BA262" s="48"/>
      <c r="BB262" s="48"/>
      <c r="BC262" s="48"/>
      <c r="BD262" s="48"/>
      <c r="BE262" s="48"/>
      <c r="BF262" s="48"/>
      <c r="BG262" s="48"/>
      <c r="BH262" s="48"/>
      <c r="BI262" s="48"/>
      <c r="BJ262" s="48"/>
      <c r="BK262" s="48"/>
      <c r="BL262" s="48"/>
      <c r="BM262" s="48"/>
      <c r="BN262" s="48"/>
      <c r="BO262" s="48"/>
      <c r="BP262" s="48"/>
      <c r="BQ262" s="48"/>
      <c r="BR262" s="48"/>
      <c r="BS262" s="48"/>
      <c r="BT262" s="48"/>
      <c r="BU262" s="48"/>
      <c r="BV262" s="48"/>
      <c r="BW262" s="48"/>
      <c r="BX262" s="48"/>
      <c r="BY262" s="48"/>
      <c r="BZ262" s="48"/>
      <c r="CA262" s="48"/>
      <c r="CB262" s="48"/>
      <c r="CC262" s="48"/>
      <c r="CD262" s="48"/>
      <c r="CE262" s="48"/>
      <c r="CF262" s="48"/>
      <c r="CG262" s="48"/>
      <c r="CH262" s="48"/>
      <c r="CI262" s="48"/>
      <c r="CJ262" s="48"/>
      <c r="CK262" s="48"/>
      <c r="CL262" s="48"/>
      <c r="CM262" s="48"/>
      <c r="CN262" s="48"/>
      <c r="CO262" s="48"/>
      <c r="CP262" s="48"/>
      <c r="CQ262" s="48"/>
      <c r="CR262" s="48"/>
      <c r="CS262" s="48"/>
      <c r="CT262" s="48"/>
      <c r="CU262" s="48"/>
      <c r="CV262" s="48"/>
      <c r="CW262" s="48"/>
      <c r="CX262" s="48"/>
      <c r="CY262" s="48"/>
      <c r="CZ262" s="48"/>
      <c r="DA262" s="48"/>
      <c r="DB262" s="48"/>
      <c r="DC262" s="48"/>
      <c r="DD262" s="48"/>
      <c r="DE262" s="48"/>
      <c r="DF262" s="48"/>
      <c r="DG262" s="48"/>
      <c r="DH262" s="48"/>
      <c r="DI262" s="48"/>
      <c r="DJ262" s="48"/>
      <c r="DK262" s="48"/>
      <c r="DL262" s="48"/>
      <c r="DM262" s="48"/>
      <c r="DN262" s="48"/>
      <c r="DO262" s="48"/>
      <c r="DP262" s="48"/>
      <c r="DQ262" s="48"/>
      <c r="DR262" s="48"/>
      <c r="DS262" s="48"/>
      <c r="DT262" s="48"/>
      <c r="DU262" s="48"/>
      <c r="DV262" s="48"/>
      <c r="DW262" s="48"/>
      <c r="DX262" s="48"/>
      <c r="DY262" s="48"/>
      <c r="DZ262" s="48"/>
      <c r="EA262" s="48"/>
      <c r="EB262" s="48"/>
      <c r="EC262" s="48"/>
      <c r="ED262" s="48"/>
      <c r="EE262" s="48"/>
      <c r="EF262" s="48"/>
      <c r="EG262" s="48"/>
      <c r="EH262" s="48"/>
      <c r="EI262" s="48"/>
      <c r="EJ262" s="48"/>
      <c r="EK262" s="48"/>
    </row>
    <row r="263" spans="1:141" s="12" customFormat="1" ht="14.25" hidden="1" customHeight="1">
      <c r="A263" s="25">
        <v>35</v>
      </c>
      <c r="B263" s="26"/>
      <c r="C263" s="25"/>
      <c r="D263" s="24"/>
      <c r="E263" s="62" t="s">
        <v>56</v>
      </c>
      <c r="F263" s="61"/>
      <c r="G263" s="58">
        <f t="shared" si="703"/>
        <v>0</v>
      </c>
      <c r="H263" s="57">
        <f t="shared" si="704"/>
        <v>0</v>
      </c>
      <c r="I263" s="19"/>
      <c r="J263" s="11">
        <f t="shared" si="705"/>
        <v>0</v>
      </c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8"/>
      <c r="AB263" s="56">
        <f t="shared" si="706"/>
        <v>0</v>
      </c>
      <c r="AC263" s="16">
        <f t="shared" si="707"/>
        <v>0</v>
      </c>
      <c r="AD263" s="15" t="e">
        <f t="shared" si="708"/>
        <v>#DIV/0!</v>
      </c>
      <c r="AE263" s="55"/>
      <c r="AF263" s="10" t="e">
        <f t="shared" si="709"/>
        <v>#DIV/0!</v>
      </c>
      <c r="AG263" s="10"/>
      <c r="AH263" s="21">
        <f t="shared" si="710"/>
        <v>0</v>
      </c>
      <c r="AI263" s="54" t="e">
        <f t="shared" si="711"/>
        <v>#DIV/0!</v>
      </c>
      <c r="AJ263" s="25">
        <f t="shared" si="712"/>
        <v>0</v>
      </c>
      <c r="AK263" s="25">
        <f t="shared" si="713"/>
        <v>0</v>
      </c>
      <c r="AL263" s="25">
        <f t="shared" si="714"/>
        <v>0</v>
      </c>
      <c r="AM263" s="25">
        <f t="shared" si="715"/>
        <v>0</v>
      </c>
      <c r="AN263" s="25">
        <f t="shared" si="716"/>
        <v>0</v>
      </c>
      <c r="AO263" s="25">
        <f t="shared" si="717"/>
        <v>0</v>
      </c>
      <c r="AP263" s="25">
        <f t="shared" si="718"/>
        <v>0</v>
      </c>
      <c r="AQ263" s="25">
        <f t="shared" si="719"/>
        <v>0</v>
      </c>
      <c r="AR263" s="25">
        <f t="shared" si="720"/>
        <v>0</v>
      </c>
      <c r="AS263" s="25">
        <f t="shared" si="721"/>
        <v>0</v>
      </c>
      <c r="AT263" s="25">
        <f t="shared" si="722"/>
        <v>0</v>
      </c>
      <c r="AU263" s="48"/>
      <c r="AV263" s="48"/>
      <c r="AW263" s="48"/>
      <c r="AX263" s="48"/>
      <c r="AY263" s="48"/>
      <c r="AZ263" s="48"/>
      <c r="BA263" s="48"/>
      <c r="BB263" s="48"/>
      <c r="BC263" s="48"/>
      <c r="BD263" s="48"/>
      <c r="BE263" s="48"/>
      <c r="BF263" s="48"/>
      <c r="BG263" s="48"/>
      <c r="BH263" s="48"/>
      <c r="BI263" s="48"/>
      <c r="BJ263" s="48"/>
      <c r="BK263" s="48"/>
      <c r="BL263" s="48"/>
      <c r="BM263" s="48"/>
      <c r="BN263" s="48"/>
      <c r="BO263" s="48"/>
      <c r="BP263" s="48"/>
      <c r="BQ263" s="48"/>
      <c r="BR263" s="48"/>
      <c r="BS263" s="48"/>
      <c r="BT263" s="48"/>
      <c r="BU263" s="48"/>
      <c r="BV263" s="48"/>
      <c r="BW263" s="48"/>
      <c r="BX263" s="48"/>
      <c r="BY263" s="48"/>
      <c r="BZ263" s="48"/>
      <c r="CA263" s="48"/>
      <c r="CB263" s="48"/>
      <c r="CC263" s="48"/>
      <c r="CD263" s="48"/>
      <c r="CE263" s="48"/>
      <c r="CF263" s="48"/>
      <c r="CG263" s="48"/>
      <c r="CH263" s="48"/>
      <c r="CI263" s="48"/>
      <c r="CJ263" s="48"/>
      <c r="CK263" s="48"/>
      <c r="CL263" s="48"/>
      <c r="CM263" s="48"/>
      <c r="CN263" s="48"/>
      <c r="CO263" s="48"/>
      <c r="CP263" s="48"/>
      <c r="CQ263" s="48"/>
      <c r="CR263" s="48"/>
      <c r="CS263" s="48"/>
      <c r="CT263" s="48"/>
      <c r="CU263" s="48"/>
      <c r="CV263" s="48"/>
      <c r="CW263" s="48"/>
      <c r="CX263" s="48"/>
      <c r="CY263" s="48"/>
      <c r="CZ263" s="48"/>
      <c r="DA263" s="48"/>
      <c r="DB263" s="48"/>
      <c r="DC263" s="48"/>
      <c r="DD263" s="48"/>
      <c r="DE263" s="48"/>
      <c r="DF263" s="48"/>
      <c r="DG263" s="48"/>
      <c r="DH263" s="48"/>
      <c r="DI263" s="48"/>
      <c r="DJ263" s="48"/>
      <c r="DK263" s="48"/>
      <c r="DL263" s="48"/>
      <c r="DM263" s="48"/>
      <c r="DN263" s="48"/>
      <c r="DO263" s="48"/>
      <c r="DP263" s="48"/>
      <c r="DQ263" s="48"/>
      <c r="DR263" s="48"/>
      <c r="DS263" s="48"/>
      <c r="DT263" s="48"/>
      <c r="DU263" s="48"/>
      <c r="DV263" s="48"/>
      <c r="DW263" s="48"/>
      <c r="DX263" s="48"/>
      <c r="DY263" s="48"/>
      <c r="DZ263" s="48"/>
      <c r="EA263" s="48"/>
      <c r="EB263" s="48"/>
      <c r="EC263" s="48"/>
      <c r="ED263" s="48"/>
      <c r="EE263" s="48"/>
      <c r="EF263" s="48"/>
      <c r="EG263" s="48"/>
      <c r="EH263" s="48"/>
      <c r="EI263" s="48"/>
      <c r="EJ263" s="48"/>
      <c r="EK263" s="48"/>
    </row>
    <row r="264" spans="1:141" s="12" customFormat="1" ht="14.25" hidden="1" customHeight="1">
      <c r="A264" s="25">
        <v>36</v>
      </c>
      <c r="B264" s="26"/>
      <c r="C264" s="25"/>
      <c r="D264" s="24"/>
      <c r="E264" s="62" t="s">
        <v>55</v>
      </c>
      <c r="F264" s="61"/>
      <c r="G264" s="58">
        <f t="shared" si="703"/>
        <v>0</v>
      </c>
      <c r="H264" s="57">
        <f t="shared" si="704"/>
        <v>0</v>
      </c>
      <c r="I264" s="19"/>
      <c r="J264" s="11">
        <f t="shared" si="705"/>
        <v>0</v>
      </c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8"/>
      <c r="AB264" s="56">
        <f t="shared" si="706"/>
        <v>0</v>
      </c>
      <c r="AC264" s="16">
        <f t="shared" si="707"/>
        <v>0</v>
      </c>
      <c r="AD264" s="15" t="e">
        <f t="shared" si="708"/>
        <v>#DIV/0!</v>
      </c>
      <c r="AE264" s="55"/>
      <c r="AF264" s="10" t="e">
        <f t="shared" si="709"/>
        <v>#DIV/0!</v>
      </c>
      <c r="AG264" s="10"/>
      <c r="AH264" s="21">
        <f t="shared" si="710"/>
        <v>0</v>
      </c>
      <c r="AI264" s="54" t="e">
        <f t="shared" si="711"/>
        <v>#DIV/0!</v>
      </c>
      <c r="AJ264" s="25">
        <f t="shared" si="712"/>
        <v>0</v>
      </c>
      <c r="AK264" s="25">
        <f t="shared" si="713"/>
        <v>0</v>
      </c>
      <c r="AL264" s="25">
        <f t="shared" si="714"/>
        <v>0</v>
      </c>
      <c r="AM264" s="25">
        <f t="shared" si="715"/>
        <v>0</v>
      </c>
      <c r="AN264" s="25">
        <f t="shared" si="716"/>
        <v>0</v>
      </c>
      <c r="AO264" s="25">
        <f t="shared" si="717"/>
        <v>0</v>
      </c>
      <c r="AP264" s="25">
        <f t="shared" si="718"/>
        <v>0</v>
      </c>
      <c r="AQ264" s="25">
        <f t="shared" si="719"/>
        <v>0</v>
      </c>
      <c r="AR264" s="25">
        <f t="shared" si="720"/>
        <v>0</v>
      </c>
      <c r="AS264" s="25">
        <f t="shared" si="721"/>
        <v>0</v>
      </c>
      <c r="AT264" s="25">
        <f t="shared" si="722"/>
        <v>0</v>
      </c>
      <c r="AU264" s="48"/>
      <c r="AV264" s="48"/>
      <c r="AW264" s="48"/>
      <c r="AX264" s="48"/>
      <c r="AY264" s="48"/>
      <c r="AZ264" s="48"/>
      <c r="BA264" s="48"/>
      <c r="BB264" s="48"/>
      <c r="BC264" s="48"/>
      <c r="BD264" s="48"/>
      <c r="BE264" s="48"/>
      <c r="BF264" s="48"/>
      <c r="BG264" s="48"/>
      <c r="BH264" s="48"/>
      <c r="BI264" s="48"/>
      <c r="BJ264" s="48"/>
      <c r="BK264" s="48"/>
      <c r="BL264" s="48"/>
      <c r="BM264" s="48"/>
      <c r="BN264" s="48"/>
      <c r="BO264" s="48"/>
      <c r="BP264" s="48"/>
      <c r="BQ264" s="48"/>
      <c r="BR264" s="48"/>
      <c r="BS264" s="48"/>
      <c r="BT264" s="48"/>
      <c r="BU264" s="48"/>
      <c r="BV264" s="48"/>
      <c r="BW264" s="48"/>
      <c r="BX264" s="48"/>
      <c r="BY264" s="48"/>
      <c r="BZ264" s="48"/>
      <c r="CA264" s="48"/>
      <c r="CB264" s="48"/>
      <c r="CC264" s="48"/>
      <c r="CD264" s="48"/>
      <c r="CE264" s="48"/>
      <c r="CF264" s="48"/>
      <c r="CG264" s="48"/>
      <c r="CH264" s="48"/>
      <c r="CI264" s="48"/>
      <c r="CJ264" s="48"/>
      <c r="CK264" s="48"/>
      <c r="CL264" s="48"/>
      <c r="CM264" s="48"/>
      <c r="CN264" s="48"/>
      <c r="CO264" s="48"/>
      <c r="CP264" s="48"/>
      <c r="CQ264" s="48"/>
      <c r="CR264" s="48"/>
      <c r="CS264" s="48"/>
      <c r="CT264" s="48"/>
      <c r="CU264" s="48"/>
      <c r="CV264" s="48"/>
      <c r="CW264" s="48"/>
      <c r="CX264" s="48"/>
      <c r="CY264" s="48"/>
      <c r="CZ264" s="48"/>
      <c r="DA264" s="48"/>
      <c r="DB264" s="48"/>
      <c r="DC264" s="48"/>
      <c r="DD264" s="48"/>
      <c r="DE264" s="48"/>
      <c r="DF264" s="48"/>
      <c r="DG264" s="48"/>
      <c r="DH264" s="48"/>
      <c r="DI264" s="48"/>
      <c r="DJ264" s="48"/>
      <c r="DK264" s="48"/>
      <c r="DL264" s="48"/>
      <c r="DM264" s="48"/>
      <c r="DN264" s="48"/>
      <c r="DO264" s="48"/>
      <c r="DP264" s="48"/>
      <c r="DQ264" s="48"/>
      <c r="DR264" s="48"/>
      <c r="DS264" s="48"/>
      <c r="DT264" s="48"/>
      <c r="DU264" s="48"/>
      <c r="DV264" s="48"/>
      <c r="DW264" s="48"/>
      <c r="DX264" s="48"/>
      <c r="DY264" s="48"/>
      <c r="DZ264" s="48"/>
      <c r="EA264" s="48"/>
      <c r="EB264" s="48"/>
      <c r="EC264" s="48"/>
      <c r="ED264" s="48"/>
      <c r="EE264" s="48"/>
      <c r="EF264" s="48"/>
      <c r="EG264" s="48"/>
      <c r="EH264" s="48"/>
      <c r="EI264" s="48"/>
      <c r="EJ264" s="48"/>
      <c r="EK264" s="48"/>
    </row>
    <row r="265" spans="1:141" s="12" customFormat="1" ht="14.25" hidden="1" customHeight="1">
      <c r="A265" s="25">
        <v>37</v>
      </c>
      <c r="B265" s="26"/>
      <c r="C265" s="25"/>
      <c r="D265" s="24"/>
      <c r="E265" s="62" t="s">
        <v>54</v>
      </c>
      <c r="F265" s="61"/>
      <c r="G265" s="58">
        <f t="shared" si="703"/>
        <v>0</v>
      </c>
      <c r="H265" s="57">
        <f t="shared" si="704"/>
        <v>0</v>
      </c>
      <c r="I265" s="19"/>
      <c r="J265" s="11">
        <f t="shared" si="705"/>
        <v>0</v>
      </c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8"/>
      <c r="AB265" s="56">
        <f t="shared" si="706"/>
        <v>0</v>
      </c>
      <c r="AC265" s="16">
        <f t="shared" si="707"/>
        <v>0</v>
      </c>
      <c r="AD265" s="15" t="e">
        <f t="shared" si="708"/>
        <v>#DIV/0!</v>
      </c>
      <c r="AE265" s="55"/>
      <c r="AF265" s="10" t="e">
        <f t="shared" si="709"/>
        <v>#DIV/0!</v>
      </c>
      <c r="AG265" s="10"/>
      <c r="AH265" s="21">
        <f t="shared" si="710"/>
        <v>0</v>
      </c>
      <c r="AI265" s="54" t="e">
        <f t="shared" si="711"/>
        <v>#DIV/0!</v>
      </c>
      <c r="AJ265" s="25">
        <f t="shared" si="712"/>
        <v>0</v>
      </c>
      <c r="AK265" s="25">
        <f t="shared" si="713"/>
        <v>0</v>
      </c>
      <c r="AL265" s="25">
        <f t="shared" si="714"/>
        <v>0</v>
      </c>
      <c r="AM265" s="25">
        <f t="shared" si="715"/>
        <v>0</v>
      </c>
      <c r="AN265" s="25">
        <f t="shared" si="716"/>
        <v>0</v>
      </c>
      <c r="AO265" s="25">
        <f t="shared" si="717"/>
        <v>0</v>
      </c>
      <c r="AP265" s="25">
        <f t="shared" si="718"/>
        <v>0</v>
      </c>
      <c r="AQ265" s="25">
        <f t="shared" si="719"/>
        <v>0</v>
      </c>
      <c r="AR265" s="25">
        <f t="shared" si="720"/>
        <v>0</v>
      </c>
      <c r="AS265" s="25">
        <f t="shared" si="721"/>
        <v>0</v>
      </c>
      <c r="AT265" s="25">
        <f t="shared" si="722"/>
        <v>0</v>
      </c>
      <c r="AU265" s="48"/>
      <c r="AV265" s="48"/>
      <c r="AW265" s="48"/>
      <c r="AX265" s="48"/>
      <c r="AY265" s="48"/>
      <c r="AZ265" s="48"/>
      <c r="BA265" s="48"/>
      <c r="BB265" s="48"/>
      <c r="BC265" s="48"/>
      <c r="BD265" s="48"/>
      <c r="BE265" s="48"/>
      <c r="BF265" s="48"/>
      <c r="BG265" s="48"/>
      <c r="BH265" s="48"/>
      <c r="BI265" s="48"/>
      <c r="BJ265" s="48"/>
      <c r="BK265" s="48"/>
      <c r="BL265" s="48"/>
      <c r="BM265" s="48"/>
      <c r="BN265" s="48"/>
      <c r="BO265" s="48"/>
      <c r="BP265" s="48"/>
      <c r="BQ265" s="48"/>
      <c r="BR265" s="48"/>
      <c r="BS265" s="48"/>
      <c r="BT265" s="48"/>
      <c r="BU265" s="48"/>
      <c r="BV265" s="48"/>
      <c r="BW265" s="48"/>
      <c r="BX265" s="48"/>
      <c r="BY265" s="48"/>
      <c r="BZ265" s="48"/>
      <c r="CA265" s="48"/>
      <c r="CB265" s="48"/>
      <c r="CC265" s="48"/>
      <c r="CD265" s="48"/>
      <c r="CE265" s="48"/>
      <c r="CF265" s="48"/>
      <c r="CG265" s="48"/>
      <c r="CH265" s="48"/>
      <c r="CI265" s="48"/>
      <c r="CJ265" s="48"/>
      <c r="CK265" s="48"/>
      <c r="CL265" s="48"/>
      <c r="CM265" s="48"/>
      <c r="CN265" s="48"/>
      <c r="CO265" s="48"/>
      <c r="CP265" s="48"/>
      <c r="CQ265" s="48"/>
      <c r="CR265" s="48"/>
      <c r="CS265" s="48"/>
      <c r="CT265" s="48"/>
      <c r="CU265" s="48"/>
      <c r="CV265" s="48"/>
      <c r="CW265" s="48"/>
      <c r="CX265" s="48"/>
      <c r="CY265" s="48"/>
      <c r="CZ265" s="48"/>
      <c r="DA265" s="48"/>
      <c r="DB265" s="48"/>
      <c r="DC265" s="48"/>
      <c r="DD265" s="48"/>
      <c r="DE265" s="48"/>
      <c r="DF265" s="48"/>
      <c r="DG265" s="48"/>
      <c r="DH265" s="48"/>
      <c r="DI265" s="48"/>
      <c r="DJ265" s="48"/>
      <c r="DK265" s="48"/>
      <c r="DL265" s="48"/>
      <c r="DM265" s="48"/>
      <c r="DN265" s="48"/>
      <c r="DO265" s="48"/>
      <c r="DP265" s="48"/>
      <c r="DQ265" s="48"/>
      <c r="DR265" s="48"/>
      <c r="DS265" s="48"/>
      <c r="DT265" s="48"/>
      <c r="DU265" s="48"/>
      <c r="DV265" s="48"/>
      <c r="DW265" s="48"/>
      <c r="DX265" s="48"/>
      <c r="DY265" s="48"/>
      <c r="DZ265" s="48"/>
      <c r="EA265" s="48"/>
      <c r="EB265" s="48"/>
      <c r="EC265" s="48"/>
      <c r="ED265" s="48"/>
      <c r="EE265" s="48"/>
      <c r="EF265" s="48"/>
      <c r="EG265" s="48"/>
      <c r="EH265" s="48"/>
      <c r="EI265" s="48"/>
      <c r="EJ265" s="48"/>
      <c r="EK265" s="48"/>
    </row>
    <row r="266" spans="1:141" s="12" customFormat="1" ht="14.25" hidden="1" customHeight="1">
      <c r="A266" s="25">
        <v>38</v>
      </c>
      <c r="B266" s="26"/>
      <c r="C266" s="25"/>
      <c r="D266" s="24"/>
      <c r="E266" s="62" t="s">
        <v>53</v>
      </c>
      <c r="F266" s="61"/>
      <c r="G266" s="58">
        <f t="shared" si="703"/>
        <v>0</v>
      </c>
      <c r="H266" s="57">
        <f t="shared" si="704"/>
        <v>0</v>
      </c>
      <c r="I266" s="19"/>
      <c r="J266" s="11">
        <f t="shared" si="705"/>
        <v>0</v>
      </c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8"/>
      <c r="AB266" s="56">
        <f t="shared" si="706"/>
        <v>0</v>
      </c>
      <c r="AC266" s="16">
        <f t="shared" si="707"/>
        <v>0</v>
      </c>
      <c r="AD266" s="15" t="e">
        <f t="shared" si="708"/>
        <v>#DIV/0!</v>
      </c>
      <c r="AE266" s="55"/>
      <c r="AF266" s="10" t="e">
        <f t="shared" si="709"/>
        <v>#DIV/0!</v>
      </c>
      <c r="AG266" s="10"/>
      <c r="AH266" s="21">
        <f t="shared" si="710"/>
        <v>0</v>
      </c>
      <c r="AI266" s="54" t="e">
        <f t="shared" si="711"/>
        <v>#DIV/0!</v>
      </c>
      <c r="AJ266" s="25">
        <f t="shared" si="712"/>
        <v>0</v>
      </c>
      <c r="AK266" s="25">
        <f t="shared" si="713"/>
        <v>0</v>
      </c>
      <c r="AL266" s="25">
        <f t="shared" si="714"/>
        <v>0</v>
      </c>
      <c r="AM266" s="25">
        <f t="shared" si="715"/>
        <v>0</v>
      </c>
      <c r="AN266" s="25">
        <f t="shared" si="716"/>
        <v>0</v>
      </c>
      <c r="AO266" s="25">
        <f t="shared" si="717"/>
        <v>0</v>
      </c>
      <c r="AP266" s="25">
        <f t="shared" si="718"/>
        <v>0</v>
      </c>
      <c r="AQ266" s="25">
        <f t="shared" si="719"/>
        <v>0</v>
      </c>
      <c r="AR266" s="25">
        <f t="shared" si="720"/>
        <v>0</v>
      </c>
      <c r="AS266" s="25">
        <f t="shared" si="721"/>
        <v>0</v>
      </c>
      <c r="AT266" s="25">
        <f t="shared" si="722"/>
        <v>0</v>
      </c>
      <c r="AU266" s="48"/>
      <c r="AV266" s="48"/>
      <c r="AW266" s="48"/>
      <c r="AX266" s="48"/>
      <c r="AY266" s="48"/>
      <c r="AZ266" s="48"/>
      <c r="BA266" s="48"/>
      <c r="BB266" s="48"/>
      <c r="BC266" s="48"/>
      <c r="BD266" s="48"/>
      <c r="BE266" s="48"/>
      <c r="BF266" s="48"/>
      <c r="BG266" s="48"/>
      <c r="BH266" s="48"/>
      <c r="BI266" s="48"/>
      <c r="BJ266" s="48"/>
      <c r="BK266" s="48"/>
      <c r="BL266" s="48"/>
      <c r="BM266" s="48"/>
      <c r="BN266" s="48"/>
      <c r="BO266" s="48"/>
      <c r="BP266" s="48"/>
      <c r="BQ266" s="48"/>
      <c r="BR266" s="48"/>
      <c r="BS266" s="48"/>
      <c r="BT266" s="48"/>
      <c r="BU266" s="48"/>
      <c r="BV266" s="48"/>
      <c r="BW266" s="48"/>
      <c r="BX266" s="48"/>
      <c r="BY266" s="48"/>
      <c r="BZ266" s="48"/>
      <c r="CA266" s="48"/>
      <c r="CB266" s="48"/>
      <c r="CC266" s="48"/>
      <c r="CD266" s="48"/>
      <c r="CE266" s="48"/>
      <c r="CF266" s="48"/>
      <c r="CG266" s="48"/>
      <c r="CH266" s="48"/>
      <c r="CI266" s="48"/>
      <c r="CJ266" s="48"/>
      <c r="CK266" s="48"/>
      <c r="CL266" s="48"/>
      <c r="CM266" s="48"/>
      <c r="CN266" s="48"/>
      <c r="CO266" s="48"/>
      <c r="CP266" s="48"/>
      <c r="CQ266" s="48"/>
      <c r="CR266" s="48"/>
      <c r="CS266" s="48"/>
      <c r="CT266" s="48"/>
      <c r="CU266" s="48"/>
      <c r="CV266" s="48"/>
      <c r="CW266" s="48"/>
      <c r="CX266" s="48"/>
      <c r="CY266" s="48"/>
      <c r="CZ266" s="48"/>
      <c r="DA266" s="48"/>
      <c r="DB266" s="48"/>
      <c r="DC266" s="48"/>
      <c r="DD266" s="48"/>
      <c r="DE266" s="48"/>
      <c r="DF266" s="48"/>
      <c r="DG266" s="48"/>
      <c r="DH266" s="48"/>
      <c r="DI266" s="48"/>
      <c r="DJ266" s="48"/>
      <c r="DK266" s="48"/>
      <c r="DL266" s="48"/>
      <c r="DM266" s="48"/>
      <c r="DN266" s="48"/>
      <c r="DO266" s="48"/>
      <c r="DP266" s="48"/>
      <c r="DQ266" s="48"/>
      <c r="DR266" s="48"/>
      <c r="DS266" s="48"/>
      <c r="DT266" s="48"/>
      <c r="DU266" s="48"/>
      <c r="DV266" s="48"/>
      <c r="DW266" s="48"/>
      <c r="DX266" s="48"/>
      <c r="DY266" s="48"/>
      <c r="DZ266" s="48"/>
      <c r="EA266" s="48"/>
      <c r="EB266" s="48"/>
      <c r="EC266" s="48"/>
      <c r="ED266" s="48"/>
      <c r="EE266" s="48"/>
      <c r="EF266" s="48"/>
      <c r="EG266" s="48"/>
      <c r="EH266" s="48"/>
      <c r="EI266" s="48"/>
      <c r="EJ266" s="48"/>
      <c r="EK266" s="48"/>
    </row>
    <row r="267" spans="1:141" s="12" customFormat="1" ht="14.25" hidden="1" customHeight="1">
      <c r="A267" s="25">
        <v>39</v>
      </c>
      <c r="B267" s="26"/>
      <c r="C267" s="25"/>
      <c r="D267" s="24"/>
      <c r="E267" s="62" t="s">
        <v>52</v>
      </c>
      <c r="F267" s="61"/>
      <c r="G267" s="58">
        <f t="shared" si="703"/>
        <v>0</v>
      </c>
      <c r="H267" s="57">
        <f t="shared" si="704"/>
        <v>0</v>
      </c>
      <c r="I267" s="19"/>
      <c r="J267" s="11">
        <f t="shared" si="705"/>
        <v>0</v>
      </c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8"/>
      <c r="AB267" s="56">
        <f t="shared" si="706"/>
        <v>0</v>
      </c>
      <c r="AC267" s="16">
        <f t="shared" si="707"/>
        <v>0</v>
      </c>
      <c r="AD267" s="15" t="e">
        <f t="shared" si="708"/>
        <v>#DIV/0!</v>
      </c>
      <c r="AE267" s="55"/>
      <c r="AF267" s="10" t="e">
        <f t="shared" si="709"/>
        <v>#DIV/0!</v>
      </c>
      <c r="AG267" s="10"/>
      <c r="AH267" s="21">
        <f t="shared" si="710"/>
        <v>0</v>
      </c>
      <c r="AI267" s="54" t="e">
        <f t="shared" si="711"/>
        <v>#DIV/0!</v>
      </c>
      <c r="AJ267" s="25">
        <f t="shared" si="712"/>
        <v>0</v>
      </c>
      <c r="AK267" s="25">
        <f t="shared" si="713"/>
        <v>0</v>
      </c>
      <c r="AL267" s="25">
        <f t="shared" si="714"/>
        <v>0</v>
      </c>
      <c r="AM267" s="25">
        <f t="shared" si="715"/>
        <v>0</v>
      </c>
      <c r="AN267" s="25">
        <f t="shared" si="716"/>
        <v>0</v>
      </c>
      <c r="AO267" s="25">
        <f t="shared" si="717"/>
        <v>0</v>
      </c>
      <c r="AP267" s="25">
        <f t="shared" si="718"/>
        <v>0</v>
      </c>
      <c r="AQ267" s="25">
        <f t="shared" si="719"/>
        <v>0</v>
      </c>
      <c r="AR267" s="25">
        <f t="shared" si="720"/>
        <v>0</v>
      </c>
      <c r="AS267" s="25">
        <f t="shared" si="721"/>
        <v>0</v>
      </c>
      <c r="AT267" s="25">
        <f t="shared" si="722"/>
        <v>0</v>
      </c>
      <c r="AU267" s="48"/>
      <c r="AV267" s="48"/>
      <c r="AW267" s="48"/>
      <c r="AX267" s="48"/>
      <c r="AY267" s="48"/>
      <c r="AZ267" s="48"/>
      <c r="BA267" s="48"/>
      <c r="BB267" s="48"/>
      <c r="BC267" s="48"/>
      <c r="BD267" s="48"/>
      <c r="BE267" s="48"/>
      <c r="BF267" s="48"/>
      <c r="BG267" s="48"/>
      <c r="BH267" s="48"/>
      <c r="BI267" s="48"/>
      <c r="BJ267" s="48"/>
      <c r="BK267" s="48"/>
      <c r="BL267" s="48"/>
      <c r="BM267" s="48"/>
      <c r="BN267" s="48"/>
      <c r="BO267" s="48"/>
      <c r="BP267" s="48"/>
      <c r="BQ267" s="48"/>
      <c r="BR267" s="48"/>
      <c r="BS267" s="48"/>
      <c r="BT267" s="48"/>
      <c r="BU267" s="48"/>
      <c r="BV267" s="48"/>
      <c r="BW267" s="48"/>
      <c r="BX267" s="48"/>
      <c r="BY267" s="48"/>
      <c r="BZ267" s="48"/>
      <c r="CA267" s="48"/>
      <c r="CB267" s="48"/>
      <c r="CC267" s="48"/>
      <c r="CD267" s="48"/>
      <c r="CE267" s="48"/>
      <c r="CF267" s="48"/>
      <c r="CG267" s="48"/>
      <c r="CH267" s="48"/>
      <c r="CI267" s="48"/>
      <c r="CJ267" s="48"/>
      <c r="CK267" s="48"/>
      <c r="CL267" s="48"/>
      <c r="CM267" s="48"/>
      <c r="CN267" s="48"/>
      <c r="CO267" s="48"/>
      <c r="CP267" s="48"/>
      <c r="CQ267" s="48"/>
      <c r="CR267" s="48"/>
      <c r="CS267" s="48"/>
      <c r="CT267" s="48"/>
      <c r="CU267" s="48"/>
      <c r="CV267" s="48"/>
      <c r="CW267" s="48"/>
      <c r="CX267" s="48"/>
      <c r="CY267" s="48"/>
      <c r="CZ267" s="48"/>
      <c r="DA267" s="48"/>
      <c r="DB267" s="48"/>
      <c r="DC267" s="48"/>
      <c r="DD267" s="48"/>
      <c r="DE267" s="48"/>
      <c r="DF267" s="48"/>
      <c r="DG267" s="48"/>
      <c r="DH267" s="48"/>
      <c r="DI267" s="48"/>
      <c r="DJ267" s="48"/>
      <c r="DK267" s="48"/>
      <c r="DL267" s="48"/>
      <c r="DM267" s="48"/>
      <c r="DN267" s="48"/>
      <c r="DO267" s="48"/>
      <c r="DP267" s="48"/>
      <c r="DQ267" s="48"/>
      <c r="DR267" s="48"/>
      <c r="DS267" s="48"/>
      <c r="DT267" s="48"/>
      <c r="DU267" s="48"/>
      <c r="DV267" s="48"/>
      <c r="DW267" s="48"/>
      <c r="DX267" s="48"/>
      <c r="DY267" s="48"/>
      <c r="DZ267" s="48"/>
      <c r="EA267" s="48"/>
      <c r="EB267" s="48"/>
      <c r="EC267" s="48"/>
      <c r="ED267" s="48"/>
      <c r="EE267" s="48"/>
      <c r="EF267" s="48"/>
      <c r="EG267" s="48"/>
      <c r="EH267" s="48"/>
      <c r="EI267" s="48"/>
      <c r="EJ267" s="48"/>
      <c r="EK267" s="48"/>
    </row>
    <row r="268" spans="1:141" s="12" customFormat="1" ht="14.25" hidden="1" customHeight="1">
      <c r="A268" s="25">
        <v>40</v>
      </c>
      <c r="B268" s="26"/>
      <c r="C268" s="25"/>
      <c r="D268" s="24"/>
      <c r="E268" s="60" t="s">
        <v>51</v>
      </c>
      <c r="F268" s="61"/>
      <c r="G268" s="58">
        <f t="shared" si="703"/>
        <v>0</v>
      </c>
      <c r="H268" s="57">
        <f t="shared" si="704"/>
        <v>0</v>
      </c>
      <c r="I268" s="19"/>
      <c r="J268" s="11">
        <f t="shared" si="705"/>
        <v>0</v>
      </c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8"/>
      <c r="AB268" s="56">
        <f t="shared" si="706"/>
        <v>0</v>
      </c>
      <c r="AC268" s="16">
        <f t="shared" si="707"/>
        <v>0</v>
      </c>
      <c r="AD268" s="15" t="e">
        <f t="shared" si="708"/>
        <v>#DIV/0!</v>
      </c>
      <c r="AE268" s="55"/>
      <c r="AF268" s="10" t="e">
        <f t="shared" si="709"/>
        <v>#DIV/0!</v>
      </c>
      <c r="AG268" s="10"/>
      <c r="AH268" s="21">
        <f t="shared" si="710"/>
        <v>0</v>
      </c>
      <c r="AI268" s="54" t="e">
        <f t="shared" si="711"/>
        <v>#DIV/0!</v>
      </c>
      <c r="AJ268" s="25">
        <f t="shared" si="712"/>
        <v>0</v>
      </c>
      <c r="AK268" s="25">
        <f t="shared" si="713"/>
        <v>0</v>
      </c>
      <c r="AL268" s="25">
        <f t="shared" si="714"/>
        <v>0</v>
      </c>
      <c r="AM268" s="25">
        <f t="shared" si="715"/>
        <v>0</v>
      </c>
      <c r="AN268" s="25">
        <f t="shared" si="716"/>
        <v>0</v>
      </c>
      <c r="AO268" s="25">
        <f t="shared" si="717"/>
        <v>0</v>
      </c>
      <c r="AP268" s="25">
        <f t="shared" si="718"/>
        <v>0</v>
      </c>
      <c r="AQ268" s="25">
        <f t="shared" si="719"/>
        <v>0</v>
      </c>
      <c r="AR268" s="25">
        <f t="shared" si="720"/>
        <v>0</v>
      </c>
      <c r="AS268" s="25">
        <f t="shared" si="721"/>
        <v>0</v>
      </c>
      <c r="AT268" s="25">
        <f t="shared" si="722"/>
        <v>0</v>
      </c>
      <c r="AU268" s="48"/>
      <c r="AV268" s="48"/>
      <c r="AW268" s="48"/>
      <c r="AX268" s="48"/>
      <c r="AY268" s="48"/>
      <c r="AZ268" s="48"/>
      <c r="BA268" s="48"/>
      <c r="BB268" s="48"/>
      <c r="BC268" s="48"/>
      <c r="BD268" s="48"/>
      <c r="BE268" s="48"/>
      <c r="BF268" s="48"/>
      <c r="BG268" s="48"/>
      <c r="BH268" s="48"/>
      <c r="BI268" s="48"/>
      <c r="BJ268" s="48"/>
      <c r="BK268" s="48"/>
      <c r="BL268" s="48"/>
      <c r="BM268" s="48"/>
      <c r="BN268" s="48"/>
      <c r="BO268" s="48"/>
      <c r="BP268" s="48"/>
      <c r="BQ268" s="48"/>
      <c r="BR268" s="48"/>
      <c r="BS268" s="48"/>
      <c r="BT268" s="48"/>
      <c r="BU268" s="48"/>
      <c r="BV268" s="48"/>
      <c r="BW268" s="48"/>
      <c r="BX268" s="48"/>
      <c r="BY268" s="48"/>
      <c r="BZ268" s="48"/>
      <c r="CA268" s="48"/>
      <c r="CB268" s="48"/>
      <c r="CC268" s="48"/>
      <c r="CD268" s="48"/>
      <c r="CE268" s="48"/>
      <c r="CF268" s="48"/>
      <c r="CG268" s="48"/>
      <c r="CH268" s="48"/>
      <c r="CI268" s="48"/>
      <c r="CJ268" s="48"/>
      <c r="CK268" s="48"/>
      <c r="CL268" s="48"/>
      <c r="CM268" s="48"/>
      <c r="CN268" s="48"/>
      <c r="CO268" s="48"/>
      <c r="CP268" s="48"/>
      <c r="CQ268" s="48"/>
      <c r="CR268" s="48"/>
      <c r="CS268" s="48"/>
      <c r="CT268" s="48"/>
      <c r="CU268" s="48"/>
      <c r="CV268" s="48"/>
      <c r="CW268" s="48"/>
      <c r="CX268" s="48"/>
      <c r="CY268" s="48"/>
      <c r="CZ268" s="48"/>
      <c r="DA268" s="48"/>
      <c r="DB268" s="48"/>
      <c r="DC268" s="48"/>
      <c r="DD268" s="48"/>
      <c r="DE268" s="48"/>
      <c r="DF268" s="48"/>
      <c r="DG268" s="48"/>
      <c r="DH268" s="48"/>
      <c r="DI268" s="48"/>
      <c r="DJ268" s="48"/>
      <c r="DK268" s="48"/>
      <c r="DL268" s="48"/>
      <c r="DM268" s="48"/>
      <c r="DN268" s="48"/>
      <c r="DO268" s="48"/>
      <c r="DP268" s="48"/>
      <c r="DQ268" s="48"/>
      <c r="DR268" s="48"/>
      <c r="DS268" s="48"/>
      <c r="DT268" s="48"/>
      <c r="DU268" s="48"/>
      <c r="DV268" s="48"/>
      <c r="DW268" s="48"/>
      <c r="DX268" s="48"/>
      <c r="DY268" s="48"/>
      <c r="DZ268" s="48"/>
      <c r="EA268" s="48"/>
      <c r="EB268" s="48"/>
      <c r="EC268" s="48"/>
      <c r="ED268" s="48"/>
      <c r="EE268" s="48"/>
      <c r="EF268" s="48"/>
      <c r="EG268" s="48"/>
      <c r="EH268" s="48"/>
      <c r="EI268" s="48"/>
      <c r="EJ268" s="48"/>
      <c r="EK268" s="48"/>
    </row>
    <row r="269" spans="1:141" s="12" customFormat="1" ht="14.25" hidden="1" customHeight="1">
      <c r="A269" s="25">
        <v>41</v>
      </c>
      <c r="B269" s="26"/>
      <c r="C269" s="25"/>
      <c r="D269" s="24"/>
      <c r="E269" s="60"/>
      <c r="F269" s="59"/>
      <c r="G269" s="58">
        <f t="shared" si="703"/>
        <v>0</v>
      </c>
      <c r="H269" s="57">
        <f t="shared" si="704"/>
        <v>0</v>
      </c>
      <c r="I269" s="19"/>
      <c r="J269" s="11">
        <f t="shared" si="705"/>
        <v>0</v>
      </c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8"/>
      <c r="AB269" s="56">
        <f t="shared" si="706"/>
        <v>0</v>
      </c>
      <c r="AC269" s="16">
        <f t="shared" si="707"/>
        <v>0</v>
      </c>
      <c r="AD269" s="15" t="e">
        <f t="shared" si="708"/>
        <v>#DIV/0!</v>
      </c>
      <c r="AE269" s="55"/>
      <c r="AF269" s="10" t="e">
        <f t="shared" si="709"/>
        <v>#DIV/0!</v>
      </c>
      <c r="AG269" s="10"/>
      <c r="AH269" s="21">
        <f t="shared" si="710"/>
        <v>0</v>
      </c>
      <c r="AI269" s="54" t="e">
        <f t="shared" si="711"/>
        <v>#DIV/0!</v>
      </c>
      <c r="AJ269" s="25">
        <f t="shared" si="712"/>
        <v>0</v>
      </c>
      <c r="AK269" s="25">
        <f t="shared" si="713"/>
        <v>0</v>
      </c>
      <c r="AL269" s="25">
        <f t="shared" si="714"/>
        <v>0</v>
      </c>
      <c r="AM269" s="25">
        <f t="shared" si="715"/>
        <v>0</v>
      </c>
      <c r="AN269" s="25">
        <f t="shared" si="716"/>
        <v>0</v>
      </c>
      <c r="AO269" s="25">
        <f t="shared" si="717"/>
        <v>0</v>
      </c>
      <c r="AP269" s="25">
        <f t="shared" si="718"/>
        <v>0</v>
      </c>
      <c r="AQ269" s="25">
        <f t="shared" si="719"/>
        <v>0</v>
      </c>
      <c r="AR269" s="25">
        <f t="shared" si="720"/>
        <v>0</v>
      </c>
      <c r="AS269" s="25">
        <f t="shared" si="721"/>
        <v>0</v>
      </c>
      <c r="AT269" s="25">
        <f t="shared" si="722"/>
        <v>0</v>
      </c>
      <c r="AU269" s="48"/>
      <c r="AV269" s="48"/>
      <c r="AW269" s="48"/>
      <c r="AX269" s="48"/>
      <c r="AY269" s="48"/>
      <c r="AZ269" s="48"/>
      <c r="BA269" s="48"/>
      <c r="BB269" s="48"/>
      <c r="BC269" s="48"/>
      <c r="BD269" s="48"/>
      <c r="BE269" s="48"/>
      <c r="BF269" s="48"/>
      <c r="BG269" s="48"/>
      <c r="BH269" s="48"/>
      <c r="BI269" s="48"/>
      <c r="BJ269" s="48"/>
      <c r="BK269" s="48"/>
      <c r="BL269" s="48"/>
      <c r="BM269" s="48"/>
      <c r="BN269" s="48"/>
      <c r="BO269" s="48"/>
      <c r="BP269" s="48"/>
      <c r="BQ269" s="48"/>
      <c r="BR269" s="48"/>
      <c r="BS269" s="48"/>
      <c r="BT269" s="48"/>
      <c r="BU269" s="48"/>
      <c r="BV269" s="48"/>
      <c r="BW269" s="48"/>
      <c r="BX269" s="48"/>
      <c r="BY269" s="48"/>
      <c r="BZ269" s="48"/>
      <c r="CA269" s="48"/>
      <c r="CB269" s="48"/>
      <c r="CC269" s="48"/>
      <c r="CD269" s="48"/>
      <c r="CE269" s="48"/>
      <c r="CF269" s="48"/>
      <c r="CG269" s="48"/>
      <c r="CH269" s="48"/>
      <c r="CI269" s="48"/>
      <c r="CJ269" s="48"/>
      <c r="CK269" s="48"/>
      <c r="CL269" s="48"/>
      <c r="CM269" s="48"/>
      <c r="CN269" s="48"/>
      <c r="CO269" s="48"/>
      <c r="CP269" s="48"/>
      <c r="CQ269" s="48"/>
      <c r="CR269" s="48"/>
      <c r="CS269" s="48"/>
      <c r="CT269" s="48"/>
      <c r="CU269" s="48"/>
      <c r="CV269" s="48"/>
      <c r="CW269" s="48"/>
      <c r="CX269" s="48"/>
      <c r="CY269" s="48"/>
      <c r="CZ269" s="48"/>
      <c r="DA269" s="48"/>
      <c r="DB269" s="48"/>
      <c r="DC269" s="48"/>
      <c r="DD269" s="48"/>
      <c r="DE269" s="48"/>
      <c r="DF269" s="48"/>
      <c r="DG269" s="48"/>
      <c r="DH269" s="48"/>
      <c r="DI269" s="48"/>
      <c r="DJ269" s="48"/>
      <c r="DK269" s="48"/>
      <c r="DL269" s="48"/>
      <c r="DM269" s="48"/>
      <c r="DN269" s="48"/>
      <c r="DO269" s="48"/>
      <c r="DP269" s="48"/>
      <c r="DQ269" s="48"/>
      <c r="DR269" s="48"/>
      <c r="DS269" s="48"/>
      <c r="DT269" s="48"/>
      <c r="DU269" s="48"/>
      <c r="DV269" s="48"/>
      <c r="DW269" s="48"/>
      <c r="DX269" s="48"/>
      <c r="DY269" s="48"/>
      <c r="DZ269" s="48"/>
      <c r="EA269" s="48"/>
      <c r="EB269" s="48"/>
      <c r="EC269" s="48"/>
      <c r="ED269" s="48"/>
      <c r="EE269" s="48"/>
      <c r="EF269" s="48"/>
      <c r="EG269" s="48"/>
      <c r="EH269" s="48"/>
      <c r="EI269" s="48"/>
      <c r="EJ269" s="48"/>
      <c r="EK269" s="48"/>
    </row>
    <row r="270" spans="1:141" s="12" customFormat="1" ht="14.25" hidden="1" customHeight="1">
      <c r="A270" s="25">
        <v>42</v>
      </c>
      <c r="B270" s="26"/>
      <c r="C270" s="25"/>
      <c r="D270" s="24"/>
      <c r="E270" s="60"/>
      <c r="F270" s="59"/>
      <c r="G270" s="58">
        <f t="shared" si="703"/>
        <v>0</v>
      </c>
      <c r="H270" s="57">
        <f t="shared" si="704"/>
        <v>0</v>
      </c>
      <c r="I270" s="19"/>
      <c r="J270" s="11">
        <f t="shared" si="705"/>
        <v>0</v>
      </c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8"/>
      <c r="AB270" s="56">
        <f t="shared" si="706"/>
        <v>0</v>
      </c>
      <c r="AC270" s="16">
        <f t="shared" si="707"/>
        <v>0</v>
      </c>
      <c r="AD270" s="15" t="e">
        <f t="shared" si="708"/>
        <v>#DIV/0!</v>
      </c>
      <c r="AE270" s="55"/>
      <c r="AF270" s="10" t="e">
        <f t="shared" si="709"/>
        <v>#DIV/0!</v>
      </c>
      <c r="AG270" s="10"/>
      <c r="AH270" s="21">
        <f t="shared" si="710"/>
        <v>0</v>
      </c>
      <c r="AI270" s="54" t="e">
        <f t="shared" si="711"/>
        <v>#DIV/0!</v>
      </c>
      <c r="AJ270" s="25">
        <f t="shared" si="712"/>
        <v>0</v>
      </c>
      <c r="AK270" s="25">
        <f t="shared" si="713"/>
        <v>0</v>
      </c>
      <c r="AL270" s="25">
        <f t="shared" si="714"/>
        <v>0</v>
      </c>
      <c r="AM270" s="25">
        <f t="shared" si="715"/>
        <v>0</v>
      </c>
      <c r="AN270" s="25">
        <f t="shared" si="716"/>
        <v>0</v>
      </c>
      <c r="AO270" s="25">
        <f t="shared" si="717"/>
        <v>0</v>
      </c>
      <c r="AP270" s="25">
        <f t="shared" si="718"/>
        <v>0</v>
      </c>
      <c r="AQ270" s="25">
        <f t="shared" si="719"/>
        <v>0</v>
      </c>
      <c r="AR270" s="25">
        <f t="shared" si="720"/>
        <v>0</v>
      </c>
      <c r="AS270" s="25">
        <f t="shared" si="721"/>
        <v>0</v>
      </c>
      <c r="AT270" s="25">
        <f t="shared" si="722"/>
        <v>0</v>
      </c>
      <c r="AU270" s="48"/>
      <c r="AV270" s="48"/>
      <c r="AW270" s="48"/>
      <c r="AX270" s="48"/>
      <c r="AY270" s="48"/>
      <c r="AZ270" s="48"/>
      <c r="BA270" s="48"/>
      <c r="BB270" s="48"/>
      <c r="BC270" s="48"/>
      <c r="BD270" s="48"/>
      <c r="BE270" s="48"/>
      <c r="BF270" s="48"/>
      <c r="BG270" s="48"/>
      <c r="BH270" s="48"/>
      <c r="BI270" s="48"/>
      <c r="BJ270" s="48"/>
      <c r="BK270" s="48"/>
      <c r="BL270" s="48"/>
      <c r="BM270" s="48"/>
      <c r="BN270" s="48"/>
      <c r="BO270" s="48"/>
      <c r="BP270" s="48"/>
      <c r="BQ270" s="48"/>
      <c r="BR270" s="48"/>
      <c r="BS270" s="48"/>
      <c r="BT270" s="48"/>
      <c r="BU270" s="48"/>
      <c r="BV270" s="48"/>
      <c r="BW270" s="48"/>
      <c r="BX270" s="48"/>
      <c r="BY270" s="48"/>
      <c r="BZ270" s="48"/>
      <c r="CA270" s="48"/>
      <c r="CB270" s="48"/>
      <c r="CC270" s="48"/>
      <c r="CD270" s="48"/>
      <c r="CE270" s="48"/>
      <c r="CF270" s="48"/>
      <c r="CG270" s="48"/>
      <c r="CH270" s="48"/>
      <c r="CI270" s="48"/>
      <c r="CJ270" s="48"/>
      <c r="CK270" s="48"/>
      <c r="CL270" s="48"/>
      <c r="CM270" s="48"/>
      <c r="CN270" s="48"/>
      <c r="CO270" s="48"/>
      <c r="CP270" s="48"/>
      <c r="CQ270" s="48"/>
      <c r="CR270" s="48"/>
      <c r="CS270" s="48"/>
      <c r="CT270" s="48"/>
      <c r="CU270" s="48"/>
      <c r="CV270" s="48"/>
      <c r="CW270" s="48"/>
      <c r="CX270" s="48"/>
      <c r="CY270" s="48"/>
      <c r="CZ270" s="48"/>
      <c r="DA270" s="48"/>
      <c r="DB270" s="48"/>
      <c r="DC270" s="48"/>
      <c r="DD270" s="48"/>
      <c r="DE270" s="48"/>
      <c r="DF270" s="48"/>
      <c r="DG270" s="48"/>
      <c r="DH270" s="48"/>
      <c r="DI270" s="48"/>
      <c r="DJ270" s="48"/>
      <c r="DK270" s="48"/>
      <c r="DL270" s="48"/>
      <c r="DM270" s="48"/>
      <c r="DN270" s="48"/>
      <c r="DO270" s="48"/>
      <c r="DP270" s="48"/>
      <c r="DQ270" s="48"/>
      <c r="DR270" s="48"/>
      <c r="DS270" s="48"/>
      <c r="DT270" s="48"/>
      <c r="DU270" s="48"/>
      <c r="DV270" s="48"/>
      <c r="DW270" s="48"/>
      <c r="DX270" s="48"/>
      <c r="DY270" s="48"/>
      <c r="DZ270" s="48"/>
      <c r="EA270" s="48"/>
      <c r="EB270" s="48"/>
      <c r="EC270" s="48"/>
      <c r="ED270" s="48"/>
      <c r="EE270" s="48"/>
      <c r="EF270" s="48"/>
      <c r="EG270" s="48"/>
      <c r="EH270" s="48"/>
      <c r="EI270" s="48"/>
      <c r="EJ270" s="48"/>
      <c r="EK270" s="48"/>
    </row>
    <row r="271" spans="1:141" s="12" customFormat="1" ht="14.25" hidden="1" customHeight="1">
      <c r="A271" s="25">
        <v>43</v>
      </c>
      <c r="B271" s="26"/>
      <c r="C271" s="25"/>
      <c r="D271" s="24"/>
      <c r="E271" s="60"/>
      <c r="F271" s="59"/>
      <c r="G271" s="58">
        <f t="shared" si="703"/>
        <v>0</v>
      </c>
      <c r="H271" s="57">
        <f t="shared" si="704"/>
        <v>0</v>
      </c>
      <c r="I271" s="19"/>
      <c r="J271" s="11">
        <f t="shared" si="705"/>
        <v>0</v>
      </c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8"/>
      <c r="AB271" s="56">
        <f t="shared" si="706"/>
        <v>0</v>
      </c>
      <c r="AC271" s="16">
        <f t="shared" si="707"/>
        <v>0</v>
      </c>
      <c r="AD271" s="15" t="e">
        <f t="shared" si="708"/>
        <v>#DIV/0!</v>
      </c>
      <c r="AE271" s="55"/>
      <c r="AF271" s="10" t="e">
        <f t="shared" si="709"/>
        <v>#DIV/0!</v>
      </c>
      <c r="AG271" s="10"/>
      <c r="AH271" s="21">
        <f t="shared" si="710"/>
        <v>0</v>
      </c>
      <c r="AI271" s="54" t="e">
        <f t="shared" si="711"/>
        <v>#DIV/0!</v>
      </c>
      <c r="AJ271" s="25">
        <f t="shared" si="712"/>
        <v>0</v>
      </c>
      <c r="AK271" s="25">
        <f t="shared" si="713"/>
        <v>0</v>
      </c>
      <c r="AL271" s="25">
        <f t="shared" si="714"/>
        <v>0</v>
      </c>
      <c r="AM271" s="25">
        <f t="shared" si="715"/>
        <v>0</v>
      </c>
      <c r="AN271" s="25">
        <f t="shared" si="716"/>
        <v>0</v>
      </c>
      <c r="AO271" s="25">
        <f t="shared" si="717"/>
        <v>0</v>
      </c>
      <c r="AP271" s="25">
        <f t="shared" si="718"/>
        <v>0</v>
      </c>
      <c r="AQ271" s="25">
        <f t="shared" si="719"/>
        <v>0</v>
      </c>
      <c r="AR271" s="25">
        <f t="shared" si="720"/>
        <v>0</v>
      </c>
      <c r="AS271" s="25">
        <f t="shared" si="721"/>
        <v>0</v>
      </c>
      <c r="AT271" s="25">
        <f t="shared" si="722"/>
        <v>0</v>
      </c>
      <c r="AU271" s="48"/>
      <c r="AV271" s="48"/>
      <c r="AW271" s="48"/>
      <c r="AX271" s="48"/>
      <c r="AY271" s="48"/>
      <c r="AZ271" s="48"/>
      <c r="BA271" s="48"/>
      <c r="BB271" s="48"/>
      <c r="BC271" s="48"/>
      <c r="BD271" s="48"/>
      <c r="BE271" s="48"/>
      <c r="BF271" s="48"/>
      <c r="BG271" s="48"/>
      <c r="BH271" s="48"/>
      <c r="BI271" s="48"/>
      <c r="BJ271" s="48"/>
      <c r="BK271" s="48"/>
      <c r="BL271" s="48"/>
      <c r="BM271" s="48"/>
      <c r="BN271" s="48"/>
      <c r="BO271" s="48"/>
      <c r="BP271" s="48"/>
      <c r="BQ271" s="48"/>
      <c r="BR271" s="48"/>
      <c r="BS271" s="48"/>
      <c r="BT271" s="48"/>
      <c r="BU271" s="48"/>
      <c r="BV271" s="48"/>
      <c r="BW271" s="48"/>
      <c r="BX271" s="48"/>
      <c r="BY271" s="48"/>
      <c r="BZ271" s="48"/>
      <c r="CA271" s="48"/>
      <c r="CB271" s="48"/>
      <c r="CC271" s="48"/>
      <c r="CD271" s="48"/>
      <c r="CE271" s="48"/>
      <c r="CF271" s="48"/>
      <c r="CG271" s="48"/>
      <c r="CH271" s="48"/>
      <c r="CI271" s="48"/>
      <c r="CJ271" s="48"/>
      <c r="CK271" s="48"/>
      <c r="CL271" s="48"/>
      <c r="CM271" s="48"/>
      <c r="CN271" s="48"/>
      <c r="CO271" s="48"/>
      <c r="CP271" s="48"/>
      <c r="CQ271" s="48"/>
      <c r="CR271" s="48"/>
      <c r="CS271" s="48"/>
      <c r="CT271" s="48"/>
      <c r="CU271" s="48"/>
      <c r="CV271" s="48"/>
      <c r="CW271" s="48"/>
      <c r="CX271" s="48"/>
      <c r="CY271" s="48"/>
      <c r="CZ271" s="48"/>
      <c r="DA271" s="48"/>
      <c r="DB271" s="48"/>
      <c r="DC271" s="48"/>
      <c r="DD271" s="48"/>
      <c r="DE271" s="48"/>
      <c r="DF271" s="48"/>
      <c r="DG271" s="48"/>
      <c r="DH271" s="48"/>
      <c r="DI271" s="48"/>
      <c r="DJ271" s="48"/>
      <c r="DK271" s="48"/>
      <c r="DL271" s="48"/>
      <c r="DM271" s="48"/>
      <c r="DN271" s="48"/>
      <c r="DO271" s="48"/>
      <c r="DP271" s="48"/>
      <c r="DQ271" s="48"/>
      <c r="DR271" s="48"/>
      <c r="DS271" s="48"/>
      <c r="DT271" s="48"/>
      <c r="DU271" s="48"/>
      <c r="DV271" s="48"/>
      <c r="DW271" s="48"/>
      <c r="DX271" s="48"/>
      <c r="DY271" s="48"/>
      <c r="DZ271" s="48"/>
      <c r="EA271" s="48"/>
      <c r="EB271" s="48"/>
      <c r="EC271" s="48"/>
      <c r="ED271" s="48"/>
      <c r="EE271" s="48"/>
      <c r="EF271" s="48"/>
      <c r="EG271" s="48"/>
      <c r="EH271" s="48"/>
      <c r="EI271" s="48"/>
      <c r="EJ271" s="48"/>
      <c r="EK271" s="48"/>
    </row>
    <row r="272" spans="1:141" s="12" customFormat="1" ht="14.25" hidden="1" customHeight="1">
      <c r="A272" s="25">
        <v>44</v>
      </c>
      <c r="B272" s="26"/>
      <c r="C272" s="25"/>
      <c r="D272" s="24"/>
      <c r="E272" s="60"/>
      <c r="F272" s="59"/>
      <c r="G272" s="58">
        <f t="shared" si="703"/>
        <v>0</v>
      </c>
      <c r="H272" s="57">
        <f t="shared" si="704"/>
        <v>0</v>
      </c>
      <c r="I272" s="19"/>
      <c r="J272" s="11">
        <f t="shared" si="705"/>
        <v>0</v>
      </c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8"/>
      <c r="AB272" s="56">
        <f t="shared" si="706"/>
        <v>0</v>
      </c>
      <c r="AC272" s="16">
        <f t="shared" si="707"/>
        <v>0</v>
      </c>
      <c r="AD272" s="15" t="e">
        <f t="shared" si="708"/>
        <v>#DIV/0!</v>
      </c>
      <c r="AE272" s="55"/>
      <c r="AF272" s="10" t="e">
        <f t="shared" si="709"/>
        <v>#DIV/0!</v>
      </c>
      <c r="AG272" s="10"/>
      <c r="AH272" s="21">
        <f t="shared" si="710"/>
        <v>0</v>
      </c>
      <c r="AI272" s="54" t="e">
        <f t="shared" si="711"/>
        <v>#DIV/0!</v>
      </c>
      <c r="AJ272" s="25">
        <f t="shared" si="712"/>
        <v>0</v>
      </c>
      <c r="AK272" s="25">
        <f t="shared" si="713"/>
        <v>0</v>
      </c>
      <c r="AL272" s="25">
        <f t="shared" si="714"/>
        <v>0</v>
      </c>
      <c r="AM272" s="25">
        <f t="shared" si="715"/>
        <v>0</v>
      </c>
      <c r="AN272" s="25">
        <f t="shared" si="716"/>
        <v>0</v>
      </c>
      <c r="AO272" s="25">
        <f t="shared" si="717"/>
        <v>0</v>
      </c>
      <c r="AP272" s="25">
        <f t="shared" si="718"/>
        <v>0</v>
      </c>
      <c r="AQ272" s="25">
        <f t="shared" si="719"/>
        <v>0</v>
      </c>
      <c r="AR272" s="25">
        <f t="shared" si="720"/>
        <v>0</v>
      </c>
      <c r="AS272" s="25">
        <f t="shared" si="721"/>
        <v>0</v>
      </c>
      <c r="AT272" s="25">
        <f t="shared" si="722"/>
        <v>0</v>
      </c>
      <c r="AU272" s="48"/>
      <c r="AV272" s="48"/>
      <c r="AW272" s="48"/>
      <c r="AX272" s="48"/>
      <c r="AY272" s="48"/>
      <c r="AZ272" s="48"/>
      <c r="BA272" s="48"/>
      <c r="BB272" s="48"/>
      <c r="BC272" s="48"/>
      <c r="BD272" s="48"/>
      <c r="BE272" s="48"/>
      <c r="BF272" s="48"/>
      <c r="BG272" s="48"/>
      <c r="BH272" s="48"/>
      <c r="BI272" s="48"/>
      <c r="BJ272" s="48"/>
      <c r="BK272" s="48"/>
      <c r="BL272" s="48"/>
      <c r="BM272" s="48"/>
      <c r="BN272" s="48"/>
      <c r="BO272" s="48"/>
      <c r="BP272" s="48"/>
      <c r="BQ272" s="48"/>
      <c r="BR272" s="48"/>
      <c r="BS272" s="48"/>
      <c r="BT272" s="48"/>
      <c r="BU272" s="48"/>
      <c r="BV272" s="48"/>
      <c r="BW272" s="48"/>
      <c r="BX272" s="48"/>
      <c r="BY272" s="48"/>
      <c r="BZ272" s="48"/>
      <c r="CA272" s="48"/>
      <c r="CB272" s="48"/>
      <c r="CC272" s="48"/>
      <c r="CD272" s="48"/>
      <c r="CE272" s="48"/>
      <c r="CF272" s="48"/>
      <c r="CG272" s="48"/>
      <c r="CH272" s="48"/>
      <c r="CI272" s="48"/>
      <c r="CJ272" s="48"/>
      <c r="CK272" s="48"/>
      <c r="CL272" s="48"/>
      <c r="CM272" s="48"/>
      <c r="CN272" s="48"/>
      <c r="CO272" s="48"/>
      <c r="CP272" s="48"/>
      <c r="CQ272" s="48"/>
      <c r="CR272" s="48"/>
      <c r="CS272" s="48"/>
      <c r="CT272" s="48"/>
      <c r="CU272" s="48"/>
      <c r="CV272" s="48"/>
      <c r="CW272" s="48"/>
      <c r="CX272" s="48"/>
      <c r="CY272" s="48"/>
      <c r="CZ272" s="48"/>
      <c r="DA272" s="48"/>
      <c r="DB272" s="48"/>
      <c r="DC272" s="48"/>
      <c r="DD272" s="48"/>
      <c r="DE272" s="48"/>
      <c r="DF272" s="48"/>
      <c r="DG272" s="48"/>
      <c r="DH272" s="48"/>
      <c r="DI272" s="48"/>
      <c r="DJ272" s="48"/>
      <c r="DK272" s="48"/>
      <c r="DL272" s="48"/>
      <c r="DM272" s="48"/>
      <c r="DN272" s="48"/>
      <c r="DO272" s="48"/>
      <c r="DP272" s="48"/>
      <c r="DQ272" s="48"/>
      <c r="DR272" s="48"/>
      <c r="DS272" s="48"/>
      <c r="DT272" s="48"/>
      <c r="DU272" s="48"/>
      <c r="DV272" s="48"/>
      <c r="DW272" s="48"/>
      <c r="DX272" s="48"/>
      <c r="DY272" s="48"/>
      <c r="DZ272" s="48"/>
      <c r="EA272" s="48"/>
      <c r="EB272" s="48"/>
      <c r="EC272" s="48"/>
      <c r="ED272" s="48"/>
      <c r="EE272" s="48"/>
      <c r="EF272" s="48"/>
      <c r="EG272" s="48"/>
      <c r="EH272" s="48"/>
      <c r="EI272" s="48"/>
      <c r="EJ272" s="48"/>
      <c r="EK272" s="48"/>
    </row>
    <row r="273" spans="1:141" s="12" customFormat="1" ht="14.25" hidden="1" customHeight="1">
      <c r="A273" s="25">
        <v>45</v>
      </c>
      <c r="B273" s="26"/>
      <c r="C273" s="25"/>
      <c r="D273" s="24"/>
      <c r="E273" s="60"/>
      <c r="F273" s="59"/>
      <c r="G273" s="58">
        <f t="shared" si="703"/>
        <v>0</v>
      </c>
      <c r="H273" s="57">
        <f t="shared" si="704"/>
        <v>0</v>
      </c>
      <c r="I273" s="19"/>
      <c r="J273" s="11">
        <f t="shared" si="705"/>
        <v>0</v>
      </c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8"/>
      <c r="AB273" s="56">
        <f t="shared" si="706"/>
        <v>0</v>
      </c>
      <c r="AC273" s="16">
        <f t="shared" si="707"/>
        <v>0</v>
      </c>
      <c r="AD273" s="15" t="e">
        <f t="shared" si="708"/>
        <v>#DIV/0!</v>
      </c>
      <c r="AE273" s="55"/>
      <c r="AF273" s="10" t="e">
        <f t="shared" si="709"/>
        <v>#DIV/0!</v>
      </c>
      <c r="AG273" s="10"/>
      <c r="AH273" s="21">
        <f t="shared" si="710"/>
        <v>0</v>
      </c>
      <c r="AI273" s="54" t="e">
        <f t="shared" si="711"/>
        <v>#DIV/0!</v>
      </c>
      <c r="AJ273" s="25">
        <f t="shared" si="712"/>
        <v>0</v>
      </c>
      <c r="AK273" s="25">
        <f t="shared" si="713"/>
        <v>0</v>
      </c>
      <c r="AL273" s="25">
        <f t="shared" si="714"/>
        <v>0</v>
      </c>
      <c r="AM273" s="25">
        <f t="shared" si="715"/>
        <v>0</v>
      </c>
      <c r="AN273" s="25">
        <f t="shared" si="716"/>
        <v>0</v>
      </c>
      <c r="AO273" s="25">
        <f t="shared" si="717"/>
        <v>0</v>
      </c>
      <c r="AP273" s="25">
        <f t="shared" si="718"/>
        <v>0</v>
      </c>
      <c r="AQ273" s="25">
        <f t="shared" si="719"/>
        <v>0</v>
      </c>
      <c r="AR273" s="25">
        <f t="shared" si="720"/>
        <v>0</v>
      </c>
      <c r="AS273" s="25">
        <f t="shared" si="721"/>
        <v>0</v>
      </c>
      <c r="AT273" s="25">
        <f t="shared" si="722"/>
        <v>0</v>
      </c>
      <c r="AU273" s="48"/>
      <c r="AV273" s="48"/>
      <c r="AW273" s="48"/>
      <c r="AX273" s="48"/>
      <c r="AY273" s="48"/>
      <c r="AZ273" s="48"/>
      <c r="BA273" s="48"/>
      <c r="BB273" s="48"/>
      <c r="BC273" s="48"/>
      <c r="BD273" s="48"/>
      <c r="BE273" s="48"/>
      <c r="BF273" s="48"/>
      <c r="BG273" s="48"/>
      <c r="BH273" s="48"/>
      <c r="BI273" s="48"/>
      <c r="BJ273" s="48"/>
      <c r="BK273" s="48"/>
      <c r="BL273" s="48"/>
      <c r="BM273" s="48"/>
      <c r="BN273" s="48"/>
      <c r="BO273" s="48"/>
      <c r="BP273" s="48"/>
      <c r="BQ273" s="48"/>
      <c r="BR273" s="48"/>
      <c r="BS273" s="48"/>
      <c r="BT273" s="48"/>
      <c r="BU273" s="48"/>
      <c r="BV273" s="48"/>
      <c r="BW273" s="48"/>
      <c r="BX273" s="48"/>
      <c r="BY273" s="48"/>
      <c r="BZ273" s="48"/>
      <c r="CA273" s="48"/>
      <c r="CB273" s="48"/>
      <c r="CC273" s="48"/>
      <c r="CD273" s="48"/>
      <c r="CE273" s="48"/>
      <c r="CF273" s="48"/>
      <c r="CG273" s="48"/>
      <c r="CH273" s="48"/>
      <c r="CI273" s="48"/>
      <c r="CJ273" s="48"/>
      <c r="CK273" s="48"/>
      <c r="CL273" s="48"/>
      <c r="CM273" s="48"/>
      <c r="CN273" s="48"/>
      <c r="CO273" s="48"/>
      <c r="CP273" s="48"/>
      <c r="CQ273" s="48"/>
      <c r="CR273" s="48"/>
      <c r="CS273" s="48"/>
      <c r="CT273" s="48"/>
      <c r="CU273" s="48"/>
      <c r="CV273" s="48"/>
      <c r="CW273" s="48"/>
      <c r="CX273" s="48"/>
      <c r="CY273" s="48"/>
      <c r="CZ273" s="48"/>
      <c r="DA273" s="48"/>
      <c r="DB273" s="48"/>
      <c r="DC273" s="48"/>
      <c r="DD273" s="48"/>
      <c r="DE273" s="48"/>
      <c r="DF273" s="48"/>
      <c r="DG273" s="48"/>
      <c r="DH273" s="48"/>
      <c r="DI273" s="48"/>
      <c r="DJ273" s="48"/>
      <c r="DK273" s="48"/>
      <c r="DL273" s="48"/>
      <c r="DM273" s="48"/>
      <c r="DN273" s="48"/>
      <c r="DO273" s="48"/>
      <c r="DP273" s="48"/>
      <c r="DQ273" s="48"/>
      <c r="DR273" s="48"/>
      <c r="DS273" s="48"/>
      <c r="DT273" s="48"/>
      <c r="DU273" s="48"/>
      <c r="DV273" s="48"/>
      <c r="DW273" s="48"/>
      <c r="DX273" s="48"/>
      <c r="DY273" s="48"/>
      <c r="DZ273" s="48"/>
      <c r="EA273" s="48"/>
      <c r="EB273" s="48"/>
      <c r="EC273" s="48"/>
      <c r="ED273" s="48"/>
      <c r="EE273" s="48"/>
      <c r="EF273" s="48"/>
      <c r="EG273" s="48"/>
      <c r="EH273" s="48"/>
      <c r="EI273" s="48"/>
      <c r="EJ273" s="48"/>
      <c r="EK273" s="48"/>
    </row>
    <row r="274" spans="1:141" s="12" customFormat="1" ht="14.25" hidden="1" customHeight="1">
      <c r="A274" s="25">
        <v>46</v>
      </c>
      <c r="B274" s="26"/>
      <c r="C274" s="25"/>
      <c r="D274" s="24"/>
      <c r="E274" s="60"/>
      <c r="F274" s="59"/>
      <c r="G274" s="58">
        <f t="shared" si="703"/>
        <v>0</v>
      </c>
      <c r="H274" s="57">
        <f t="shared" si="704"/>
        <v>0</v>
      </c>
      <c r="I274" s="19"/>
      <c r="J274" s="11">
        <f t="shared" si="705"/>
        <v>0</v>
      </c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8"/>
      <c r="AB274" s="56">
        <f t="shared" si="706"/>
        <v>0</v>
      </c>
      <c r="AC274" s="16">
        <f t="shared" si="707"/>
        <v>0</v>
      </c>
      <c r="AD274" s="15" t="e">
        <f t="shared" si="708"/>
        <v>#DIV/0!</v>
      </c>
      <c r="AE274" s="55"/>
      <c r="AF274" s="10" t="e">
        <f t="shared" si="709"/>
        <v>#DIV/0!</v>
      </c>
      <c r="AG274" s="10"/>
      <c r="AH274" s="21">
        <f t="shared" si="710"/>
        <v>0</v>
      </c>
      <c r="AI274" s="54" t="e">
        <f t="shared" si="711"/>
        <v>#DIV/0!</v>
      </c>
      <c r="AJ274" s="25">
        <f t="shared" si="712"/>
        <v>0</v>
      </c>
      <c r="AK274" s="25">
        <f t="shared" si="713"/>
        <v>0</v>
      </c>
      <c r="AL274" s="25">
        <f t="shared" si="714"/>
        <v>0</v>
      </c>
      <c r="AM274" s="25">
        <f t="shared" si="715"/>
        <v>0</v>
      </c>
      <c r="AN274" s="25">
        <f t="shared" si="716"/>
        <v>0</v>
      </c>
      <c r="AO274" s="25">
        <f t="shared" si="717"/>
        <v>0</v>
      </c>
      <c r="AP274" s="25">
        <f t="shared" si="718"/>
        <v>0</v>
      </c>
      <c r="AQ274" s="25">
        <f t="shared" si="719"/>
        <v>0</v>
      </c>
      <c r="AR274" s="25">
        <f t="shared" si="720"/>
        <v>0</v>
      </c>
      <c r="AS274" s="25">
        <f t="shared" si="721"/>
        <v>0</v>
      </c>
      <c r="AT274" s="25">
        <f t="shared" si="722"/>
        <v>0</v>
      </c>
      <c r="AU274" s="48"/>
      <c r="AV274" s="48"/>
      <c r="AW274" s="48"/>
      <c r="AX274" s="48"/>
      <c r="AY274" s="48"/>
      <c r="AZ274" s="48"/>
      <c r="BA274" s="48"/>
      <c r="BB274" s="48"/>
      <c r="BC274" s="48"/>
      <c r="BD274" s="48"/>
      <c r="BE274" s="48"/>
      <c r="BF274" s="48"/>
      <c r="BG274" s="48"/>
      <c r="BH274" s="48"/>
      <c r="BI274" s="48"/>
      <c r="BJ274" s="48"/>
      <c r="BK274" s="48"/>
      <c r="BL274" s="48"/>
      <c r="BM274" s="48"/>
      <c r="BN274" s="48"/>
      <c r="BO274" s="48"/>
      <c r="BP274" s="48"/>
      <c r="BQ274" s="48"/>
      <c r="BR274" s="48"/>
      <c r="BS274" s="48"/>
      <c r="BT274" s="48"/>
      <c r="BU274" s="48"/>
      <c r="BV274" s="48"/>
      <c r="BW274" s="48"/>
      <c r="BX274" s="48"/>
      <c r="BY274" s="48"/>
      <c r="BZ274" s="48"/>
      <c r="CA274" s="48"/>
      <c r="CB274" s="48"/>
      <c r="CC274" s="48"/>
      <c r="CD274" s="48"/>
      <c r="CE274" s="48"/>
      <c r="CF274" s="48"/>
      <c r="CG274" s="48"/>
      <c r="CH274" s="48"/>
      <c r="CI274" s="48"/>
      <c r="CJ274" s="48"/>
      <c r="CK274" s="48"/>
      <c r="CL274" s="48"/>
      <c r="CM274" s="48"/>
      <c r="CN274" s="48"/>
      <c r="CO274" s="48"/>
      <c r="CP274" s="48"/>
      <c r="CQ274" s="48"/>
      <c r="CR274" s="48"/>
      <c r="CS274" s="48"/>
      <c r="CT274" s="48"/>
      <c r="CU274" s="48"/>
      <c r="CV274" s="48"/>
      <c r="CW274" s="48"/>
      <c r="CX274" s="48"/>
      <c r="CY274" s="48"/>
      <c r="CZ274" s="48"/>
      <c r="DA274" s="48"/>
      <c r="DB274" s="48"/>
      <c r="DC274" s="48"/>
      <c r="DD274" s="48"/>
      <c r="DE274" s="48"/>
      <c r="DF274" s="48"/>
      <c r="DG274" s="48"/>
      <c r="DH274" s="48"/>
      <c r="DI274" s="48"/>
      <c r="DJ274" s="48"/>
      <c r="DK274" s="48"/>
      <c r="DL274" s="48"/>
      <c r="DM274" s="48"/>
      <c r="DN274" s="48"/>
      <c r="DO274" s="48"/>
      <c r="DP274" s="48"/>
      <c r="DQ274" s="48"/>
      <c r="DR274" s="48"/>
      <c r="DS274" s="48"/>
      <c r="DT274" s="48"/>
      <c r="DU274" s="48"/>
      <c r="DV274" s="48"/>
      <c r="DW274" s="48"/>
      <c r="DX274" s="48"/>
      <c r="DY274" s="48"/>
      <c r="DZ274" s="48"/>
      <c r="EA274" s="48"/>
      <c r="EB274" s="48"/>
      <c r="EC274" s="48"/>
      <c r="ED274" s="48"/>
      <c r="EE274" s="48"/>
      <c r="EF274" s="48"/>
      <c r="EG274" s="48"/>
      <c r="EH274" s="48"/>
      <c r="EI274" s="48"/>
      <c r="EJ274" s="48"/>
      <c r="EK274" s="48"/>
    </row>
    <row r="275" spans="1:141" s="12" customFormat="1" ht="14.25" hidden="1" customHeight="1">
      <c r="A275" s="25">
        <v>47</v>
      </c>
      <c r="B275" s="26"/>
      <c r="C275" s="25"/>
      <c r="D275" s="24"/>
      <c r="E275" s="60"/>
      <c r="F275" s="59"/>
      <c r="G275" s="58">
        <f t="shared" si="703"/>
        <v>0</v>
      </c>
      <c r="H275" s="57">
        <f t="shared" si="704"/>
        <v>0</v>
      </c>
      <c r="I275" s="19"/>
      <c r="J275" s="11">
        <f t="shared" si="705"/>
        <v>0</v>
      </c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8"/>
      <c r="AB275" s="56">
        <f t="shared" si="706"/>
        <v>0</v>
      </c>
      <c r="AC275" s="16">
        <f t="shared" si="707"/>
        <v>0</v>
      </c>
      <c r="AD275" s="15" t="e">
        <f t="shared" si="708"/>
        <v>#DIV/0!</v>
      </c>
      <c r="AE275" s="55"/>
      <c r="AF275" s="10" t="e">
        <f t="shared" si="709"/>
        <v>#DIV/0!</v>
      </c>
      <c r="AG275" s="10"/>
      <c r="AH275" s="21">
        <f t="shared" si="710"/>
        <v>0</v>
      </c>
      <c r="AI275" s="54" t="e">
        <f t="shared" si="711"/>
        <v>#DIV/0!</v>
      </c>
      <c r="AJ275" s="25">
        <f t="shared" si="712"/>
        <v>0</v>
      </c>
      <c r="AK275" s="25">
        <f t="shared" si="713"/>
        <v>0</v>
      </c>
      <c r="AL275" s="25">
        <f t="shared" si="714"/>
        <v>0</v>
      </c>
      <c r="AM275" s="25">
        <f t="shared" si="715"/>
        <v>0</v>
      </c>
      <c r="AN275" s="25">
        <f t="shared" si="716"/>
        <v>0</v>
      </c>
      <c r="AO275" s="25">
        <f t="shared" si="717"/>
        <v>0</v>
      </c>
      <c r="AP275" s="25">
        <f t="shared" si="718"/>
        <v>0</v>
      </c>
      <c r="AQ275" s="25">
        <f t="shared" si="719"/>
        <v>0</v>
      </c>
      <c r="AR275" s="25">
        <f t="shared" si="720"/>
        <v>0</v>
      </c>
      <c r="AS275" s="25">
        <f t="shared" si="721"/>
        <v>0</v>
      </c>
      <c r="AT275" s="25">
        <f t="shared" si="722"/>
        <v>0</v>
      </c>
      <c r="AU275" s="48"/>
      <c r="AV275" s="48"/>
      <c r="AW275" s="48"/>
      <c r="AX275" s="48"/>
      <c r="AY275" s="48"/>
      <c r="AZ275" s="48"/>
      <c r="BA275" s="48"/>
      <c r="BB275" s="48"/>
      <c r="BC275" s="48"/>
      <c r="BD275" s="48"/>
      <c r="BE275" s="48"/>
      <c r="BF275" s="48"/>
      <c r="BG275" s="48"/>
      <c r="BH275" s="48"/>
      <c r="BI275" s="48"/>
      <c r="BJ275" s="48"/>
      <c r="BK275" s="48"/>
      <c r="BL275" s="48"/>
      <c r="BM275" s="48"/>
      <c r="BN275" s="48"/>
      <c r="BO275" s="48"/>
      <c r="BP275" s="48"/>
      <c r="BQ275" s="48"/>
      <c r="BR275" s="48"/>
      <c r="BS275" s="48"/>
      <c r="BT275" s="48"/>
      <c r="BU275" s="48"/>
      <c r="BV275" s="48"/>
      <c r="BW275" s="48"/>
      <c r="BX275" s="48"/>
      <c r="BY275" s="48"/>
      <c r="BZ275" s="48"/>
      <c r="CA275" s="48"/>
      <c r="CB275" s="48"/>
      <c r="CC275" s="48"/>
      <c r="CD275" s="48"/>
      <c r="CE275" s="48"/>
      <c r="CF275" s="48"/>
      <c r="CG275" s="48"/>
      <c r="CH275" s="48"/>
      <c r="CI275" s="48"/>
      <c r="CJ275" s="48"/>
      <c r="CK275" s="48"/>
      <c r="CL275" s="48"/>
      <c r="CM275" s="48"/>
      <c r="CN275" s="48"/>
      <c r="CO275" s="48"/>
      <c r="CP275" s="48"/>
      <c r="CQ275" s="48"/>
      <c r="CR275" s="48"/>
      <c r="CS275" s="48"/>
      <c r="CT275" s="48"/>
      <c r="CU275" s="48"/>
      <c r="CV275" s="48"/>
      <c r="CW275" s="48"/>
      <c r="CX275" s="48"/>
      <c r="CY275" s="48"/>
      <c r="CZ275" s="48"/>
      <c r="DA275" s="48"/>
      <c r="DB275" s="48"/>
      <c r="DC275" s="48"/>
      <c r="DD275" s="48"/>
      <c r="DE275" s="48"/>
      <c r="DF275" s="48"/>
      <c r="DG275" s="48"/>
      <c r="DH275" s="48"/>
      <c r="DI275" s="48"/>
      <c r="DJ275" s="48"/>
      <c r="DK275" s="48"/>
      <c r="DL275" s="48"/>
      <c r="DM275" s="48"/>
      <c r="DN275" s="48"/>
      <c r="DO275" s="48"/>
      <c r="DP275" s="48"/>
      <c r="DQ275" s="48"/>
      <c r="DR275" s="48"/>
      <c r="DS275" s="48"/>
      <c r="DT275" s="48"/>
      <c r="DU275" s="48"/>
      <c r="DV275" s="48"/>
      <c r="DW275" s="48"/>
      <c r="DX275" s="48"/>
      <c r="DY275" s="48"/>
      <c r="DZ275" s="48"/>
      <c r="EA275" s="48"/>
      <c r="EB275" s="48"/>
      <c r="EC275" s="48"/>
      <c r="ED275" s="48"/>
      <c r="EE275" s="48"/>
      <c r="EF275" s="48"/>
      <c r="EG275" s="48"/>
      <c r="EH275" s="48"/>
      <c r="EI275" s="48"/>
      <c r="EJ275" s="48"/>
      <c r="EK275" s="48"/>
    </row>
    <row r="276" spans="1:141" s="12" customFormat="1" ht="14.25" hidden="1" customHeight="1">
      <c r="A276" s="25">
        <v>48</v>
      </c>
      <c r="B276" s="26"/>
      <c r="C276" s="25"/>
      <c r="D276" s="24"/>
      <c r="E276" s="60"/>
      <c r="F276" s="59"/>
      <c r="G276" s="58">
        <f t="shared" si="703"/>
        <v>0</v>
      </c>
      <c r="H276" s="57">
        <f t="shared" si="704"/>
        <v>0</v>
      </c>
      <c r="I276" s="19"/>
      <c r="J276" s="11">
        <f t="shared" si="705"/>
        <v>0</v>
      </c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8"/>
      <c r="AB276" s="56">
        <f t="shared" si="706"/>
        <v>0</v>
      </c>
      <c r="AC276" s="16">
        <f t="shared" si="707"/>
        <v>0</v>
      </c>
      <c r="AD276" s="15" t="e">
        <f t="shared" si="708"/>
        <v>#DIV/0!</v>
      </c>
      <c r="AE276" s="55"/>
      <c r="AF276" s="10" t="e">
        <f t="shared" si="709"/>
        <v>#DIV/0!</v>
      </c>
      <c r="AG276" s="10"/>
      <c r="AH276" s="21">
        <f t="shared" si="710"/>
        <v>0</v>
      </c>
      <c r="AI276" s="54" t="e">
        <f t="shared" si="711"/>
        <v>#DIV/0!</v>
      </c>
      <c r="AJ276" s="25">
        <f t="shared" si="712"/>
        <v>0</v>
      </c>
      <c r="AK276" s="25">
        <f t="shared" si="713"/>
        <v>0</v>
      </c>
      <c r="AL276" s="25">
        <f t="shared" si="714"/>
        <v>0</v>
      </c>
      <c r="AM276" s="25">
        <f t="shared" si="715"/>
        <v>0</v>
      </c>
      <c r="AN276" s="25">
        <f t="shared" si="716"/>
        <v>0</v>
      </c>
      <c r="AO276" s="25">
        <f t="shared" si="717"/>
        <v>0</v>
      </c>
      <c r="AP276" s="25">
        <f t="shared" si="718"/>
        <v>0</v>
      </c>
      <c r="AQ276" s="25">
        <f t="shared" si="719"/>
        <v>0</v>
      </c>
      <c r="AR276" s="25">
        <f t="shared" si="720"/>
        <v>0</v>
      </c>
      <c r="AS276" s="25">
        <f t="shared" si="721"/>
        <v>0</v>
      </c>
      <c r="AT276" s="25">
        <f t="shared" si="722"/>
        <v>0</v>
      </c>
      <c r="AU276" s="48"/>
      <c r="AV276" s="48"/>
      <c r="AW276" s="48"/>
      <c r="AX276" s="48"/>
      <c r="AY276" s="48"/>
      <c r="AZ276" s="48"/>
      <c r="BA276" s="48"/>
      <c r="BB276" s="48"/>
      <c r="BC276" s="48"/>
      <c r="BD276" s="48"/>
      <c r="BE276" s="48"/>
      <c r="BF276" s="48"/>
      <c r="BG276" s="48"/>
      <c r="BH276" s="48"/>
      <c r="BI276" s="48"/>
      <c r="BJ276" s="48"/>
      <c r="BK276" s="48"/>
      <c r="BL276" s="48"/>
      <c r="BM276" s="48"/>
      <c r="BN276" s="48"/>
      <c r="BO276" s="48"/>
      <c r="BP276" s="48"/>
      <c r="BQ276" s="48"/>
      <c r="BR276" s="48"/>
      <c r="BS276" s="48"/>
      <c r="BT276" s="48"/>
      <c r="BU276" s="48"/>
      <c r="BV276" s="48"/>
      <c r="BW276" s="48"/>
      <c r="BX276" s="48"/>
      <c r="BY276" s="48"/>
      <c r="BZ276" s="48"/>
      <c r="CA276" s="48"/>
      <c r="CB276" s="48"/>
      <c r="CC276" s="48"/>
      <c r="CD276" s="48"/>
      <c r="CE276" s="48"/>
      <c r="CF276" s="48"/>
      <c r="CG276" s="48"/>
      <c r="CH276" s="48"/>
      <c r="CI276" s="48"/>
      <c r="CJ276" s="48"/>
      <c r="CK276" s="48"/>
      <c r="CL276" s="48"/>
      <c r="CM276" s="48"/>
      <c r="CN276" s="48"/>
      <c r="CO276" s="48"/>
      <c r="CP276" s="48"/>
      <c r="CQ276" s="48"/>
      <c r="CR276" s="48"/>
      <c r="CS276" s="48"/>
      <c r="CT276" s="48"/>
      <c r="CU276" s="48"/>
      <c r="CV276" s="48"/>
      <c r="CW276" s="48"/>
      <c r="CX276" s="48"/>
      <c r="CY276" s="48"/>
      <c r="CZ276" s="48"/>
      <c r="DA276" s="48"/>
      <c r="DB276" s="48"/>
      <c r="DC276" s="48"/>
      <c r="DD276" s="48"/>
      <c r="DE276" s="48"/>
      <c r="DF276" s="48"/>
      <c r="DG276" s="48"/>
      <c r="DH276" s="48"/>
      <c r="DI276" s="48"/>
      <c r="DJ276" s="48"/>
      <c r="DK276" s="48"/>
      <c r="DL276" s="48"/>
      <c r="DM276" s="48"/>
      <c r="DN276" s="48"/>
      <c r="DO276" s="48"/>
      <c r="DP276" s="48"/>
      <c r="DQ276" s="48"/>
      <c r="DR276" s="48"/>
      <c r="DS276" s="48"/>
      <c r="DT276" s="48"/>
      <c r="DU276" s="48"/>
      <c r="DV276" s="48"/>
      <c r="DW276" s="48"/>
      <c r="DX276" s="48"/>
      <c r="DY276" s="48"/>
      <c r="DZ276" s="48"/>
      <c r="EA276" s="48"/>
      <c r="EB276" s="48"/>
      <c r="EC276" s="48"/>
      <c r="ED276" s="48"/>
      <c r="EE276" s="48"/>
      <c r="EF276" s="48"/>
      <c r="EG276" s="48"/>
      <c r="EH276" s="48"/>
      <c r="EI276" s="48"/>
      <c r="EJ276" s="48"/>
      <c r="EK276" s="48"/>
    </row>
    <row r="277" spans="1:141" s="12" customFormat="1" ht="14.25" hidden="1" customHeight="1">
      <c r="A277" s="25">
        <v>49</v>
      </c>
      <c r="B277" s="26"/>
      <c r="C277" s="25"/>
      <c r="D277" s="24"/>
      <c r="E277" s="60"/>
      <c r="F277" s="59"/>
      <c r="G277" s="58">
        <f t="shared" si="703"/>
        <v>0</v>
      </c>
      <c r="H277" s="57">
        <f t="shared" si="704"/>
        <v>0</v>
      </c>
      <c r="I277" s="19"/>
      <c r="J277" s="11">
        <f t="shared" si="705"/>
        <v>0</v>
      </c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8"/>
      <c r="AB277" s="56">
        <f t="shared" si="706"/>
        <v>0</v>
      </c>
      <c r="AC277" s="16">
        <f t="shared" si="707"/>
        <v>0</v>
      </c>
      <c r="AD277" s="15" t="e">
        <f t="shared" si="708"/>
        <v>#DIV/0!</v>
      </c>
      <c r="AE277" s="55"/>
      <c r="AF277" s="10" t="e">
        <f t="shared" si="709"/>
        <v>#DIV/0!</v>
      </c>
      <c r="AG277" s="10"/>
      <c r="AH277" s="21">
        <f t="shared" si="710"/>
        <v>0</v>
      </c>
      <c r="AI277" s="54" t="e">
        <f t="shared" si="711"/>
        <v>#DIV/0!</v>
      </c>
      <c r="AJ277" s="25">
        <f t="shared" si="712"/>
        <v>0</v>
      </c>
      <c r="AK277" s="25">
        <f t="shared" si="713"/>
        <v>0</v>
      </c>
      <c r="AL277" s="25">
        <f t="shared" si="714"/>
        <v>0</v>
      </c>
      <c r="AM277" s="25">
        <f t="shared" si="715"/>
        <v>0</v>
      </c>
      <c r="AN277" s="25">
        <f t="shared" si="716"/>
        <v>0</v>
      </c>
      <c r="AO277" s="25">
        <f t="shared" si="717"/>
        <v>0</v>
      </c>
      <c r="AP277" s="25">
        <f t="shared" si="718"/>
        <v>0</v>
      </c>
      <c r="AQ277" s="25">
        <f t="shared" si="719"/>
        <v>0</v>
      </c>
      <c r="AR277" s="25">
        <f t="shared" si="720"/>
        <v>0</v>
      </c>
      <c r="AS277" s="25">
        <f t="shared" si="721"/>
        <v>0</v>
      </c>
      <c r="AT277" s="25">
        <f t="shared" si="722"/>
        <v>0</v>
      </c>
      <c r="AU277" s="48"/>
      <c r="AV277" s="48"/>
      <c r="AW277" s="48"/>
      <c r="AX277" s="48"/>
      <c r="AY277" s="48"/>
      <c r="AZ277" s="48"/>
      <c r="BA277" s="48"/>
      <c r="BB277" s="48"/>
      <c r="BC277" s="48"/>
      <c r="BD277" s="48"/>
      <c r="BE277" s="48"/>
      <c r="BF277" s="48"/>
      <c r="BG277" s="48"/>
      <c r="BH277" s="48"/>
      <c r="BI277" s="48"/>
      <c r="BJ277" s="48"/>
      <c r="BK277" s="48"/>
      <c r="BL277" s="48"/>
      <c r="BM277" s="48"/>
      <c r="BN277" s="48"/>
      <c r="BO277" s="48"/>
      <c r="BP277" s="48"/>
      <c r="BQ277" s="48"/>
      <c r="BR277" s="48"/>
      <c r="BS277" s="48"/>
      <c r="BT277" s="48"/>
      <c r="BU277" s="48"/>
      <c r="BV277" s="48"/>
      <c r="BW277" s="48"/>
      <c r="BX277" s="48"/>
      <c r="BY277" s="48"/>
      <c r="BZ277" s="48"/>
      <c r="CA277" s="48"/>
      <c r="CB277" s="48"/>
      <c r="CC277" s="48"/>
      <c r="CD277" s="48"/>
      <c r="CE277" s="48"/>
      <c r="CF277" s="48"/>
      <c r="CG277" s="48"/>
      <c r="CH277" s="48"/>
      <c r="CI277" s="48"/>
      <c r="CJ277" s="48"/>
      <c r="CK277" s="48"/>
      <c r="CL277" s="48"/>
      <c r="CM277" s="48"/>
      <c r="CN277" s="48"/>
      <c r="CO277" s="48"/>
      <c r="CP277" s="48"/>
      <c r="CQ277" s="48"/>
      <c r="CR277" s="48"/>
      <c r="CS277" s="48"/>
      <c r="CT277" s="48"/>
      <c r="CU277" s="48"/>
      <c r="CV277" s="48"/>
      <c r="CW277" s="48"/>
      <c r="CX277" s="48"/>
      <c r="CY277" s="48"/>
      <c r="CZ277" s="48"/>
      <c r="DA277" s="48"/>
      <c r="DB277" s="48"/>
      <c r="DC277" s="48"/>
      <c r="DD277" s="48"/>
      <c r="DE277" s="48"/>
      <c r="DF277" s="48"/>
      <c r="DG277" s="48"/>
      <c r="DH277" s="48"/>
      <c r="DI277" s="48"/>
      <c r="DJ277" s="48"/>
      <c r="DK277" s="48"/>
      <c r="DL277" s="48"/>
      <c r="DM277" s="48"/>
      <c r="DN277" s="48"/>
      <c r="DO277" s="48"/>
      <c r="DP277" s="48"/>
      <c r="DQ277" s="48"/>
      <c r="DR277" s="48"/>
      <c r="DS277" s="48"/>
      <c r="DT277" s="48"/>
      <c r="DU277" s="48"/>
      <c r="DV277" s="48"/>
      <c r="DW277" s="48"/>
      <c r="DX277" s="48"/>
      <c r="DY277" s="48"/>
      <c r="DZ277" s="48"/>
      <c r="EA277" s="48"/>
      <c r="EB277" s="48"/>
      <c r="EC277" s="48"/>
      <c r="ED277" s="48"/>
      <c r="EE277" s="48"/>
      <c r="EF277" s="48"/>
      <c r="EG277" s="48"/>
      <c r="EH277" s="48"/>
      <c r="EI277" s="48"/>
      <c r="EJ277" s="48"/>
      <c r="EK277" s="48"/>
    </row>
    <row r="278" spans="1:141" s="12" customFormat="1" ht="14.25" hidden="1" customHeight="1">
      <c r="A278" s="25">
        <v>50</v>
      </c>
      <c r="B278" s="26"/>
      <c r="C278" s="25"/>
      <c r="D278" s="24"/>
      <c r="E278" s="60"/>
      <c r="F278" s="59"/>
      <c r="G278" s="58">
        <f t="shared" si="703"/>
        <v>0</v>
      </c>
      <c r="H278" s="57">
        <f t="shared" si="704"/>
        <v>0</v>
      </c>
      <c r="I278" s="19"/>
      <c r="J278" s="11">
        <f t="shared" si="705"/>
        <v>0</v>
      </c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8"/>
      <c r="AB278" s="56">
        <f t="shared" si="706"/>
        <v>0</v>
      </c>
      <c r="AC278" s="16">
        <f t="shared" si="707"/>
        <v>0</v>
      </c>
      <c r="AD278" s="15" t="e">
        <f t="shared" si="708"/>
        <v>#DIV/0!</v>
      </c>
      <c r="AE278" s="55"/>
      <c r="AF278" s="10" t="e">
        <f t="shared" si="709"/>
        <v>#DIV/0!</v>
      </c>
      <c r="AG278" s="10"/>
      <c r="AH278" s="21">
        <f t="shared" si="710"/>
        <v>0</v>
      </c>
      <c r="AI278" s="54" t="e">
        <f t="shared" si="711"/>
        <v>#DIV/0!</v>
      </c>
      <c r="AJ278" s="25">
        <f t="shared" si="712"/>
        <v>0</v>
      </c>
      <c r="AK278" s="25">
        <f t="shared" si="713"/>
        <v>0</v>
      </c>
      <c r="AL278" s="25">
        <f t="shared" si="714"/>
        <v>0</v>
      </c>
      <c r="AM278" s="25">
        <f t="shared" si="715"/>
        <v>0</v>
      </c>
      <c r="AN278" s="25">
        <f t="shared" si="716"/>
        <v>0</v>
      </c>
      <c r="AO278" s="25">
        <f t="shared" si="717"/>
        <v>0</v>
      </c>
      <c r="AP278" s="25">
        <f t="shared" si="718"/>
        <v>0</v>
      </c>
      <c r="AQ278" s="25">
        <f t="shared" si="719"/>
        <v>0</v>
      </c>
      <c r="AR278" s="25">
        <f t="shared" si="720"/>
        <v>0</v>
      </c>
      <c r="AS278" s="25">
        <f t="shared" si="721"/>
        <v>0</v>
      </c>
      <c r="AT278" s="25">
        <f t="shared" si="722"/>
        <v>0</v>
      </c>
      <c r="AU278" s="48"/>
      <c r="AV278" s="48"/>
      <c r="AW278" s="48"/>
      <c r="AX278" s="48"/>
      <c r="AY278" s="48"/>
      <c r="AZ278" s="48"/>
      <c r="BA278" s="48"/>
      <c r="BB278" s="48"/>
      <c r="BC278" s="48"/>
      <c r="BD278" s="48"/>
      <c r="BE278" s="48"/>
      <c r="BF278" s="48"/>
      <c r="BG278" s="48"/>
      <c r="BH278" s="48"/>
      <c r="BI278" s="48"/>
      <c r="BJ278" s="48"/>
      <c r="BK278" s="48"/>
      <c r="BL278" s="48"/>
      <c r="BM278" s="48"/>
      <c r="BN278" s="48"/>
      <c r="BO278" s="48"/>
      <c r="BP278" s="48"/>
      <c r="BQ278" s="48"/>
      <c r="BR278" s="48"/>
      <c r="BS278" s="48"/>
      <c r="BT278" s="48"/>
      <c r="BU278" s="48"/>
      <c r="BV278" s="48"/>
      <c r="BW278" s="48"/>
      <c r="BX278" s="48"/>
      <c r="BY278" s="48"/>
      <c r="BZ278" s="48"/>
      <c r="CA278" s="48"/>
      <c r="CB278" s="48"/>
      <c r="CC278" s="48"/>
      <c r="CD278" s="48"/>
      <c r="CE278" s="48"/>
      <c r="CF278" s="48"/>
      <c r="CG278" s="48"/>
      <c r="CH278" s="48"/>
      <c r="CI278" s="48"/>
      <c r="CJ278" s="48"/>
      <c r="CK278" s="48"/>
      <c r="CL278" s="48"/>
      <c r="CM278" s="48"/>
      <c r="CN278" s="48"/>
      <c r="CO278" s="48"/>
      <c r="CP278" s="48"/>
      <c r="CQ278" s="48"/>
      <c r="CR278" s="48"/>
      <c r="CS278" s="48"/>
      <c r="CT278" s="48"/>
      <c r="CU278" s="48"/>
      <c r="CV278" s="48"/>
      <c r="CW278" s="48"/>
      <c r="CX278" s="48"/>
      <c r="CY278" s="48"/>
      <c r="CZ278" s="48"/>
      <c r="DA278" s="48"/>
      <c r="DB278" s="48"/>
      <c r="DC278" s="48"/>
      <c r="DD278" s="48"/>
      <c r="DE278" s="48"/>
      <c r="DF278" s="48"/>
      <c r="DG278" s="48"/>
      <c r="DH278" s="48"/>
      <c r="DI278" s="48"/>
      <c r="DJ278" s="48"/>
      <c r="DK278" s="48"/>
      <c r="DL278" s="48"/>
      <c r="DM278" s="48"/>
      <c r="DN278" s="48"/>
      <c r="DO278" s="48"/>
      <c r="DP278" s="48"/>
      <c r="DQ278" s="48"/>
      <c r="DR278" s="48"/>
      <c r="DS278" s="48"/>
      <c r="DT278" s="48"/>
      <c r="DU278" s="48"/>
      <c r="DV278" s="48"/>
      <c r="DW278" s="48"/>
      <c r="DX278" s="48"/>
      <c r="DY278" s="48"/>
      <c r="DZ278" s="48"/>
      <c r="EA278" s="48"/>
      <c r="EB278" s="48"/>
      <c r="EC278" s="48"/>
      <c r="ED278" s="48"/>
      <c r="EE278" s="48"/>
      <c r="EF278" s="48"/>
      <c r="EG278" s="48"/>
      <c r="EH278" s="48"/>
      <c r="EI278" s="48"/>
      <c r="EJ278" s="48"/>
      <c r="EK278" s="48"/>
    </row>
    <row r="279" spans="1:141" s="12" customFormat="1" ht="14.25" hidden="1" customHeight="1">
      <c r="A279" s="25">
        <v>51</v>
      </c>
      <c r="B279" s="26"/>
      <c r="C279" s="25"/>
      <c r="D279" s="24"/>
      <c r="E279" s="60" t="s">
        <v>50</v>
      </c>
      <c r="F279" s="59"/>
      <c r="G279" s="58">
        <f t="shared" si="703"/>
        <v>0</v>
      </c>
      <c r="H279" s="57">
        <f t="shared" si="704"/>
        <v>0</v>
      </c>
      <c r="I279" s="19"/>
      <c r="J279" s="11">
        <f t="shared" si="705"/>
        <v>0</v>
      </c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8"/>
      <c r="AB279" s="56">
        <f t="shared" si="706"/>
        <v>0</v>
      </c>
      <c r="AC279" s="16">
        <f t="shared" si="707"/>
        <v>0</v>
      </c>
      <c r="AD279" s="15" t="e">
        <f t="shared" si="708"/>
        <v>#DIV/0!</v>
      </c>
      <c r="AE279" s="55"/>
      <c r="AF279" s="10" t="e">
        <f t="shared" si="709"/>
        <v>#DIV/0!</v>
      </c>
      <c r="AG279" s="10"/>
      <c r="AH279" s="21">
        <f t="shared" si="710"/>
        <v>0</v>
      </c>
      <c r="AI279" s="54" t="e">
        <f t="shared" si="711"/>
        <v>#DIV/0!</v>
      </c>
      <c r="AJ279" s="25">
        <f t="shared" si="712"/>
        <v>0</v>
      </c>
      <c r="AK279" s="25">
        <f t="shared" si="713"/>
        <v>0</v>
      </c>
      <c r="AL279" s="25">
        <f t="shared" si="714"/>
        <v>0</v>
      </c>
      <c r="AM279" s="25">
        <f t="shared" si="715"/>
        <v>0</v>
      </c>
      <c r="AN279" s="25">
        <f t="shared" si="716"/>
        <v>0</v>
      </c>
      <c r="AO279" s="25">
        <f t="shared" si="717"/>
        <v>0</v>
      </c>
      <c r="AP279" s="25">
        <f t="shared" si="718"/>
        <v>0</v>
      </c>
      <c r="AQ279" s="25">
        <f t="shared" si="719"/>
        <v>0</v>
      </c>
      <c r="AR279" s="25">
        <f t="shared" si="720"/>
        <v>0</v>
      </c>
      <c r="AS279" s="25">
        <f t="shared" si="721"/>
        <v>0</v>
      </c>
      <c r="AT279" s="25">
        <f t="shared" si="722"/>
        <v>0</v>
      </c>
      <c r="AU279" s="48"/>
      <c r="AV279" s="48"/>
      <c r="AW279" s="48"/>
      <c r="AX279" s="48"/>
      <c r="AY279" s="48"/>
      <c r="AZ279" s="48"/>
      <c r="BA279" s="48"/>
      <c r="BB279" s="48"/>
      <c r="BC279" s="48"/>
      <c r="BD279" s="48"/>
      <c r="BE279" s="48"/>
      <c r="BF279" s="48"/>
      <c r="BG279" s="48"/>
      <c r="BH279" s="48"/>
      <c r="BI279" s="48"/>
      <c r="BJ279" s="48"/>
      <c r="BK279" s="48"/>
      <c r="BL279" s="48"/>
      <c r="BM279" s="48"/>
      <c r="BN279" s="48"/>
      <c r="BO279" s="48"/>
      <c r="BP279" s="48"/>
      <c r="BQ279" s="48"/>
      <c r="BR279" s="48"/>
      <c r="BS279" s="48"/>
      <c r="BT279" s="48"/>
      <c r="BU279" s="48"/>
      <c r="BV279" s="48"/>
      <c r="BW279" s="48"/>
      <c r="BX279" s="48"/>
      <c r="BY279" s="48"/>
      <c r="BZ279" s="48"/>
      <c r="CA279" s="48"/>
      <c r="CB279" s="48"/>
      <c r="CC279" s="48"/>
      <c r="CD279" s="48"/>
      <c r="CE279" s="48"/>
      <c r="CF279" s="48"/>
      <c r="CG279" s="48"/>
      <c r="CH279" s="48"/>
      <c r="CI279" s="48"/>
      <c r="CJ279" s="48"/>
      <c r="CK279" s="48"/>
      <c r="CL279" s="48"/>
      <c r="CM279" s="48"/>
      <c r="CN279" s="48"/>
      <c r="CO279" s="48"/>
      <c r="CP279" s="48"/>
      <c r="CQ279" s="48"/>
      <c r="CR279" s="48"/>
      <c r="CS279" s="48"/>
      <c r="CT279" s="48"/>
      <c r="CU279" s="48"/>
      <c r="CV279" s="48"/>
      <c r="CW279" s="48"/>
      <c r="CX279" s="48"/>
      <c r="CY279" s="48"/>
      <c r="CZ279" s="48"/>
      <c r="DA279" s="48"/>
      <c r="DB279" s="48"/>
      <c r="DC279" s="48"/>
      <c r="DD279" s="48"/>
      <c r="DE279" s="48"/>
      <c r="DF279" s="48"/>
      <c r="DG279" s="48"/>
      <c r="DH279" s="48"/>
      <c r="DI279" s="48"/>
      <c r="DJ279" s="48"/>
      <c r="DK279" s="48"/>
      <c r="DL279" s="48"/>
      <c r="DM279" s="48"/>
      <c r="DN279" s="48"/>
      <c r="DO279" s="48"/>
      <c r="DP279" s="48"/>
      <c r="DQ279" s="48"/>
      <c r="DR279" s="48"/>
      <c r="DS279" s="48"/>
      <c r="DT279" s="48"/>
      <c r="DU279" s="48"/>
      <c r="DV279" s="48"/>
      <c r="DW279" s="48"/>
      <c r="DX279" s="48"/>
      <c r="DY279" s="48"/>
      <c r="DZ279" s="48"/>
      <c r="EA279" s="48"/>
      <c r="EB279" s="48"/>
      <c r="EC279" s="48"/>
      <c r="ED279" s="48"/>
      <c r="EE279" s="48"/>
      <c r="EF279" s="48"/>
      <c r="EG279" s="48"/>
      <c r="EH279" s="48"/>
      <c r="EI279" s="48"/>
      <c r="EJ279" s="48"/>
      <c r="EK279" s="48"/>
    </row>
    <row r="280" spans="1:141" s="12" customFormat="1" ht="14.25" hidden="1" customHeight="1">
      <c r="A280" s="25">
        <v>52</v>
      </c>
      <c r="B280" s="26"/>
      <c r="C280" s="25"/>
      <c r="D280" s="24"/>
      <c r="E280" s="60" t="s">
        <v>49</v>
      </c>
      <c r="F280" s="59"/>
      <c r="G280" s="58">
        <f t="shared" si="703"/>
        <v>0</v>
      </c>
      <c r="H280" s="57">
        <f t="shared" si="704"/>
        <v>0</v>
      </c>
      <c r="I280" s="19"/>
      <c r="J280" s="11">
        <f t="shared" si="705"/>
        <v>0</v>
      </c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8"/>
      <c r="AB280" s="56">
        <f t="shared" si="706"/>
        <v>0</v>
      </c>
      <c r="AC280" s="16">
        <f t="shared" si="707"/>
        <v>0</v>
      </c>
      <c r="AD280" s="15" t="e">
        <f t="shared" si="708"/>
        <v>#DIV/0!</v>
      </c>
      <c r="AE280" s="55"/>
      <c r="AF280" s="10" t="e">
        <f t="shared" si="709"/>
        <v>#DIV/0!</v>
      </c>
      <c r="AG280" s="10"/>
      <c r="AH280" s="21">
        <f t="shared" si="710"/>
        <v>0</v>
      </c>
      <c r="AI280" s="54" t="e">
        <f t="shared" si="711"/>
        <v>#DIV/0!</v>
      </c>
      <c r="AJ280" s="25">
        <f t="shared" si="712"/>
        <v>0</v>
      </c>
      <c r="AK280" s="25">
        <f t="shared" si="713"/>
        <v>0</v>
      </c>
      <c r="AL280" s="25">
        <f t="shared" si="714"/>
        <v>0</v>
      </c>
      <c r="AM280" s="25">
        <f t="shared" si="715"/>
        <v>0</v>
      </c>
      <c r="AN280" s="25">
        <f t="shared" si="716"/>
        <v>0</v>
      </c>
      <c r="AO280" s="25">
        <f t="shared" si="717"/>
        <v>0</v>
      </c>
      <c r="AP280" s="25">
        <f t="shared" si="718"/>
        <v>0</v>
      </c>
      <c r="AQ280" s="25">
        <f t="shared" si="719"/>
        <v>0</v>
      </c>
      <c r="AR280" s="25">
        <f t="shared" si="720"/>
        <v>0</v>
      </c>
      <c r="AS280" s="25">
        <f t="shared" si="721"/>
        <v>0</v>
      </c>
      <c r="AT280" s="25">
        <f t="shared" si="722"/>
        <v>0</v>
      </c>
      <c r="AU280" s="48"/>
      <c r="AV280" s="48"/>
      <c r="AW280" s="48"/>
      <c r="AX280" s="48"/>
      <c r="AY280" s="48"/>
      <c r="AZ280" s="48"/>
      <c r="BA280" s="48"/>
      <c r="BB280" s="48"/>
      <c r="BC280" s="48"/>
      <c r="BD280" s="48"/>
      <c r="BE280" s="48"/>
      <c r="BF280" s="48"/>
      <c r="BG280" s="48"/>
      <c r="BH280" s="48"/>
      <c r="BI280" s="48"/>
      <c r="BJ280" s="48"/>
      <c r="BK280" s="48"/>
      <c r="BL280" s="48"/>
      <c r="BM280" s="48"/>
      <c r="BN280" s="48"/>
      <c r="BO280" s="48"/>
      <c r="BP280" s="48"/>
      <c r="BQ280" s="48"/>
      <c r="BR280" s="48"/>
      <c r="BS280" s="48"/>
      <c r="BT280" s="48"/>
      <c r="BU280" s="48"/>
      <c r="BV280" s="48"/>
      <c r="BW280" s="48"/>
      <c r="BX280" s="48"/>
      <c r="BY280" s="48"/>
      <c r="BZ280" s="48"/>
      <c r="CA280" s="48"/>
      <c r="CB280" s="48"/>
      <c r="CC280" s="48"/>
      <c r="CD280" s="48"/>
      <c r="CE280" s="48"/>
      <c r="CF280" s="48"/>
      <c r="CG280" s="48"/>
      <c r="CH280" s="48"/>
      <c r="CI280" s="48"/>
      <c r="CJ280" s="48"/>
      <c r="CK280" s="48"/>
      <c r="CL280" s="48"/>
      <c r="CM280" s="48"/>
      <c r="CN280" s="48"/>
      <c r="CO280" s="48"/>
      <c r="CP280" s="48"/>
      <c r="CQ280" s="48"/>
      <c r="CR280" s="48"/>
      <c r="CS280" s="48"/>
      <c r="CT280" s="48"/>
      <c r="CU280" s="48"/>
      <c r="CV280" s="48"/>
      <c r="CW280" s="48"/>
      <c r="CX280" s="48"/>
      <c r="CY280" s="48"/>
      <c r="CZ280" s="48"/>
      <c r="DA280" s="48"/>
      <c r="DB280" s="48"/>
      <c r="DC280" s="48"/>
      <c r="DD280" s="48"/>
      <c r="DE280" s="48"/>
      <c r="DF280" s="48"/>
      <c r="DG280" s="48"/>
      <c r="DH280" s="48"/>
      <c r="DI280" s="48"/>
      <c r="DJ280" s="48"/>
      <c r="DK280" s="48"/>
      <c r="DL280" s="48"/>
      <c r="DM280" s="48"/>
      <c r="DN280" s="48"/>
      <c r="DO280" s="48"/>
      <c r="DP280" s="48"/>
      <c r="DQ280" s="48"/>
      <c r="DR280" s="48"/>
      <c r="DS280" s="48"/>
      <c r="DT280" s="48"/>
      <c r="DU280" s="48"/>
      <c r="DV280" s="48"/>
      <c r="DW280" s="48"/>
      <c r="DX280" s="48"/>
      <c r="DY280" s="48"/>
      <c r="DZ280" s="48"/>
      <c r="EA280" s="48"/>
      <c r="EB280" s="48"/>
      <c r="EC280" s="48"/>
      <c r="ED280" s="48"/>
      <c r="EE280" s="48"/>
      <c r="EF280" s="48"/>
      <c r="EG280" s="48"/>
      <c r="EH280" s="48"/>
      <c r="EI280" s="48"/>
      <c r="EJ280" s="48"/>
      <c r="EK280" s="48"/>
    </row>
    <row r="281" spans="1:141" s="12" customFormat="1" ht="14.25" hidden="1" customHeight="1">
      <c r="A281" s="25">
        <v>53</v>
      </c>
      <c r="B281" s="26"/>
      <c r="C281" s="25"/>
      <c r="D281" s="24"/>
      <c r="E281" s="60" t="s">
        <v>48</v>
      </c>
      <c r="F281" s="59"/>
      <c r="G281" s="58">
        <f t="shared" si="703"/>
        <v>0</v>
      </c>
      <c r="H281" s="57">
        <f t="shared" si="704"/>
        <v>0</v>
      </c>
      <c r="I281" s="19"/>
      <c r="J281" s="11">
        <f t="shared" si="705"/>
        <v>0</v>
      </c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8"/>
      <c r="AB281" s="56">
        <f t="shared" si="706"/>
        <v>0</v>
      </c>
      <c r="AC281" s="16">
        <f t="shared" si="707"/>
        <v>0</v>
      </c>
      <c r="AD281" s="15" t="e">
        <f t="shared" si="708"/>
        <v>#DIV/0!</v>
      </c>
      <c r="AE281" s="55"/>
      <c r="AF281" s="10" t="e">
        <f t="shared" si="709"/>
        <v>#DIV/0!</v>
      </c>
      <c r="AG281" s="10"/>
      <c r="AH281" s="21">
        <f t="shared" si="710"/>
        <v>0</v>
      </c>
      <c r="AI281" s="54" t="e">
        <f t="shared" si="711"/>
        <v>#DIV/0!</v>
      </c>
      <c r="AJ281" s="25">
        <f t="shared" si="712"/>
        <v>0</v>
      </c>
      <c r="AK281" s="25">
        <f t="shared" si="713"/>
        <v>0</v>
      </c>
      <c r="AL281" s="25">
        <f t="shared" si="714"/>
        <v>0</v>
      </c>
      <c r="AM281" s="25">
        <f t="shared" si="715"/>
        <v>0</v>
      </c>
      <c r="AN281" s="25">
        <f t="shared" si="716"/>
        <v>0</v>
      </c>
      <c r="AO281" s="25">
        <f t="shared" si="717"/>
        <v>0</v>
      </c>
      <c r="AP281" s="25">
        <f t="shared" si="718"/>
        <v>0</v>
      </c>
      <c r="AQ281" s="25">
        <f t="shared" si="719"/>
        <v>0</v>
      </c>
      <c r="AR281" s="25">
        <f t="shared" si="720"/>
        <v>0</v>
      </c>
      <c r="AS281" s="25">
        <f t="shared" si="721"/>
        <v>0</v>
      </c>
      <c r="AT281" s="25">
        <f t="shared" si="722"/>
        <v>0</v>
      </c>
      <c r="AU281" s="48"/>
      <c r="AV281" s="48"/>
      <c r="AW281" s="48"/>
      <c r="AX281" s="48"/>
      <c r="AY281" s="48"/>
      <c r="AZ281" s="48"/>
      <c r="BA281" s="48"/>
      <c r="BB281" s="48"/>
      <c r="BC281" s="48"/>
      <c r="BD281" s="48"/>
      <c r="BE281" s="48"/>
      <c r="BF281" s="48"/>
      <c r="BG281" s="48"/>
      <c r="BH281" s="48"/>
      <c r="BI281" s="48"/>
      <c r="BJ281" s="48"/>
      <c r="BK281" s="48"/>
      <c r="BL281" s="48"/>
      <c r="BM281" s="48"/>
      <c r="BN281" s="48"/>
      <c r="BO281" s="48"/>
      <c r="BP281" s="48"/>
      <c r="BQ281" s="48"/>
      <c r="BR281" s="48"/>
      <c r="BS281" s="48"/>
      <c r="BT281" s="48"/>
      <c r="BU281" s="48"/>
      <c r="BV281" s="48"/>
      <c r="BW281" s="48"/>
      <c r="BX281" s="48"/>
      <c r="BY281" s="48"/>
      <c r="BZ281" s="48"/>
      <c r="CA281" s="48"/>
      <c r="CB281" s="48"/>
      <c r="CC281" s="48"/>
      <c r="CD281" s="48"/>
      <c r="CE281" s="48"/>
      <c r="CF281" s="48"/>
      <c r="CG281" s="48"/>
      <c r="CH281" s="48"/>
      <c r="CI281" s="48"/>
      <c r="CJ281" s="48"/>
      <c r="CK281" s="48"/>
      <c r="CL281" s="48"/>
      <c r="CM281" s="48"/>
      <c r="CN281" s="48"/>
      <c r="CO281" s="48"/>
      <c r="CP281" s="48"/>
      <c r="CQ281" s="48"/>
      <c r="CR281" s="48"/>
      <c r="CS281" s="48"/>
      <c r="CT281" s="48"/>
      <c r="CU281" s="48"/>
      <c r="CV281" s="48"/>
      <c r="CW281" s="48"/>
      <c r="CX281" s="48"/>
      <c r="CY281" s="48"/>
      <c r="CZ281" s="48"/>
      <c r="DA281" s="48"/>
      <c r="DB281" s="48"/>
      <c r="DC281" s="48"/>
      <c r="DD281" s="48"/>
      <c r="DE281" s="48"/>
      <c r="DF281" s="48"/>
      <c r="DG281" s="48"/>
      <c r="DH281" s="48"/>
      <c r="DI281" s="48"/>
      <c r="DJ281" s="48"/>
      <c r="DK281" s="48"/>
      <c r="DL281" s="48"/>
      <c r="DM281" s="48"/>
      <c r="DN281" s="48"/>
      <c r="DO281" s="48"/>
      <c r="DP281" s="48"/>
      <c r="DQ281" s="48"/>
      <c r="DR281" s="48"/>
      <c r="DS281" s="48"/>
      <c r="DT281" s="48"/>
      <c r="DU281" s="48"/>
      <c r="DV281" s="48"/>
      <c r="DW281" s="48"/>
      <c r="DX281" s="48"/>
      <c r="DY281" s="48"/>
      <c r="DZ281" s="48"/>
      <c r="EA281" s="48"/>
      <c r="EB281" s="48"/>
      <c r="EC281" s="48"/>
      <c r="ED281" s="48"/>
      <c r="EE281" s="48"/>
      <c r="EF281" s="48"/>
      <c r="EG281" s="48"/>
      <c r="EH281" s="48"/>
      <c r="EI281" s="48"/>
      <c r="EJ281" s="48"/>
      <c r="EK281" s="48"/>
    </row>
    <row r="282" spans="1:141" s="12" customFormat="1" ht="14.25" hidden="1" customHeight="1">
      <c r="A282" s="25">
        <v>54</v>
      </c>
      <c r="B282" s="26"/>
      <c r="C282" s="25"/>
      <c r="D282" s="24"/>
      <c r="E282" s="60" t="s">
        <v>47</v>
      </c>
      <c r="F282" s="59"/>
      <c r="G282" s="58">
        <f t="shared" si="703"/>
        <v>0</v>
      </c>
      <c r="H282" s="57">
        <f t="shared" si="704"/>
        <v>0</v>
      </c>
      <c r="I282" s="19"/>
      <c r="J282" s="11">
        <f t="shared" si="705"/>
        <v>0</v>
      </c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8"/>
      <c r="AB282" s="56">
        <f t="shared" si="706"/>
        <v>0</v>
      </c>
      <c r="AC282" s="16">
        <f t="shared" si="707"/>
        <v>0</v>
      </c>
      <c r="AD282" s="15" t="e">
        <f t="shared" si="708"/>
        <v>#DIV/0!</v>
      </c>
      <c r="AE282" s="55"/>
      <c r="AF282" s="10" t="e">
        <f t="shared" si="709"/>
        <v>#DIV/0!</v>
      </c>
      <c r="AG282" s="10"/>
      <c r="AH282" s="21">
        <f t="shared" si="710"/>
        <v>0</v>
      </c>
      <c r="AI282" s="54" t="e">
        <f t="shared" si="711"/>
        <v>#DIV/0!</v>
      </c>
      <c r="AJ282" s="25">
        <f t="shared" si="712"/>
        <v>0</v>
      </c>
      <c r="AK282" s="25">
        <f t="shared" si="713"/>
        <v>0</v>
      </c>
      <c r="AL282" s="25">
        <f t="shared" si="714"/>
        <v>0</v>
      </c>
      <c r="AM282" s="25">
        <f t="shared" si="715"/>
        <v>0</v>
      </c>
      <c r="AN282" s="25">
        <f t="shared" si="716"/>
        <v>0</v>
      </c>
      <c r="AO282" s="25">
        <f t="shared" si="717"/>
        <v>0</v>
      </c>
      <c r="AP282" s="25">
        <f t="shared" si="718"/>
        <v>0</v>
      </c>
      <c r="AQ282" s="25">
        <f t="shared" si="719"/>
        <v>0</v>
      </c>
      <c r="AR282" s="25">
        <f t="shared" si="720"/>
        <v>0</v>
      </c>
      <c r="AS282" s="25">
        <f t="shared" si="721"/>
        <v>0</v>
      </c>
      <c r="AT282" s="25">
        <f t="shared" si="722"/>
        <v>0</v>
      </c>
      <c r="AU282" s="48"/>
      <c r="AV282" s="48"/>
      <c r="AW282" s="48"/>
      <c r="AX282" s="48"/>
      <c r="AY282" s="48"/>
      <c r="AZ282" s="48"/>
      <c r="BA282" s="48"/>
      <c r="BB282" s="48"/>
      <c r="BC282" s="48"/>
      <c r="BD282" s="48"/>
      <c r="BE282" s="48"/>
      <c r="BF282" s="48"/>
      <c r="BG282" s="48"/>
      <c r="BH282" s="48"/>
      <c r="BI282" s="48"/>
      <c r="BJ282" s="48"/>
      <c r="BK282" s="48"/>
      <c r="BL282" s="48"/>
      <c r="BM282" s="48"/>
      <c r="BN282" s="48"/>
      <c r="BO282" s="48"/>
      <c r="BP282" s="48"/>
      <c r="BQ282" s="48"/>
      <c r="BR282" s="48"/>
      <c r="BS282" s="48"/>
      <c r="BT282" s="48"/>
      <c r="BU282" s="48"/>
      <c r="BV282" s="48"/>
      <c r="BW282" s="48"/>
      <c r="BX282" s="48"/>
      <c r="BY282" s="48"/>
      <c r="BZ282" s="48"/>
      <c r="CA282" s="48"/>
      <c r="CB282" s="48"/>
      <c r="CC282" s="48"/>
      <c r="CD282" s="48"/>
      <c r="CE282" s="48"/>
      <c r="CF282" s="48"/>
      <c r="CG282" s="48"/>
      <c r="CH282" s="48"/>
      <c r="CI282" s="48"/>
      <c r="CJ282" s="48"/>
      <c r="CK282" s="48"/>
      <c r="CL282" s="48"/>
      <c r="CM282" s="48"/>
      <c r="CN282" s="48"/>
      <c r="CO282" s="48"/>
      <c r="CP282" s="48"/>
      <c r="CQ282" s="48"/>
      <c r="CR282" s="48"/>
      <c r="CS282" s="48"/>
      <c r="CT282" s="48"/>
      <c r="CU282" s="48"/>
      <c r="CV282" s="48"/>
      <c r="CW282" s="48"/>
      <c r="CX282" s="48"/>
      <c r="CY282" s="48"/>
      <c r="CZ282" s="48"/>
      <c r="DA282" s="48"/>
      <c r="DB282" s="48"/>
      <c r="DC282" s="48"/>
      <c r="DD282" s="48"/>
      <c r="DE282" s="48"/>
      <c r="DF282" s="48"/>
      <c r="DG282" s="48"/>
      <c r="DH282" s="48"/>
      <c r="DI282" s="48"/>
      <c r="DJ282" s="48"/>
      <c r="DK282" s="48"/>
      <c r="DL282" s="48"/>
      <c r="DM282" s="48"/>
      <c r="DN282" s="48"/>
      <c r="DO282" s="48"/>
      <c r="DP282" s="48"/>
      <c r="DQ282" s="48"/>
      <c r="DR282" s="48"/>
      <c r="DS282" s="48"/>
      <c r="DT282" s="48"/>
      <c r="DU282" s="48"/>
      <c r="DV282" s="48"/>
      <c r="DW282" s="48"/>
      <c r="DX282" s="48"/>
      <c r="DY282" s="48"/>
      <c r="DZ282" s="48"/>
      <c r="EA282" s="48"/>
      <c r="EB282" s="48"/>
      <c r="EC282" s="48"/>
      <c r="ED282" s="48"/>
      <c r="EE282" s="48"/>
      <c r="EF282" s="48"/>
      <c r="EG282" s="48"/>
      <c r="EH282" s="48"/>
      <c r="EI282" s="48"/>
      <c r="EJ282" s="48"/>
      <c r="EK282" s="48"/>
    </row>
    <row r="283" spans="1:141" s="12" customFormat="1" ht="14.25" hidden="1" customHeight="1">
      <c r="A283" s="25">
        <v>55</v>
      </c>
      <c r="B283" s="26"/>
      <c r="C283" s="25"/>
      <c r="D283" s="24"/>
      <c r="E283" s="60" t="s">
        <v>46</v>
      </c>
      <c r="F283" s="59"/>
      <c r="G283" s="58">
        <f t="shared" si="703"/>
        <v>0</v>
      </c>
      <c r="H283" s="57">
        <f t="shared" si="704"/>
        <v>0</v>
      </c>
      <c r="I283" s="19"/>
      <c r="J283" s="11">
        <f t="shared" si="705"/>
        <v>0</v>
      </c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8"/>
      <c r="AB283" s="56">
        <f t="shared" si="706"/>
        <v>0</v>
      </c>
      <c r="AC283" s="16">
        <f t="shared" si="707"/>
        <v>0</v>
      </c>
      <c r="AD283" s="15" t="e">
        <f t="shared" si="708"/>
        <v>#DIV/0!</v>
      </c>
      <c r="AE283" s="55"/>
      <c r="AF283" s="10" t="e">
        <f t="shared" si="709"/>
        <v>#DIV/0!</v>
      </c>
      <c r="AG283" s="10"/>
      <c r="AH283" s="21">
        <f t="shared" si="710"/>
        <v>0</v>
      </c>
      <c r="AI283" s="54" t="e">
        <f t="shared" si="711"/>
        <v>#DIV/0!</v>
      </c>
      <c r="AJ283" s="25">
        <f t="shared" si="712"/>
        <v>0</v>
      </c>
      <c r="AK283" s="25">
        <f t="shared" si="713"/>
        <v>0</v>
      </c>
      <c r="AL283" s="25">
        <f t="shared" si="714"/>
        <v>0</v>
      </c>
      <c r="AM283" s="25">
        <f t="shared" si="715"/>
        <v>0</v>
      </c>
      <c r="AN283" s="25">
        <f t="shared" si="716"/>
        <v>0</v>
      </c>
      <c r="AO283" s="25">
        <f t="shared" si="717"/>
        <v>0</v>
      </c>
      <c r="AP283" s="25">
        <f t="shared" si="718"/>
        <v>0</v>
      </c>
      <c r="AQ283" s="25">
        <f t="shared" si="719"/>
        <v>0</v>
      </c>
      <c r="AR283" s="25">
        <f t="shared" si="720"/>
        <v>0</v>
      </c>
      <c r="AS283" s="25">
        <f t="shared" si="721"/>
        <v>0</v>
      </c>
      <c r="AT283" s="25">
        <f t="shared" si="722"/>
        <v>0</v>
      </c>
      <c r="AU283" s="48"/>
      <c r="AV283" s="48"/>
      <c r="AW283" s="48"/>
      <c r="AX283" s="48"/>
      <c r="AY283" s="48"/>
      <c r="AZ283" s="48"/>
      <c r="BA283" s="48"/>
      <c r="BB283" s="48"/>
      <c r="BC283" s="48"/>
      <c r="BD283" s="48"/>
      <c r="BE283" s="48"/>
      <c r="BF283" s="48"/>
      <c r="BG283" s="48"/>
      <c r="BH283" s="48"/>
      <c r="BI283" s="48"/>
      <c r="BJ283" s="48"/>
      <c r="BK283" s="48"/>
      <c r="BL283" s="48"/>
      <c r="BM283" s="48"/>
      <c r="BN283" s="48"/>
      <c r="BO283" s="48"/>
      <c r="BP283" s="48"/>
      <c r="BQ283" s="48"/>
      <c r="BR283" s="48"/>
      <c r="BS283" s="48"/>
      <c r="BT283" s="48"/>
      <c r="BU283" s="48"/>
      <c r="BV283" s="48"/>
      <c r="BW283" s="48"/>
      <c r="BX283" s="48"/>
      <c r="BY283" s="48"/>
      <c r="BZ283" s="48"/>
      <c r="CA283" s="48"/>
      <c r="CB283" s="48"/>
      <c r="CC283" s="48"/>
      <c r="CD283" s="48"/>
      <c r="CE283" s="48"/>
      <c r="CF283" s="48"/>
      <c r="CG283" s="48"/>
      <c r="CH283" s="48"/>
      <c r="CI283" s="48"/>
      <c r="CJ283" s="48"/>
      <c r="CK283" s="48"/>
      <c r="CL283" s="48"/>
      <c r="CM283" s="48"/>
      <c r="CN283" s="48"/>
      <c r="CO283" s="48"/>
      <c r="CP283" s="48"/>
      <c r="CQ283" s="48"/>
      <c r="CR283" s="48"/>
      <c r="CS283" s="48"/>
      <c r="CT283" s="48"/>
      <c r="CU283" s="48"/>
      <c r="CV283" s="48"/>
      <c r="CW283" s="48"/>
      <c r="CX283" s="48"/>
      <c r="CY283" s="48"/>
      <c r="CZ283" s="48"/>
      <c r="DA283" s="48"/>
      <c r="DB283" s="48"/>
      <c r="DC283" s="48"/>
      <c r="DD283" s="48"/>
      <c r="DE283" s="48"/>
      <c r="DF283" s="48"/>
      <c r="DG283" s="48"/>
      <c r="DH283" s="48"/>
      <c r="DI283" s="48"/>
      <c r="DJ283" s="48"/>
      <c r="DK283" s="48"/>
      <c r="DL283" s="48"/>
      <c r="DM283" s="48"/>
      <c r="DN283" s="48"/>
      <c r="DO283" s="48"/>
      <c r="DP283" s="48"/>
      <c r="DQ283" s="48"/>
      <c r="DR283" s="48"/>
      <c r="DS283" s="48"/>
      <c r="DT283" s="48"/>
      <c r="DU283" s="48"/>
      <c r="DV283" s="48"/>
      <c r="DW283" s="48"/>
      <c r="DX283" s="48"/>
      <c r="DY283" s="48"/>
      <c r="DZ283" s="48"/>
      <c r="EA283" s="48"/>
      <c r="EB283" s="48"/>
      <c r="EC283" s="48"/>
      <c r="ED283" s="48"/>
      <c r="EE283" s="48"/>
      <c r="EF283" s="48"/>
      <c r="EG283" s="48"/>
      <c r="EH283" s="48"/>
      <c r="EI283" s="48"/>
      <c r="EJ283" s="48"/>
      <c r="EK283" s="48"/>
    </row>
    <row r="284" spans="1:141" s="12" customFormat="1" ht="14.25" hidden="1" customHeight="1">
      <c r="A284" s="25">
        <v>56</v>
      </c>
      <c r="B284" s="26"/>
      <c r="C284" s="25"/>
      <c r="D284" s="24"/>
      <c r="E284" s="60" t="s">
        <v>45</v>
      </c>
      <c r="F284" s="59"/>
      <c r="G284" s="58">
        <f t="shared" si="703"/>
        <v>0</v>
      </c>
      <c r="H284" s="57">
        <f t="shared" si="704"/>
        <v>0</v>
      </c>
      <c r="I284" s="19"/>
      <c r="J284" s="11">
        <f t="shared" si="705"/>
        <v>0</v>
      </c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8"/>
      <c r="AB284" s="56">
        <f t="shared" si="706"/>
        <v>0</v>
      </c>
      <c r="AC284" s="16">
        <f t="shared" si="707"/>
        <v>0</v>
      </c>
      <c r="AD284" s="15" t="e">
        <f t="shared" si="708"/>
        <v>#DIV/0!</v>
      </c>
      <c r="AE284" s="55"/>
      <c r="AF284" s="10" t="e">
        <f t="shared" si="709"/>
        <v>#DIV/0!</v>
      </c>
      <c r="AG284" s="10"/>
      <c r="AH284" s="21">
        <f t="shared" si="710"/>
        <v>0</v>
      </c>
      <c r="AI284" s="54" t="e">
        <f t="shared" si="711"/>
        <v>#DIV/0!</v>
      </c>
      <c r="AJ284" s="25">
        <f t="shared" si="712"/>
        <v>0</v>
      </c>
      <c r="AK284" s="25">
        <f t="shared" si="713"/>
        <v>0</v>
      </c>
      <c r="AL284" s="25">
        <f t="shared" si="714"/>
        <v>0</v>
      </c>
      <c r="AM284" s="25">
        <f t="shared" si="715"/>
        <v>0</v>
      </c>
      <c r="AN284" s="25">
        <f t="shared" si="716"/>
        <v>0</v>
      </c>
      <c r="AO284" s="25">
        <f t="shared" si="717"/>
        <v>0</v>
      </c>
      <c r="AP284" s="25">
        <f t="shared" si="718"/>
        <v>0</v>
      </c>
      <c r="AQ284" s="25">
        <f t="shared" si="719"/>
        <v>0</v>
      </c>
      <c r="AR284" s="25">
        <f t="shared" si="720"/>
        <v>0</v>
      </c>
      <c r="AS284" s="25">
        <f t="shared" si="721"/>
        <v>0</v>
      </c>
      <c r="AT284" s="25">
        <f t="shared" si="722"/>
        <v>0</v>
      </c>
      <c r="AU284" s="48"/>
      <c r="AV284" s="48"/>
      <c r="AW284" s="48"/>
      <c r="AX284" s="48"/>
      <c r="AY284" s="48"/>
      <c r="AZ284" s="48"/>
      <c r="BA284" s="48"/>
      <c r="BB284" s="48"/>
      <c r="BC284" s="48"/>
      <c r="BD284" s="48"/>
      <c r="BE284" s="48"/>
      <c r="BF284" s="48"/>
      <c r="BG284" s="48"/>
      <c r="BH284" s="48"/>
      <c r="BI284" s="48"/>
      <c r="BJ284" s="48"/>
      <c r="BK284" s="48"/>
      <c r="BL284" s="48"/>
      <c r="BM284" s="48"/>
      <c r="BN284" s="48"/>
      <c r="BO284" s="48"/>
      <c r="BP284" s="48"/>
      <c r="BQ284" s="48"/>
      <c r="BR284" s="48"/>
      <c r="BS284" s="48"/>
      <c r="BT284" s="48"/>
      <c r="BU284" s="48"/>
      <c r="BV284" s="48"/>
      <c r="BW284" s="48"/>
      <c r="BX284" s="48"/>
      <c r="BY284" s="48"/>
      <c r="BZ284" s="48"/>
      <c r="CA284" s="48"/>
      <c r="CB284" s="48"/>
      <c r="CC284" s="48"/>
      <c r="CD284" s="48"/>
      <c r="CE284" s="48"/>
      <c r="CF284" s="48"/>
      <c r="CG284" s="48"/>
      <c r="CH284" s="48"/>
      <c r="CI284" s="48"/>
      <c r="CJ284" s="48"/>
      <c r="CK284" s="48"/>
      <c r="CL284" s="48"/>
      <c r="CM284" s="48"/>
      <c r="CN284" s="48"/>
      <c r="CO284" s="48"/>
      <c r="CP284" s="48"/>
      <c r="CQ284" s="48"/>
      <c r="CR284" s="48"/>
      <c r="CS284" s="48"/>
      <c r="CT284" s="48"/>
      <c r="CU284" s="48"/>
      <c r="CV284" s="48"/>
      <c r="CW284" s="48"/>
      <c r="CX284" s="48"/>
      <c r="CY284" s="48"/>
      <c r="CZ284" s="48"/>
      <c r="DA284" s="48"/>
      <c r="DB284" s="48"/>
      <c r="DC284" s="48"/>
      <c r="DD284" s="48"/>
      <c r="DE284" s="48"/>
      <c r="DF284" s="48"/>
      <c r="DG284" s="48"/>
      <c r="DH284" s="48"/>
      <c r="DI284" s="48"/>
      <c r="DJ284" s="48"/>
      <c r="DK284" s="48"/>
      <c r="DL284" s="48"/>
      <c r="DM284" s="48"/>
      <c r="DN284" s="48"/>
      <c r="DO284" s="48"/>
      <c r="DP284" s="48"/>
      <c r="DQ284" s="48"/>
      <c r="DR284" s="48"/>
      <c r="DS284" s="48"/>
      <c r="DT284" s="48"/>
      <c r="DU284" s="48"/>
      <c r="DV284" s="48"/>
      <c r="DW284" s="48"/>
      <c r="DX284" s="48"/>
      <c r="DY284" s="48"/>
      <c r="DZ284" s="48"/>
      <c r="EA284" s="48"/>
      <c r="EB284" s="48"/>
      <c r="EC284" s="48"/>
      <c r="ED284" s="48"/>
      <c r="EE284" s="48"/>
      <c r="EF284" s="48"/>
      <c r="EG284" s="48"/>
      <c r="EH284" s="48"/>
      <c r="EI284" s="48"/>
      <c r="EJ284" s="48"/>
      <c r="EK284" s="48"/>
    </row>
    <row r="285" spans="1:141" s="12" customFormat="1" ht="14.25" hidden="1" customHeight="1">
      <c r="A285" s="25">
        <v>57</v>
      </c>
      <c r="B285" s="26"/>
      <c r="C285" s="25"/>
      <c r="D285" s="24"/>
      <c r="E285" s="60" t="s">
        <v>44</v>
      </c>
      <c r="F285" s="59"/>
      <c r="G285" s="58">
        <f t="shared" si="703"/>
        <v>0</v>
      </c>
      <c r="H285" s="57">
        <f t="shared" si="704"/>
        <v>0</v>
      </c>
      <c r="I285" s="19"/>
      <c r="J285" s="11">
        <f t="shared" si="705"/>
        <v>0</v>
      </c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8"/>
      <c r="AB285" s="56">
        <f t="shared" si="706"/>
        <v>0</v>
      </c>
      <c r="AC285" s="16">
        <f t="shared" si="707"/>
        <v>0</v>
      </c>
      <c r="AD285" s="15" t="e">
        <f t="shared" si="708"/>
        <v>#DIV/0!</v>
      </c>
      <c r="AE285" s="55"/>
      <c r="AF285" s="10" t="e">
        <f t="shared" si="709"/>
        <v>#DIV/0!</v>
      </c>
      <c r="AG285" s="10"/>
      <c r="AH285" s="21">
        <f t="shared" si="710"/>
        <v>0</v>
      </c>
      <c r="AI285" s="54" t="e">
        <f t="shared" si="711"/>
        <v>#DIV/0!</v>
      </c>
      <c r="AJ285" s="25">
        <f t="shared" si="712"/>
        <v>0</v>
      </c>
      <c r="AK285" s="25">
        <f t="shared" si="713"/>
        <v>0</v>
      </c>
      <c r="AL285" s="25">
        <f t="shared" si="714"/>
        <v>0</v>
      </c>
      <c r="AM285" s="25">
        <f t="shared" si="715"/>
        <v>0</v>
      </c>
      <c r="AN285" s="25">
        <f t="shared" si="716"/>
        <v>0</v>
      </c>
      <c r="AO285" s="25">
        <f t="shared" si="717"/>
        <v>0</v>
      </c>
      <c r="AP285" s="25">
        <f t="shared" si="718"/>
        <v>0</v>
      </c>
      <c r="AQ285" s="25">
        <f t="shared" si="719"/>
        <v>0</v>
      </c>
      <c r="AR285" s="25">
        <f t="shared" si="720"/>
        <v>0</v>
      </c>
      <c r="AS285" s="25">
        <f t="shared" si="721"/>
        <v>0</v>
      </c>
      <c r="AT285" s="25">
        <f t="shared" si="722"/>
        <v>0</v>
      </c>
      <c r="AU285" s="48"/>
      <c r="AV285" s="48"/>
      <c r="AW285" s="48"/>
      <c r="AX285" s="48"/>
      <c r="AY285" s="48"/>
      <c r="AZ285" s="48"/>
      <c r="BA285" s="48"/>
      <c r="BB285" s="48"/>
      <c r="BC285" s="48"/>
      <c r="BD285" s="48"/>
      <c r="BE285" s="48"/>
      <c r="BF285" s="48"/>
      <c r="BG285" s="48"/>
      <c r="BH285" s="48"/>
      <c r="BI285" s="48"/>
      <c r="BJ285" s="48"/>
      <c r="BK285" s="48"/>
      <c r="BL285" s="48"/>
      <c r="BM285" s="48"/>
      <c r="BN285" s="48"/>
      <c r="BO285" s="48"/>
      <c r="BP285" s="48"/>
      <c r="BQ285" s="48"/>
      <c r="BR285" s="48"/>
      <c r="BS285" s="48"/>
      <c r="BT285" s="48"/>
      <c r="BU285" s="48"/>
      <c r="BV285" s="48"/>
      <c r="BW285" s="48"/>
      <c r="BX285" s="48"/>
      <c r="BY285" s="48"/>
      <c r="BZ285" s="48"/>
      <c r="CA285" s="48"/>
      <c r="CB285" s="48"/>
      <c r="CC285" s="48"/>
      <c r="CD285" s="48"/>
      <c r="CE285" s="48"/>
      <c r="CF285" s="48"/>
      <c r="CG285" s="48"/>
      <c r="CH285" s="48"/>
      <c r="CI285" s="48"/>
      <c r="CJ285" s="48"/>
      <c r="CK285" s="48"/>
      <c r="CL285" s="48"/>
      <c r="CM285" s="48"/>
      <c r="CN285" s="48"/>
      <c r="CO285" s="48"/>
      <c r="CP285" s="48"/>
      <c r="CQ285" s="48"/>
      <c r="CR285" s="48"/>
      <c r="CS285" s="48"/>
      <c r="CT285" s="48"/>
      <c r="CU285" s="48"/>
      <c r="CV285" s="48"/>
      <c r="CW285" s="48"/>
      <c r="CX285" s="48"/>
      <c r="CY285" s="48"/>
      <c r="CZ285" s="48"/>
      <c r="DA285" s="48"/>
      <c r="DB285" s="48"/>
      <c r="DC285" s="48"/>
      <c r="DD285" s="48"/>
      <c r="DE285" s="48"/>
      <c r="DF285" s="48"/>
      <c r="DG285" s="48"/>
      <c r="DH285" s="48"/>
      <c r="DI285" s="48"/>
      <c r="DJ285" s="48"/>
      <c r="DK285" s="48"/>
      <c r="DL285" s="48"/>
      <c r="DM285" s="48"/>
      <c r="DN285" s="48"/>
      <c r="DO285" s="48"/>
      <c r="DP285" s="48"/>
      <c r="DQ285" s="48"/>
      <c r="DR285" s="48"/>
      <c r="DS285" s="48"/>
      <c r="DT285" s="48"/>
      <c r="DU285" s="48"/>
      <c r="DV285" s="48"/>
      <c r="DW285" s="48"/>
      <c r="DX285" s="48"/>
      <c r="DY285" s="48"/>
      <c r="DZ285" s="48"/>
      <c r="EA285" s="48"/>
      <c r="EB285" s="48"/>
      <c r="EC285" s="48"/>
      <c r="ED285" s="48"/>
      <c r="EE285" s="48"/>
      <c r="EF285" s="48"/>
      <c r="EG285" s="48"/>
      <c r="EH285" s="48"/>
      <c r="EI285" s="48"/>
      <c r="EJ285" s="48"/>
      <c r="EK285" s="48"/>
    </row>
    <row r="286" spans="1:141" s="12" customFormat="1" ht="14.25" hidden="1" customHeight="1">
      <c r="A286" s="25">
        <v>58</v>
      </c>
      <c r="B286" s="26"/>
      <c r="C286" s="25"/>
      <c r="D286" s="24"/>
      <c r="E286" s="60" t="s">
        <v>43</v>
      </c>
      <c r="F286" s="59"/>
      <c r="G286" s="58">
        <f t="shared" si="703"/>
        <v>0</v>
      </c>
      <c r="H286" s="57">
        <f t="shared" si="704"/>
        <v>0</v>
      </c>
      <c r="I286" s="19"/>
      <c r="J286" s="11">
        <f t="shared" si="705"/>
        <v>0</v>
      </c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8"/>
      <c r="AB286" s="56">
        <f t="shared" si="706"/>
        <v>0</v>
      </c>
      <c r="AC286" s="16">
        <f t="shared" si="707"/>
        <v>0</v>
      </c>
      <c r="AD286" s="15" t="e">
        <f t="shared" si="708"/>
        <v>#DIV/0!</v>
      </c>
      <c r="AE286" s="55"/>
      <c r="AF286" s="10" t="e">
        <f t="shared" si="709"/>
        <v>#DIV/0!</v>
      </c>
      <c r="AG286" s="10"/>
      <c r="AH286" s="21">
        <f t="shared" si="710"/>
        <v>0</v>
      </c>
      <c r="AI286" s="54" t="e">
        <f t="shared" si="711"/>
        <v>#DIV/0!</v>
      </c>
      <c r="AJ286" s="25">
        <f t="shared" si="712"/>
        <v>0</v>
      </c>
      <c r="AK286" s="25">
        <f t="shared" si="713"/>
        <v>0</v>
      </c>
      <c r="AL286" s="25">
        <f t="shared" si="714"/>
        <v>0</v>
      </c>
      <c r="AM286" s="25">
        <f t="shared" si="715"/>
        <v>0</v>
      </c>
      <c r="AN286" s="25">
        <f t="shared" si="716"/>
        <v>0</v>
      </c>
      <c r="AO286" s="25">
        <f t="shared" si="717"/>
        <v>0</v>
      </c>
      <c r="AP286" s="25">
        <f t="shared" si="718"/>
        <v>0</v>
      </c>
      <c r="AQ286" s="25">
        <f t="shared" si="719"/>
        <v>0</v>
      </c>
      <c r="AR286" s="25">
        <f t="shared" si="720"/>
        <v>0</v>
      </c>
      <c r="AS286" s="25">
        <f t="shared" si="721"/>
        <v>0</v>
      </c>
      <c r="AT286" s="25">
        <f t="shared" si="722"/>
        <v>0</v>
      </c>
      <c r="AU286" s="48"/>
      <c r="AV286" s="48"/>
      <c r="AW286" s="48"/>
      <c r="AX286" s="48"/>
      <c r="AY286" s="48"/>
      <c r="AZ286" s="48"/>
      <c r="BA286" s="48"/>
      <c r="BB286" s="48"/>
      <c r="BC286" s="48"/>
      <c r="BD286" s="48"/>
      <c r="BE286" s="48"/>
      <c r="BF286" s="48"/>
      <c r="BG286" s="48"/>
      <c r="BH286" s="48"/>
      <c r="BI286" s="48"/>
      <c r="BJ286" s="48"/>
      <c r="BK286" s="48"/>
      <c r="BL286" s="48"/>
      <c r="BM286" s="48"/>
      <c r="BN286" s="48"/>
      <c r="BO286" s="48"/>
      <c r="BP286" s="48"/>
      <c r="BQ286" s="48"/>
      <c r="BR286" s="48"/>
      <c r="BS286" s="48"/>
      <c r="BT286" s="48"/>
      <c r="BU286" s="48"/>
      <c r="BV286" s="48"/>
      <c r="BW286" s="48"/>
      <c r="BX286" s="48"/>
      <c r="BY286" s="48"/>
      <c r="BZ286" s="48"/>
      <c r="CA286" s="48"/>
      <c r="CB286" s="48"/>
      <c r="CC286" s="48"/>
      <c r="CD286" s="48"/>
      <c r="CE286" s="48"/>
      <c r="CF286" s="48"/>
      <c r="CG286" s="48"/>
      <c r="CH286" s="48"/>
      <c r="CI286" s="48"/>
      <c r="CJ286" s="48"/>
      <c r="CK286" s="48"/>
      <c r="CL286" s="48"/>
      <c r="CM286" s="48"/>
      <c r="CN286" s="48"/>
      <c r="CO286" s="48"/>
      <c r="CP286" s="48"/>
      <c r="CQ286" s="48"/>
      <c r="CR286" s="48"/>
      <c r="CS286" s="48"/>
      <c r="CT286" s="48"/>
      <c r="CU286" s="48"/>
      <c r="CV286" s="48"/>
      <c r="CW286" s="48"/>
      <c r="CX286" s="48"/>
      <c r="CY286" s="48"/>
      <c r="CZ286" s="48"/>
      <c r="DA286" s="48"/>
      <c r="DB286" s="48"/>
      <c r="DC286" s="48"/>
      <c r="DD286" s="48"/>
      <c r="DE286" s="48"/>
      <c r="DF286" s="48"/>
      <c r="DG286" s="48"/>
      <c r="DH286" s="48"/>
      <c r="DI286" s="48"/>
      <c r="DJ286" s="48"/>
      <c r="DK286" s="48"/>
      <c r="DL286" s="48"/>
      <c r="DM286" s="48"/>
      <c r="DN286" s="48"/>
      <c r="DO286" s="48"/>
      <c r="DP286" s="48"/>
      <c r="DQ286" s="48"/>
      <c r="DR286" s="48"/>
      <c r="DS286" s="48"/>
      <c r="DT286" s="48"/>
      <c r="DU286" s="48"/>
      <c r="DV286" s="48"/>
      <c r="DW286" s="48"/>
      <c r="DX286" s="48"/>
      <c r="DY286" s="48"/>
      <c r="DZ286" s="48"/>
      <c r="EA286" s="48"/>
      <c r="EB286" s="48"/>
      <c r="EC286" s="48"/>
      <c r="ED286" s="48"/>
      <c r="EE286" s="48"/>
      <c r="EF286" s="48"/>
      <c r="EG286" s="48"/>
      <c r="EH286" s="48"/>
      <c r="EI286" s="48"/>
      <c r="EJ286" s="48"/>
      <c r="EK286" s="48"/>
    </row>
    <row r="287" spans="1:141" s="12" customFormat="1" ht="14.25" hidden="1" customHeight="1">
      <c r="A287" s="25">
        <v>59</v>
      </c>
      <c r="B287" s="26"/>
      <c r="C287" s="25"/>
      <c r="D287" s="24"/>
      <c r="E287" s="60" t="s">
        <v>42</v>
      </c>
      <c r="F287" s="59"/>
      <c r="G287" s="58">
        <f t="shared" si="703"/>
        <v>0</v>
      </c>
      <c r="H287" s="57">
        <f t="shared" si="704"/>
        <v>0</v>
      </c>
      <c r="I287" s="19"/>
      <c r="J287" s="11">
        <f t="shared" si="705"/>
        <v>0</v>
      </c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8"/>
      <c r="AB287" s="56">
        <f t="shared" si="706"/>
        <v>0</v>
      </c>
      <c r="AC287" s="16">
        <f t="shared" si="707"/>
        <v>0</v>
      </c>
      <c r="AD287" s="15" t="e">
        <f t="shared" si="708"/>
        <v>#DIV/0!</v>
      </c>
      <c r="AE287" s="55"/>
      <c r="AF287" s="10" t="e">
        <f t="shared" si="709"/>
        <v>#DIV/0!</v>
      </c>
      <c r="AG287" s="10"/>
      <c r="AH287" s="21">
        <f t="shared" si="710"/>
        <v>0</v>
      </c>
      <c r="AI287" s="54" t="e">
        <f t="shared" si="711"/>
        <v>#DIV/0!</v>
      </c>
      <c r="AJ287" s="25">
        <f t="shared" si="712"/>
        <v>0</v>
      </c>
      <c r="AK287" s="25">
        <f t="shared" si="713"/>
        <v>0</v>
      </c>
      <c r="AL287" s="25">
        <f t="shared" si="714"/>
        <v>0</v>
      </c>
      <c r="AM287" s="25">
        <f t="shared" si="715"/>
        <v>0</v>
      </c>
      <c r="AN287" s="25">
        <f t="shared" si="716"/>
        <v>0</v>
      </c>
      <c r="AO287" s="25">
        <f t="shared" si="717"/>
        <v>0</v>
      </c>
      <c r="AP287" s="25">
        <f t="shared" si="718"/>
        <v>0</v>
      </c>
      <c r="AQ287" s="25">
        <f t="shared" si="719"/>
        <v>0</v>
      </c>
      <c r="AR287" s="25">
        <f t="shared" si="720"/>
        <v>0</v>
      </c>
      <c r="AS287" s="25">
        <f t="shared" si="721"/>
        <v>0</v>
      </c>
      <c r="AT287" s="25">
        <f t="shared" si="722"/>
        <v>0</v>
      </c>
      <c r="AU287" s="48"/>
      <c r="AV287" s="48"/>
      <c r="AW287" s="48"/>
      <c r="AX287" s="48"/>
      <c r="AY287" s="48"/>
      <c r="AZ287" s="48"/>
      <c r="BA287" s="48"/>
      <c r="BB287" s="48"/>
      <c r="BC287" s="48"/>
      <c r="BD287" s="48"/>
      <c r="BE287" s="48"/>
      <c r="BF287" s="48"/>
      <c r="BG287" s="48"/>
      <c r="BH287" s="48"/>
      <c r="BI287" s="48"/>
      <c r="BJ287" s="48"/>
      <c r="BK287" s="48"/>
      <c r="BL287" s="48"/>
      <c r="BM287" s="48"/>
      <c r="BN287" s="48"/>
      <c r="BO287" s="48"/>
      <c r="BP287" s="48"/>
      <c r="BQ287" s="48"/>
      <c r="BR287" s="48"/>
      <c r="BS287" s="48"/>
      <c r="BT287" s="48"/>
      <c r="BU287" s="48"/>
      <c r="BV287" s="48"/>
      <c r="BW287" s="48"/>
      <c r="BX287" s="48"/>
      <c r="BY287" s="48"/>
      <c r="BZ287" s="48"/>
      <c r="CA287" s="48"/>
      <c r="CB287" s="48"/>
      <c r="CC287" s="48"/>
      <c r="CD287" s="48"/>
      <c r="CE287" s="48"/>
      <c r="CF287" s="48"/>
      <c r="CG287" s="48"/>
      <c r="CH287" s="48"/>
      <c r="CI287" s="48"/>
      <c r="CJ287" s="48"/>
      <c r="CK287" s="48"/>
      <c r="CL287" s="48"/>
      <c r="CM287" s="48"/>
      <c r="CN287" s="48"/>
      <c r="CO287" s="48"/>
      <c r="CP287" s="48"/>
      <c r="CQ287" s="48"/>
      <c r="CR287" s="48"/>
      <c r="CS287" s="48"/>
      <c r="CT287" s="48"/>
      <c r="CU287" s="48"/>
      <c r="CV287" s="48"/>
      <c r="CW287" s="48"/>
      <c r="CX287" s="48"/>
      <c r="CY287" s="48"/>
      <c r="CZ287" s="48"/>
      <c r="DA287" s="48"/>
      <c r="DB287" s="48"/>
      <c r="DC287" s="48"/>
      <c r="DD287" s="48"/>
      <c r="DE287" s="48"/>
      <c r="DF287" s="48"/>
      <c r="DG287" s="48"/>
      <c r="DH287" s="48"/>
      <c r="DI287" s="48"/>
      <c r="DJ287" s="48"/>
      <c r="DK287" s="48"/>
      <c r="DL287" s="48"/>
      <c r="DM287" s="48"/>
      <c r="DN287" s="48"/>
      <c r="DO287" s="48"/>
      <c r="DP287" s="48"/>
      <c r="DQ287" s="48"/>
      <c r="DR287" s="48"/>
      <c r="DS287" s="48"/>
      <c r="DT287" s="48"/>
      <c r="DU287" s="48"/>
      <c r="DV287" s="48"/>
      <c r="DW287" s="48"/>
      <c r="DX287" s="48"/>
      <c r="DY287" s="48"/>
      <c r="DZ287" s="48"/>
      <c r="EA287" s="48"/>
      <c r="EB287" s="48"/>
      <c r="EC287" s="48"/>
      <c r="ED287" s="48"/>
      <c r="EE287" s="48"/>
      <c r="EF287" s="48"/>
      <c r="EG287" s="48"/>
      <c r="EH287" s="48"/>
      <c r="EI287" s="48"/>
      <c r="EJ287" s="48"/>
      <c r="EK287" s="48"/>
    </row>
    <row r="288" spans="1:141" s="12" customFormat="1" ht="14.25" hidden="1" customHeight="1">
      <c r="A288" s="25">
        <v>60</v>
      </c>
      <c r="B288" s="26"/>
      <c r="C288" s="25"/>
      <c r="D288" s="24"/>
      <c r="E288" s="60" t="s">
        <v>41</v>
      </c>
      <c r="F288" s="59"/>
      <c r="G288" s="58">
        <f t="shared" si="703"/>
        <v>0</v>
      </c>
      <c r="H288" s="57">
        <f t="shared" si="704"/>
        <v>0</v>
      </c>
      <c r="I288" s="19"/>
      <c r="J288" s="11">
        <f t="shared" si="705"/>
        <v>0</v>
      </c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8"/>
      <c r="AB288" s="56">
        <f t="shared" si="706"/>
        <v>0</v>
      </c>
      <c r="AC288" s="16">
        <f t="shared" si="707"/>
        <v>0</v>
      </c>
      <c r="AD288" s="15" t="e">
        <f t="shared" si="708"/>
        <v>#DIV/0!</v>
      </c>
      <c r="AE288" s="55"/>
      <c r="AF288" s="10" t="e">
        <f t="shared" si="709"/>
        <v>#DIV/0!</v>
      </c>
      <c r="AG288" s="10"/>
      <c r="AH288" s="21">
        <f t="shared" si="710"/>
        <v>0</v>
      </c>
      <c r="AI288" s="54" t="e">
        <f t="shared" si="711"/>
        <v>#DIV/0!</v>
      </c>
      <c r="AJ288" s="25">
        <f t="shared" si="712"/>
        <v>0</v>
      </c>
      <c r="AK288" s="25">
        <f t="shared" si="713"/>
        <v>0</v>
      </c>
      <c r="AL288" s="25">
        <f t="shared" si="714"/>
        <v>0</v>
      </c>
      <c r="AM288" s="25">
        <f t="shared" si="715"/>
        <v>0</v>
      </c>
      <c r="AN288" s="25">
        <f t="shared" si="716"/>
        <v>0</v>
      </c>
      <c r="AO288" s="25">
        <f t="shared" si="717"/>
        <v>0</v>
      </c>
      <c r="AP288" s="25">
        <f t="shared" si="718"/>
        <v>0</v>
      </c>
      <c r="AQ288" s="25">
        <f t="shared" si="719"/>
        <v>0</v>
      </c>
      <c r="AR288" s="25">
        <f t="shared" si="720"/>
        <v>0</v>
      </c>
      <c r="AS288" s="25">
        <f t="shared" si="721"/>
        <v>0</v>
      </c>
      <c r="AT288" s="25">
        <f t="shared" si="722"/>
        <v>0</v>
      </c>
      <c r="AU288" s="48"/>
      <c r="AV288" s="48"/>
      <c r="AW288" s="48"/>
      <c r="AX288" s="48"/>
      <c r="AY288" s="48"/>
      <c r="AZ288" s="48"/>
      <c r="BA288" s="48"/>
      <c r="BB288" s="48"/>
      <c r="BC288" s="48"/>
      <c r="BD288" s="48"/>
      <c r="BE288" s="48"/>
      <c r="BF288" s="48"/>
      <c r="BG288" s="48"/>
      <c r="BH288" s="48"/>
      <c r="BI288" s="48"/>
      <c r="BJ288" s="48"/>
      <c r="BK288" s="48"/>
      <c r="BL288" s="48"/>
      <c r="BM288" s="48"/>
      <c r="BN288" s="48"/>
      <c r="BO288" s="48"/>
      <c r="BP288" s="48"/>
      <c r="BQ288" s="48"/>
      <c r="BR288" s="48"/>
      <c r="BS288" s="48"/>
      <c r="BT288" s="48"/>
      <c r="BU288" s="48"/>
      <c r="BV288" s="48"/>
      <c r="BW288" s="48"/>
      <c r="BX288" s="48"/>
      <c r="BY288" s="48"/>
      <c r="BZ288" s="48"/>
      <c r="CA288" s="48"/>
      <c r="CB288" s="48"/>
      <c r="CC288" s="48"/>
      <c r="CD288" s="48"/>
      <c r="CE288" s="48"/>
      <c r="CF288" s="48"/>
      <c r="CG288" s="48"/>
      <c r="CH288" s="48"/>
      <c r="CI288" s="48"/>
      <c r="CJ288" s="48"/>
      <c r="CK288" s="48"/>
      <c r="CL288" s="48"/>
      <c r="CM288" s="48"/>
      <c r="CN288" s="48"/>
      <c r="CO288" s="48"/>
      <c r="CP288" s="48"/>
      <c r="CQ288" s="48"/>
      <c r="CR288" s="48"/>
      <c r="CS288" s="48"/>
      <c r="CT288" s="48"/>
      <c r="CU288" s="48"/>
      <c r="CV288" s="48"/>
      <c r="CW288" s="48"/>
      <c r="CX288" s="48"/>
      <c r="CY288" s="48"/>
      <c r="CZ288" s="48"/>
      <c r="DA288" s="48"/>
      <c r="DB288" s="48"/>
      <c r="DC288" s="48"/>
      <c r="DD288" s="48"/>
      <c r="DE288" s="48"/>
      <c r="DF288" s="48"/>
      <c r="DG288" s="48"/>
      <c r="DH288" s="48"/>
      <c r="DI288" s="48"/>
      <c r="DJ288" s="48"/>
      <c r="DK288" s="48"/>
      <c r="DL288" s="48"/>
      <c r="DM288" s="48"/>
      <c r="DN288" s="48"/>
      <c r="DO288" s="48"/>
      <c r="DP288" s="48"/>
      <c r="DQ288" s="48"/>
      <c r="DR288" s="48"/>
      <c r="DS288" s="48"/>
      <c r="DT288" s="48"/>
      <c r="DU288" s="48"/>
      <c r="DV288" s="48"/>
      <c r="DW288" s="48"/>
      <c r="DX288" s="48"/>
      <c r="DY288" s="48"/>
      <c r="DZ288" s="48"/>
      <c r="EA288" s="48"/>
      <c r="EB288" s="48"/>
      <c r="EC288" s="48"/>
      <c r="ED288" s="48"/>
      <c r="EE288" s="48"/>
      <c r="EF288" s="48"/>
      <c r="EG288" s="48"/>
      <c r="EH288" s="48"/>
      <c r="EI288" s="48"/>
      <c r="EJ288" s="48"/>
      <c r="EK288" s="48"/>
    </row>
    <row r="289" spans="1:141" s="12" customFormat="1" ht="14.25" hidden="1" customHeight="1">
      <c r="A289" s="25">
        <v>61</v>
      </c>
      <c r="B289" s="26"/>
      <c r="C289" s="25"/>
      <c r="D289" s="24"/>
      <c r="E289" s="60" t="s">
        <v>40</v>
      </c>
      <c r="F289" s="59"/>
      <c r="G289" s="58">
        <f t="shared" si="703"/>
        <v>0</v>
      </c>
      <c r="H289" s="57">
        <f t="shared" si="704"/>
        <v>0</v>
      </c>
      <c r="I289" s="19"/>
      <c r="J289" s="11">
        <f t="shared" si="705"/>
        <v>0</v>
      </c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8"/>
      <c r="AB289" s="56">
        <f t="shared" si="706"/>
        <v>0</v>
      </c>
      <c r="AC289" s="16">
        <f t="shared" si="707"/>
        <v>0</v>
      </c>
      <c r="AD289" s="15" t="e">
        <f t="shared" si="708"/>
        <v>#DIV/0!</v>
      </c>
      <c r="AE289" s="55"/>
      <c r="AF289" s="10" t="e">
        <f t="shared" si="709"/>
        <v>#DIV/0!</v>
      </c>
      <c r="AG289" s="10"/>
      <c r="AH289" s="21">
        <f t="shared" si="710"/>
        <v>0</v>
      </c>
      <c r="AI289" s="54" t="e">
        <f t="shared" si="711"/>
        <v>#DIV/0!</v>
      </c>
      <c r="AJ289" s="25">
        <f t="shared" si="712"/>
        <v>0</v>
      </c>
      <c r="AK289" s="25">
        <f t="shared" si="713"/>
        <v>0</v>
      </c>
      <c r="AL289" s="25">
        <f t="shared" si="714"/>
        <v>0</v>
      </c>
      <c r="AM289" s="25">
        <f t="shared" si="715"/>
        <v>0</v>
      </c>
      <c r="AN289" s="25">
        <f t="shared" si="716"/>
        <v>0</v>
      </c>
      <c r="AO289" s="25">
        <f t="shared" si="717"/>
        <v>0</v>
      </c>
      <c r="AP289" s="25">
        <f t="shared" si="718"/>
        <v>0</v>
      </c>
      <c r="AQ289" s="25">
        <f t="shared" si="719"/>
        <v>0</v>
      </c>
      <c r="AR289" s="25">
        <f t="shared" si="720"/>
        <v>0</v>
      </c>
      <c r="AS289" s="25">
        <f t="shared" si="721"/>
        <v>0</v>
      </c>
      <c r="AT289" s="25">
        <f t="shared" si="722"/>
        <v>0</v>
      </c>
      <c r="AU289" s="48"/>
      <c r="AV289" s="48"/>
      <c r="AW289" s="48"/>
      <c r="AX289" s="48"/>
      <c r="AY289" s="48"/>
      <c r="AZ289" s="48"/>
      <c r="BA289" s="48"/>
      <c r="BB289" s="48"/>
      <c r="BC289" s="48"/>
      <c r="BD289" s="48"/>
      <c r="BE289" s="48"/>
      <c r="BF289" s="48"/>
      <c r="BG289" s="48"/>
      <c r="BH289" s="48"/>
      <c r="BI289" s="48"/>
      <c r="BJ289" s="48"/>
      <c r="BK289" s="48"/>
      <c r="BL289" s="48"/>
      <c r="BM289" s="48"/>
      <c r="BN289" s="48"/>
      <c r="BO289" s="48"/>
      <c r="BP289" s="48"/>
      <c r="BQ289" s="48"/>
      <c r="BR289" s="48"/>
      <c r="BS289" s="48"/>
      <c r="BT289" s="48"/>
      <c r="BU289" s="48"/>
      <c r="BV289" s="48"/>
      <c r="BW289" s="48"/>
      <c r="BX289" s="48"/>
      <c r="BY289" s="48"/>
      <c r="BZ289" s="48"/>
      <c r="CA289" s="48"/>
      <c r="CB289" s="48"/>
      <c r="CC289" s="48"/>
      <c r="CD289" s="48"/>
      <c r="CE289" s="48"/>
      <c r="CF289" s="48"/>
      <c r="CG289" s="48"/>
      <c r="CH289" s="48"/>
      <c r="CI289" s="48"/>
      <c r="CJ289" s="48"/>
      <c r="CK289" s="48"/>
      <c r="CL289" s="48"/>
      <c r="CM289" s="48"/>
      <c r="CN289" s="48"/>
      <c r="CO289" s="48"/>
      <c r="CP289" s="48"/>
      <c r="CQ289" s="48"/>
      <c r="CR289" s="48"/>
      <c r="CS289" s="48"/>
      <c r="CT289" s="48"/>
      <c r="CU289" s="48"/>
      <c r="CV289" s="48"/>
      <c r="CW289" s="48"/>
      <c r="CX289" s="48"/>
      <c r="CY289" s="48"/>
      <c r="CZ289" s="48"/>
      <c r="DA289" s="48"/>
      <c r="DB289" s="48"/>
      <c r="DC289" s="48"/>
      <c r="DD289" s="48"/>
      <c r="DE289" s="48"/>
      <c r="DF289" s="48"/>
      <c r="DG289" s="48"/>
      <c r="DH289" s="48"/>
      <c r="DI289" s="48"/>
      <c r="DJ289" s="48"/>
      <c r="DK289" s="48"/>
      <c r="DL289" s="48"/>
      <c r="DM289" s="48"/>
      <c r="DN289" s="48"/>
      <c r="DO289" s="48"/>
      <c r="DP289" s="48"/>
      <c r="DQ289" s="48"/>
      <c r="DR289" s="48"/>
      <c r="DS289" s="48"/>
      <c r="DT289" s="48"/>
      <c r="DU289" s="48"/>
      <c r="DV289" s="48"/>
      <c r="DW289" s="48"/>
      <c r="DX289" s="48"/>
      <c r="DY289" s="48"/>
      <c r="DZ289" s="48"/>
      <c r="EA289" s="48"/>
      <c r="EB289" s="48"/>
      <c r="EC289" s="48"/>
      <c r="ED289" s="48"/>
      <c r="EE289" s="48"/>
      <c r="EF289" s="48"/>
      <c r="EG289" s="48"/>
      <c r="EH289" s="48"/>
      <c r="EI289" s="48"/>
      <c r="EJ289" s="48"/>
      <c r="EK289" s="48"/>
    </row>
    <row r="290" spans="1:141" s="12" customFormat="1" ht="14.25" hidden="1" customHeight="1">
      <c r="A290" s="25">
        <v>62</v>
      </c>
      <c r="B290" s="26"/>
      <c r="C290" s="25"/>
      <c r="D290" s="24"/>
      <c r="E290" s="60" t="s">
        <v>39</v>
      </c>
      <c r="F290" s="59"/>
      <c r="G290" s="58">
        <f t="shared" si="703"/>
        <v>0</v>
      </c>
      <c r="H290" s="57">
        <f t="shared" si="704"/>
        <v>0</v>
      </c>
      <c r="I290" s="19"/>
      <c r="J290" s="11">
        <f t="shared" si="705"/>
        <v>0</v>
      </c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8"/>
      <c r="AB290" s="56">
        <f t="shared" si="706"/>
        <v>0</v>
      </c>
      <c r="AC290" s="16">
        <f t="shared" si="707"/>
        <v>0</v>
      </c>
      <c r="AD290" s="15" t="e">
        <f t="shared" si="708"/>
        <v>#DIV/0!</v>
      </c>
      <c r="AE290" s="55"/>
      <c r="AF290" s="10" t="e">
        <f t="shared" si="709"/>
        <v>#DIV/0!</v>
      </c>
      <c r="AG290" s="10"/>
      <c r="AH290" s="21">
        <f t="shared" si="710"/>
        <v>0</v>
      </c>
      <c r="AI290" s="54" t="e">
        <f t="shared" si="711"/>
        <v>#DIV/0!</v>
      </c>
      <c r="AJ290" s="25">
        <f t="shared" si="712"/>
        <v>0</v>
      </c>
      <c r="AK290" s="25">
        <f t="shared" si="713"/>
        <v>0</v>
      </c>
      <c r="AL290" s="25">
        <f t="shared" si="714"/>
        <v>0</v>
      </c>
      <c r="AM290" s="25">
        <f t="shared" si="715"/>
        <v>0</v>
      </c>
      <c r="AN290" s="25">
        <f t="shared" si="716"/>
        <v>0</v>
      </c>
      <c r="AO290" s="25">
        <f t="shared" si="717"/>
        <v>0</v>
      </c>
      <c r="AP290" s="25">
        <f t="shared" si="718"/>
        <v>0</v>
      </c>
      <c r="AQ290" s="25">
        <f t="shared" si="719"/>
        <v>0</v>
      </c>
      <c r="AR290" s="25">
        <f t="shared" si="720"/>
        <v>0</v>
      </c>
      <c r="AS290" s="25">
        <f t="shared" si="721"/>
        <v>0</v>
      </c>
      <c r="AT290" s="25">
        <f t="shared" si="722"/>
        <v>0</v>
      </c>
      <c r="AU290" s="48"/>
      <c r="AV290" s="48"/>
      <c r="AW290" s="48"/>
      <c r="AX290" s="48"/>
      <c r="AY290" s="48"/>
      <c r="AZ290" s="48"/>
      <c r="BA290" s="48"/>
      <c r="BB290" s="48"/>
      <c r="BC290" s="48"/>
      <c r="BD290" s="48"/>
      <c r="BE290" s="48"/>
      <c r="BF290" s="48"/>
      <c r="BG290" s="48"/>
      <c r="BH290" s="48"/>
      <c r="BI290" s="48"/>
      <c r="BJ290" s="48"/>
      <c r="BK290" s="48"/>
      <c r="BL290" s="48"/>
      <c r="BM290" s="48"/>
      <c r="BN290" s="48"/>
      <c r="BO290" s="48"/>
      <c r="BP290" s="48"/>
      <c r="BQ290" s="48"/>
      <c r="BR290" s="48"/>
      <c r="BS290" s="48"/>
      <c r="BT290" s="48"/>
      <c r="BU290" s="48"/>
      <c r="BV290" s="48"/>
      <c r="BW290" s="48"/>
      <c r="BX290" s="48"/>
      <c r="BY290" s="48"/>
      <c r="BZ290" s="48"/>
      <c r="CA290" s="48"/>
      <c r="CB290" s="48"/>
      <c r="CC290" s="48"/>
      <c r="CD290" s="48"/>
      <c r="CE290" s="48"/>
      <c r="CF290" s="48"/>
      <c r="CG290" s="48"/>
      <c r="CH290" s="48"/>
      <c r="CI290" s="48"/>
      <c r="CJ290" s="48"/>
      <c r="CK290" s="48"/>
      <c r="CL290" s="48"/>
      <c r="CM290" s="48"/>
      <c r="CN290" s="48"/>
      <c r="CO290" s="48"/>
      <c r="CP290" s="48"/>
      <c r="CQ290" s="48"/>
      <c r="CR290" s="48"/>
      <c r="CS290" s="48"/>
      <c r="CT290" s="48"/>
      <c r="CU290" s="48"/>
      <c r="CV290" s="48"/>
      <c r="CW290" s="48"/>
      <c r="CX290" s="48"/>
      <c r="CY290" s="48"/>
      <c r="CZ290" s="48"/>
      <c r="DA290" s="48"/>
      <c r="DB290" s="48"/>
      <c r="DC290" s="48"/>
      <c r="DD290" s="48"/>
      <c r="DE290" s="48"/>
      <c r="DF290" s="48"/>
      <c r="DG290" s="48"/>
      <c r="DH290" s="48"/>
      <c r="DI290" s="48"/>
      <c r="DJ290" s="48"/>
      <c r="DK290" s="48"/>
      <c r="DL290" s="48"/>
      <c r="DM290" s="48"/>
      <c r="DN290" s="48"/>
      <c r="DO290" s="48"/>
      <c r="DP290" s="48"/>
      <c r="DQ290" s="48"/>
      <c r="DR290" s="48"/>
      <c r="DS290" s="48"/>
      <c r="DT290" s="48"/>
      <c r="DU290" s="48"/>
      <c r="DV290" s="48"/>
      <c r="DW290" s="48"/>
      <c r="DX290" s="48"/>
      <c r="DY290" s="48"/>
      <c r="DZ290" s="48"/>
      <c r="EA290" s="48"/>
      <c r="EB290" s="48"/>
      <c r="EC290" s="48"/>
      <c r="ED290" s="48"/>
      <c r="EE290" s="48"/>
      <c r="EF290" s="48"/>
      <c r="EG290" s="48"/>
      <c r="EH290" s="48"/>
      <c r="EI290" s="48"/>
      <c r="EJ290" s="48"/>
      <c r="EK290" s="48"/>
    </row>
    <row r="291" spans="1:141" s="12" customFormat="1" ht="14.25" hidden="1" customHeight="1">
      <c r="A291" s="25">
        <v>63</v>
      </c>
      <c r="B291" s="26"/>
      <c r="C291" s="25"/>
      <c r="D291" s="24"/>
      <c r="E291" s="60" t="s">
        <v>38</v>
      </c>
      <c r="F291" s="59"/>
      <c r="G291" s="58">
        <f t="shared" si="703"/>
        <v>0</v>
      </c>
      <c r="H291" s="57">
        <f t="shared" si="704"/>
        <v>0</v>
      </c>
      <c r="I291" s="19"/>
      <c r="J291" s="11">
        <f t="shared" si="705"/>
        <v>0</v>
      </c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8"/>
      <c r="AB291" s="56">
        <f t="shared" si="706"/>
        <v>0</v>
      </c>
      <c r="AC291" s="16">
        <f t="shared" si="707"/>
        <v>0</v>
      </c>
      <c r="AD291" s="15" t="e">
        <f t="shared" si="708"/>
        <v>#DIV/0!</v>
      </c>
      <c r="AE291" s="55"/>
      <c r="AF291" s="10" t="e">
        <f t="shared" si="709"/>
        <v>#DIV/0!</v>
      </c>
      <c r="AG291" s="10"/>
      <c r="AH291" s="21">
        <f t="shared" si="710"/>
        <v>0</v>
      </c>
      <c r="AI291" s="54" t="e">
        <f t="shared" si="711"/>
        <v>#DIV/0!</v>
      </c>
      <c r="AJ291" s="25">
        <f t="shared" si="712"/>
        <v>0</v>
      </c>
      <c r="AK291" s="25">
        <f t="shared" si="713"/>
        <v>0</v>
      </c>
      <c r="AL291" s="25">
        <f t="shared" si="714"/>
        <v>0</v>
      </c>
      <c r="AM291" s="25">
        <f t="shared" si="715"/>
        <v>0</v>
      </c>
      <c r="AN291" s="25">
        <f t="shared" si="716"/>
        <v>0</v>
      </c>
      <c r="AO291" s="25">
        <f t="shared" si="717"/>
        <v>0</v>
      </c>
      <c r="AP291" s="25">
        <f t="shared" si="718"/>
        <v>0</v>
      </c>
      <c r="AQ291" s="25">
        <f t="shared" si="719"/>
        <v>0</v>
      </c>
      <c r="AR291" s="25">
        <f t="shared" si="720"/>
        <v>0</v>
      </c>
      <c r="AS291" s="25">
        <f t="shared" si="721"/>
        <v>0</v>
      </c>
      <c r="AT291" s="25">
        <f t="shared" si="722"/>
        <v>0</v>
      </c>
      <c r="AU291" s="48"/>
      <c r="AV291" s="48"/>
      <c r="AW291" s="48"/>
      <c r="AX291" s="48"/>
      <c r="AY291" s="48"/>
      <c r="AZ291" s="48"/>
      <c r="BA291" s="48"/>
      <c r="BB291" s="48"/>
      <c r="BC291" s="48"/>
      <c r="BD291" s="48"/>
      <c r="BE291" s="48"/>
      <c r="BF291" s="48"/>
      <c r="BG291" s="48"/>
      <c r="BH291" s="48"/>
      <c r="BI291" s="48"/>
      <c r="BJ291" s="48"/>
      <c r="BK291" s="48"/>
      <c r="BL291" s="48"/>
      <c r="BM291" s="48"/>
      <c r="BN291" s="48"/>
      <c r="BO291" s="48"/>
      <c r="BP291" s="48"/>
      <c r="BQ291" s="48"/>
      <c r="BR291" s="48"/>
      <c r="BS291" s="48"/>
      <c r="BT291" s="48"/>
      <c r="BU291" s="48"/>
      <c r="BV291" s="48"/>
      <c r="BW291" s="48"/>
      <c r="BX291" s="48"/>
      <c r="BY291" s="48"/>
      <c r="BZ291" s="48"/>
      <c r="CA291" s="48"/>
      <c r="CB291" s="48"/>
      <c r="CC291" s="48"/>
      <c r="CD291" s="48"/>
      <c r="CE291" s="48"/>
      <c r="CF291" s="48"/>
      <c r="CG291" s="48"/>
      <c r="CH291" s="48"/>
      <c r="CI291" s="48"/>
      <c r="CJ291" s="48"/>
      <c r="CK291" s="48"/>
      <c r="CL291" s="48"/>
      <c r="CM291" s="48"/>
      <c r="CN291" s="48"/>
      <c r="CO291" s="48"/>
      <c r="CP291" s="48"/>
      <c r="CQ291" s="48"/>
      <c r="CR291" s="48"/>
      <c r="CS291" s="48"/>
      <c r="CT291" s="48"/>
      <c r="CU291" s="48"/>
      <c r="CV291" s="48"/>
      <c r="CW291" s="48"/>
      <c r="CX291" s="48"/>
      <c r="CY291" s="48"/>
      <c r="CZ291" s="48"/>
      <c r="DA291" s="48"/>
      <c r="DB291" s="48"/>
      <c r="DC291" s="48"/>
      <c r="DD291" s="48"/>
      <c r="DE291" s="48"/>
      <c r="DF291" s="48"/>
      <c r="DG291" s="48"/>
      <c r="DH291" s="48"/>
      <c r="DI291" s="48"/>
      <c r="DJ291" s="48"/>
      <c r="DK291" s="48"/>
      <c r="DL291" s="48"/>
      <c r="DM291" s="48"/>
      <c r="DN291" s="48"/>
      <c r="DO291" s="48"/>
      <c r="DP291" s="48"/>
      <c r="DQ291" s="48"/>
      <c r="DR291" s="48"/>
      <c r="DS291" s="48"/>
      <c r="DT291" s="48"/>
      <c r="DU291" s="48"/>
      <c r="DV291" s="48"/>
      <c r="DW291" s="48"/>
      <c r="DX291" s="48"/>
      <c r="DY291" s="48"/>
      <c r="DZ291" s="48"/>
      <c r="EA291" s="48"/>
      <c r="EB291" s="48"/>
      <c r="EC291" s="48"/>
      <c r="ED291" s="48"/>
      <c r="EE291" s="48"/>
      <c r="EF291" s="48"/>
      <c r="EG291" s="48"/>
      <c r="EH291" s="48"/>
      <c r="EI291" s="48"/>
      <c r="EJ291" s="48"/>
      <c r="EK291" s="48"/>
    </row>
    <row r="292" spans="1:141" s="12" customFormat="1" ht="14.25" hidden="1" customHeight="1">
      <c r="A292" s="25">
        <v>64</v>
      </c>
      <c r="B292" s="26"/>
      <c r="C292" s="25"/>
      <c r="D292" s="24"/>
      <c r="E292" s="60" t="s">
        <v>37</v>
      </c>
      <c r="F292" s="59"/>
      <c r="G292" s="58">
        <f t="shared" si="703"/>
        <v>0</v>
      </c>
      <c r="H292" s="57">
        <f t="shared" si="704"/>
        <v>0</v>
      </c>
      <c r="I292" s="19"/>
      <c r="J292" s="11">
        <f t="shared" si="705"/>
        <v>0</v>
      </c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8"/>
      <c r="AB292" s="56">
        <f t="shared" si="706"/>
        <v>0</v>
      </c>
      <c r="AC292" s="16">
        <f t="shared" si="707"/>
        <v>0</v>
      </c>
      <c r="AD292" s="15" t="e">
        <f t="shared" si="708"/>
        <v>#DIV/0!</v>
      </c>
      <c r="AE292" s="55"/>
      <c r="AF292" s="10" t="e">
        <f t="shared" si="709"/>
        <v>#DIV/0!</v>
      </c>
      <c r="AG292" s="10"/>
      <c r="AH292" s="21">
        <f t="shared" si="710"/>
        <v>0</v>
      </c>
      <c r="AI292" s="54" t="e">
        <f t="shared" si="711"/>
        <v>#DIV/0!</v>
      </c>
      <c r="AJ292" s="25">
        <f t="shared" si="712"/>
        <v>0</v>
      </c>
      <c r="AK292" s="25">
        <f t="shared" si="713"/>
        <v>0</v>
      </c>
      <c r="AL292" s="25">
        <f t="shared" si="714"/>
        <v>0</v>
      </c>
      <c r="AM292" s="25">
        <f t="shared" si="715"/>
        <v>0</v>
      </c>
      <c r="AN292" s="25">
        <f t="shared" si="716"/>
        <v>0</v>
      </c>
      <c r="AO292" s="25">
        <f t="shared" si="717"/>
        <v>0</v>
      </c>
      <c r="AP292" s="25">
        <f t="shared" si="718"/>
        <v>0</v>
      </c>
      <c r="AQ292" s="25">
        <f t="shared" si="719"/>
        <v>0</v>
      </c>
      <c r="AR292" s="25">
        <f t="shared" si="720"/>
        <v>0</v>
      </c>
      <c r="AS292" s="25">
        <f t="shared" si="721"/>
        <v>0</v>
      </c>
      <c r="AT292" s="25">
        <f t="shared" si="722"/>
        <v>0</v>
      </c>
      <c r="AU292" s="48"/>
      <c r="AV292" s="48"/>
      <c r="AW292" s="48"/>
      <c r="AX292" s="48"/>
      <c r="AY292" s="48"/>
      <c r="AZ292" s="48"/>
      <c r="BA292" s="48"/>
      <c r="BB292" s="48"/>
      <c r="BC292" s="48"/>
      <c r="BD292" s="48"/>
      <c r="BE292" s="48"/>
      <c r="BF292" s="48"/>
      <c r="BG292" s="48"/>
      <c r="BH292" s="48"/>
      <c r="BI292" s="48"/>
      <c r="BJ292" s="48"/>
      <c r="BK292" s="48"/>
      <c r="BL292" s="48"/>
      <c r="BM292" s="48"/>
      <c r="BN292" s="48"/>
      <c r="BO292" s="48"/>
      <c r="BP292" s="48"/>
      <c r="BQ292" s="48"/>
      <c r="BR292" s="48"/>
      <c r="BS292" s="48"/>
      <c r="BT292" s="48"/>
      <c r="BU292" s="48"/>
      <c r="BV292" s="48"/>
      <c r="BW292" s="48"/>
      <c r="BX292" s="48"/>
      <c r="BY292" s="48"/>
      <c r="BZ292" s="48"/>
      <c r="CA292" s="48"/>
      <c r="CB292" s="48"/>
      <c r="CC292" s="48"/>
      <c r="CD292" s="48"/>
      <c r="CE292" s="48"/>
      <c r="CF292" s="48"/>
      <c r="CG292" s="48"/>
      <c r="CH292" s="48"/>
      <c r="CI292" s="48"/>
      <c r="CJ292" s="48"/>
      <c r="CK292" s="48"/>
      <c r="CL292" s="48"/>
      <c r="CM292" s="48"/>
      <c r="CN292" s="48"/>
      <c r="CO292" s="48"/>
      <c r="CP292" s="48"/>
      <c r="CQ292" s="48"/>
      <c r="CR292" s="48"/>
      <c r="CS292" s="48"/>
      <c r="CT292" s="48"/>
      <c r="CU292" s="48"/>
      <c r="CV292" s="48"/>
      <c r="CW292" s="48"/>
      <c r="CX292" s="48"/>
      <c r="CY292" s="48"/>
      <c r="CZ292" s="48"/>
      <c r="DA292" s="48"/>
      <c r="DB292" s="48"/>
      <c r="DC292" s="48"/>
      <c r="DD292" s="48"/>
      <c r="DE292" s="48"/>
      <c r="DF292" s="48"/>
      <c r="DG292" s="48"/>
      <c r="DH292" s="48"/>
      <c r="DI292" s="48"/>
      <c r="DJ292" s="48"/>
      <c r="DK292" s="48"/>
      <c r="DL292" s="48"/>
      <c r="DM292" s="48"/>
      <c r="DN292" s="48"/>
      <c r="DO292" s="48"/>
      <c r="DP292" s="48"/>
      <c r="DQ292" s="48"/>
      <c r="DR292" s="48"/>
      <c r="DS292" s="48"/>
      <c r="DT292" s="48"/>
      <c r="DU292" s="48"/>
      <c r="DV292" s="48"/>
      <c r="DW292" s="48"/>
      <c r="DX292" s="48"/>
      <c r="DY292" s="48"/>
      <c r="DZ292" s="48"/>
      <c r="EA292" s="48"/>
      <c r="EB292" s="48"/>
      <c r="EC292" s="48"/>
      <c r="ED292" s="48"/>
      <c r="EE292" s="48"/>
      <c r="EF292" s="48"/>
      <c r="EG292" s="48"/>
      <c r="EH292" s="48"/>
      <c r="EI292" s="48"/>
      <c r="EJ292" s="48"/>
      <c r="EK292" s="48"/>
    </row>
    <row r="293" spans="1:141" s="12" customFormat="1" ht="14.25" hidden="1" customHeight="1">
      <c r="A293" s="25">
        <v>65</v>
      </c>
      <c r="B293" s="26"/>
      <c r="C293" s="25"/>
      <c r="D293" s="24"/>
      <c r="E293" s="60" t="s">
        <v>36</v>
      </c>
      <c r="F293" s="59"/>
      <c r="G293" s="58">
        <f t="shared" ref="G293:G318" si="723">+SUMIF($E$327:$E$515,D293,$H$327:$H$515)</f>
        <v>0</v>
      </c>
      <c r="H293" s="57">
        <f t="shared" ref="H293:H318" si="724">+SUMIF($E$327:$E$515,E293,$H$327:$H$515)</f>
        <v>0</v>
      </c>
      <c r="I293" s="19"/>
      <c r="J293" s="11">
        <f t="shared" ref="J293:J318" si="725">SUM(K293:Z293)</f>
        <v>0</v>
      </c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8"/>
      <c r="AB293" s="56">
        <f t="shared" ref="AB293:AB318" si="726">+SUMIF($E$327:$E$515,E293,$AB$327:$AB$515)</f>
        <v>0</v>
      </c>
      <c r="AC293" s="16">
        <f t="shared" ref="AC293:AC318" si="727">+SUMIF($E$327:$E$515,E293,$AC$327:$AC$515)</f>
        <v>0</v>
      </c>
      <c r="AD293" s="15" t="e">
        <f t="shared" ref="AD293:AD318" si="728">+AC293/AB293</f>
        <v>#DIV/0!</v>
      </c>
      <c r="AE293" s="55"/>
      <c r="AF293" s="10" t="e">
        <f t="shared" ref="AF293:AF318" si="729">+AC293/H293</f>
        <v>#DIV/0!</v>
      </c>
      <c r="AG293" s="10"/>
      <c r="AH293" s="21">
        <f t="shared" ref="AH293:AH318" si="730">+SUMIF($AA$327:$AA$515,E293,$AH$327:$AH$515)</f>
        <v>0</v>
      </c>
      <c r="AI293" s="54" t="e">
        <f t="shared" ref="AI293:AI318" si="731">+AH293/AC293</f>
        <v>#DIV/0!</v>
      </c>
      <c r="AJ293" s="25">
        <f t="shared" ref="AJ293:AJ318" si="732">+SUMIF($E$327:$E$515,E293,$AJ$327:$AJ$515)</f>
        <v>0</v>
      </c>
      <c r="AK293" s="25">
        <f t="shared" ref="AK293:AK318" si="733">+SUMIF($D$327:$D$515,E293,$AK$327:$AK$515)</f>
        <v>0</v>
      </c>
      <c r="AL293" s="25">
        <f t="shared" ref="AL293:AL318" si="734">+SUMIF($D$327:$D$515,E293,$AL$327:$AL$515)</f>
        <v>0</v>
      </c>
      <c r="AM293" s="25">
        <f t="shared" ref="AM293:AM318" si="735">+SUMIF($D$327:$D$515,E293,$AM$327:$AM$515)</f>
        <v>0</v>
      </c>
      <c r="AN293" s="25">
        <f t="shared" ref="AN293:AN318" si="736">+SUMIF($D$327:$D$515,E293,$AN$327:$AN$515)</f>
        <v>0</v>
      </c>
      <c r="AO293" s="25">
        <f t="shared" ref="AO293:AO318" si="737">+SUMIF($D$327:$D$515,E293,$AO$327:$AO$515)</f>
        <v>0</v>
      </c>
      <c r="AP293" s="25">
        <f t="shared" ref="AP293:AP318" si="738">+SUMIF($D$327:$D$515,E293,$AP$327:$AP$515)</f>
        <v>0</v>
      </c>
      <c r="AQ293" s="25">
        <f t="shared" ref="AQ293:AQ318" si="739">+SUMIF($D$327:$D$515,E293,$AQ$327:$AQ$515)</f>
        <v>0</v>
      </c>
      <c r="AR293" s="25">
        <f t="shared" ref="AR293:AR318" si="740">+SUMIF($AB$327:$AB$515,AA293,$AR$327:$AR$515)</f>
        <v>0</v>
      </c>
      <c r="AS293" s="25">
        <f t="shared" ref="AS293:AS318" si="741">+SUMIF($AC$327:$AC$515,AA293,$AS$327:$AS$515)</f>
        <v>0</v>
      </c>
      <c r="AT293" s="25">
        <f t="shared" ref="AT293:AT318" si="742">+SUMIF($D$327:$D$515,E293,$AT$327:$AT$515)</f>
        <v>0</v>
      </c>
      <c r="AU293" s="48"/>
      <c r="AV293" s="48"/>
      <c r="AW293" s="48"/>
      <c r="AX293" s="48"/>
      <c r="AY293" s="48"/>
      <c r="AZ293" s="48"/>
      <c r="BA293" s="48"/>
      <c r="BB293" s="48"/>
      <c r="BC293" s="48"/>
      <c r="BD293" s="48"/>
      <c r="BE293" s="48"/>
      <c r="BF293" s="48"/>
      <c r="BG293" s="48"/>
      <c r="BH293" s="48"/>
      <c r="BI293" s="48"/>
      <c r="BJ293" s="48"/>
      <c r="BK293" s="48"/>
      <c r="BL293" s="48"/>
      <c r="BM293" s="48"/>
      <c r="BN293" s="48"/>
      <c r="BO293" s="48"/>
      <c r="BP293" s="48"/>
      <c r="BQ293" s="48"/>
      <c r="BR293" s="48"/>
      <c r="BS293" s="48"/>
      <c r="BT293" s="48"/>
      <c r="BU293" s="48"/>
      <c r="BV293" s="48"/>
      <c r="BW293" s="48"/>
      <c r="BX293" s="48"/>
      <c r="BY293" s="48"/>
      <c r="BZ293" s="48"/>
      <c r="CA293" s="48"/>
      <c r="CB293" s="48"/>
      <c r="CC293" s="48"/>
      <c r="CD293" s="48"/>
      <c r="CE293" s="48"/>
      <c r="CF293" s="48"/>
      <c r="CG293" s="48"/>
      <c r="CH293" s="48"/>
      <c r="CI293" s="48"/>
      <c r="CJ293" s="48"/>
      <c r="CK293" s="48"/>
      <c r="CL293" s="48"/>
      <c r="CM293" s="48"/>
      <c r="CN293" s="48"/>
      <c r="CO293" s="48"/>
      <c r="CP293" s="48"/>
      <c r="CQ293" s="48"/>
      <c r="CR293" s="48"/>
      <c r="CS293" s="48"/>
      <c r="CT293" s="48"/>
      <c r="CU293" s="48"/>
      <c r="CV293" s="48"/>
      <c r="CW293" s="48"/>
      <c r="CX293" s="48"/>
      <c r="CY293" s="48"/>
      <c r="CZ293" s="48"/>
      <c r="DA293" s="48"/>
      <c r="DB293" s="48"/>
      <c r="DC293" s="48"/>
      <c r="DD293" s="48"/>
      <c r="DE293" s="48"/>
      <c r="DF293" s="48"/>
      <c r="DG293" s="48"/>
      <c r="DH293" s="48"/>
      <c r="DI293" s="48"/>
      <c r="DJ293" s="48"/>
      <c r="DK293" s="48"/>
      <c r="DL293" s="48"/>
      <c r="DM293" s="48"/>
      <c r="DN293" s="48"/>
      <c r="DO293" s="48"/>
      <c r="DP293" s="48"/>
      <c r="DQ293" s="48"/>
      <c r="DR293" s="48"/>
      <c r="DS293" s="48"/>
      <c r="DT293" s="48"/>
      <c r="DU293" s="48"/>
      <c r="DV293" s="48"/>
      <c r="DW293" s="48"/>
      <c r="DX293" s="48"/>
      <c r="DY293" s="48"/>
      <c r="DZ293" s="48"/>
      <c r="EA293" s="48"/>
      <c r="EB293" s="48"/>
      <c r="EC293" s="48"/>
      <c r="ED293" s="48"/>
      <c r="EE293" s="48"/>
      <c r="EF293" s="48"/>
      <c r="EG293" s="48"/>
      <c r="EH293" s="48"/>
      <c r="EI293" s="48"/>
      <c r="EJ293" s="48"/>
      <c r="EK293" s="48"/>
    </row>
    <row r="294" spans="1:141" s="12" customFormat="1" ht="14.25" hidden="1" customHeight="1">
      <c r="A294" s="25">
        <v>66</v>
      </c>
      <c r="B294" s="26"/>
      <c r="C294" s="25"/>
      <c r="D294" s="24"/>
      <c r="E294" s="60" t="s">
        <v>35</v>
      </c>
      <c r="F294" s="59"/>
      <c r="G294" s="58">
        <f t="shared" si="723"/>
        <v>0</v>
      </c>
      <c r="H294" s="57">
        <f t="shared" si="724"/>
        <v>0</v>
      </c>
      <c r="I294" s="19"/>
      <c r="J294" s="11">
        <f t="shared" si="725"/>
        <v>0</v>
      </c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8"/>
      <c r="AB294" s="56">
        <f t="shared" si="726"/>
        <v>0</v>
      </c>
      <c r="AC294" s="16">
        <f t="shared" si="727"/>
        <v>0</v>
      </c>
      <c r="AD294" s="15" t="e">
        <f t="shared" si="728"/>
        <v>#DIV/0!</v>
      </c>
      <c r="AE294" s="55"/>
      <c r="AF294" s="10" t="e">
        <f t="shared" si="729"/>
        <v>#DIV/0!</v>
      </c>
      <c r="AG294" s="10"/>
      <c r="AH294" s="21">
        <f t="shared" si="730"/>
        <v>0</v>
      </c>
      <c r="AI294" s="54" t="e">
        <f t="shared" si="731"/>
        <v>#DIV/0!</v>
      </c>
      <c r="AJ294" s="25">
        <f t="shared" si="732"/>
        <v>0</v>
      </c>
      <c r="AK294" s="25">
        <f t="shared" si="733"/>
        <v>0</v>
      </c>
      <c r="AL294" s="25">
        <f t="shared" si="734"/>
        <v>0</v>
      </c>
      <c r="AM294" s="25">
        <f t="shared" si="735"/>
        <v>0</v>
      </c>
      <c r="AN294" s="25">
        <f t="shared" si="736"/>
        <v>0</v>
      </c>
      <c r="AO294" s="25">
        <f t="shared" si="737"/>
        <v>0</v>
      </c>
      <c r="AP294" s="25">
        <f t="shared" si="738"/>
        <v>0</v>
      </c>
      <c r="AQ294" s="25">
        <f t="shared" si="739"/>
        <v>0</v>
      </c>
      <c r="AR294" s="25">
        <f t="shared" si="740"/>
        <v>0</v>
      </c>
      <c r="AS294" s="25">
        <f t="shared" si="741"/>
        <v>0</v>
      </c>
      <c r="AT294" s="25">
        <f t="shared" si="742"/>
        <v>0</v>
      </c>
      <c r="AU294" s="48"/>
      <c r="AV294" s="48"/>
      <c r="AW294" s="48"/>
      <c r="AX294" s="48"/>
      <c r="AY294" s="48"/>
      <c r="AZ294" s="48"/>
      <c r="BA294" s="48"/>
      <c r="BB294" s="48"/>
      <c r="BC294" s="48"/>
      <c r="BD294" s="48"/>
      <c r="BE294" s="48"/>
      <c r="BF294" s="48"/>
      <c r="BG294" s="48"/>
      <c r="BH294" s="48"/>
      <c r="BI294" s="48"/>
      <c r="BJ294" s="48"/>
      <c r="BK294" s="48"/>
      <c r="BL294" s="48"/>
      <c r="BM294" s="48"/>
      <c r="BN294" s="48"/>
      <c r="BO294" s="48"/>
      <c r="BP294" s="48"/>
      <c r="BQ294" s="48"/>
      <c r="BR294" s="48"/>
      <c r="BS294" s="48"/>
      <c r="BT294" s="48"/>
      <c r="BU294" s="48"/>
      <c r="BV294" s="48"/>
      <c r="BW294" s="48"/>
      <c r="BX294" s="48"/>
      <c r="BY294" s="48"/>
      <c r="BZ294" s="48"/>
      <c r="CA294" s="48"/>
      <c r="CB294" s="48"/>
      <c r="CC294" s="48"/>
      <c r="CD294" s="48"/>
      <c r="CE294" s="48"/>
      <c r="CF294" s="48"/>
      <c r="CG294" s="48"/>
      <c r="CH294" s="48"/>
      <c r="CI294" s="48"/>
      <c r="CJ294" s="48"/>
      <c r="CK294" s="48"/>
      <c r="CL294" s="48"/>
      <c r="CM294" s="48"/>
      <c r="CN294" s="48"/>
      <c r="CO294" s="48"/>
      <c r="CP294" s="48"/>
      <c r="CQ294" s="48"/>
      <c r="CR294" s="48"/>
      <c r="CS294" s="48"/>
      <c r="CT294" s="48"/>
      <c r="CU294" s="48"/>
      <c r="CV294" s="48"/>
      <c r="CW294" s="48"/>
      <c r="CX294" s="48"/>
      <c r="CY294" s="48"/>
      <c r="CZ294" s="48"/>
      <c r="DA294" s="48"/>
      <c r="DB294" s="48"/>
      <c r="DC294" s="48"/>
      <c r="DD294" s="48"/>
      <c r="DE294" s="48"/>
      <c r="DF294" s="48"/>
      <c r="DG294" s="48"/>
      <c r="DH294" s="48"/>
      <c r="DI294" s="48"/>
      <c r="DJ294" s="48"/>
      <c r="DK294" s="48"/>
      <c r="DL294" s="48"/>
      <c r="DM294" s="48"/>
      <c r="DN294" s="48"/>
      <c r="DO294" s="48"/>
      <c r="DP294" s="48"/>
      <c r="DQ294" s="48"/>
      <c r="DR294" s="48"/>
      <c r="DS294" s="48"/>
      <c r="DT294" s="48"/>
      <c r="DU294" s="48"/>
      <c r="DV294" s="48"/>
      <c r="DW294" s="48"/>
      <c r="DX294" s="48"/>
      <c r="DY294" s="48"/>
      <c r="DZ294" s="48"/>
      <c r="EA294" s="48"/>
      <c r="EB294" s="48"/>
      <c r="EC294" s="48"/>
      <c r="ED294" s="48"/>
      <c r="EE294" s="48"/>
      <c r="EF294" s="48"/>
      <c r="EG294" s="48"/>
      <c r="EH294" s="48"/>
      <c r="EI294" s="48"/>
      <c r="EJ294" s="48"/>
      <c r="EK294" s="48"/>
    </row>
    <row r="295" spans="1:141" s="12" customFormat="1" ht="14.25" hidden="1" customHeight="1">
      <c r="A295" s="25">
        <v>67</v>
      </c>
      <c r="B295" s="26"/>
      <c r="C295" s="25"/>
      <c r="D295" s="24"/>
      <c r="E295" s="60" t="s">
        <v>34</v>
      </c>
      <c r="F295" s="59"/>
      <c r="G295" s="58">
        <f t="shared" si="723"/>
        <v>0</v>
      </c>
      <c r="H295" s="57">
        <f t="shared" si="724"/>
        <v>0</v>
      </c>
      <c r="I295" s="19"/>
      <c r="J295" s="11">
        <f t="shared" si="725"/>
        <v>0</v>
      </c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8"/>
      <c r="AB295" s="56">
        <f t="shared" si="726"/>
        <v>0</v>
      </c>
      <c r="AC295" s="16">
        <f t="shared" si="727"/>
        <v>0</v>
      </c>
      <c r="AD295" s="15" t="e">
        <f t="shared" si="728"/>
        <v>#DIV/0!</v>
      </c>
      <c r="AE295" s="55"/>
      <c r="AF295" s="10" t="e">
        <f t="shared" si="729"/>
        <v>#DIV/0!</v>
      </c>
      <c r="AG295" s="10"/>
      <c r="AH295" s="21">
        <f t="shared" si="730"/>
        <v>0</v>
      </c>
      <c r="AI295" s="54" t="e">
        <f t="shared" si="731"/>
        <v>#DIV/0!</v>
      </c>
      <c r="AJ295" s="25">
        <f t="shared" si="732"/>
        <v>0</v>
      </c>
      <c r="AK295" s="25">
        <f t="shared" si="733"/>
        <v>0</v>
      </c>
      <c r="AL295" s="25">
        <f t="shared" si="734"/>
        <v>0</v>
      </c>
      <c r="AM295" s="25">
        <f t="shared" si="735"/>
        <v>0</v>
      </c>
      <c r="AN295" s="25">
        <f t="shared" si="736"/>
        <v>0</v>
      </c>
      <c r="AO295" s="25">
        <f t="shared" si="737"/>
        <v>0</v>
      </c>
      <c r="AP295" s="25">
        <f t="shared" si="738"/>
        <v>0</v>
      </c>
      <c r="AQ295" s="25">
        <f t="shared" si="739"/>
        <v>0</v>
      </c>
      <c r="AR295" s="25">
        <f t="shared" si="740"/>
        <v>0</v>
      </c>
      <c r="AS295" s="25">
        <f t="shared" si="741"/>
        <v>0</v>
      </c>
      <c r="AT295" s="25">
        <f t="shared" si="742"/>
        <v>0</v>
      </c>
      <c r="AU295" s="48"/>
      <c r="AV295" s="48"/>
      <c r="AW295" s="48"/>
      <c r="AX295" s="48"/>
      <c r="AY295" s="48"/>
      <c r="AZ295" s="48"/>
      <c r="BA295" s="48"/>
      <c r="BB295" s="48"/>
      <c r="BC295" s="48"/>
      <c r="BD295" s="48"/>
      <c r="BE295" s="48"/>
      <c r="BF295" s="48"/>
      <c r="BG295" s="48"/>
      <c r="BH295" s="48"/>
      <c r="BI295" s="48"/>
      <c r="BJ295" s="48"/>
      <c r="BK295" s="48"/>
      <c r="BL295" s="48"/>
      <c r="BM295" s="48"/>
      <c r="BN295" s="48"/>
      <c r="BO295" s="48"/>
      <c r="BP295" s="48"/>
      <c r="BQ295" s="48"/>
      <c r="BR295" s="48"/>
      <c r="BS295" s="48"/>
      <c r="BT295" s="48"/>
      <c r="BU295" s="48"/>
      <c r="BV295" s="48"/>
      <c r="BW295" s="48"/>
      <c r="BX295" s="48"/>
      <c r="BY295" s="48"/>
      <c r="BZ295" s="48"/>
      <c r="CA295" s="48"/>
      <c r="CB295" s="48"/>
      <c r="CC295" s="48"/>
      <c r="CD295" s="48"/>
      <c r="CE295" s="48"/>
      <c r="CF295" s="48"/>
      <c r="CG295" s="48"/>
      <c r="CH295" s="48"/>
      <c r="CI295" s="48"/>
      <c r="CJ295" s="48"/>
      <c r="CK295" s="48"/>
      <c r="CL295" s="48"/>
      <c r="CM295" s="48"/>
      <c r="CN295" s="48"/>
      <c r="CO295" s="48"/>
      <c r="CP295" s="48"/>
      <c r="CQ295" s="48"/>
      <c r="CR295" s="48"/>
      <c r="CS295" s="48"/>
      <c r="CT295" s="48"/>
      <c r="CU295" s="48"/>
      <c r="CV295" s="48"/>
      <c r="CW295" s="48"/>
      <c r="CX295" s="48"/>
      <c r="CY295" s="48"/>
      <c r="CZ295" s="48"/>
      <c r="DA295" s="48"/>
      <c r="DB295" s="48"/>
      <c r="DC295" s="48"/>
      <c r="DD295" s="48"/>
      <c r="DE295" s="48"/>
      <c r="DF295" s="48"/>
      <c r="DG295" s="48"/>
      <c r="DH295" s="48"/>
      <c r="DI295" s="48"/>
      <c r="DJ295" s="48"/>
      <c r="DK295" s="48"/>
      <c r="DL295" s="48"/>
      <c r="DM295" s="48"/>
      <c r="DN295" s="48"/>
      <c r="DO295" s="48"/>
      <c r="DP295" s="48"/>
      <c r="DQ295" s="48"/>
      <c r="DR295" s="48"/>
      <c r="DS295" s="48"/>
      <c r="DT295" s="48"/>
      <c r="DU295" s="48"/>
      <c r="DV295" s="48"/>
      <c r="DW295" s="48"/>
      <c r="DX295" s="48"/>
      <c r="DY295" s="48"/>
      <c r="DZ295" s="48"/>
      <c r="EA295" s="48"/>
      <c r="EB295" s="48"/>
      <c r="EC295" s="48"/>
      <c r="ED295" s="48"/>
      <c r="EE295" s="48"/>
      <c r="EF295" s="48"/>
      <c r="EG295" s="48"/>
      <c r="EH295" s="48"/>
      <c r="EI295" s="48"/>
      <c r="EJ295" s="48"/>
      <c r="EK295" s="48"/>
    </row>
    <row r="296" spans="1:141" s="12" customFormat="1" ht="14.25" hidden="1" customHeight="1">
      <c r="A296" s="25">
        <v>68</v>
      </c>
      <c r="B296" s="26"/>
      <c r="C296" s="25"/>
      <c r="D296" s="24"/>
      <c r="E296" s="60" t="s">
        <v>33</v>
      </c>
      <c r="F296" s="59"/>
      <c r="G296" s="58">
        <f t="shared" si="723"/>
        <v>0</v>
      </c>
      <c r="H296" s="57">
        <f t="shared" si="724"/>
        <v>0</v>
      </c>
      <c r="I296" s="19"/>
      <c r="J296" s="11">
        <f t="shared" si="725"/>
        <v>0</v>
      </c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8"/>
      <c r="AB296" s="56">
        <f t="shared" si="726"/>
        <v>0</v>
      </c>
      <c r="AC296" s="16">
        <f t="shared" si="727"/>
        <v>0</v>
      </c>
      <c r="AD296" s="15" t="e">
        <f t="shared" si="728"/>
        <v>#DIV/0!</v>
      </c>
      <c r="AE296" s="55"/>
      <c r="AF296" s="10" t="e">
        <f t="shared" si="729"/>
        <v>#DIV/0!</v>
      </c>
      <c r="AG296" s="10"/>
      <c r="AH296" s="21">
        <f t="shared" si="730"/>
        <v>0</v>
      </c>
      <c r="AI296" s="54" t="e">
        <f t="shared" si="731"/>
        <v>#DIV/0!</v>
      </c>
      <c r="AJ296" s="25">
        <f t="shared" si="732"/>
        <v>0</v>
      </c>
      <c r="AK296" s="25">
        <f t="shared" si="733"/>
        <v>0</v>
      </c>
      <c r="AL296" s="25">
        <f t="shared" si="734"/>
        <v>0</v>
      </c>
      <c r="AM296" s="25">
        <f t="shared" si="735"/>
        <v>0</v>
      </c>
      <c r="AN296" s="25">
        <f t="shared" si="736"/>
        <v>0</v>
      </c>
      <c r="AO296" s="25">
        <f t="shared" si="737"/>
        <v>0</v>
      </c>
      <c r="AP296" s="25">
        <f t="shared" si="738"/>
        <v>0</v>
      </c>
      <c r="AQ296" s="25">
        <f t="shared" si="739"/>
        <v>0</v>
      </c>
      <c r="AR296" s="25">
        <f t="shared" si="740"/>
        <v>0</v>
      </c>
      <c r="AS296" s="25">
        <f t="shared" si="741"/>
        <v>0</v>
      </c>
      <c r="AT296" s="25">
        <f t="shared" si="742"/>
        <v>0</v>
      </c>
      <c r="AU296" s="48"/>
      <c r="AV296" s="48"/>
      <c r="AW296" s="48"/>
      <c r="AX296" s="48"/>
      <c r="AY296" s="48"/>
      <c r="AZ296" s="48"/>
      <c r="BA296" s="48"/>
      <c r="BB296" s="48"/>
      <c r="BC296" s="48"/>
      <c r="BD296" s="48"/>
      <c r="BE296" s="48"/>
      <c r="BF296" s="48"/>
      <c r="BG296" s="48"/>
      <c r="BH296" s="48"/>
      <c r="BI296" s="48"/>
      <c r="BJ296" s="48"/>
      <c r="BK296" s="48"/>
      <c r="BL296" s="48"/>
      <c r="BM296" s="48"/>
      <c r="BN296" s="48"/>
      <c r="BO296" s="48"/>
      <c r="BP296" s="48"/>
      <c r="BQ296" s="48"/>
      <c r="BR296" s="48"/>
      <c r="BS296" s="48"/>
      <c r="BT296" s="48"/>
      <c r="BU296" s="48"/>
      <c r="BV296" s="48"/>
      <c r="BW296" s="48"/>
      <c r="BX296" s="48"/>
      <c r="BY296" s="48"/>
      <c r="BZ296" s="48"/>
      <c r="CA296" s="48"/>
      <c r="CB296" s="48"/>
      <c r="CC296" s="48"/>
      <c r="CD296" s="48"/>
      <c r="CE296" s="48"/>
      <c r="CF296" s="48"/>
      <c r="CG296" s="48"/>
      <c r="CH296" s="48"/>
      <c r="CI296" s="48"/>
      <c r="CJ296" s="48"/>
      <c r="CK296" s="48"/>
      <c r="CL296" s="48"/>
      <c r="CM296" s="48"/>
      <c r="CN296" s="48"/>
      <c r="CO296" s="48"/>
      <c r="CP296" s="48"/>
      <c r="CQ296" s="48"/>
      <c r="CR296" s="48"/>
      <c r="CS296" s="48"/>
      <c r="CT296" s="48"/>
      <c r="CU296" s="48"/>
      <c r="CV296" s="48"/>
      <c r="CW296" s="48"/>
      <c r="CX296" s="48"/>
      <c r="CY296" s="48"/>
      <c r="CZ296" s="48"/>
      <c r="DA296" s="48"/>
      <c r="DB296" s="48"/>
      <c r="DC296" s="48"/>
      <c r="DD296" s="48"/>
      <c r="DE296" s="48"/>
      <c r="DF296" s="48"/>
      <c r="DG296" s="48"/>
      <c r="DH296" s="48"/>
      <c r="DI296" s="48"/>
      <c r="DJ296" s="48"/>
      <c r="DK296" s="48"/>
      <c r="DL296" s="48"/>
      <c r="DM296" s="48"/>
      <c r="DN296" s="48"/>
      <c r="DO296" s="48"/>
      <c r="DP296" s="48"/>
      <c r="DQ296" s="48"/>
      <c r="DR296" s="48"/>
      <c r="DS296" s="48"/>
      <c r="DT296" s="48"/>
      <c r="DU296" s="48"/>
      <c r="DV296" s="48"/>
      <c r="DW296" s="48"/>
      <c r="DX296" s="48"/>
      <c r="DY296" s="48"/>
      <c r="DZ296" s="48"/>
      <c r="EA296" s="48"/>
      <c r="EB296" s="48"/>
      <c r="EC296" s="48"/>
      <c r="ED296" s="48"/>
      <c r="EE296" s="48"/>
      <c r="EF296" s="48"/>
      <c r="EG296" s="48"/>
      <c r="EH296" s="48"/>
      <c r="EI296" s="48"/>
      <c r="EJ296" s="48"/>
      <c r="EK296" s="48"/>
    </row>
    <row r="297" spans="1:141" s="12" customFormat="1" ht="14.25" hidden="1" customHeight="1">
      <c r="A297" s="25">
        <v>69</v>
      </c>
      <c r="B297" s="26"/>
      <c r="C297" s="25"/>
      <c r="D297" s="24"/>
      <c r="E297" s="60" t="s">
        <v>32</v>
      </c>
      <c r="F297" s="59"/>
      <c r="G297" s="58">
        <f t="shared" si="723"/>
        <v>0</v>
      </c>
      <c r="H297" s="57">
        <f t="shared" si="724"/>
        <v>0</v>
      </c>
      <c r="I297" s="19"/>
      <c r="J297" s="11">
        <f t="shared" si="725"/>
        <v>0</v>
      </c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8"/>
      <c r="AB297" s="56">
        <f t="shared" si="726"/>
        <v>0</v>
      </c>
      <c r="AC297" s="16">
        <f t="shared" si="727"/>
        <v>0</v>
      </c>
      <c r="AD297" s="15" t="e">
        <f t="shared" si="728"/>
        <v>#DIV/0!</v>
      </c>
      <c r="AE297" s="55"/>
      <c r="AF297" s="10" t="e">
        <f t="shared" si="729"/>
        <v>#DIV/0!</v>
      </c>
      <c r="AG297" s="10"/>
      <c r="AH297" s="21">
        <f t="shared" si="730"/>
        <v>0</v>
      </c>
      <c r="AI297" s="54" t="e">
        <f t="shared" si="731"/>
        <v>#DIV/0!</v>
      </c>
      <c r="AJ297" s="25">
        <f t="shared" si="732"/>
        <v>0</v>
      </c>
      <c r="AK297" s="25">
        <f t="shared" si="733"/>
        <v>0</v>
      </c>
      <c r="AL297" s="25">
        <f t="shared" si="734"/>
        <v>0</v>
      </c>
      <c r="AM297" s="25">
        <f t="shared" si="735"/>
        <v>0</v>
      </c>
      <c r="AN297" s="25">
        <f t="shared" si="736"/>
        <v>0</v>
      </c>
      <c r="AO297" s="25">
        <f t="shared" si="737"/>
        <v>0</v>
      </c>
      <c r="AP297" s="25">
        <f t="shared" si="738"/>
        <v>0</v>
      </c>
      <c r="AQ297" s="25">
        <f t="shared" si="739"/>
        <v>0</v>
      </c>
      <c r="AR297" s="25">
        <f t="shared" si="740"/>
        <v>0</v>
      </c>
      <c r="AS297" s="25">
        <f t="shared" si="741"/>
        <v>0</v>
      </c>
      <c r="AT297" s="25">
        <f t="shared" si="742"/>
        <v>0</v>
      </c>
      <c r="AU297" s="48"/>
      <c r="AV297" s="48"/>
      <c r="AW297" s="48"/>
      <c r="AX297" s="48"/>
      <c r="AY297" s="48"/>
      <c r="AZ297" s="48"/>
      <c r="BA297" s="48"/>
      <c r="BB297" s="48"/>
      <c r="BC297" s="48"/>
      <c r="BD297" s="48"/>
      <c r="BE297" s="48"/>
      <c r="BF297" s="48"/>
      <c r="BG297" s="48"/>
      <c r="BH297" s="48"/>
      <c r="BI297" s="48"/>
      <c r="BJ297" s="48"/>
      <c r="BK297" s="48"/>
      <c r="BL297" s="48"/>
      <c r="BM297" s="48"/>
      <c r="BN297" s="48"/>
      <c r="BO297" s="48"/>
      <c r="BP297" s="48"/>
      <c r="BQ297" s="48"/>
      <c r="BR297" s="48"/>
      <c r="BS297" s="48"/>
      <c r="BT297" s="48"/>
      <c r="BU297" s="48"/>
      <c r="BV297" s="48"/>
      <c r="BW297" s="48"/>
      <c r="BX297" s="48"/>
      <c r="BY297" s="48"/>
      <c r="BZ297" s="48"/>
      <c r="CA297" s="48"/>
      <c r="CB297" s="48"/>
      <c r="CC297" s="48"/>
      <c r="CD297" s="48"/>
      <c r="CE297" s="48"/>
      <c r="CF297" s="48"/>
      <c r="CG297" s="48"/>
      <c r="CH297" s="48"/>
      <c r="CI297" s="48"/>
      <c r="CJ297" s="48"/>
      <c r="CK297" s="48"/>
      <c r="CL297" s="48"/>
      <c r="CM297" s="48"/>
      <c r="CN297" s="48"/>
      <c r="CO297" s="48"/>
      <c r="CP297" s="48"/>
      <c r="CQ297" s="48"/>
      <c r="CR297" s="48"/>
      <c r="CS297" s="48"/>
      <c r="CT297" s="48"/>
      <c r="CU297" s="48"/>
      <c r="CV297" s="48"/>
      <c r="CW297" s="48"/>
      <c r="CX297" s="48"/>
      <c r="CY297" s="48"/>
      <c r="CZ297" s="48"/>
      <c r="DA297" s="48"/>
      <c r="DB297" s="48"/>
      <c r="DC297" s="48"/>
      <c r="DD297" s="48"/>
      <c r="DE297" s="48"/>
      <c r="DF297" s="48"/>
      <c r="DG297" s="48"/>
      <c r="DH297" s="48"/>
      <c r="DI297" s="48"/>
      <c r="DJ297" s="48"/>
      <c r="DK297" s="48"/>
      <c r="DL297" s="48"/>
      <c r="DM297" s="48"/>
      <c r="DN297" s="48"/>
      <c r="DO297" s="48"/>
      <c r="DP297" s="48"/>
      <c r="DQ297" s="48"/>
      <c r="DR297" s="48"/>
      <c r="DS297" s="48"/>
      <c r="DT297" s="48"/>
      <c r="DU297" s="48"/>
      <c r="DV297" s="48"/>
      <c r="DW297" s="48"/>
      <c r="DX297" s="48"/>
      <c r="DY297" s="48"/>
      <c r="DZ297" s="48"/>
      <c r="EA297" s="48"/>
      <c r="EB297" s="48"/>
      <c r="EC297" s="48"/>
      <c r="ED297" s="48"/>
      <c r="EE297" s="48"/>
      <c r="EF297" s="48"/>
      <c r="EG297" s="48"/>
      <c r="EH297" s="48"/>
      <c r="EI297" s="48"/>
      <c r="EJ297" s="48"/>
      <c r="EK297" s="48"/>
    </row>
    <row r="298" spans="1:141" s="12" customFormat="1" ht="14.25" hidden="1" customHeight="1">
      <c r="A298" s="25">
        <v>70</v>
      </c>
      <c r="B298" s="26"/>
      <c r="C298" s="25"/>
      <c r="D298" s="24"/>
      <c r="E298" s="60" t="s">
        <v>31</v>
      </c>
      <c r="F298" s="59"/>
      <c r="G298" s="58">
        <f t="shared" si="723"/>
        <v>0</v>
      </c>
      <c r="H298" s="57">
        <f t="shared" si="724"/>
        <v>0</v>
      </c>
      <c r="I298" s="19"/>
      <c r="J298" s="11">
        <f t="shared" si="725"/>
        <v>0</v>
      </c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8"/>
      <c r="AB298" s="56">
        <f t="shared" si="726"/>
        <v>0</v>
      </c>
      <c r="AC298" s="16">
        <f t="shared" si="727"/>
        <v>0</v>
      </c>
      <c r="AD298" s="15" t="e">
        <f t="shared" si="728"/>
        <v>#DIV/0!</v>
      </c>
      <c r="AE298" s="55"/>
      <c r="AF298" s="10" t="e">
        <f t="shared" si="729"/>
        <v>#DIV/0!</v>
      </c>
      <c r="AG298" s="10"/>
      <c r="AH298" s="21">
        <f t="shared" si="730"/>
        <v>0</v>
      </c>
      <c r="AI298" s="54" t="e">
        <f t="shared" si="731"/>
        <v>#DIV/0!</v>
      </c>
      <c r="AJ298" s="25">
        <f t="shared" si="732"/>
        <v>0</v>
      </c>
      <c r="AK298" s="25">
        <f t="shared" si="733"/>
        <v>0</v>
      </c>
      <c r="AL298" s="25">
        <f t="shared" si="734"/>
        <v>0</v>
      </c>
      <c r="AM298" s="25">
        <f t="shared" si="735"/>
        <v>0</v>
      </c>
      <c r="AN298" s="25">
        <f t="shared" si="736"/>
        <v>0</v>
      </c>
      <c r="AO298" s="25">
        <f t="shared" si="737"/>
        <v>0</v>
      </c>
      <c r="AP298" s="25">
        <f t="shared" si="738"/>
        <v>0</v>
      </c>
      <c r="AQ298" s="25">
        <f t="shared" si="739"/>
        <v>0</v>
      </c>
      <c r="AR298" s="25">
        <f t="shared" si="740"/>
        <v>0</v>
      </c>
      <c r="AS298" s="25">
        <f t="shared" si="741"/>
        <v>0</v>
      </c>
      <c r="AT298" s="25">
        <f t="shared" si="742"/>
        <v>0</v>
      </c>
      <c r="AU298" s="48"/>
      <c r="AV298" s="48"/>
      <c r="AW298" s="48"/>
      <c r="AX298" s="48"/>
      <c r="AY298" s="48"/>
      <c r="AZ298" s="48"/>
      <c r="BA298" s="48"/>
      <c r="BB298" s="48"/>
      <c r="BC298" s="48"/>
      <c r="BD298" s="48"/>
      <c r="BE298" s="48"/>
      <c r="BF298" s="48"/>
      <c r="BG298" s="48"/>
      <c r="BH298" s="48"/>
      <c r="BI298" s="48"/>
      <c r="BJ298" s="48"/>
      <c r="BK298" s="48"/>
      <c r="BL298" s="48"/>
      <c r="BM298" s="48"/>
      <c r="BN298" s="48"/>
      <c r="BO298" s="48"/>
      <c r="BP298" s="48"/>
      <c r="BQ298" s="48"/>
      <c r="BR298" s="48"/>
      <c r="BS298" s="48"/>
      <c r="BT298" s="48"/>
      <c r="BU298" s="48"/>
      <c r="BV298" s="48"/>
      <c r="BW298" s="48"/>
      <c r="BX298" s="48"/>
      <c r="BY298" s="48"/>
      <c r="BZ298" s="48"/>
      <c r="CA298" s="48"/>
      <c r="CB298" s="48"/>
      <c r="CC298" s="48"/>
      <c r="CD298" s="48"/>
      <c r="CE298" s="48"/>
      <c r="CF298" s="48"/>
      <c r="CG298" s="48"/>
      <c r="CH298" s="48"/>
      <c r="CI298" s="48"/>
      <c r="CJ298" s="48"/>
      <c r="CK298" s="48"/>
      <c r="CL298" s="48"/>
      <c r="CM298" s="48"/>
      <c r="CN298" s="48"/>
      <c r="CO298" s="48"/>
      <c r="CP298" s="48"/>
      <c r="CQ298" s="48"/>
      <c r="CR298" s="48"/>
      <c r="CS298" s="48"/>
      <c r="CT298" s="48"/>
      <c r="CU298" s="48"/>
      <c r="CV298" s="48"/>
      <c r="CW298" s="48"/>
      <c r="CX298" s="48"/>
      <c r="CY298" s="48"/>
      <c r="CZ298" s="48"/>
      <c r="DA298" s="48"/>
      <c r="DB298" s="48"/>
      <c r="DC298" s="48"/>
      <c r="DD298" s="48"/>
      <c r="DE298" s="48"/>
      <c r="DF298" s="48"/>
      <c r="DG298" s="48"/>
      <c r="DH298" s="48"/>
      <c r="DI298" s="48"/>
      <c r="DJ298" s="48"/>
      <c r="DK298" s="48"/>
      <c r="DL298" s="48"/>
      <c r="DM298" s="48"/>
      <c r="DN298" s="48"/>
      <c r="DO298" s="48"/>
      <c r="DP298" s="48"/>
      <c r="DQ298" s="48"/>
      <c r="DR298" s="48"/>
      <c r="DS298" s="48"/>
      <c r="DT298" s="48"/>
      <c r="DU298" s="48"/>
      <c r="DV298" s="48"/>
      <c r="DW298" s="48"/>
      <c r="DX298" s="48"/>
      <c r="DY298" s="48"/>
      <c r="DZ298" s="48"/>
      <c r="EA298" s="48"/>
      <c r="EB298" s="48"/>
      <c r="EC298" s="48"/>
      <c r="ED298" s="48"/>
      <c r="EE298" s="48"/>
      <c r="EF298" s="48"/>
      <c r="EG298" s="48"/>
      <c r="EH298" s="48"/>
      <c r="EI298" s="48"/>
      <c r="EJ298" s="48"/>
      <c r="EK298" s="48"/>
    </row>
    <row r="299" spans="1:141" s="12" customFormat="1" ht="14.25" hidden="1" customHeight="1">
      <c r="A299" s="25">
        <v>71</v>
      </c>
      <c r="B299" s="26"/>
      <c r="C299" s="25"/>
      <c r="D299" s="24"/>
      <c r="E299" s="60"/>
      <c r="F299" s="59"/>
      <c r="G299" s="58">
        <f t="shared" si="723"/>
        <v>0</v>
      </c>
      <c r="H299" s="57">
        <f t="shared" si="724"/>
        <v>0</v>
      </c>
      <c r="I299" s="19"/>
      <c r="J299" s="11">
        <f t="shared" si="725"/>
        <v>0</v>
      </c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8"/>
      <c r="AB299" s="56">
        <f t="shared" si="726"/>
        <v>0</v>
      </c>
      <c r="AC299" s="16">
        <f t="shared" si="727"/>
        <v>0</v>
      </c>
      <c r="AD299" s="15" t="e">
        <f t="shared" si="728"/>
        <v>#DIV/0!</v>
      </c>
      <c r="AE299" s="55"/>
      <c r="AF299" s="10" t="e">
        <f t="shared" si="729"/>
        <v>#DIV/0!</v>
      </c>
      <c r="AG299" s="10"/>
      <c r="AH299" s="21">
        <f t="shared" si="730"/>
        <v>0</v>
      </c>
      <c r="AI299" s="54" t="e">
        <f t="shared" si="731"/>
        <v>#DIV/0!</v>
      </c>
      <c r="AJ299" s="25">
        <f t="shared" si="732"/>
        <v>0</v>
      </c>
      <c r="AK299" s="25">
        <f t="shared" si="733"/>
        <v>0</v>
      </c>
      <c r="AL299" s="25">
        <f t="shared" si="734"/>
        <v>0</v>
      </c>
      <c r="AM299" s="25">
        <f t="shared" si="735"/>
        <v>0</v>
      </c>
      <c r="AN299" s="25">
        <f t="shared" si="736"/>
        <v>0</v>
      </c>
      <c r="AO299" s="25">
        <f t="shared" si="737"/>
        <v>0</v>
      </c>
      <c r="AP299" s="25">
        <f t="shared" si="738"/>
        <v>0</v>
      </c>
      <c r="AQ299" s="25">
        <f t="shared" si="739"/>
        <v>0</v>
      </c>
      <c r="AR299" s="25">
        <f t="shared" si="740"/>
        <v>0</v>
      </c>
      <c r="AS299" s="25">
        <f t="shared" si="741"/>
        <v>0</v>
      </c>
      <c r="AT299" s="25">
        <f t="shared" si="742"/>
        <v>0</v>
      </c>
      <c r="AU299" s="48"/>
      <c r="AV299" s="48"/>
      <c r="AW299" s="48"/>
      <c r="AX299" s="48"/>
      <c r="AY299" s="48"/>
      <c r="AZ299" s="48"/>
      <c r="BA299" s="48"/>
      <c r="BB299" s="48"/>
      <c r="BC299" s="48"/>
      <c r="BD299" s="48"/>
      <c r="BE299" s="48"/>
      <c r="BF299" s="48"/>
      <c r="BG299" s="48"/>
      <c r="BH299" s="48"/>
      <c r="BI299" s="48"/>
      <c r="BJ299" s="48"/>
      <c r="BK299" s="48"/>
      <c r="BL299" s="48"/>
      <c r="BM299" s="48"/>
      <c r="BN299" s="48"/>
      <c r="BO299" s="48"/>
      <c r="BP299" s="48"/>
      <c r="BQ299" s="48"/>
      <c r="BR299" s="48"/>
      <c r="BS299" s="48"/>
      <c r="BT299" s="48"/>
      <c r="BU299" s="48"/>
      <c r="BV299" s="48"/>
      <c r="BW299" s="48"/>
      <c r="BX299" s="48"/>
      <c r="BY299" s="48"/>
      <c r="BZ299" s="48"/>
      <c r="CA299" s="48"/>
      <c r="CB299" s="48"/>
      <c r="CC299" s="48"/>
      <c r="CD299" s="48"/>
      <c r="CE299" s="48"/>
      <c r="CF299" s="48"/>
      <c r="CG299" s="48"/>
      <c r="CH299" s="48"/>
      <c r="CI299" s="48"/>
      <c r="CJ299" s="48"/>
      <c r="CK299" s="48"/>
      <c r="CL299" s="48"/>
      <c r="CM299" s="48"/>
      <c r="CN299" s="48"/>
      <c r="CO299" s="48"/>
      <c r="CP299" s="48"/>
      <c r="CQ299" s="48"/>
      <c r="CR299" s="48"/>
      <c r="CS299" s="48"/>
      <c r="CT299" s="48"/>
      <c r="CU299" s="48"/>
      <c r="CV299" s="48"/>
      <c r="CW299" s="48"/>
      <c r="CX299" s="48"/>
      <c r="CY299" s="48"/>
      <c r="CZ299" s="48"/>
      <c r="DA299" s="48"/>
      <c r="DB299" s="48"/>
      <c r="DC299" s="48"/>
      <c r="DD299" s="48"/>
      <c r="DE299" s="48"/>
      <c r="DF299" s="48"/>
      <c r="DG299" s="48"/>
      <c r="DH299" s="48"/>
      <c r="DI299" s="48"/>
      <c r="DJ299" s="48"/>
      <c r="DK299" s="48"/>
      <c r="DL299" s="48"/>
      <c r="DM299" s="48"/>
      <c r="DN299" s="48"/>
      <c r="DO299" s="48"/>
      <c r="DP299" s="48"/>
      <c r="DQ299" s="48"/>
      <c r="DR299" s="48"/>
      <c r="DS299" s="48"/>
      <c r="DT299" s="48"/>
      <c r="DU299" s="48"/>
      <c r="DV299" s="48"/>
      <c r="DW299" s="48"/>
      <c r="DX299" s="48"/>
      <c r="DY299" s="48"/>
      <c r="DZ299" s="48"/>
      <c r="EA299" s="48"/>
      <c r="EB299" s="48"/>
      <c r="EC299" s="48"/>
      <c r="ED299" s="48"/>
      <c r="EE299" s="48"/>
      <c r="EF299" s="48"/>
      <c r="EG299" s="48"/>
      <c r="EH299" s="48"/>
      <c r="EI299" s="48"/>
      <c r="EJ299" s="48"/>
      <c r="EK299" s="48"/>
    </row>
    <row r="300" spans="1:141" s="12" customFormat="1" ht="14.25" hidden="1" customHeight="1">
      <c r="A300" s="25">
        <v>72</v>
      </c>
      <c r="B300" s="26"/>
      <c r="C300" s="25"/>
      <c r="D300" s="24"/>
      <c r="E300" s="60"/>
      <c r="F300" s="59"/>
      <c r="G300" s="58">
        <f t="shared" si="723"/>
        <v>0</v>
      </c>
      <c r="H300" s="57">
        <f t="shared" si="724"/>
        <v>0</v>
      </c>
      <c r="I300" s="19"/>
      <c r="J300" s="11">
        <f t="shared" si="725"/>
        <v>0</v>
      </c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8"/>
      <c r="AB300" s="56">
        <f t="shared" si="726"/>
        <v>0</v>
      </c>
      <c r="AC300" s="16">
        <f t="shared" si="727"/>
        <v>0</v>
      </c>
      <c r="AD300" s="15" t="e">
        <f t="shared" si="728"/>
        <v>#DIV/0!</v>
      </c>
      <c r="AE300" s="55"/>
      <c r="AF300" s="10" t="e">
        <f t="shared" si="729"/>
        <v>#DIV/0!</v>
      </c>
      <c r="AG300" s="10"/>
      <c r="AH300" s="21">
        <f t="shared" si="730"/>
        <v>0</v>
      </c>
      <c r="AI300" s="54" t="e">
        <f t="shared" si="731"/>
        <v>#DIV/0!</v>
      </c>
      <c r="AJ300" s="25">
        <f t="shared" si="732"/>
        <v>0</v>
      </c>
      <c r="AK300" s="25">
        <f t="shared" si="733"/>
        <v>0</v>
      </c>
      <c r="AL300" s="25">
        <f t="shared" si="734"/>
        <v>0</v>
      </c>
      <c r="AM300" s="25">
        <f t="shared" si="735"/>
        <v>0</v>
      </c>
      <c r="AN300" s="25">
        <f t="shared" si="736"/>
        <v>0</v>
      </c>
      <c r="AO300" s="25">
        <f t="shared" si="737"/>
        <v>0</v>
      </c>
      <c r="AP300" s="25">
        <f t="shared" si="738"/>
        <v>0</v>
      </c>
      <c r="AQ300" s="25">
        <f t="shared" si="739"/>
        <v>0</v>
      </c>
      <c r="AR300" s="25">
        <f t="shared" si="740"/>
        <v>0</v>
      </c>
      <c r="AS300" s="25">
        <f t="shared" si="741"/>
        <v>0</v>
      </c>
      <c r="AT300" s="25">
        <f t="shared" si="742"/>
        <v>0</v>
      </c>
      <c r="AU300" s="48"/>
      <c r="AV300" s="48"/>
      <c r="AW300" s="48"/>
      <c r="AX300" s="48"/>
      <c r="AY300" s="48"/>
      <c r="AZ300" s="48"/>
      <c r="BA300" s="48"/>
      <c r="BB300" s="48"/>
      <c r="BC300" s="48"/>
      <c r="BD300" s="48"/>
      <c r="BE300" s="48"/>
      <c r="BF300" s="48"/>
      <c r="BG300" s="48"/>
      <c r="BH300" s="48"/>
      <c r="BI300" s="48"/>
      <c r="BJ300" s="48"/>
      <c r="BK300" s="48"/>
      <c r="BL300" s="48"/>
      <c r="BM300" s="48"/>
      <c r="BN300" s="48"/>
      <c r="BO300" s="48"/>
      <c r="BP300" s="48"/>
      <c r="BQ300" s="48"/>
      <c r="BR300" s="48"/>
      <c r="BS300" s="48"/>
      <c r="BT300" s="48"/>
      <c r="BU300" s="48"/>
      <c r="BV300" s="48"/>
      <c r="BW300" s="48"/>
      <c r="BX300" s="48"/>
      <c r="BY300" s="48"/>
      <c r="BZ300" s="48"/>
      <c r="CA300" s="48"/>
      <c r="CB300" s="48"/>
      <c r="CC300" s="48"/>
      <c r="CD300" s="48"/>
      <c r="CE300" s="48"/>
      <c r="CF300" s="48"/>
      <c r="CG300" s="48"/>
      <c r="CH300" s="48"/>
      <c r="CI300" s="48"/>
      <c r="CJ300" s="48"/>
      <c r="CK300" s="48"/>
      <c r="CL300" s="48"/>
      <c r="CM300" s="48"/>
      <c r="CN300" s="48"/>
      <c r="CO300" s="48"/>
      <c r="CP300" s="48"/>
      <c r="CQ300" s="48"/>
      <c r="CR300" s="48"/>
      <c r="CS300" s="48"/>
      <c r="CT300" s="48"/>
      <c r="CU300" s="48"/>
      <c r="CV300" s="48"/>
      <c r="CW300" s="48"/>
      <c r="CX300" s="48"/>
      <c r="CY300" s="48"/>
      <c r="CZ300" s="48"/>
      <c r="DA300" s="48"/>
      <c r="DB300" s="48"/>
      <c r="DC300" s="48"/>
      <c r="DD300" s="48"/>
      <c r="DE300" s="48"/>
      <c r="DF300" s="48"/>
      <c r="DG300" s="48"/>
      <c r="DH300" s="48"/>
      <c r="DI300" s="48"/>
      <c r="DJ300" s="48"/>
      <c r="DK300" s="48"/>
      <c r="DL300" s="48"/>
      <c r="DM300" s="48"/>
      <c r="DN300" s="48"/>
      <c r="DO300" s="48"/>
      <c r="DP300" s="48"/>
      <c r="DQ300" s="48"/>
      <c r="DR300" s="48"/>
      <c r="DS300" s="48"/>
      <c r="DT300" s="48"/>
      <c r="DU300" s="48"/>
      <c r="DV300" s="48"/>
      <c r="DW300" s="48"/>
      <c r="DX300" s="48"/>
      <c r="DY300" s="48"/>
      <c r="DZ300" s="48"/>
      <c r="EA300" s="48"/>
      <c r="EB300" s="48"/>
      <c r="EC300" s="48"/>
      <c r="ED300" s="48"/>
      <c r="EE300" s="48"/>
      <c r="EF300" s="48"/>
      <c r="EG300" s="48"/>
      <c r="EH300" s="48"/>
      <c r="EI300" s="48"/>
      <c r="EJ300" s="48"/>
      <c r="EK300" s="48"/>
    </row>
    <row r="301" spans="1:141" s="12" customFormat="1" ht="14.25" hidden="1" customHeight="1">
      <c r="A301" s="25">
        <v>73</v>
      </c>
      <c r="B301" s="26"/>
      <c r="C301" s="25"/>
      <c r="D301" s="24"/>
      <c r="E301" s="60"/>
      <c r="F301" s="59"/>
      <c r="G301" s="58">
        <f t="shared" si="723"/>
        <v>0</v>
      </c>
      <c r="H301" s="57">
        <f t="shared" si="724"/>
        <v>0</v>
      </c>
      <c r="I301" s="19"/>
      <c r="J301" s="11">
        <f t="shared" si="725"/>
        <v>0</v>
      </c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8"/>
      <c r="AB301" s="56">
        <f t="shared" si="726"/>
        <v>0</v>
      </c>
      <c r="AC301" s="16">
        <f t="shared" si="727"/>
        <v>0</v>
      </c>
      <c r="AD301" s="15" t="e">
        <f t="shared" si="728"/>
        <v>#DIV/0!</v>
      </c>
      <c r="AE301" s="55"/>
      <c r="AF301" s="10" t="e">
        <f t="shared" si="729"/>
        <v>#DIV/0!</v>
      </c>
      <c r="AG301" s="10"/>
      <c r="AH301" s="21">
        <f t="shared" si="730"/>
        <v>0</v>
      </c>
      <c r="AI301" s="54" t="e">
        <f t="shared" si="731"/>
        <v>#DIV/0!</v>
      </c>
      <c r="AJ301" s="25">
        <f t="shared" si="732"/>
        <v>0</v>
      </c>
      <c r="AK301" s="25">
        <f t="shared" si="733"/>
        <v>0</v>
      </c>
      <c r="AL301" s="25">
        <f t="shared" si="734"/>
        <v>0</v>
      </c>
      <c r="AM301" s="25">
        <f t="shared" si="735"/>
        <v>0</v>
      </c>
      <c r="AN301" s="25">
        <f t="shared" si="736"/>
        <v>0</v>
      </c>
      <c r="AO301" s="25">
        <f t="shared" si="737"/>
        <v>0</v>
      </c>
      <c r="AP301" s="25">
        <f t="shared" si="738"/>
        <v>0</v>
      </c>
      <c r="AQ301" s="25">
        <f t="shared" si="739"/>
        <v>0</v>
      </c>
      <c r="AR301" s="25">
        <f t="shared" si="740"/>
        <v>0</v>
      </c>
      <c r="AS301" s="25">
        <f t="shared" si="741"/>
        <v>0</v>
      </c>
      <c r="AT301" s="25">
        <f t="shared" si="742"/>
        <v>0</v>
      </c>
      <c r="AU301" s="48"/>
      <c r="AV301" s="48"/>
      <c r="AW301" s="48"/>
      <c r="AX301" s="48"/>
      <c r="AY301" s="48"/>
      <c r="AZ301" s="48"/>
      <c r="BA301" s="48"/>
      <c r="BB301" s="48"/>
      <c r="BC301" s="48"/>
      <c r="BD301" s="48"/>
      <c r="BE301" s="48"/>
      <c r="BF301" s="48"/>
      <c r="BG301" s="48"/>
      <c r="BH301" s="48"/>
      <c r="BI301" s="48"/>
      <c r="BJ301" s="48"/>
      <c r="BK301" s="48"/>
      <c r="BL301" s="48"/>
      <c r="BM301" s="48"/>
      <c r="BN301" s="48"/>
      <c r="BO301" s="48"/>
      <c r="BP301" s="48"/>
      <c r="BQ301" s="48"/>
      <c r="BR301" s="48"/>
      <c r="BS301" s="48"/>
      <c r="BT301" s="48"/>
      <c r="BU301" s="48"/>
      <c r="BV301" s="48"/>
      <c r="BW301" s="48"/>
      <c r="BX301" s="48"/>
      <c r="BY301" s="48"/>
      <c r="BZ301" s="48"/>
      <c r="CA301" s="48"/>
      <c r="CB301" s="48"/>
      <c r="CC301" s="48"/>
      <c r="CD301" s="48"/>
      <c r="CE301" s="48"/>
      <c r="CF301" s="48"/>
      <c r="CG301" s="48"/>
      <c r="CH301" s="48"/>
      <c r="CI301" s="48"/>
      <c r="CJ301" s="48"/>
      <c r="CK301" s="48"/>
      <c r="CL301" s="48"/>
      <c r="CM301" s="48"/>
      <c r="CN301" s="48"/>
      <c r="CO301" s="48"/>
      <c r="CP301" s="48"/>
      <c r="CQ301" s="48"/>
      <c r="CR301" s="48"/>
      <c r="CS301" s="48"/>
      <c r="CT301" s="48"/>
      <c r="CU301" s="48"/>
      <c r="CV301" s="48"/>
      <c r="CW301" s="48"/>
      <c r="CX301" s="48"/>
      <c r="CY301" s="48"/>
      <c r="CZ301" s="48"/>
      <c r="DA301" s="48"/>
      <c r="DB301" s="48"/>
      <c r="DC301" s="48"/>
      <c r="DD301" s="48"/>
      <c r="DE301" s="48"/>
      <c r="DF301" s="48"/>
      <c r="DG301" s="48"/>
      <c r="DH301" s="48"/>
      <c r="DI301" s="48"/>
      <c r="DJ301" s="48"/>
      <c r="DK301" s="48"/>
      <c r="DL301" s="48"/>
      <c r="DM301" s="48"/>
      <c r="DN301" s="48"/>
      <c r="DO301" s="48"/>
      <c r="DP301" s="48"/>
      <c r="DQ301" s="48"/>
      <c r="DR301" s="48"/>
      <c r="DS301" s="48"/>
      <c r="DT301" s="48"/>
      <c r="DU301" s="48"/>
      <c r="DV301" s="48"/>
      <c r="DW301" s="48"/>
      <c r="DX301" s="48"/>
      <c r="DY301" s="48"/>
      <c r="DZ301" s="48"/>
      <c r="EA301" s="48"/>
      <c r="EB301" s="48"/>
      <c r="EC301" s="48"/>
      <c r="ED301" s="48"/>
      <c r="EE301" s="48"/>
      <c r="EF301" s="48"/>
      <c r="EG301" s="48"/>
      <c r="EH301" s="48"/>
      <c r="EI301" s="48"/>
      <c r="EJ301" s="48"/>
      <c r="EK301" s="48"/>
    </row>
    <row r="302" spans="1:141" s="12" customFormat="1" ht="14.25" hidden="1" customHeight="1">
      <c r="A302" s="25">
        <v>74</v>
      </c>
      <c r="B302" s="26"/>
      <c r="C302" s="25"/>
      <c r="D302" s="24"/>
      <c r="E302" s="60"/>
      <c r="F302" s="59"/>
      <c r="G302" s="58">
        <f t="shared" si="723"/>
        <v>0</v>
      </c>
      <c r="H302" s="57">
        <f t="shared" si="724"/>
        <v>0</v>
      </c>
      <c r="I302" s="19"/>
      <c r="J302" s="11">
        <f t="shared" si="725"/>
        <v>0</v>
      </c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8"/>
      <c r="AB302" s="56">
        <f t="shared" si="726"/>
        <v>0</v>
      </c>
      <c r="AC302" s="16">
        <f t="shared" si="727"/>
        <v>0</v>
      </c>
      <c r="AD302" s="15" t="e">
        <f t="shared" si="728"/>
        <v>#DIV/0!</v>
      </c>
      <c r="AE302" s="55"/>
      <c r="AF302" s="10" t="e">
        <f t="shared" si="729"/>
        <v>#DIV/0!</v>
      </c>
      <c r="AG302" s="10"/>
      <c r="AH302" s="21">
        <f t="shared" si="730"/>
        <v>0</v>
      </c>
      <c r="AI302" s="54" t="e">
        <f t="shared" si="731"/>
        <v>#DIV/0!</v>
      </c>
      <c r="AJ302" s="25">
        <f t="shared" si="732"/>
        <v>0</v>
      </c>
      <c r="AK302" s="25">
        <f t="shared" si="733"/>
        <v>0</v>
      </c>
      <c r="AL302" s="25">
        <f t="shared" si="734"/>
        <v>0</v>
      </c>
      <c r="AM302" s="25">
        <f t="shared" si="735"/>
        <v>0</v>
      </c>
      <c r="AN302" s="25">
        <f t="shared" si="736"/>
        <v>0</v>
      </c>
      <c r="AO302" s="25">
        <f t="shared" si="737"/>
        <v>0</v>
      </c>
      <c r="AP302" s="25">
        <f t="shared" si="738"/>
        <v>0</v>
      </c>
      <c r="AQ302" s="25">
        <f t="shared" si="739"/>
        <v>0</v>
      </c>
      <c r="AR302" s="25">
        <f t="shared" si="740"/>
        <v>0</v>
      </c>
      <c r="AS302" s="25">
        <f t="shared" si="741"/>
        <v>0</v>
      </c>
      <c r="AT302" s="25">
        <f t="shared" si="742"/>
        <v>0</v>
      </c>
      <c r="AU302" s="48"/>
      <c r="AV302" s="48"/>
      <c r="AW302" s="48"/>
      <c r="AX302" s="48"/>
      <c r="AY302" s="48"/>
      <c r="AZ302" s="48"/>
      <c r="BA302" s="48"/>
      <c r="BB302" s="48"/>
      <c r="BC302" s="48"/>
      <c r="BD302" s="48"/>
      <c r="BE302" s="48"/>
      <c r="BF302" s="48"/>
      <c r="BG302" s="48"/>
      <c r="BH302" s="48"/>
      <c r="BI302" s="48"/>
      <c r="BJ302" s="48"/>
      <c r="BK302" s="48"/>
      <c r="BL302" s="48"/>
      <c r="BM302" s="48"/>
      <c r="BN302" s="48"/>
      <c r="BO302" s="48"/>
      <c r="BP302" s="48"/>
      <c r="BQ302" s="48"/>
      <c r="BR302" s="48"/>
      <c r="BS302" s="48"/>
      <c r="BT302" s="48"/>
      <c r="BU302" s="48"/>
      <c r="BV302" s="48"/>
      <c r="BW302" s="48"/>
      <c r="BX302" s="48"/>
      <c r="BY302" s="48"/>
      <c r="BZ302" s="48"/>
      <c r="CA302" s="48"/>
      <c r="CB302" s="48"/>
      <c r="CC302" s="48"/>
      <c r="CD302" s="48"/>
      <c r="CE302" s="48"/>
      <c r="CF302" s="48"/>
      <c r="CG302" s="48"/>
      <c r="CH302" s="48"/>
      <c r="CI302" s="48"/>
      <c r="CJ302" s="48"/>
      <c r="CK302" s="48"/>
      <c r="CL302" s="48"/>
      <c r="CM302" s="48"/>
      <c r="CN302" s="48"/>
      <c r="CO302" s="48"/>
      <c r="CP302" s="48"/>
      <c r="CQ302" s="48"/>
      <c r="CR302" s="48"/>
      <c r="CS302" s="48"/>
      <c r="CT302" s="48"/>
      <c r="CU302" s="48"/>
      <c r="CV302" s="48"/>
      <c r="CW302" s="48"/>
      <c r="CX302" s="48"/>
      <c r="CY302" s="48"/>
      <c r="CZ302" s="48"/>
      <c r="DA302" s="48"/>
      <c r="DB302" s="48"/>
      <c r="DC302" s="48"/>
      <c r="DD302" s="48"/>
      <c r="DE302" s="48"/>
      <c r="DF302" s="48"/>
      <c r="DG302" s="48"/>
      <c r="DH302" s="48"/>
      <c r="DI302" s="48"/>
      <c r="DJ302" s="48"/>
      <c r="DK302" s="48"/>
      <c r="DL302" s="48"/>
      <c r="DM302" s="48"/>
      <c r="DN302" s="48"/>
      <c r="DO302" s="48"/>
      <c r="DP302" s="48"/>
      <c r="DQ302" s="48"/>
      <c r="DR302" s="48"/>
      <c r="DS302" s="48"/>
      <c r="DT302" s="48"/>
      <c r="DU302" s="48"/>
      <c r="DV302" s="48"/>
      <c r="DW302" s="48"/>
      <c r="DX302" s="48"/>
      <c r="DY302" s="48"/>
      <c r="DZ302" s="48"/>
      <c r="EA302" s="48"/>
      <c r="EB302" s="48"/>
      <c r="EC302" s="48"/>
      <c r="ED302" s="48"/>
      <c r="EE302" s="48"/>
      <c r="EF302" s="48"/>
      <c r="EG302" s="48"/>
      <c r="EH302" s="48"/>
      <c r="EI302" s="48"/>
      <c r="EJ302" s="48"/>
      <c r="EK302" s="48"/>
    </row>
    <row r="303" spans="1:141" s="12" customFormat="1" ht="14.25" hidden="1" customHeight="1">
      <c r="A303" s="25">
        <v>75</v>
      </c>
      <c r="B303" s="26"/>
      <c r="C303" s="25"/>
      <c r="D303" s="24"/>
      <c r="E303" s="60"/>
      <c r="F303" s="59"/>
      <c r="G303" s="58">
        <f t="shared" si="723"/>
        <v>0</v>
      </c>
      <c r="H303" s="57">
        <f t="shared" si="724"/>
        <v>0</v>
      </c>
      <c r="I303" s="19"/>
      <c r="J303" s="11">
        <f t="shared" si="725"/>
        <v>0</v>
      </c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8"/>
      <c r="AB303" s="56">
        <f t="shared" si="726"/>
        <v>0</v>
      </c>
      <c r="AC303" s="16">
        <f t="shared" si="727"/>
        <v>0</v>
      </c>
      <c r="AD303" s="15" t="e">
        <f t="shared" si="728"/>
        <v>#DIV/0!</v>
      </c>
      <c r="AE303" s="55"/>
      <c r="AF303" s="10" t="e">
        <f t="shared" si="729"/>
        <v>#DIV/0!</v>
      </c>
      <c r="AG303" s="10"/>
      <c r="AH303" s="21">
        <f t="shared" si="730"/>
        <v>0</v>
      </c>
      <c r="AI303" s="54" t="e">
        <f t="shared" si="731"/>
        <v>#DIV/0!</v>
      </c>
      <c r="AJ303" s="25">
        <f t="shared" si="732"/>
        <v>0</v>
      </c>
      <c r="AK303" s="25">
        <f t="shared" si="733"/>
        <v>0</v>
      </c>
      <c r="AL303" s="25">
        <f t="shared" si="734"/>
        <v>0</v>
      </c>
      <c r="AM303" s="25">
        <f t="shared" si="735"/>
        <v>0</v>
      </c>
      <c r="AN303" s="25">
        <f t="shared" si="736"/>
        <v>0</v>
      </c>
      <c r="AO303" s="25">
        <f t="shared" si="737"/>
        <v>0</v>
      </c>
      <c r="AP303" s="25">
        <f t="shared" si="738"/>
        <v>0</v>
      </c>
      <c r="AQ303" s="25">
        <f t="shared" si="739"/>
        <v>0</v>
      </c>
      <c r="AR303" s="25">
        <f t="shared" si="740"/>
        <v>0</v>
      </c>
      <c r="AS303" s="25">
        <f t="shared" si="741"/>
        <v>0</v>
      </c>
      <c r="AT303" s="25">
        <f t="shared" si="742"/>
        <v>0</v>
      </c>
      <c r="AU303" s="48"/>
      <c r="AV303" s="48"/>
      <c r="AW303" s="48"/>
      <c r="AX303" s="48"/>
      <c r="AY303" s="48"/>
      <c r="AZ303" s="48"/>
      <c r="BA303" s="48"/>
      <c r="BB303" s="48"/>
      <c r="BC303" s="48"/>
      <c r="BD303" s="48"/>
      <c r="BE303" s="48"/>
      <c r="BF303" s="48"/>
      <c r="BG303" s="48"/>
      <c r="BH303" s="48"/>
      <c r="BI303" s="48"/>
      <c r="BJ303" s="48"/>
      <c r="BK303" s="48"/>
      <c r="BL303" s="48"/>
      <c r="BM303" s="48"/>
      <c r="BN303" s="48"/>
      <c r="BO303" s="48"/>
      <c r="BP303" s="48"/>
      <c r="BQ303" s="48"/>
      <c r="BR303" s="48"/>
      <c r="BS303" s="48"/>
      <c r="BT303" s="48"/>
      <c r="BU303" s="48"/>
      <c r="BV303" s="48"/>
      <c r="BW303" s="48"/>
      <c r="BX303" s="48"/>
      <c r="BY303" s="48"/>
      <c r="BZ303" s="48"/>
      <c r="CA303" s="48"/>
      <c r="CB303" s="48"/>
      <c r="CC303" s="48"/>
      <c r="CD303" s="48"/>
      <c r="CE303" s="48"/>
      <c r="CF303" s="48"/>
      <c r="CG303" s="48"/>
      <c r="CH303" s="48"/>
      <c r="CI303" s="48"/>
      <c r="CJ303" s="48"/>
      <c r="CK303" s="48"/>
      <c r="CL303" s="48"/>
      <c r="CM303" s="48"/>
      <c r="CN303" s="48"/>
      <c r="CO303" s="48"/>
      <c r="CP303" s="48"/>
      <c r="CQ303" s="48"/>
      <c r="CR303" s="48"/>
      <c r="CS303" s="48"/>
      <c r="CT303" s="48"/>
      <c r="CU303" s="48"/>
      <c r="CV303" s="48"/>
      <c r="CW303" s="48"/>
      <c r="CX303" s="48"/>
      <c r="CY303" s="48"/>
      <c r="CZ303" s="48"/>
      <c r="DA303" s="48"/>
      <c r="DB303" s="48"/>
      <c r="DC303" s="48"/>
      <c r="DD303" s="48"/>
      <c r="DE303" s="48"/>
      <c r="DF303" s="48"/>
      <c r="DG303" s="48"/>
      <c r="DH303" s="48"/>
      <c r="DI303" s="48"/>
      <c r="DJ303" s="48"/>
      <c r="DK303" s="48"/>
      <c r="DL303" s="48"/>
      <c r="DM303" s="48"/>
      <c r="DN303" s="48"/>
      <c r="DO303" s="48"/>
      <c r="DP303" s="48"/>
      <c r="DQ303" s="48"/>
      <c r="DR303" s="48"/>
      <c r="DS303" s="48"/>
      <c r="DT303" s="48"/>
      <c r="DU303" s="48"/>
      <c r="DV303" s="48"/>
      <c r="DW303" s="48"/>
      <c r="DX303" s="48"/>
      <c r="DY303" s="48"/>
      <c r="DZ303" s="48"/>
      <c r="EA303" s="48"/>
      <c r="EB303" s="48"/>
      <c r="EC303" s="48"/>
      <c r="ED303" s="48"/>
      <c r="EE303" s="48"/>
      <c r="EF303" s="48"/>
      <c r="EG303" s="48"/>
      <c r="EH303" s="48"/>
      <c r="EI303" s="48"/>
      <c r="EJ303" s="48"/>
      <c r="EK303" s="48"/>
    </row>
    <row r="304" spans="1:141" s="12" customFormat="1" ht="14.25" hidden="1" customHeight="1">
      <c r="A304" s="25">
        <v>76</v>
      </c>
      <c r="B304" s="26"/>
      <c r="C304" s="25"/>
      <c r="D304" s="24"/>
      <c r="E304" s="60"/>
      <c r="F304" s="59"/>
      <c r="G304" s="58">
        <f t="shared" si="723"/>
        <v>0</v>
      </c>
      <c r="H304" s="57">
        <f t="shared" si="724"/>
        <v>0</v>
      </c>
      <c r="I304" s="19"/>
      <c r="J304" s="11">
        <f t="shared" si="725"/>
        <v>0</v>
      </c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8"/>
      <c r="AB304" s="56">
        <f t="shared" si="726"/>
        <v>0</v>
      </c>
      <c r="AC304" s="16">
        <f t="shared" si="727"/>
        <v>0</v>
      </c>
      <c r="AD304" s="15" t="e">
        <f t="shared" si="728"/>
        <v>#DIV/0!</v>
      </c>
      <c r="AE304" s="55"/>
      <c r="AF304" s="10" t="e">
        <f t="shared" si="729"/>
        <v>#DIV/0!</v>
      </c>
      <c r="AG304" s="10"/>
      <c r="AH304" s="21">
        <f t="shared" si="730"/>
        <v>0</v>
      </c>
      <c r="AI304" s="54" t="e">
        <f t="shared" si="731"/>
        <v>#DIV/0!</v>
      </c>
      <c r="AJ304" s="25">
        <f t="shared" si="732"/>
        <v>0</v>
      </c>
      <c r="AK304" s="25">
        <f t="shared" si="733"/>
        <v>0</v>
      </c>
      <c r="AL304" s="25">
        <f t="shared" si="734"/>
        <v>0</v>
      </c>
      <c r="AM304" s="25">
        <f t="shared" si="735"/>
        <v>0</v>
      </c>
      <c r="AN304" s="25">
        <f t="shared" si="736"/>
        <v>0</v>
      </c>
      <c r="AO304" s="25">
        <f t="shared" si="737"/>
        <v>0</v>
      </c>
      <c r="AP304" s="25">
        <f t="shared" si="738"/>
        <v>0</v>
      </c>
      <c r="AQ304" s="25">
        <f t="shared" si="739"/>
        <v>0</v>
      </c>
      <c r="AR304" s="25">
        <f t="shared" si="740"/>
        <v>0</v>
      </c>
      <c r="AS304" s="25">
        <f t="shared" si="741"/>
        <v>0</v>
      </c>
      <c r="AT304" s="25">
        <f t="shared" si="742"/>
        <v>0</v>
      </c>
      <c r="AU304" s="48"/>
      <c r="AV304" s="48"/>
      <c r="AW304" s="48"/>
      <c r="AX304" s="48"/>
      <c r="AY304" s="48"/>
      <c r="AZ304" s="48"/>
      <c r="BA304" s="48"/>
      <c r="BB304" s="48"/>
      <c r="BC304" s="48"/>
      <c r="BD304" s="48"/>
      <c r="BE304" s="48"/>
      <c r="BF304" s="48"/>
      <c r="BG304" s="48"/>
      <c r="BH304" s="48"/>
      <c r="BI304" s="48"/>
      <c r="BJ304" s="48"/>
      <c r="BK304" s="48"/>
      <c r="BL304" s="48"/>
      <c r="BM304" s="48"/>
      <c r="BN304" s="48"/>
      <c r="BO304" s="48"/>
      <c r="BP304" s="48"/>
      <c r="BQ304" s="48"/>
      <c r="BR304" s="48"/>
      <c r="BS304" s="48"/>
      <c r="BT304" s="48"/>
      <c r="BU304" s="48"/>
      <c r="BV304" s="48"/>
      <c r="BW304" s="48"/>
      <c r="BX304" s="48"/>
      <c r="BY304" s="48"/>
      <c r="BZ304" s="48"/>
      <c r="CA304" s="48"/>
      <c r="CB304" s="48"/>
      <c r="CC304" s="48"/>
      <c r="CD304" s="48"/>
      <c r="CE304" s="48"/>
      <c r="CF304" s="48"/>
      <c r="CG304" s="48"/>
      <c r="CH304" s="48"/>
      <c r="CI304" s="48"/>
      <c r="CJ304" s="48"/>
      <c r="CK304" s="48"/>
      <c r="CL304" s="48"/>
      <c r="CM304" s="48"/>
      <c r="CN304" s="48"/>
      <c r="CO304" s="48"/>
      <c r="CP304" s="48"/>
      <c r="CQ304" s="48"/>
      <c r="CR304" s="48"/>
      <c r="CS304" s="48"/>
      <c r="CT304" s="48"/>
      <c r="CU304" s="48"/>
      <c r="CV304" s="48"/>
      <c r="CW304" s="48"/>
      <c r="CX304" s="48"/>
      <c r="CY304" s="48"/>
      <c r="CZ304" s="48"/>
      <c r="DA304" s="48"/>
      <c r="DB304" s="48"/>
      <c r="DC304" s="48"/>
      <c r="DD304" s="48"/>
      <c r="DE304" s="48"/>
      <c r="DF304" s="48"/>
      <c r="DG304" s="48"/>
      <c r="DH304" s="48"/>
      <c r="DI304" s="48"/>
      <c r="DJ304" s="48"/>
      <c r="DK304" s="48"/>
      <c r="DL304" s="48"/>
      <c r="DM304" s="48"/>
      <c r="DN304" s="48"/>
      <c r="DO304" s="48"/>
      <c r="DP304" s="48"/>
      <c r="DQ304" s="48"/>
      <c r="DR304" s="48"/>
      <c r="DS304" s="48"/>
      <c r="DT304" s="48"/>
      <c r="DU304" s="48"/>
      <c r="DV304" s="48"/>
      <c r="DW304" s="48"/>
      <c r="DX304" s="48"/>
      <c r="DY304" s="48"/>
      <c r="DZ304" s="48"/>
      <c r="EA304" s="48"/>
      <c r="EB304" s="48"/>
      <c r="EC304" s="48"/>
      <c r="ED304" s="48"/>
      <c r="EE304" s="48"/>
      <c r="EF304" s="48"/>
      <c r="EG304" s="48"/>
      <c r="EH304" s="48"/>
      <c r="EI304" s="48"/>
      <c r="EJ304" s="48"/>
      <c r="EK304" s="48"/>
    </row>
    <row r="305" spans="1:141" s="12" customFormat="1" ht="14.25" hidden="1" customHeight="1">
      <c r="A305" s="25">
        <v>77</v>
      </c>
      <c r="B305" s="26"/>
      <c r="C305" s="25"/>
      <c r="D305" s="24"/>
      <c r="E305" s="60"/>
      <c r="F305" s="59"/>
      <c r="G305" s="58">
        <f t="shared" si="723"/>
        <v>0</v>
      </c>
      <c r="H305" s="57">
        <f t="shared" si="724"/>
        <v>0</v>
      </c>
      <c r="I305" s="19"/>
      <c r="J305" s="11">
        <f t="shared" si="725"/>
        <v>0</v>
      </c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8"/>
      <c r="AB305" s="56">
        <f t="shared" si="726"/>
        <v>0</v>
      </c>
      <c r="AC305" s="16">
        <f t="shared" si="727"/>
        <v>0</v>
      </c>
      <c r="AD305" s="15" t="e">
        <f t="shared" si="728"/>
        <v>#DIV/0!</v>
      </c>
      <c r="AE305" s="55"/>
      <c r="AF305" s="10" t="e">
        <f t="shared" si="729"/>
        <v>#DIV/0!</v>
      </c>
      <c r="AG305" s="10"/>
      <c r="AH305" s="21">
        <f t="shared" si="730"/>
        <v>0</v>
      </c>
      <c r="AI305" s="54" t="e">
        <f t="shared" si="731"/>
        <v>#DIV/0!</v>
      </c>
      <c r="AJ305" s="25">
        <f t="shared" si="732"/>
        <v>0</v>
      </c>
      <c r="AK305" s="25">
        <f t="shared" si="733"/>
        <v>0</v>
      </c>
      <c r="AL305" s="25">
        <f t="shared" si="734"/>
        <v>0</v>
      </c>
      <c r="AM305" s="25">
        <f t="shared" si="735"/>
        <v>0</v>
      </c>
      <c r="AN305" s="25">
        <f t="shared" si="736"/>
        <v>0</v>
      </c>
      <c r="AO305" s="25">
        <f t="shared" si="737"/>
        <v>0</v>
      </c>
      <c r="AP305" s="25">
        <f t="shared" si="738"/>
        <v>0</v>
      </c>
      <c r="AQ305" s="25">
        <f t="shared" si="739"/>
        <v>0</v>
      </c>
      <c r="AR305" s="25">
        <f t="shared" si="740"/>
        <v>0</v>
      </c>
      <c r="AS305" s="25">
        <f t="shared" si="741"/>
        <v>0</v>
      </c>
      <c r="AT305" s="25">
        <f t="shared" si="742"/>
        <v>0</v>
      </c>
      <c r="AU305" s="48"/>
      <c r="AV305" s="48"/>
      <c r="AW305" s="48"/>
      <c r="AX305" s="48"/>
      <c r="AY305" s="48"/>
      <c r="AZ305" s="48"/>
      <c r="BA305" s="48"/>
      <c r="BB305" s="48"/>
      <c r="BC305" s="48"/>
      <c r="BD305" s="48"/>
      <c r="BE305" s="48"/>
      <c r="BF305" s="48"/>
      <c r="BG305" s="48"/>
      <c r="BH305" s="48"/>
      <c r="BI305" s="48"/>
      <c r="BJ305" s="48"/>
      <c r="BK305" s="48"/>
      <c r="BL305" s="48"/>
      <c r="BM305" s="48"/>
      <c r="BN305" s="48"/>
      <c r="BO305" s="48"/>
      <c r="BP305" s="48"/>
      <c r="BQ305" s="48"/>
      <c r="BR305" s="48"/>
      <c r="BS305" s="48"/>
      <c r="BT305" s="48"/>
      <c r="BU305" s="48"/>
      <c r="BV305" s="48"/>
      <c r="BW305" s="48"/>
      <c r="BX305" s="48"/>
      <c r="BY305" s="48"/>
      <c r="BZ305" s="48"/>
      <c r="CA305" s="48"/>
      <c r="CB305" s="48"/>
      <c r="CC305" s="48"/>
      <c r="CD305" s="48"/>
      <c r="CE305" s="48"/>
      <c r="CF305" s="48"/>
      <c r="CG305" s="48"/>
      <c r="CH305" s="48"/>
      <c r="CI305" s="48"/>
      <c r="CJ305" s="48"/>
      <c r="CK305" s="48"/>
      <c r="CL305" s="48"/>
      <c r="CM305" s="48"/>
      <c r="CN305" s="48"/>
      <c r="CO305" s="48"/>
      <c r="CP305" s="48"/>
      <c r="CQ305" s="48"/>
      <c r="CR305" s="48"/>
      <c r="CS305" s="48"/>
      <c r="CT305" s="48"/>
      <c r="CU305" s="48"/>
      <c r="CV305" s="48"/>
      <c r="CW305" s="48"/>
      <c r="CX305" s="48"/>
      <c r="CY305" s="48"/>
      <c r="CZ305" s="48"/>
      <c r="DA305" s="48"/>
      <c r="DB305" s="48"/>
      <c r="DC305" s="48"/>
      <c r="DD305" s="48"/>
      <c r="DE305" s="48"/>
      <c r="DF305" s="48"/>
      <c r="DG305" s="48"/>
      <c r="DH305" s="48"/>
      <c r="DI305" s="48"/>
      <c r="DJ305" s="48"/>
      <c r="DK305" s="48"/>
      <c r="DL305" s="48"/>
      <c r="DM305" s="48"/>
      <c r="DN305" s="48"/>
      <c r="DO305" s="48"/>
      <c r="DP305" s="48"/>
      <c r="DQ305" s="48"/>
      <c r="DR305" s="48"/>
      <c r="DS305" s="48"/>
      <c r="DT305" s="48"/>
      <c r="DU305" s="48"/>
      <c r="DV305" s="48"/>
      <c r="DW305" s="48"/>
      <c r="DX305" s="48"/>
      <c r="DY305" s="48"/>
      <c r="DZ305" s="48"/>
      <c r="EA305" s="48"/>
      <c r="EB305" s="48"/>
      <c r="EC305" s="48"/>
      <c r="ED305" s="48"/>
      <c r="EE305" s="48"/>
      <c r="EF305" s="48"/>
      <c r="EG305" s="48"/>
      <c r="EH305" s="48"/>
      <c r="EI305" s="48"/>
      <c r="EJ305" s="48"/>
      <c r="EK305" s="48"/>
    </row>
    <row r="306" spans="1:141" s="12" customFormat="1" ht="14.25" hidden="1" customHeight="1">
      <c r="A306" s="25">
        <v>78</v>
      </c>
      <c r="B306" s="26"/>
      <c r="C306" s="25"/>
      <c r="D306" s="24"/>
      <c r="E306" s="60"/>
      <c r="F306" s="59"/>
      <c r="G306" s="58">
        <f t="shared" si="723"/>
        <v>0</v>
      </c>
      <c r="H306" s="57">
        <f t="shared" si="724"/>
        <v>0</v>
      </c>
      <c r="I306" s="19"/>
      <c r="J306" s="11">
        <f t="shared" si="725"/>
        <v>0</v>
      </c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8"/>
      <c r="AB306" s="56">
        <f t="shared" si="726"/>
        <v>0</v>
      </c>
      <c r="AC306" s="16">
        <f t="shared" si="727"/>
        <v>0</v>
      </c>
      <c r="AD306" s="15" t="e">
        <f t="shared" si="728"/>
        <v>#DIV/0!</v>
      </c>
      <c r="AE306" s="55"/>
      <c r="AF306" s="10" t="e">
        <f t="shared" si="729"/>
        <v>#DIV/0!</v>
      </c>
      <c r="AG306" s="10"/>
      <c r="AH306" s="21">
        <f t="shared" si="730"/>
        <v>0</v>
      </c>
      <c r="AI306" s="54" t="e">
        <f t="shared" si="731"/>
        <v>#DIV/0!</v>
      </c>
      <c r="AJ306" s="25">
        <f t="shared" si="732"/>
        <v>0</v>
      </c>
      <c r="AK306" s="25">
        <f t="shared" si="733"/>
        <v>0</v>
      </c>
      <c r="AL306" s="25">
        <f t="shared" si="734"/>
        <v>0</v>
      </c>
      <c r="AM306" s="25">
        <f t="shared" si="735"/>
        <v>0</v>
      </c>
      <c r="AN306" s="25">
        <f t="shared" si="736"/>
        <v>0</v>
      </c>
      <c r="AO306" s="25">
        <f t="shared" si="737"/>
        <v>0</v>
      </c>
      <c r="AP306" s="25">
        <f t="shared" si="738"/>
        <v>0</v>
      </c>
      <c r="AQ306" s="25">
        <f t="shared" si="739"/>
        <v>0</v>
      </c>
      <c r="AR306" s="25">
        <f t="shared" si="740"/>
        <v>0</v>
      </c>
      <c r="AS306" s="25">
        <f t="shared" si="741"/>
        <v>0</v>
      </c>
      <c r="AT306" s="25">
        <f t="shared" si="742"/>
        <v>0</v>
      </c>
      <c r="AU306" s="48"/>
      <c r="AV306" s="48"/>
      <c r="AW306" s="48"/>
      <c r="AX306" s="48"/>
      <c r="AY306" s="48"/>
      <c r="AZ306" s="48"/>
      <c r="BA306" s="48"/>
      <c r="BB306" s="48"/>
      <c r="BC306" s="48"/>
      <c r="BD306" s="48"/>
      <c r="BE306" s="48"/>
      <c r="BF306" s="48"/>
      <c r="BG306" s="48"/>
      <c r="BH306" s="48"/>
      <c r="BI306" s="48"/>
      <c r="BJ306" s="48"/>
      <c r="BK306" s="48"/>
      <c r="BL306" s="48"/>
      <c r="BM306" s="48"/>
      <c r="BN306" s="48"/>
      <c r="BO306" s="48"/>
      <c r="BP306" s="48"/>
      <c r="BQ306" s="48"/>
      <c r="BR306" s="48"/>
      <c r="BS306" s="48"/>
      <c r="BT306" s="48"/>
      <c r="BU306" s="48"/>
      <c r="BV306" s="48"/>
      <c r="BW306" s="48"/>
      <c r="BX306" s="48"/>
      <c r="BY306" s="48"/>
      <c r="BZ306" s="48"/>
      <c r="CA306" s="48"/>
      <c r="CB306" s="48"/>
      <c r="CC306" s="48"/>
      <c r="CD306" s="48"/>
      <c r="CE306" s="48"/>
      <c r="CF306" s="48"/>
      <c r="CG306" s="48"/>
      <c r="CH306" s="48"/>
      <c r="CI306" s="48"/>
      <c r="CJ306" s="48"/>
      <c r="CK306" s="48"/>
      <c r="CL306" s="48"/>
      <c r="CM306" s="48"/>
      <c r="CN306" s="48"/>
      <c r="CO306" s="48"/>
      <c r="CP306" s="48"/>
      <c r="CQ306" s="48"/>
      <c r="CR306" s="48"/>
      <c r="CS306" s="48"/>
      <c r="CT306" s="48"/>
      <c r="CU306" s="48"/>
      <c r="CV306" s="48"/>
      <c r="CW306" s="48"/>
      <c r="CX306" s="48"/>
      <c r="CY306" s="48"/>
      <c r="CZ306" s="48"/>
      <c r="DA306" s="48"/>
      <c r="DB306" s="48"/>
      <c r="DC306" s="48"/>
      <c r="DD306" s="48"/>
      <c r="DE306" s="48"/>
      <c r="DF306" s="48"/>
      <c r="DG306" s="48"/>
      <c r="DH306" s="48"/>
      <c r="DI306" s="48"/>
      <c r="DJ306" s="48"/>
      <c r="DK306" s="48"/>
      <c r="DL306" s="48"/>
      <c r="DM306" s="48"/>
      <c r="DN306" s="48"/>
      <c r="DO306" s="48"/>
      <c r="DP306" s="48"/>
      <c r="DQ306" s="48"/>
      <c r="DR306" s="48"/>
      <c r="DS306" s="48"/>
      <c r="DT306" s="48"/>
      <c r="DU306" s="48"/>
      <c r="DV306" s="48"/>
      <c r="DW306" s="48"/>
      <c r="DX306" s="48"/>
      <c r="DY306" s="48"/>
      <c r="DZ306" s="48"/>
      <c r="EA306" s="48"/>
      <c r="EB306" s="48"/>
      <c r="EC306" s="48"/>
      <c r="ED306" s="48"/>
      <c r="EE306" s="48"/>
      <c r="EF306" s="48"/>
      <c r="EG306" s="48"/>
      <c r="EH306" s="48"/>
      <c r="EI306" s="48"/>
      <c r="EJ306" s="48"/>
      <c r="EK306" s="48"/>
    </row>
    <row r="307" spans="1:141" s="12" customFormat="1" ht="14.25" hidden="1" customHeight="1">
      <c r="A307" s="25">
        <v>79</v>
      </c>
      <c r="B307" s="26"/>
      <c r="C307" s="25"/>
      <c r="D307" s="24"/>
      <c r="E307" s="60"/>
      <c r="F307" s="59"/>
      <c r="G307" s="58">
        <f t="shared" si="723"/>
        <v>0</v>
      </c>
      <c r="H307" s="57">
        <f t="shared" si="724"/>
        <v>0</v>
      </c>
      <c r="I307" s="19"/>
      <c r="J307" s="11">
        <f t="shared" si="725"/>
        <v>0</v>
      </c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8"/>
      <c r="AB307" s="56">
        <f t="shared" si="726"/>
        <v>0</v>
      </c>
      <c r="AC307" s="16">
        <f t="shared" si="727"/>
        <v>0</v>
      </c>
      <c r="AD307" s="15" t="e">
        <f t="shared" si="728"/>
        <v>#DIV/0!</v>
      </c>
      <c r="AE307" s="55"/>
      <c r="AF307" s="10" t="e">
        <f t="shared" si="729"/>
        <v>#DIV/0!</v>
      </c>
      <c r="AG307" s="10"/>
      <c r="AH307" s="21">
        <f t="shared" si="730"/>
        <v>0</v>
      </c>
      <c r="AI307" s="54" t="e">
        <f t="shared" si="731"/>
        <v>#DIV/0!</v>
      </c>
      <c r="AJ307" s="25">
        <f t="shared" si="732"/>
        <v>0</v>
      </c>
      <c r="AK307" s="25">
        <f t="shared" si="733"/>
        <v>0</v>
      </c>
      <c r="AL307" s="25">
        <f t="shared" si="734"/>
        <v>0</v>
      </c>
      <c r="AM307" s="25">
        <f t="shared" si="735"/>
        <v>0</v>
      </c>
      <c r="AN307" s="25">
        <f t="shared" si="736"/>
        <v>0</v>
      </c>
      <c r="AO307" s="25">
        <f t="shared" si="737"/>
        <v>0</v>
      </c>
      <c r="AP307" s="25">
        <f t="shared" si="738"/>
        <v>0</v>
      </c>
      <c r="AQ307" s="25">
        <f t="shared" si="739"/>
        <v>0</v>
      </c>
      <c r="AR307" s="25">
        <f t="shared" si="740"/>
        <v>0</v>
      </c>
      <c r="AS307" s="25">
        <f t="shared" si="741"/>
        <v>0</v>
      </c>
      <c r="AT307" s="25">
        <f t="shared" si="742"/>
        <v>0</v>
      </c>
      <c r="AU307" s="48"/>
      <c r="AV307" s="48"/>
      <c r="AW307" s="48"/>
      <c r="AX307" s="48"/>
      <c r="AY307" s="48"/>
      <c r="AZ307" s="48"/>
      <c r="BA307" s="48"/>
      <c r="BB307" s="48"/>
      <c r="BC307" s="48"/>
      <c r="BD307" s="48"/>
      <c r="BE307" s="48"/>
      <c r="BF307" s="48"/>
      <c r="BG307" s="48"/>
      <c r="BH307" s="48"/>
      <c r="BI307" s="48"/>
      <c r="BJ307" s="48"/>
      <c r="BK307" s="48"/>
      <c r="BL307" s="48"/>
      <c r="BM307" s="48"/>
      <c r="BN307" s="48"/>
      <c r="BO307" s="48"/>
      <c r="BP307" s="48"/>
      <c r="BQ307" s="48"/>
      <c r="BR307" s="48"/>
      <c r="BS307" s="48"/>
      <c r="BT307" s="48"/>
      <c r="BU307" s="48"/>
      <c r="BV307" s="48"/>
      <c r="BW307" s="48"/>
      <c r="BX307" s="48"/>
      <c r="BY307" s="48"/>
      <c r="BZ307" s="48"/>
      <c r="CA307" s="48"/>
      <c r="CB307" s="48"/>
      <c r="CC307" s="48"/>
      <c r="CD307" s="48"/>
      <c r="CE307" s="48"/>
      <c r="CF307" s="48"/>
      <c r="CG307" s="48"/>
      <c r="CH307" s="48"/>
      <c r="CI307" s="48"/>
      <c r="CJ307" s="48"/>
      <c r="CK307" s="48"/>
      <c r="CL307" s="48"/>
      <c r="CM307" s="48"/>
      <c r="CN307" s="48"/>
      <c r="CO307" s="48"/>
      <c r="CP307" s="48"/>
      <c r="CQ307" s="48"/>
      <c r="CR307" s="48"/>
      <c r="CS307" s="48"/>
      <c r="CT307" s="48"/>
      <c r="CU307" s="48"/>
      <c r="CV307" s="48"/>
      <c r="CW307" s="48"/>
      <c r="CX307" s="48"/>
      <c r="CY307" s="48"/>
      <c r="CZ307" s="48"/>
      <c r="DA307" s="48"/>
      <c r="DB307" s="48"/>
      <c r="DC307" s="48"/>
      <c r="DD307" s="48"/>
      <c r="DE307" s="48"/>
      <c r="DF307" s="48"/>
      <c r="DG307" s="48"/>
      <c r="DH307" s="48"/>
      <c r="DI307" s="48"/>
      <c r="DJ307" s="48"/>
      <c r="DK307" s="48"/>
      <c r="DL307" s="48"/>
      <c r="DM307" s="48"/>
      <c r="DN307" s="48"/>
      <c r="DO307" s="48"/>
      <c r="DP307" s="48"/>
      <c r="DQ307" s="48"/>
      <c r="DR307" s="48"/>
      <c r="DS307" s="48"/>
      <c r="DT307" s="48"/>
      <c r="DU307" s="48"/>
      <c r="DV307" s="48"/>
      <c r="DW307" s="48"/>
      <c r="DX307" s="48"/>
      <c r="DY307" s="48"/>
      <c r="DZ307" s="48"/>
      <c r="EA307" s="48"/>
      <c r="EB307" s="48"/>
      <c r="EC307" s="48"/>
      <c r="ED307" s="48"/>
      <c r="EE307" s="48"/>
      <c r="EF307" s="48"/>
      <c r="EG307" s="48"/>
      <c r="EH307" s="48"/>
      <c r="EI307" s="48"/>
      <c r="EJ307" s="48"/>
      <c r="EK307" s="48"/>
    </row>
    <row r="308" spans="1:141" s="12" customFormat="1" ht="14.25" hidden="1" customHeight="1">
      <c r="A308" s="25">
        <v>80</v>
      </c>
      <c r="B308" s="26"/>
      <c r="C308" s="25"/>
      <c r="D308" s="24"/>
      <c r="E308" s="60"/>
      <c r="F308" s="59"/>
      <c r="G308" s="58">
        <f t="shared" si="723"/>
        <v>0</v>
      </c>
      <c r="H308" s="57">
        <f t="shared" si="724"/>
        <v>0</v>
      </c>
      <c r="I308" s="19"/>
      <c r="J308" s="11">
        <f t="shared" si="725"/>
        <v>0</v>
      </c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8"/>
      <c r="AB308" s="56">
        <f t="shared" si="726"/>
        <v>0</v>
      </c>
      <c r="AC308" s="16">
        <f t="shared" si="727"/>
        <v>0</v>
      </c>
      <c r="AD308" s="15" t="e">
        <f t="shared" si="728"/>
        <v>#DIV/0!</v>
      </c>
      <c r="AE308" s="55"/>
      <c r="AF308" s="10" t="e">
        <f t="shared" si="729"/>
        <v>#DIV/0!</v>
      </c>
      <c r="AG308" s="10"/>
      <c r="AH308" s="21">
        <f t="shared" si="730"/>
        <v>0</v>
      </c>
      <c r="AI308" s="54" t="e">
        <f t="shared" si="731"/>
        <v>#DIV/0!</v>
      </c>
      <c r="AJ308" s="25">
        <f t="shared" si="732"/>
        <v>0</v>
      </c>
      <c r="AK308" s="25">
        <f t="shared" si="733"/>
        <v>0</v>
      </c>
      <c r="AL308" s="25">
        <f t="shared" si="734"/>
        <v>0</v>
      </c>
      <c r="AM308" s="25">
        <f t="shared" si="735"/>
        <v>0</v>
      </c>
      <c r="AN308" s="25">
        <f t="shared" si="736"/>
        <v>0</v>
      </c>
      <c r="AO308" s="25">
        <f t="shared" si="737"/>
        <v>0</v>
      </c>
      <c r="AP308" s="25">
        <f t="shared" si="738"/>
        <v>0</v>
      </c>
      <c r="AQ308" s="25">
        <f t="shared" si="739"/>
        <v>0</v>
      </c>
      <c r="AR308" s="25">
        <f t="shared" si="740"/>
        <v>0</v>
      </c>
      <c r="AS308" s="25">
        <f t="shared" si="741"/>
        <v>0</v>
      </c>
      <c r="AT308" s="25">
        <f t="shared" si="742"/>
        <v>0</v>
      </c>
      <c r="AU308" s="48"/>
      <c r="AV308" s="48"/>
      <c r="AW308" s="48"/>
      <c r="AX308" s="48"/>
      <c r="AY308" s="48"/>
      <c r="AZ308" s="48"/>
      <c r="BA308" s="48"/>
      <c r="BB308" s="48"/>
      <c r="BC308" s="48"/>
      <c r="BD308" s="48"/>
      <c r="BE308" s="48"/>
      <c r="BF308" s="48"/>
      <c r="BG308" s="48"/>
      <c r="BH308" s="48"/>
      <c r="BI308" s="48"/>
      <c r="BJ308" s="48"/>
      <c r="BK308" s="48"/>
      <c r="BL308" s="48"/>
      <c r="BM308" s="48"/>
      <c r="BN308" s="48"/>
      <c r="BO308" s="48"/>
      <c r="BP308" s="48"/>
      <c r="BQ308" s="48"/>
      <c r="BR308" s="48"/>
      <c r="BS308" s="48"/>
      <c r="BT308" s="48"/>
      <c r="BU308" s="48"/>
      <c r="BV308" s="48"/>
      <c r="BW308" s="48"/>
      <c r="BX308" s="48"/>
      <c r="BY308" s="48"/>
      <c r="BZ308" s="48"/>
      <c r="CA308" s="48"/>
      <c r="CB308" s="48"/>
      <c r="CC308" s="48"/>
      <c r="CD308" s="48"/>
      <c r="CE308" s="48"/>
      <c r="CF308" s="48"/>
      <c r="CG308" s="48"/>
      <c r="CH308" s="48"/>
      <c r="CI308" s="48"/>
      <c r="CJ308" s="48"/>
      <c r="CK308" s="48"/>
      <c r="CL308" s="48"/>
      <c r="CM308" s="48"/>
      <c r="CN308" s="48"/>
      <c r="CO308" s="48"/>
      <c r="CP308" s="48"/>
      <c r="CQ308" s="48"/>
      <c r="CR308" s="48"/>
      <c r="CS308" s="48"/>
      <c r="CT308" s="48"/>
      <c r="CU308" s="48"/>
      <c r="CV308" s="48"/>
      <c r="CW308" s="48"/>
      <c r="CX308" s="48"/>
      <c r="CY308" s="48"/>
      <c r="CZ308" s="48"/>
      <c r="DA308" s="48"/>
      <c r="DB308" s="48"/>
      <c r="DC308" s="48"/>
      <c r="DD308" s="48"/>
      <c r="DE308" s="48"/>
      <c r="DF308" s="48"/>
      <c r="DG308" s="48"/>
      <c r="DH308" s="48"/>
      <c r="DI308" s="48"/>
      <c r="DJ308" s="48"/>
      <c r="DK308" s="48"/>
      <c r="DL308" s="48"/>
      <c r="DM308" s="48"/>
      <c r="DN308" s="48"/>
      <c r="DO308" s="48"/>
      <c r="DP308" s="48"/>
      <c r="DQ308" s="48"/>
      <c r="DR308" s="48"/>
      <c r="DS308" s="48"/>
      <c r="DT308" s="48"/>
      <c r="DU308" s="48"/>
      <c r="DV308" s="48"/>
      <c r="DW308" s="48"/>
      <c r="DX308" s="48"/>
      <c r="DY308" s="48"/>
      <c r="DZ308" s="48"/>
      <c r="EA308" s="48"/>
      <c r="EB308" s="48"/>
      <c r="EC308" s="48"/>
      <c r="ED308" s="48"/>
      <c r="EE308" s="48"/>
      <c r="EF308" s="48"/>
      <c r="EG308" s="48"/>
      <c r="EH308" s="48"/>
      <c r="EI308" s="48"/>
      <c r="EJ308" s="48"/>
      <c r="EK308" s="48"/>
    </row>
    <row r="309" spans="1:141" s="12" customFormat="1" ht="14.25" hidden="1" customHeight="1">
      <c r="A309" s="25">
        <v>81</v>
      </c>
      <c r="B309" s="26"/>
      <c r="C309" s="25"/>
      <c r="D309" s="24"/>
      <c r="E309" s="60"/>
      <c r="F309" s="59"/>
      <c r="G309" s="58">
        <f t="shared" si="723"/>
        <v>0</v>
      </c>
      <c r="H309" s="57">
        <f t="shared" si="724"/>
        <v>0</v>
      </c>
      <c r="I309" s="19"/>
      <c r="J309" s="11">
        <f t="shared" si="725"/>
        <v>0</v>
      </c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8"/>
      <c r="AB309" s="56">
        <f t="shared" si="726"/>
        <v>0</v>
      </c>
      <c r="AC309" s="16">
        <f t="shared" si="727"/>
        <v>0</v>
      </c>
      <c r="AD309" s="15" t="e">
        <f t="shared" si="728"/>
        <v>#DIV/0!</v>
      </c>
      <c r="AE309" s="55"/>
      <c r="AF309" s="10" t="e">
        <f t="shared" si="729"/>
        <v>#DIV/0!</v>
      </c>
      <c r="AG309" s="10"/>
      <c r="AH309" s="21">
        <f t="shared" si="730"/>
        <v>0</v>
      </c>
      <c r="AI309" s="54" t="e">
        <f t="shared" si="731"/>
        <v>#DIV/0!</v>
      </c>
      <c r="AJ309" s="25">
        <f t="shared" si="732"/>
        <v>0</v>
      </c>
      <c r="AK309" s="25">
        <f t="shared" si="733"/>
        <v>0</v>
      </c>
      <c r="AL309" s="25">
        <f t="shared" si="734"/>
        <v>0</v>
      </c>
      <c r="AM309" s="25">
        <f t="shared" si="735"/>
        <v>0</v>
      </c>
      <c r="AN309" s="25">
        <f t="shared" si="736"/>
        <v>0</v>
      </c>
      <c r="AO309" s="25">
        <f t="shared" si="737"/>
        <v>0</v>
      </c>
      <c r="AP309" s="25">
        <f t="shared" si="738"/>
        <v>0</v>
      </c>
      <c r="AQ309" s="25">
        <f t="shared" si="739"/>
        <v>0</v>
      </c>
      <c r="AR309" s="25">
        <f t="shared" si="740"/>
        <v>0</v>
      </c>
      <c r="AS309" s="25">
        <f t="shared" si="741"/>
        <v>0</v>
      </c>
      <c r="AT309" s="25">
        <f t="shared" si="742"/>
        <v>0</v>
      </c>
      <c r="AU309" s="48"/>
      <c r="AV309" s="48"/>
      <c r="AW309" s="48"/>
      <c r="AX309" s="48"/>
      <c r="AY309" s="48"/>
      <c r="AZ309" s="48"/>
      <c r="BA309" s="48"/>
      <c r="BB309" s="48"/>
      <c r="BC309" s="48"/>
      <c r="BD309" s="48"/>
      <c r="BE309" s="48"/>
      <c r="BF309" s="48"/>
      <c r="BG309" s="48"/>
      <c r="BH309" s="48"/>
      <c r="BI309" s="48"/>
      <c r="BJ309" s="48"/>
      <c r="BK309" s="48"/>
      <c r="BL309" s="48"/>
      <c r="BM309" s="48"/>
      <c r="BN309" s="48"/>
      <c r="BO309" s="48"/>
      <c r="BP309" s="48"/>
      <c r="BQ309" s="48"/>
      <c r="BR309" s="48"/>
      <c r="BS309" s="48"/>
      <c r="BT309" s="48"/>
      <c r="BU309" s="48"/>
      <c r="BV309" s="48"/>
      <c r="BW309" s="48"/>
      <c r="BX309" s="48"/>
      <c r="BY309" s="48"/>
      <c r="BZ309" s="48"/>
      <c r="CA309" s="48"/>
      <c r="CB309" s="48"/>
      <c r="CC309" s="48"/>
      <c r="CD309" s="48"/>
      <c r="CE309" s="48"/>
      <c r="CF309" s="48"/>
      <c r="CG309" s="48"/>
      <c r="CH309" s="48"/>
      <c r="CI309" s="48"/>
      <c r="CJ309" s="48"/>
      <c r="CK309" s="48"/>
      <c r="CL309" s="48"/>
      <c r="CM309" s="48"/>
      <c r="CN309" s="48"/>
      <c r="CO309" s="48"/>
      <c r="CP309" s="48"/>
      <c r="CQ309" s="48"/>
      <c r="CR309" s="48"/>
      <c r="CS309" s="48"/>
      <c r="CT309" s="48"/>
      <c r="CU309" s="48"/>
      <c r="CV309" s="48"/>
      <c r="CW309" s="48"/>
      <c r="CX309" s="48"/>
      <c r="CY309" s="48"/>
      <c r="CZ309" s="48"/>
      <c r="DA309" s="48"/>
      <c r="DB309" s="48"/>
      <c r="DC309" s="48"/>
      <c r="DD309" s="48"/>
      <c r="DE309" s="48"/>
      <c r="DF309" s="48"/>
      <c r="DG309" s="48"/>
      <c r="DH309" s="48"/>
      <c r="DI309" s="48"/>
      <c r="DJ309" s="48"/>
      <c r="DK309" s="48"/>
      <c r="DL309" s="48"/>
      <c r="DM309" s="48"/>
      <c r="DN309" s="48"/>
      <c r="DO309" s="48"/>
      <c r="DP309" s="48"/>
      <c r="DQ309" s="48"/>
      <c r="DR309" s="48"/>
      <c r="DS309" s="48"/>
      <c r="DT309" s="48"/>
      <c r="DU309" s="48"/>
      <c r="DV309" s="48"/>
      <c r="DW309" s="48"/>
      <c r="DX309" s="48"/>
      <c r="DY309" s="48"/>
      <c r="DZ309" s="48"/>
      <c r="EA309" s="48"/>
      <c r="EB309" s="48"/>
      <c r="EC309" s="48"/>
      <c r="ED309" s="48"/>
      <c r="EE309" s="48"/>
      <c r="EF309" s="48"/>
      <c r="EG309" s="48"/>
      <c r="EH309" s="48"/>
      <c r="EI309" s="48"/>
      <c r="EJ309" s="48"/>
      <c r="EK309" s="48"/>
    </row>
    <row r="310" spans="1:141" s="12" customFormat="1" ht="14.25" hidden="1" customHeight="1">
      <c r="A310" s="25">
        <v>82</v>
      </c>
      <c r="B310" s="26"/>
      <c r="C310" s="25"/>
      <c r="D310" s="24"/>
      <c r="E310" s="60"/>
      <c r="F310" s="59"/>
      <c r="G310" s="58">
        <f t="shared" si="723"/>
        <v>0</v>
      </c>
      <c r="H310" s="57">
        <f t="shared" si="724"/>
        <v>0</v>
      </c>
      <c r="I310" s="19"/>
      <c r="J310" s="11">
        <f t="shared" si="725"/>
        <v>0</v>
      </c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8"/>
      <c r="AB310" s="56">
        <f t="shared" si="726"/>
        <v>0</v>
      </c>
      <c r="AC310" s="16">
        <f t="shared" si="727"/>
        <v>0</v>
      </c>
      <c r="AD310" s="15" t="e">
        <f t="shared" si="728"/>
        <v>#DIV/0!</v>
      </c>
      <c r="AE310" s="55"/>
      <c r="AF310" s="10" t="e">
        <f t="shared" si="729"/>
        <v>#DIV/0!</v>
      </c>
      <c r="AG310" s="10"/>
      <c r="AH310" s="21">
        <f t="shared" si="730"/>
        <v>0</v>
      </c>
      <c r="AI310" s="54" t="e">
        <f t="shared" si="731"/>
        <v>#DIV/0!</v>
      </c>
      <c r="AJ310" s="25">
        <f t="shared" si="732"/>
        <v>0</v>
      </c>
      <c r="AK310" s="25">
        <f t="shared" si="733"/>
        <v>0</v>
      </c>
      <c r="AL310" s="25">
        <f t="shared" si="734"/>
        <v>0</v>
      </c>
      <c r="AM310" s="25">
        <f t="shared" si="735"/>
        <v>0</v>
      </c>
      <c r="AN310" s="25">
        <f t="shared" si="736"/>
        <v>0</v>
      </c>
      <c r="AO310" s="25">
        <f t="shared" si="737"/>
        <v>0</v>
      </c>
      <c r="AP310" s="25">
        <f t="shared" si="738"/>
        <v>0</v>
      </c>
      <c r="AQ310" s="25">
        <f t="shared" si="739"/>
        <v>0</v>
      </c>
      <c r="AR310" s="25">
        <f t="shared" si="740"/>
        <v>0</v>
      </c>
      <c r="AS310" s="25">
        <f t="shared" si="741"/>
        <v>0</v>
      </c>
      <c r="AT310" s="25">
        <f t="shared" si="742"/>
        <v>0</v>
      </c>
      <c r="AU310" s="48"/>
      <c r="AV310" s="48"/>
      <c r="AW310" s="48"/>
      <c r="AX310" s="48"/>
      <c r="AY310" s="48"/>
      <c r="AZ310" s="48"/>
      <c r="BA310" s="48"/>
      <c r="BB310" s="48"/>
      <c r="BC310" s="48"/>
      <c r="BD310" s="48"/>
      <c r="BE310" s="48"/>
      <c r="BF310" s="48"/>
      <c r="BG310" s="48"/>
      <c r="BH310" s="48"/>
      <c r="BI310" s="48"/>
      <c r="BJ310" s="48"/>
      <c r="BK310" s="48"/>
      <c r="BL310" s="48"/>
      <c r="BM310" s="48"/>
      <c r="BN310" s="48"/>
      <c r="BO310" s="48"/>
      <c r="BP310" s="48"/>
      <c r="BQ310" s="48"/>
      <c r="BR310" s="48"/>
      <c r="BS310" s="48"/>
      <c r="BT310" s="48"/>
      <c r="BU310" s="48"/>
      <c r="BV310" s="48"/>
      <c r="BW310" s="48"/>
      <c r="BX310" s="48"/>
      <c r="BY310" s="48"/>
      <c r="BZ310" s="48"/>
      <c r="CA310" s="48"/>
      <c r="CB310" s="48"/>
      <c r="CC310" s="48"/>
      <c r="CD310" s="48"/>
      <c r="CE310" s="48"/>
      <c r="CF310" s="48"/>
      <c r="CG310" s="48"/>
      <c r="CH310" s="48"/>
      <c r="CI310" s="48"/>
      <c r="CJ310" s="48"/>
      <c r="CK310" s="48"/>
      <c r="CL310" s="48"/>
      <c r="CM310" s="48"/>
      <c r="CN310" s="48"/>
      <c r="CO310" s="48"/>
      <c r="CP310" s="48"/>
      <c r="CQ310" s="48"/>
      <c r="CR310" s="48"/>
      <c r="CS310" s="48"/>
      <c r="CT310" s="48"/>
      <c r="CU310" s="48"/>
      <c r="CV310" s="48"/>
      <c r="CW310" s="48"/>
      <c r="CX310" s="48"/>
      <c r="CY310" s="48"/>
      <c r="CZ310" s="48"/>
      <c r="DA310" s="48"/>
      <c r="DB310" s="48"/>
      <c r="DC310" s="48"/>
      <c r="DD310" s="48"/>
      <c r="DE310" s="48"/>
      <c r="DF310" s="48"/>
      <c r="DG310" s="48"/>
      <c r="DH310" s="48"/>
      <c r="DI310" s="48"/>
      <c r="DJ310" s="48"/>
      <c r="DK310" s="48"/>
      <c r="DL310" s="48"/>
      <c r="DM310" s="48"/>
      <c r="DN310" s="48"/>
      <c r="DO310" s="48"/>
      <c r="DP310" s="48"/>
      <c r="DQ310" s="48"/>
      <c r="DR310" s="48"/>
      <c r="DS310" s="48"/>
      <c r="DT310" s="48"/>
      <c r="DU310" s="48"/>
      <c r="DV310" s="48"/>
      <c r="DW310" s="48"/>
      <c r="DX310" s="48"/>
      <c r="DY310" s="48"/>
      <c r="DZ310" s="48"/>
      <c r="EA310" s="48"/>
      <c r="EB310" s="48"/>
      <c r="EC310" s="48"/>
      <c r="ED310" s="48"/>
      <c r="EE310" s="48"/>
      <c r="EF310" s="48"/>
      <c r="EG310" s="48"/>
      <c r="EH310" s="48"/>
      <c r="EI310" s="48"/>
      <c r="EJ310" s="48"/>
      <c r="EK310" s="48"/>
    </row>
    <row r="311" spans="1:141" s="12" customFormat="1" ht="14.25" hidden="1" customHeight="1">
      <c r="A311" s="25">
        <v>83</v>
      </c>
      <c r="B311" s="26"/>
      <c r="C311" s="25"/>
      <c r="D311" s="24"/>
      <c r="E311" s="60"/>
      <c r="F311" s="59"/>
      <c r="G311" s="58">
        <f t="shared" si="723"/>
        <v>0</v>
      </c>
      <c r="H311" s="57">
        <f t="shared" si="724"/>
        <v>0</v>
      </c>
      <c r="I311" s="19"/>
      <c r="J311" s="11">
        <f t="shared" si="725"/>
        <v>0</v>
      </c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8"/>
      <c r="AB311" s="56">
        <f t="shared" si="726"/>
        <v>0</v>
      </c>
      <c r="AC311" s="16">
        <f t="shared" si="727"/>
        <v>0</v>
      </c>
      <c r="AD311" s="15" t="e">
        <f t="shared" si="728"/>
        <v>#DIV/0!</v>
      </c>
      <c r="AE311" s="55"/>
      <c r="AF311" s="10" t="e">
        <f t="shared" si="729"/>
        <v>#DIV/0!</v>
      </c>
      <c r="AG311" s="10"/>
      <c r="AH311" s="21">
        <f t="shared" si="730"/>
        <v>0</v>
      </c>
      <c r="AI311" s="54" t="e">
        <f t="shared" si="731"/>
        <v>#DIV/0!</v>
      </c>
      <c r="AJ311" s="25">
        <f t="shared" si="732"/>
        <v>0</v>
      </c>
      <c r="AK311" s="25">
        <f t="shared" si="733"/>
        <v>0</v>
      </c>
      <c r="AL311" s="25">
        <f t="shared" si="734"/>
        <v>0</v>
      </c>
      <c r="AM311" s="25">
        <f t="shared" si="735"/>
        <v>0</v>
      </c>
      <c r="AN311" s="25">
        <f t="shared" si="736"/>
        <v>0</v>
      </c>
      <c r="AO311" s="25">
        <f t="shared" si="737"/>
        <v>0</v>
      </c>
      <c r="AP311" s="25">
        <f t="shared" si="738"/>
        <v>0</v>
      </c>
      <c r="AQ311" s="25">
        <f t="shared" si="739"/>
        <v>0</v>
      </c>
      <c r="AR311" s="25">
        <f t="shared" si="740"/>
        <v>0</v>
      </c>
      <c r="AS311" s="25">
        <f t="shared" si="741"/>
        <v>0</v>
      </c>
      <c r="AT311" s="25">
        <f t="shared" si="742"/>
        <v>0</v>
      </c>
      <c r="AU311" s="48"/>
      <c r="AV311" s="48"/>
      <c r="AW311" s="48"/>
      <c r="AX311" s="48"/>
      <c r="AY311" s="48"/>
      <c r="AZ311" s="48"/>
      <c r="BA311" s="48"/>
      <c r="BB311" s="48"/>
      <c r="BC311" s="48"/>
      <c r="BD311" s="48"/>
      <c r="BE311" s="48"/>
      <c r="BF311" s="48"/>
      <c r="BG311" s="48"/>
      <c r="BH311" s="48"/>
      <c r="BI311" s="48"/>
      <c r="BJ311" s="48"/>
      <c r="BK311" s="48"/>
      <c r="BL311" s="48"/>
      <c r="BM311" s="48"/>
      <c r="BN311" s="48"/>
      <c r="BO311" s="48"/>
      <c r="BP311" s="48"/>
      <c r="BQ311" s="48"/>
      <c r="BR311" s="48"/>
      <c r="BS311" s="48"/>
      <c r="BT311" s="48"/>
      <c r="BU311" s="48"/>
      <c r="BV311" s="48"/>
      <c r="BW311" s="48"/>
      <c r="BX311" s="48"/>
      <c r="BY311" s="48"/>
      <c r="BZ311" s="48"/>
      <c r="CA311" s="48"/>
      <c r="CB311" s="48"/>
      <c r="CC311" s="48"/>
      <c r="CD311" s="48"/>
      <c r="CE311" s="48"/>
      <c r="CF311" s="48"/>
      <c r="CG311" s="48"/>
      <c r="CH311" s="48"/>
      <c r="CI311" s="48"/>
      <c r="CJ311" s="48"/>
      <c r="CK311" s="48"/>
      <c r="CL311" s="48"/>
      <c r="CM311" s="48"/>
      <c r="CN311" s="48"/>
      <c r="CO311" s="48"/>
      <c r="CP311" s="48"/>
      <c r="CQ311" s="48"/>
      <c r="CR311" s="48"/>
      <c r="CS311" s="48"/>
      <c r="CT311" s="48"/>
      <c r="CU311" s="48"/>
      <c r="CV311" s="48"/>
      <c r="CW311" s="48"/>
      <c r="CX311" s="48"/>
      <c r="CY311" s="48"/>
      <c r="CZ311" s="48"/>
      <c r="DA311" s="48"/>
      <c r="DB311" s="48"/>
      <c r="DC311" s="48"/>
      <c r="DD311" s="48"/>
      <c r="DE311" s="48"/>
      <c r="DF311" s="48"/>
      <c r="DG311" s="48"/>
      <c r="DH311" s="48"/>
      <c r="DI311" s="48"/>
      <c r="DJ311" s="48"/>
      <c r="DK311" s="48"/>
      <c r="DL311" s="48"/>
      <c r="DM311" s="48"/>
      <c r="DN311" s="48"/>
      <c r="DO311" s="48"/>
      <c r="DP311" s="48"/>
      <c r="DQ311" s="48"/>
      <c r="DR311" s="48"/>
      <c r="DS311" s="48"/>
      <c r="DT311" s="48"/>
      <c r="DU311" s="48"/>
      <c r="DV311" s="48"/>
      <c r="DW311" s="48"/>
      <c r="DX311" s="48"/>
      <c r="DY311" s="48"/>
      <c r="DZ311" s="48"/>
      <c r="EA311" s="48"/>
      <c r="EB311" s="48"/>
      <c r="EC311" s="48"/>
      <c r="ED311" s="48"/>
      <c r="EE311" s="48"/>
      <c r="EF311" s="48"/>
      <c r="EG311" s="48"/>
      <c r="EH311" s="48"/>
      <c r="EI311" s="48"/>
      <c r="EJ311" s="48"/>
      <c r="EK311" s="48"/>
    </row>
    <row r="312" spans="1:141" s="12" customFormat="1" ht="14.25" hidden="1" customHeight="1">
      <c r="A312" s="25">
        <v>84</v>
      </c>
      <c r="B312" s="26"/>
      <c r="C312" s="25"/>
      <c r="D312" s="24"/>
      <c r="E312" s="60"/>
      <c r="F312" s="59"/>
      <c r="G312" s="58">
        <f t="shared" si="723"/>
        <v>0</v>
      </c>
      <c r="H312" s="57">
        <f t="shared" si="724"/>
        <v>0</v>
      </c>
      <c r="I312" s="19"/>
      <c r="J312" s="11">
        <f t="shared" si="725"/>
        <v>0</v>
      </c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8"/>
      <c r="AB312" s="56">
        <f t="shared" si="726"/>
        <v>0</v>
      </c>
      <c r="AC312" s="16">
        <f t="shared" si="727"/>
        <v>0</v>
      </c>
      <c r="AD312" s="15" t="e">
        <f t="shared" si="728"/>
        <v>#DIV/0!</v>
      </c>
      <c r="AE312" s="55"/>
      <c r="AF312" s="10" t="e">
        <f t="shared" si="729"/>
        <v>#DIV/0!</v>
      </c>
      <c r="AG312" s="10"/>
      <c r="AH312" s="21">
        <f t="shared" si="730"/>
        <v>0</v>
      </c>
      <c r="AI312" s="54" t="e">
        <f t="shared" si="731"/>
        <v>#DIV/0!</v>
      </c>
      <c r="AJ312" s="25">
        <f t="shared" si="732"/>
        <v>0</v>
      </c>
      <c r="AK312" s="25">
        <f t="shared" si="733"/>
        <v>0</v>
      </c>
      <c r="AL312" s="25">
        <f t="shared" si="734"/>
        <v>0</v>
      </c>
      <c r="AM312" s="25">
        <f t="shared" si="735"/>
        <v>0</v>
      </c>
      <c r="AN312" s="25">
        <f t="shared" si="736"/>
        <v>0</v>
      </c>
      <c r="AO312" s="25">
        <f t="shared" si="737"/>
        <v>0</v>
      </c>
      <c r="AP312" s="25">
        <f t="shared" si="738"/>
        <v>0</v>
      </c>
      <c r="AQ312" s="25">
        <f t="shared" si="739"/>
        <v>0</v>
      </c>
      <c r="AR312" s="25">
        <f t="shared" si="740"/>
        <v>0</v>
      </c>
      <c r="AS312" s="25">
        <f t="shared" si="741"/>
        <v>0</v>
      </c>
      <c r="AT312" s="25">
        <f t="shared" si="742"/>
        <v>0</v>
      </c>
      <c r="AU312" s="48"/>
      <c r="AV312" s="48"/>
      <c r="AW312" s="48"/>
      <c r="AX312" s="48"/>
      <c r="AY312" s="48"/>
      <c r="AZ312" s="48"/>
      <c r="BA312" s="48"/>
      <c r="BB312" s="48"/>
      <c r="BC312" s="48"/>
      <c r="BD312" s="48"/>
      <c r="BE312" s="48"/>
      <c r="BF312" s="48"/>
      <c r="BG312" s="48"/>
      <c r="BH312" s="48"/>
      <c r="BI312" s="48"/>
      <c r="BJ312" s="48"/>
      <c r="BK312" s="48"/>
      <c r="BL312" s="48"/>
      <c r="BM312" s="48"/>
      <c r="BN312" s="48"/>
      <c r="BO312" s="48"/>
      <c r="BP312" s="48"/>
      <c r="BQ312" s="48"/>
      <c r="BR312" s="48"/>
      <c r="BS312" s="48"/>
      <c r="BT312" s="48"/>
      <c r="BU312" s="48"/>
      <c r="BV312" s="48"/>
      <c r="BW312" s="48"/>
      <c r="BX312" s="48"/>
      <c r="BY312" s="48"/>
      <c r="BZ312" s="48"/>
      <c r="CA312" s="48"/>
      <c r="CB312" s="48"/>
      <c r="CC312" s="48"/>
      <c r="CD312" s="48"/>
      <c r="CE312" s="48"/>
      <c r="CF312" s="48"/>
      <c r="CG312" s="48"/>
      <c r="CH312" s="48"/>
      <c r="CI312" s="48"/>
      <c r="CJ312" s="48"/>
      <c r="CK312" s="48"/>
      <c r="CL312" s="48"/>
      <c r="CM312" s="48"/>
      <c r="CN312" s="48"/>
      <c r="CO312" s="48"/>
      <c r="CP312" s="48"/>
      <c r="CQ312" s="48"/>
      <c r="CR312" s="48"/>
      <c r="CS312" s="48"/>
      <c r="CT312" s="48"/>
      <c r="CU312" s="48"/>
      <c r="CV312" s="48"/>
      <c r="CW312" s="48"/>
      <c r="CX312" s="48"/>
      <c r="CY312" s="48"/>
      <c r="CZ312" s="48"/>
      <c r="DA312" s="48"/>
      <c r="DB312" s="48"/>
      <c r="DC312" s="48"/>
      <c r="DD312" s="48"/>
      <c r="DE312" s="48"/>
      <c r="DF312" s="48"/>
      <c r="DG312" s="48"/>
      <c r="DH312" s="48"/>
      <c r="DI312" s="48"/>
      <c r="DJ312" s="48"/>
      <c r="DK312" s="48"/>
      <c r="DL312" s="48"/>
      <c r="DM312" s="48"/>
      <c r="DN312" s="48"/>
      <c r="DO312" s="48"/>
      <c r="DP312" s="48"/>
      <c r="DQ312" s="48"/>
      <c r="DR312" s="48"/>
      <c r="DS312" s="48"/>
      <c r="DT312" s="48"/>
      <c r="DU312" s="48"/>
      <c r="DV312" s="48"/>
      <c r="DW312" s="48"/>
      <c r="DX312" s="48"/>
      <c r="DY312" s="48"/>
      <c r="DZ312" s="48"/>
      <c r="EA312" s="48"/>
      <c r="EB312" s="48"/>
      <c r="EC312" s="48"/>
      <c r="ED312" s="48"/>
      <c r="EE312" s="48"/>
      <c r="EF312" s="48"/>
      <c r="EG312" s="48"/>
      <c r="EH312" s="48"/>
      <c r="EI312" s="48"/>
      <c r="EJ312" s="48"/>
      <c r="EK312" s="48"/>
    </row>
    <row r="313" spans="1:141" s="12" customFormat="1" ht="14.25" hidden="1" customHeight="1">
      <c r="A313" s="25">
        <v>85</v>
      </c>
      <c r="B313" s="26"/>
      <c r="C313" s="25"/>
      <c r="D313" s="24"/>
      <c r="E313" s="60"/>
      <c r="F313" s="59"/>
      <c r="G313" s="58">
        <f t="shared" si="723"/>
        <v>0</v>
      </c>
      <c r="H313" s="57">
        <f t="shared" si="724"/>
        <v>0</v>
      </c>
      <c r="I313" s="19"/>
      <c r="J313" s="11">
        <f t="shared" si="725"/>
        <v>0</v>
      </c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8"/>
      <c r="AB313" s="56">
        <f t="shared" si="726"/>
        <v>0</v>
      </c>
      <c r="AC313" s="16">
        <f t="shared" si="727"/>
        <v>0</v>
      </c>
      <c r="AD313" s="15" t="e">
        <f t="shared" si="728"/>
        <v>#DIV/0!</v>
      </c>
      <c r="AE313" s="55"/>
      <c r="AF313" s="10" t="e">
        <f t="shared" si="729"/>
        <v>#DIV/0!</v>
      </c>
      <c r="AG313" s="10"/>
      <c r="AH313" s="21">
        <f t="shared" si="730"/>
        <v>0</v>
      </c>
      <c r="AI313" s="54" t="e">
        <f t="shared" si="731"/>
        <v>#DIV/0!</v>
      </c>
      <c r="AJ313" s="25">
        <f t="shared" si="732"/>
        <v>0</v>
      </c>
      <c r="AK313" s="25">
        <f t="shared" si="733"/>
        <v>0</v>
      </c>
      <c r="AL313" s="25">
        <f t="shared" si="734"/>
        <v>0</v>
      </c>
      <c r="AM313" s="25">
        <f t="shared" si="735"/>
        <v>0</v>
      </c>
      <c r="AN313" s="25">
        <f t="shared" si="736"/>
        <v>0</v>
      </c>
      <c r="AO313" s="25">
        <f t="shared" si="737"/>
        <v>0</v>
      </c>
      <c r="AP313" s="25">
        <f t="shared" si="738"/>
        <v>0</v>
      </c>
      <c r="AQ313" s="25">
        <f t="shared" si="739"/>
        <v>0</v>
      </c>
      <c r="AR313" s="25">
        <f t="shared" si="740"/>
        <v>0</v>
      </c>
      <c r="AS313" s="25">
        <f t="shared" si="741"/>
        <v>0</v>
      </c>
      <c r="AT313" s="25">
        <f t="shared" si="742"/>
        <v>0</v>
      </c>
      <c r="AU313" s="48"/>
      <c r="AV313" s="48"/>
      <c r="AW313" s="48"/>
      <c r="AX313" s="48"/>
      <c r="AY313" s="48"/>
      <c r="AZ313" s="48"/>
      <c r="BA313" s="48"/>
      <c r="BB313" s="48"/>
      <c r="BC313" s="48"/>
      <c r="BD313" s="48"/>
      <c r="BE313" s="48"/>
      <c r="BF313" s="48"/>
      <c r="BG313" s="48"/>
      <c r="BH313" s="48"/>
      <c r="BI313" s="48"/>
      <c r="BJ313" s="48"/>
      <c r="BK313" s="48"/>
      <c r="BL313" s="48"/>
      <c r="BM313" s="48"/>
      <c r="BN313" s="48"/>
      <c r="BO313" s="48"/>
      <c r="BP313" s="48"/>
      <c r="BQ313" s="48"/>
      <c r="BR313" s="48"/>
      <c r="BS313" s="48"/>
      <c r="BT313" s="48"/>
      <c r="BU313" s="48"/>
      <c r="BV313" s="48"/>
      <c r="BW313" s="48"/>
      <c r="BX313" s="48"/>
      <c r="BY313" s="48"/>
      <c r="BZ313" s="48"/>
      <c r="CA313" s="48"/>
      <c r="CB313" s="48"/>
      <c r="CC313" s="48"/>
      <c r="CD313" s="48"/>
      <c r="CE313" s="48"/>
      <c r="CF313" s="48"/>
      <c r="CG313" s="48"/>
      <c r="CH313" s="48"/>
      <c r="CI313" s="48"/>
      <c r="CJ313" s="48"/>
      <c r="CK313" s="48"/>
      <c r="CL313" s="48"/>
      <c r="CM313" s="48"/>
      <c r="CN313" s="48"/>
      <c r="CO313" s="48"/>
      <c r="CP313" s="48"/>
      <c r="CQ313" s="48"/>
      <c r="CR313" s="48"/>
      <c r="CS313" s="48"/>
      <c r="CT313" s="48"/>
      <c r="CU313" s="48"/>
      <c r="CV313" s="48"/>
      <c r="CW313" s="48"/>
      <c r="CX313" s="48"/>
      <c r="CY313" s="48"/>
      <c r="CZ313" s="48"/>
      <c r="DA313" s="48"/>
      <c r="DB313" s="48"/>
      <c r="DC313" s="48"/>
      <c r="DD313" s="48"/>
      <c r="DE313" s="48"/>
      <c r="DF313" s="48"/>
      <c r="DG313" s="48"/>
      <c r="DH313" s="48"/>
      <c r="DI313" s="48"/>
      <c r="DJ313" s="48"/>
      <c r="DK313" s="48"/>
      <c r="DL313" s="48"/>
      <c r="DM313" s="48"/>
      <c r="DN313" s="48"/>
      <c r="DO313" s="48"/>
      <c r="DP313" s="48"/>
      <c r="DQ313" s="48"/>
      <c r="DR313" s="48"/>
      <c r="DS313" s="48"/>
      <c r="DT313" s="48"/>
      <c r="DU313" s="48"/>
      <c r="DV313" s="48"/>
      <c r="DW313" s="48"/>
      <c r="DX313" s="48"/>
      <c r="DY313" s="48"/>
      <c r="DZ313" s="48"/>
      <c r="EA313" s="48"/>
      <c r="EB313" s="48"/>
      <c r="EC313" s="48"/>
      <c r="ED313" s="48"/>
      <c r="EE313" s="48"/>
      <c r="EF313" s="48"/>
      <c r="EG313" s="48"/>
      <c r="EH313" s="48"/>
      <c r="EI313" s="48"/>
      <c r="EJ313" s="48"/>
      <c r="EK313" s="48"/>
    </row>
    <row r="314" spans="1:141" s="12" customFormat="1" ht="14.25" hidden="1" customHeight="1">
      <c r="A314" s="25">
        <v>86</v>
      </c>
      <c r="B314" s="26"/>
      <c r="C314" s="25"/>
      <c r="D314" s="24"/>
      <c r="E314" s="60"/>
      <c r="F314" s="59"/>
      <c r="G314" s="58">
        <f t="shared" si="723"/>
        <v>0</v>
      </c>
      <c r="H314" s="57">
        <f t="shared" si="724"/>
        <v>0</v>
      </c>
      <c r="I314" s="19"/>
      <c r="J314" s="11">
        <f t="shared" si="725"/>
        <v>0</v>
      </c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8"/>
      <c r="AB314" s="56">
        <f t="shared" si="726"/>
        <v>0</v>
      </c>
      <c r="AC314" s="16">
        <f t="shared" si="727"/>
        <v>0</v>
      </c>
      <c r="AD314" s="15" t="e">
        <f t="shared" si="728"/>
        <v>#DIV/0!</v>
      </c>
      <c r="AE314" s="55"/>
      <c r="AF314" s="10" t="e">
        <f t="shared" si="729"/>
        <v>#DIV/0!</v>
      </c>
      <c r="AG314" s="10"/>
      <c r="AH314" s="21">
        <f t="shared" si="730"/>
        <v>0</v>
      </c>
      <c r="AI314" s="54" t="e">
        <f t="shared" si="731"/>
        <v>#DIV/0!</v>
      </c>
      <c r="AJ314" s="25">
        <f t="shared" si="732"/>
        <v>0</v>
      </c>
      <c r="AK314" s="25">
        <f t="shared" si="733"/>
        <v>0</v>
      </c>
      <c r="AL314" s="25">
        <f t="shared" si="734"/>
        <v>0</v>
      </c>
      <c r="AM314" s="25">
        <f t="shared" si="735"/>
        <v>0</v>
      </c>
      <c r="AN314" s="25">
        <f t="shared" si="736"/>
        <v>0</v>
      </c>
      <c r="AO314" s="25">
        <f t="shared" si="737"/>
        <v>0</v>
      </c>
      <c r="AP314" s="25">
        <f t="shared" si="738"/>
        <v>0</v>
      </c>
      <c r="AQ314" s="25">
        <f t="shared" si="739"/>
        <v>0</v>
      </c>
      <c r="AR314" s="25">
        <f t="shared" si="740"/>
        <v>0</v>
      </c>
      <c r="AS314" s="25">
        <f t="shared" si="741"/>
        <v>0</v>
      </c>
      <c r="AT314" s="25">
        <f t="shared" si="742"/>
        <v>0</v>
      </c>
      <c r="AU314" s="48"/>
      <c r="AV314" s="48"/>
      <c r="AW314" s="48"/>
      <c r="AX314" s="48"/>
      <c r="AY314" s="48"/>
      <c r="AZ314" s="48"/>
      <c r="BA314" s="48"/>
      <c r="BB314" s="48"/>
      <c r="BC314" s="48"/>
      <c r="BD314" s="48"/>
      <c r="BE314" s="48"/>
      <c r="BF314" s="48"/>
      <c r="BG314" s="48"/>
      <c r="BH314" s="48"/>
      <c r="BI314" s="48"/>
      <c r="BJ314" s="48"/>
      <c r="BK314" s="48"/>
      <c r="BL314" s="48"/>
      <c r="BM314" s="48"/>
      <c r="BN314" s="48"/>
      <c r="BO314" s="48"/>
      <c r="BP314" s="48"/>
      <c r="BQ314" s="48"/>
      <c r="BR314" s="48"/>
      <c r="BS314" s="48"/>
      <c r="BT314" s="48"/>
      <c r="BU314" s="48"/>
      <c r="BV314" s="48"/>
      <c r="BW314" s="48"/>
      <c r="BX314" s="48"/>
      <c r="BY314" s="48"/>
      <c r="BZ314" s="48"/>
      <c r="CA314" s="48"/>
      <c r="CB314" s="48"/>
      <c r="CC314" s="48"/>
      <c r="CD314" s="48"/>
      <c r="CE314" s="48"/>
      <c r="CF314" s="48"/>
      <c r="CG314" s="48"/>
      <c r="CH314" s="48"/>
      <c r="CI314" s="48"/>
      <c r="CJ314" s="48"/>
      <c r="CK314" s="48"/>
      <c r="CL314" s="48"/>
      <c r="CM314" s="48"/>
      <c r="CN314" s="48"/>
      <c r="CO314" s="48"/>
      <c r="CP314" s="48"/>
      <c r="CQ314" s="48"/>
      <c r="CR314" s="48"/>
      <c r="CS314" s="48"/>
      <c r="CT314" s="48"/>
      <c r="CU314" s="48"/>
      <c r="CV314" s="48"/>
      <c r="CW314" s="48"/>
      <c r="CX314" s="48"/>
      <c r="CY314" s="48"/>
      <c r="CZ314" s="48"/>
      <c r="DA314" s="48"/>
      <c r="DB314" s="48"/>
      <c r="DC314" s="48"/>
      <c r="DD314" s="48"/>
      <c r="DE314" s="48"/>
      <c r="DF314" s="48"/>
      <c r="DG314" s="48"/>
      <c r="DH314" s="48"/>
      <c r="DI314" s="48"/>
      <c r="DJ314" s="48"/>
      <c r="DK314" s="48"/>
      <c r="DL314" s="48"/>
      <c r="DM314" s="48"/>
      <c r="DN314" s="48"/>
      <c r="DO314" s="48"/>
      <c r="DP314" s="48"/>
      <c r="DQ314" s="48"/>
      <c r="DR314" s="48"/>
      <c r="DS314" s="48"/>
      <c r="DT314" s="48"/>
      <c r="DU314" s="48"/>
      <c r="DV314" s="48"/>
      <c r="DW314" s="48"/>
      <c r="DX314" s="48"/>
      <c r="DY314" s="48"/>
      <c r="DZ314" s="48"/>
      <c r="EA314" s="48"/>
      <c r="EB314" s="48"/>
      <c r="EC314" s="48"/>
      <c r="ED314" s="48"/>
      <c r="EE314" s="48"/>
      <c r="EF314" s="48"/>
      <c r="EG314" s="48"/>
      <c r="EH314" s="48"/>
      <c r="EI314" s="48"/>
      <c r="EJ314" s="48"/>
      <c r="EK314" s="48"/>
    </row>
    <row r="315" spans="1:141" s="12" customFormat="1" ht="14.25" hidden="1" customHeight="1">
      <c r="A315" s="25">
        <v>87</v>
      </c>
      <c r="B315" s="26"/>
      <c r="C315" s="25"/>
      <c r="D315" s="24"/>
      <c r="E315" s="60"/>
      <c r="F315" s="59"/>
      <c r="G315" s="58">
        <f t="shared" si="723"/>
        <v>0</v>
      </c>
      <c r="H315" s="57">
        <f t="shared" si="724"/>
        <v>0</v>
      </c>
      <c r="I315" s="19"/>
      <c r="J315" s="11">
        <f t="shared" si="725"/>
        <v>0</v>
      </c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8"/>
      <c r="AB315" s="56">
        <f t="shared" si="726"/>
        <v>0</v>
      </c>
      <c r="AC315" s="16">
        <f t="shared" si="727"/>
        <v>0</v>
      </c>
      <c r="AD315" s="15" t="e">
        <f t="shared" si="728"/>
        <v>#DIV/0!</v>
      </c>
      <c r="AE315" s="55"/>
      <c r="AF315" s="10" t="e">
        <f t="shared" si="729"/>
        <v>#DIV/0!</v>
      </c>
      <c r="AG315" s="10"/>
      <c r="AH315" s="21">
        <f t="shared" si="730"/>
        <v>0</v>
      </c>
      <c r="AI315" s="54" t="e">
        <f t="shared" si="731"/>
        <v>#DIV/0!</v>
      </c>
      <c r="AJ315" s="25">
        <f t="shared" si="732"/>
        <v>0</v>
      </c>
      <c r="AK315" s="25">
        <f t="shared" si="733"/>
        <v>0</v>
      </c>
      <c r="AL315" s="25">
        <f t="shared" si="734"/>
        <v>0</v>
      </c>
      <c r="AM315" s="25">
        <f t="shared" si="735"/>
        <v>0</v>
      </c>
      <c r="AN315" s="25">
        <f t="shared" si="736"/>
        <v>0</v>
      </c>
      <c r="AO315" s="25">
        <f t="shared" si="737"/>
        <v>0</v>
      </c>
      <c r="AP315" s="25">
        <f t="shared" si="738"/>
        <v>0</v>
      </c>
      <c r="AQ315" s="25">
        <f t="shared" si="739"/>
        <v>0</v>
      </c>
      <c r="AR315" s="25">
        <f t="shared" si="740"/>
        <v>0</v>
      </c>
      <c r="AS315" s="25">
        <f t="shared" si="741"/>
        <v>0</v>
      </c>
      <c r="AT315" s="25">
        <f t="shared" si="742"/>
        <v>0</v>
      </c>
      <c r="AU315" s="48"/>
      <c r="AV315" s="48"/>
      <c r="AW315" s="48"/>
      <c r="AX315" s="48"/>
      <c r="AY315" s="48"/>
      <c r="AZ315" s="48"/>
      <c r="BA315" s="48"/>
      <c r="BB315" s="48"/>
      <c r="BC315" s="48"/>
      <c r="BD315" s="48"/>
      <c r="BE315" s="48"/>
      <c r="BF315" s="48"/>
      <c r="BG315" s="48"/>
      <c r="BH315" s="48"/>
      <c r="BI315" s="48"/>
      <c r="BJ315" s="48"/>
      <c r="BK315" s="48"/>
      <c r="BL315" s="48"/>
      <c r="BM315" s="48"/>
      <c r="BN315" s="48"/>
      <c r="BO315" s="48"/>
      <c r="BP315" s="48"/>
      <c r="BQ315" s="48"/>
      <c r="BR315" s="48"/>
      <c r="BS315" s="48"/>
      <c r="BT315" s="48"/>
      <c r="BU315" s="48"/>
      <c r="BV315" s="48"/>
      <c r="BW315" s="48"/>
      <c r="BX315" s="48"/>
      <c r="BY315" s="48"/>
      <c r="BZ315" s="48"/>
      <c r="CA315" s="48"/>
      <c r="CB315" s="48"/>
      <c r="CC315" s="48"/>
      <c r="CD315" s="48"/>
      <c r="CE315" s="48"/>
      <c r="CF315" s="48"/>
      <c r="CG315" s="48"/>
      <c r="CH315" s="48"/>
      <c r="CI315" s="48"/>
      <c r="CJ315" s="48"/>
      <c r="CK315" s="48"/>
      <c r="CL315" s="48"/>
      <c r="CM315" s="48"/>
      <c r="CN315" s="48"/>
      <c r="CO315" s="48"/>
      <c r="CP315" s="48"/>
      <c r="CQ315" s="48"/>
      <c r="CR315" s="48"/>
      <c r="CS315" s="48"/>
      <c r="CT315" s="48"/>
      <c r="CU315" s="48"/>
      <c r="CV315" s="48"/>
      <c r="CW315" s="48"/>
      <c r="CX315" s="48"/>
      <c r="CY315" s="48"/>
      <c r="CZ315" s="48"/>
      <c r="DA315" s="48"/>
      <c r="DB315" s="48"/>
      <c r="DC315" s="48"/>
      <c r="DD315" s="48"/>
      <c r="DE315" s="48"/>
      <c r="DF315" s="48"/>
      <c r="DG315" s="48"/>
      <c r="DH315" s="48"/>
      <c r="DI315" s="48"/>
      <c r="DJ315" s="48"/>
      <c r="DK315" s="48"/>
      <c r="DL315" s="48"/>
      <c r="DM315" s="48"/>
      <c r="DN315" s="48"/>
      <c r="DO315" s="48"/>
      <c r="DP315" s="48"/>
      <c r="DQ315" s="48"/>
      <c r="DR315" s="48"/>
      <c r="DS315" s="48"/>
      <c r="DT315" s="48"/>
      <c r="DU315" s="48"/>
      <c r="DV315" s="48"/>
      <c r="DW315" s="48"/>
      <c r="DX315" s="48"/>
      <c r="DY315" s="48"/>
      <c r="DZ315" s="48"/>
      <c r="EA315" s="48"/>
      <c r="EB315" s="48"/>
      <c r="EC315" s="48"/>
      <c r="ED315" s="48"/>
      <c r="EE315" s="48"/>
      <c r="EF315" s="48"/>
      <c r="EG315" s="48"/>
      <c r="EH315" s="48"/>
      <c r="EI315" s="48"/>
      <c r="EJ315" s="48"/>
      <c r="EK315" s="48"/>
    </row>
    <row r="316" spans="1:141" s="12" customFormat="1" ht="14.25" hidden="1" customHeight="1">
      <c r="A316" s="25">
        <v>88</v>
      </c>
      <c r="B316" s="26"/>
      <c r="C316" s="25"/>
      <c r="D316" s="24"/>
      <c r="E316" s="60"/>
      <c r="F316" s="59"/>
      <c r="G316" s="58">
        <f t="shared" si="723"/>
        <v>0</v>
      </c>
      <c r="H316" s="57">
        <f t="shared" si="724"/>
        <v>0</v>
      </c>
      <c r="I316" s="19"/>
      <c r="J316" s="11">
        <f t="shared" si="725"/>
        <v>0</v>
      </c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8"/>
      <c r="AB316" s="56">
        <f t="shared" si="726"/>
        <v>0</v>
      </c>
      <c r="AC316" s="16">
        <f t="shared" si="727"/>
        <v>0</v>
      </c>
      <c r="AD316" s="15" t="e">
        <f t="shared" si="728"/>
        <v>#DIV/0!</v>
      </c>
      <c r="AE316" s="55"/>
      <c r="AF316" s="10" t="e">
        <f t="shared" si="729"/>
        <v>#DIV/0!</v>
      </c>
      <c r="AG316" s="10"/>
      <c r="AH316" s="21">
        <f t="shared" si="730"/>
        <v>0</v>
      </c>
      <c r="AI316" s="54" t="e">
        <f t="shared" si="731"/>
        <v>#DIV/0!</v>
      </c>
      <c r="AJ316" s="25">
        <f t="shared" si="732"/>
        <v>0</v>
      </c>
      <c r="AK316" s="25">
        <f t="shared" si="733"/>
        <v>0</v>
      </c>
      <c r="AL316" s="25">
        <f t="shared" si="734"/>
        <v>0</v>
      </c>
      <c r="AM316" s="25">
        <f t="shared" si="735"/>
        <v>0</v>
      </c>
      <c r="AN316" s="25">
        <f t="shared" si="736"/>
        <v>0</v>
      </c>
      <c r="AO316" s="25">
        <f t="shared" si="737"/>
        <v>0</v>
      </c>
      <c r="AP316" s="25">
        <f t="shared" si="738"/>
        <v>0</v>
      </c>
      <c r="AQ316" s="25">
        <f t="shared" si="739"/>
        <v>0</v>
      </c>
      <c r="AR316" s="25">
        <f t="shared" si="740"/>
        <v>0</v>
      </c>
      <c r="AS316" s="25">
        <f t="shared" si="741"/>
        <v>0</v>
      </c>
      <c r="AT316" s="25">
        <f t="shared" si="742"/>
        <v>0</v>
      </c>
      <c r="AU316" s="48"/>
      <c r="AV316" s="48"/>
      <c r="AW316" s="48"/>
      <c r="AX316" s="48"/>
      <c r="AY316" s="48"/>
      <c r="AZ316" s="48"/>
      <c r="BA316" s="48"/>
      <c r="BB316" s="48"/>
      <c r="BC316" s="48"/>
      <c r="BD316" s="48"/>
      <c r="BE316" s="48"/>
      <c r="BF316" s="48"/>
      <c r="BG316" s="48"/>
      <c r="BH316" s="48"/>
      <c r="BI316" s="48"/>
      <c r="BJ316" s="48"/>
      <c r="BK316" s="48"/>
      <c r="BL316" s="48"/>
      <c r="BM316" s="48"/>
      <c r="BN316" s="48"/>
      <c r="BO316" s="48"/>
      <c r="BP316" s="48"/>
      <c r="BQ316" s="48"/>
      <c r="BR316" s="48"/>
      <c r="BS316" s="48"/>
      <c r="BT316" s="48"/>
      <c r="BU316" s="48"/>
      <c r="BV316" s="48"/>
      <c r="BW316" s="48"/>
      <c r="BX316" s="48"/>
      <c r="BY316" s="48"/>
      <c r="BZ316" s="48"/>
      <c r="CA316" s="48"/>
      <c r="CB316" s="48"/>
      <c r="CC316" s="48"/>
      <c r="CD316" s="48"/>
      <c r="CE316" s="48"/>
      <c r="CF316" s="48"/>
      <c r="CG316" s="48"/>
      <c r="CH316" s="48"/>
      <c r="CI316" s="48"/>
      <c r="CJ316" s="48"/>
      <c r="CK316" s="48"/>
      <c r="CL316" s="48"/>
      <c r="CM316" s="48"/>
      <c r="CN316" s="48"/>
      <c r="CO316" s="48"/>
      <c r="CP316" s="48"/>
      <c r="CQ316" s="48"/>
      <c r="CR316" s="48"/>
      <c r="CS316" s="48"/>
      <c r="CT316" s="48"/>
      <c r="CU316" s="48"/>
      <c r="CV316" s="48"/>
      <c r="CW316" s="48"/>
      <c r="CX316" s="48"/>
      <c r="CY316" s="48"/>
      <c r="CZ316" s="48"/>
      <c r="DA316" s="48"/>
      <c r="DB316" s="48"/>
      <c r="DC316" s="48"/>
      <c r="DD316" s="48"/>
      <c r="DE316" s="48"/>
      <c r="DF316" s="48"/>
      <c r="DG316" s="48"/>
      <c r="DH316" s="48"/>
      <c r="DI316" s="48"/>
      <c r="DJ316" s="48"/>
      <c r="DK316" s="48"/>
      <c r="DL316" s="48"/>
      <c r="DM316" s="48"/>
      <c r="DN316" s="48"/>
      <c r="DO316" s="48"/>
      <c r="DP316" s="48"/>
      <c r="DQ316" s="48"/>
      <c r="DR316" s="48"/>
      <c r="DS316" s="48"/>
      <c r="DT316" s="48"/>
      <c r="DU316" s="48"/>
      <c r="DV316" s="48"/>
      <c r="DW316" s="48"/>
      <c r="DX316" s="48"/>
      <c r="DY316" s="48"/>
      <c r="DZ316" s="48"/>
      <c r="EA316" s="48"/>
      <c r="EB316" s="48"/>
      <c r="EC316" s="48"/>
      <c r="ED316" s="48"/>
      <c r="EE316" s="48"/>
      <c r="EF316" s="48"/>
      <c r="EG316" s="48"/>
      <c r="EH316" s="48"/>
      <c r="EI316" s="48"/>
      <c r="EJ316" s="48"/>
      <c r="EK316" s="48"/>
    </row>
    <row r="317" spans="1:141" s="12" customFormat="1" ht="14.25" hidden="1" customHeight="1">
      <c r="A317" s="25">
        <v>89</v>
      </c>
      <c r="B317" s="26"/>
      <c r="C317" s="25"/>
      <c r="D317" s="24"/>
      <c r="E317" s="60"/>
      <c r="F317" s="59"/>
      <c r="G317" s="58">
        <f t="shared" si="723"/>
        <v>0</v>
      </c>
      <c r="H317" s="57">
        <f t="shared" si="724"/>
        <v>0</v>
      </c>
      <c r="I317" s="19"/>
      <c r="J317" s="11">
        <f t="shared" si="725"/>
        <v>0</v>
      </c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8"/>
      <c r="AB317" s="56">
        <f t="shared" si="726"/>
        <v>0</v>
      </c>
      <c r="AC317" s="16">
        <f t="shared" si="727"/>
        <v>0</v>
      </c>
      <c r="AD317" s="15" t="e">
        <f t="shared" si="728"/>
        <v>#DIV/0!</v>
      </c>
      <c r="AE317" s="55"/>
      <c r="AF317" s="10" t="e">
        <f t="shared" si="729"/>
        <v>#DIV/0!</v>
      </c>
      <c r="AG317" s="10"/>
      <c r="AH317" s="21">
        <f t="shared" si="730"/>
        <v>0</v>
      </c>
      <c r="AI317" s="54" t="e">
        <f t="shared" si="731"/>
        <v>#DIV/0!</v>
      </c>
      <c r="AJ317" s="25">
        <f t="shared" si="732"/>
        <v>0</v>
      </c>
      <c r="AK317" s="25">
        <f t="shared" si="733"/>
        <v>0</v>
      </c>
      <c r="AL317" s="25">
        <f t="shared" si="734"/>
        <v>0</v>
      </c>
      <c r="AM317" s="25">
        <f t="shared" si="735"/>
        <v>0</v>
      </c>
      <c r="AN317" s="25">
        <f t="shared" si="736"/>
        <v>0</v>
      </c>
      <c r="AO317" s="25">
        <f t="shared" si="737"/>
        <v>0</v>
      </c>
      <c r="AP317" s="25">
        <f t="shared" si="738"/>
        <v>0</v>
      </c>
      <c r="AQ317" s="25">
        <f t="shared" si="739"/>
        <v>0</v>
      </c>
      <c r="AR317" s="25">
        <f t="shared" si="740"/>
        <v>0</v>
      </c>
      <c r="AS317" s="25">
        <f t="shared" si="741"/>
        <v>0</v>
      </c>
      <c r="AT317" s="25">
        <f t="shared" si="742"/>
        <v>0</v>
      </c>
      <c r="AU317" s="48"/>
      <c r="AV317" s="48"/>
      <c r="AW317" s="48"/>
      <c r="AX317" s="48"/>
      <c r="AY317" s="48"/>
      <c r="AZ317" s="48"/>
      <c r="BA317" s="48"/>
      <c r="BB317" s="48"/>
      <c r="BC317" s="48"/>
      <c r="BD317" s="48"/>
      <c r="BE317" s="48"/>
      <c r="BF317" s="48"/>
      <c r="BG317" s="48"/>
      <c r="BH317" s="48"/>
      <c r="BI317" s="48"/>
      <c r="BJ317" s="48"/>
      <c r="BK317" s="48"/>
      <c r="BL317" s="48"/>
      <c r="BM317" s="48"/>
      <c r="BN317" s="48"/>
      <c r="BO317" s="48"/>
      <c r="BP317" s="48"/>
      <c r="BQ317" s="48"/>
      <c r="BR317" s="48"/>
      <c r="BS317" s="48"/>
      <c r="BT317" s="48"/>
      <c r="BU317" s="48"/>
      <c r="BV317" s="48"/>
      <c r="BW317" s="48"/>
      <c r="BX317" s="48"/>
      <c r="BY317" s="48"/>
      <c r="BZ317" s="48"/>
      <c r="CA317" s="48"/>
      <c r="CB317" s="48"/>
      <c r="CC317" s="48"/>
      <c r="CD317" s="48"/>
      <c r="CE317" s="48"/>
      <c r="CF317" s="48"/>
      <c r="CG317" s="48"/>
      <c r="CH317" s="48"/>
      <c r="CI317" s="48"/>
      <c r="CJ317" s="48"/>
      <c r="CK317" s="48"/>
      <c r="CL317" s="48"/>
      <c r="CM317" s="48"/>
      <c r="CN317" s="48"/>
      <c r="CO317" s="48"/>
      <c r="CP317" s="48"/>
      <c r="CQ317" s="48"/>
      <c r="CR317" s="48"/>
      <c r="CS317" s="48"/>
      <c r="CT317" s="48"/>
      <c r="CU317" s="48"/>
      <c r="CV317" s="48"/>
      <c r="CW317" s="48"/>
      <c r="CX317" s="48"/>
      <c r="CY317" s="48"/>
      <c r="CZ317" s="48"/>
      <c r="DA317" s="48"/>
      <c r="DB317" s="48"/>
      <c r="DC317" s="48"/>
      <c r="DD317" s="48"/>
      <c r="DE317" s="48"/>
      <c r="DF317" s="48"/>
      <c r="DG317" s="48"/>
      <c r="DH317" s="48"/>
      <c r="DI317" s="48"/>
      <c r="DJ317" s="48"/>
      <c r="DK317" s="48"/>
      <c r="DL317" s="48"/>
      <c r="DM317" s="48"/>
      <c r="DN317" s="48"/>
      <c r="DO317" s="48"/>
      <c r="DP317" s="48"/>
      <c r="DQ317" s="48"/>
      <c r="DR317" s="48"/>
      <c r="DS317" s="48"/>
      <c r="DT317" s="48"/>
      <c r="DU317" s="48"/>
      <c r="DV317" s="48"/>
      <c r="DW317" s="48"/>
      <c r="DX317" s="48"/>
      <c r="DY317" s="48"/>
      <c r="DZ317" s="48"/>
      <c r="EA317" s="48"/>
      <c r="EB317" s="48"/>
      <c r="EC317" s="48"/>
      <c r="ED317" s="48"/>
      <c r="EE317" s="48"/>
      <c r="EF317" s="48"/>
      <c r="EG317" s="48"/>
      <c r="EH317" s="48"/>
      <c r="EI317" s="48"/>
      <c r="EJ317" s="48"/>
      <c r="EK317" s="48"/>
    </row>
    <row r="318" spans="1:141" s="12" customFormat="1" ht="14.25" hidden="1" customHeight="1">
      <c r="A318" s="25">
        <v>90</v>
      </c>
      <c r="B318" s="53"/>
      <c r="C318" s="49"/>
      <c r="D318" s="52"/>
      <c r="E318" s="34"/>
      <c r="F318" s="49"/>
      <c r="G318" s="58">
        <f t="shared" si="723"/>
        <v>0</v>
      </c>
      <c r="H318" s="57">
        <f t="shared" si="724"/>
        <v>0</v>
      </c>
      <c r="I318" s="19"/>
      <c r="J318" s="11">
        <f t="shared" si="725"/>
        <v>0</v>
      </c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8"/>
      <c r="AB318" s="56">
        <f t="shared" si="726"/>
        <v>0</v>
      </c>
      <c r="AC318" s="16">
        <f t="shared" si="727"/>
        <v>0</v>
      </c>
      <c r="AD318" s="15" t="e">
        <f t="shared" si="728"/>
        <v>#DIV/0!</v>
      </c>
      <c r="AE318" s="55"/>
      <c r="AF318" s="10" t="e">
        <f t="shared" si="729"/>
        <v>#DIV/0!</v>
      </c>
      <c r="AG318" s="10"/>
      <c r="AH318" s="21">
        <f t="shared" si="730"/>
        <v>0</v>
      </c>
      <c r="AI318" s="54" t="e">
        <f t="shared" si="731"/>
        <v>#DIV/0!</v>
      </c>
      <c r="AJ318" s="25">
        <f t="shared" si="732"/>
        <v>0</v>
      </c>
      <c r="AK318" s="25">
        <f t="shared" si="733"/>
        <v>0</v>
      </c>
      <c r="AL318" s="25">
        <f t="shared" si="734"/>
        <v>0</v>
      </c>
      <c r="AM318" s="25">
        <f t="shared" si="735"/>
        <v>0</v>
      </c>
      <c r="AN318" s="25">
        <f t="shared" si="736"/>
        <v>0</v>
      </c>
      <c r="AO318" s="25">
        <f t="shared" si="737"/>
        <v>0</v>
      </c>
      <c r="AP318" s="25">
        <f t="shared" si="738"/>
        <v>0</v>
      </c>
      <c r="AQ318" s="25">
        <f t="shared" si="739"/>
        <v>0</v>
      </c>
      <c r="AR318" s="25">
        <f t="shared" si="740"/>
        <v>0</v>
      </c>
      <c r="AS318" s="25">
        <f t="shared" si="741"/>
        <v>0</v>
      </c>
      <c r="AT318" s="25">
        <f t="shared" si="742"/>
        <v>0</v>
      </c>
      <c r="AU318" s="48"/>
      <c r="AV318" s="48"/>
      <c r="AW318" s="48"/>
      <c r="AX318" s="48"/>
      <c r="AY318" s="48"/>
      <c r="AZ318" s="48"/>
      <c r="BA318" s="48"/>
      <c r="BB318" s="48"/>
      <c r="BC318" s="48"/>
      <c r="BD318" s="48"/>
      <c r="BE318" s="48"/>
      <c r="BF318" s="48"/>
      <c r="BG318" s="48"/>
      <c r="BH318" s="48"/>
      <c r="BI318" s="48"/>
      <c r="BJ318" s="48"/>
      <c r="BK318" s="48"/>
      <c r="BL318" s="48"/>
      <c r="BM318" s="48"/>
      <c r="BN318" s="48"/>
      <c r="BO318" s="48"/>
      <c r="BP318" s="48"/>
      <c r="BQ318" s="48"/>
      <c r="BR318" s="48"/>
      <c r="BS318" s="48"/>
      <c r="BT318" s="48"/>
      <c r="BU318" s="48"/>
      <c r="BV318" s="48"/>
      <c r="BW318" s="48"/>
      <c r="BX318" s="48"/>
      <c r="BY318" s="48"/>
      <c r="BZ318" s="48"/>
      <c r="CA318" s="48"/>
      <c r="CB318" s="48"/>
      <c r="CC318" s="48"/>
      <c r="CD318" s="48"/>
      <c r="CE318" s="48"/>
      <c r="CF318" s="48"/>
      <c r="CG318" s="48"/>
      <c r="CH318" s="48"/>
      <c r="CI318" s="48"/>
      <c r="CJ318" s="48"/>
      <c r="CK318" s="48"/>
      <c r="CL318" s="48"/>
      <c r="CM318" s="48"/>
      <c r="CN318" s="48"/>
      <c r="CO318" s="48"/>
      <c r="CP318" s="48"/>
      <c r="CQ318" s="48"/>
      <c r="CR318" s="48"/>
      <c r="CS318" s="48"/>
      <c r="CT318" s="48"/>
      <c r="CU318" s="48"/>
      <c r="CV318" s="48"/>
      <c r="CW318" s="48"/>
      <c r="CX318" s="48"/>
      <c r="CY318" s="48"/>
      <c r="CZ318" s="48"/>
      <c r="DA318" s="48"/>
      <c r="DB318" s="48"/>
      <c r="DC318" s="48"/>
      <c r="DD318" s="48"/>
      <c r="DE318" s="48"/>
      <c r="DF318" s="48"/>
      <c r="DG318" s="48"/>
      <c r="DH318" s="48"/>
      <c r="DI318" s="48"/>
      <c r="DJ318" s="48"/>
      <c r="DK318" s="48"/>
      <c r="DL318" s="48"/>
      <c r="DM318" s="48"/>
      <c r="DN318" s="48"/>
      <c r="DO318" s="48"/>
      <c r="DP318" s="48"/>
      <c r="DQ318" s="48"/>
      <c r="DR318" s="48"/>
      <c r="DS318" s="48"/>
      <c r="DT318" s="48"/>
      <c r="DU318" s="48"/>
      <c r="DV318" s="48"/>
      <c r="DW318" s="48"/>
      <c r="DX318" s="48"/>
      <c r="DY318" s="48"/>
      <c r="DZ318" s="48"/>
      <c r="EA318" s="48"/>
      <c r="EB318" s="48"/>
      <c r="EC318" s="48"/>
      <c r="ED318" s="48"/>
      <c r="EE318" s="48"/>
      <c r="EF318" s="48"/>
      <c r="EG318" s="48"/>
      <c r="EH318" s="48"/>
      <c r="EI318" s="48"/>
      <c r="EJ318" s="48"/>
      <c r="EK318" s="48"/>
    </row>
    <row r="319" spans="1:141" s="12" customFormat="1" ht="14.25" hidden="1" customHeight="1">
      <c r="A319" s="25"/>
      <c r="B319" s="53"/>
      <c r="C319" s="49"/>
      <c r="D319" s="52"/>
      <c r="E319" s="34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  <c r="AA319" s="49"/>
      <c r="AB319" s="51"/>
      <c r="AC319" s="51"/>
      <c r="AD319" s="49"/>
      <c r="AE319" s="50"/>
      <c r="AF319" s="49"/>
      <c r="AG319" s="49"/>
      <c r="AH319" s="49"/>
      <c r="AI319" s="49"/>
      <c r="AJ319" s="48"/>
      <c r="AK319" s="48"/>
      <c r="AL319" s="48"/>
      <c r="AM319" s="48"/>
      <c r="AN319" s="48"/>
      <c r="AO319" s="48"/>
      <c r="AP319" s="48"/>
      <c r="AQ319" s="48"/>
      <c r="AR319" s="48"/>
      <c r="AS319" s="48"/>
      <c r="AT319" s="48"/>
      <c r="AU319" s="48"/>
      <c r="AV319" s="48"/>
      <c r="AW319" s="48"/>
      <c r="AX319" s="48"/>
      <c r="AY319" s="48"/>
      <c r="AZ319" s="48"/>
      <c r="BA319" s="48"/>
      <c r="BB319" s="48"/>
      <c r="BC319" s="48"/>
      <c r="BD319" s="48"/>
      <c r="BE319" s="48"/>
      <c r="BF319" s="48"/>
      <c r="BG319" s="48"/>
      <c r="BH319" s="48"/>
      <c r="BI319" s="48"/>
      <c r="BJ319" s="48"/>
      <c r="BK319" s="48"/>
      <c r="BL319" s="48"/>
      <c r="BM319" s="48"/>
      <c r="BN319" s="48"/>
      <c r="BO319" s="48"/>
      <c r="BP319" s="48"/>
      <c r="BQ319" s="48"/>
      <c r="BR319" s="48"/>
      <c r="BS319" s="48"/>
      <c r="BT319" s="48"/>
      <c r="BU319" s="48"/>
      <c r="BV319" s="48"/>
      <c r="BW319" s="48"/>
      <c r="BX319" s="48"/>
      <c r="BY319" s="48"/>
      <c r="BZ319" s="48"/>
      <c r="CA319" s="48"/>
      <c r="CB319" s="48"/>
      <c r="CC319" s="48"/>
      <c r="CD319" s="48"/>
      <c r="CE319" s="48"/>
      <c r="CF319" s="48"/>
      <c r="CG319" s="48"/>
      <c r="CH319" s="48"/>
      <c r="CI319" s="48"/>
      <c r="CJ319" s="48"/>
      <c r="CK319" s="48"/>
      <c r="CL319" s="48"/>
      <c r="CM319" s="48"/>
      <c r="CN319" s="48"/>
      <c r="CO319" s="48"/>
      <c r="CP319" s="48"/>
      <c r="CQ319" s="48"/>
      <c r="CR319" s="48"/>
      <c r="CS319" s="48"/>
      <c r="CT319" s="48"/>
      <c r="CU319" s="48"/>
      <c r="CV319" s="48"/>
      <c r="CW319" s="48"/>
      <c r="CX319" s="48"/>
      <c r="CY319" s="48"/>
      <c r="CZ319" s="48"/>
      <c r="DA319" s="48"/>
      <c r="DB319" s="48"/>
      <c r="DC319" s="48"/>
      <c r="DD319" s="48"/>
      <c r="DE319" s="48"/>
      <c r="DF319" s="48"/>
      <c r="DG319" s="48"/>
      <c r="DH319" s="48"/>
      <c r="DI319" s="48"/>
      <c r="DJ319" s="48"/>
      <c r="DK319" s="48"/>
      <c r="DL319" s="48"/>
      <c r="DM319" s="48"/>
      <c r="DN319" s="48"/>
      <c r="DO319" s="48"/>
      <c r="DP319" s="48"/>
      <c r="DQ319" s="48"/>
      <c r="DR319" s="48"/>
      <c r="DS319" s="48"/>
      <c r="DT319" s="48"/>
      <c r="DU319" s="48"/>
      <c r="DV319" s="48"/>
      <c r="DW319" s="48"/>
      <c r="DX319" s="48"/>
      <c r="DY319" s="48"/>
      <c r="DZ319" s="48"/>
      <c r="EA319" s="48"/>
      <c r="EB319" s="48"/>
      <c r="EC319" s="48"/>
      <c r="ED319" s="48"/>
      <c r="EE319" s="48"/>
      <c r="EF319" s="48"/>
      <c r="EG319" s="48"/>
      <c r="EH319" s="48"/>
      <c r="EI319" s="48"/>
      <c r="EJ319" s="48"/>
      <c r="EK319" s="48"/>
    </row>
    <row r="320" spans="1:141" s="12" customFormat="1" ht="7.5" hidden="1" customHeight="1">
      <c r="B320" s="47"/>
      <c r="D320" s="31"/>
      <c r="E320" s="43"/>
      <c r="AB320" s="46"/>
      <c r="AC320" s="46"/>
      <c r="AE320" s="42"/>
      <c r="AX320" s="48"/>
      <c r="AY320" s="48"/>
      <c r="AZ320" s="48"/>
      <c r="BA320" s="48"/>
      <c r="BB320" s="48"/>
      <c r="BC320" s="48"/>
      <c r="BD320" s="48"/>
      <c r="BE320" s="48"/>
      <c r="BF320" s="48"/>
      <c r="BG320" s="48"/>
      <c r="BH320" s="48"/>
      <c r="BI320" s="48"/>
      <c r="BJ320" s="48"/>
      <c r="BK320" s="48"/>
      <c r="BL320" s="48"/>
      <c r="BM320" s="48"/>
      <c r="BN320" s="48"/>
      <c r="BO320" s="48"/>
      <c r="BP320" s="48"/>
      <c r="BQ320" s="48"/>
      <c r="BR320" s="48"/>
      <c r="BS320" s="48"/>
      <c r="BT320" s="48"/>
      <c r="BU320" s="48"/>
      <c r="BV320" s="48"/>
      <c r="BW320" s="48"/>
      <c r="BX320" s="48"/>
      <c r="BY320" s="48"/>
      <c r="BZ320" s="48"/>
      <c r="CA320" s="48"/>
      <c r="CB320" s="48"/>
      <c r="CC320" s="48"/>
      <c r="CD320" s="48"/>
      <c r="CE320" s="48"/>
      <c r="CF320" s="48"/>
      <c r="CG320" s="48"/>
      <c r="CH320" s="48"/>
      <c r="CI320" s="48"/>
      <c r="CJ320" s="48"/>
      <c r="CK320" s="48"/>
      <c r="CL320" s="48"/>
      <c r="CM320" s="48"/>
      <c r="CN320" s="48"/>
      <c r="CO320" s="48"/>
      <c r="CP320" s="48"/>
      <c r="CQ320" s="48"/>
      <c r="CR320" s="48"/>
      <c r="CS320" s="48"/>
      <c r="CT320" s="48"/>
      <c r="CU320" s="48"/>
      <c r="CV320" s="48"/>
      <c r="CW320" s="48"/>
      <c r="CX320" s="48"/>
      <c r="CY320" s="48"/>
      <c r="CZ320" s="48"/>
      <c r="DA320" s="48"/>
      <c r="DB320" s="48"/>
      <c r="DC320" s="48"/>
      <c r="DD320" s="48"/>
      <c r="DE320" s="48"/>
      <c r="DF320" s="48"/>
      <c r="DG320" s="48"/>
      <c r="DH320" s="48"/>
      <c r="DI320" s="48"/>
      <c r="DJ320" s="48"/>
      <c r="DK320" s="48"/>
      <c r="DL320" s="48"/>
      <c r="DM320" s="48"/>
      <c r="DN320" s="48"/>
      <c r="DO320" s="48"/>
      <c r="DP320" s="48"/>
      <c r="DQ320" s="48"/>
      <c r="DR320" s="48"/>
      <c r="DS320" s="48"/>
      <c r="DT320" s="48"/>
      <c r="DU320" s="48"/>
      <c r="DV320" s="48"/>
      <c r="DW320" s="48"/>
      <c r="DX320" s="48"/>
      <c r="DY320" s="48"/>
      <c r="DZ320" s="48"/>
      <c r="EA320" s="48"/>
      <c r="EB320" s="48"/>
      <c r="EC320" s="48"/>
      <c r="ED320" s="48"/>
      <c r="EE320" s="48"/>
      <c r="EF320" s="48"/>
      <c r="EG320" s="48"/>
      <c r="EH320" s="48"/>
      <c r="EI320" s="48"/>
      <c r="EJ320" s="48"/>
      <c r="EK320" s="48"/>
    </row>
    <row r="321" spans="1:56" s="12" customFormat="1" ht="7.5" hidden="1" customHeight="1">
      <c r="B321" s="47"/>
      <c r="D321" s="31"/>
      <c r="E321" s="43"/>
      <c r="AB321" s="46"/>
      <c r="AC321" s="46"/>
      <c r="AE321" s="42"/>
    </row>
    <row r="322" spans="1:56" s="12" customFormat="1" ht="7.5" hidden="1" customHeight="1">
      <c r="B322" s="47"/>
      <c r="D322" s="31"/>
      <c r="E322" s="43"/>
      <c r="AB322" s="46"/>
      <c r="AC322" s="46"/>
      <c r="AE322" s="42"/>
    </row>
    <row r="323" spans="1:56" s="12" customFormat="1" ht="7.5" hidden="1" customHeight="1">
      <c r="B323" s="47"/>
      <c r="D323" s="31"/>
      <c r="E323" s="43"/>
      <c r="AB323" s="46"/>
      <c r="AC323" s="46"/>
      <c r="AE323" s="42"/>
    </row>
    <row r="324" spans="1:56" s="12" customFormat="1" ht="7.5" hidden="1" customHeight="1">
      <c r="B324" s="47"/>
      <c r="D324" s="31"/>
      <c r="E324" s="43"/>
      <c r="AB324" s="46"/>
      <c r="AC324" s="46"/>
      <c r="AE324" s="42"/>
    </row>
    <row r="325" spans="1:56" s="12" customFormat="1" ht="14.25" hidden="1" customHeight="1">
      <c r="A325" s="45">
        <v>46113</v>
      </c>
      <c r="B325" s="44"/>
      <c r="D325" s="31"/>
      <c r="E325" s="43"/>
      <c r="AB325" s="9"/>
      <c r="AC325" s="9"/>
      <c r="AE325" s="42"/>
      <c r="AJ325" s="41"/>
      <c r="AK325" s="41"/>
      <c r="AL325" s="41"/>
      <c r="AM325" s="41"/>
      <c r="AN325" s="41"/>
      <c r="AO325" s="41"/>
      <c r="AP325" s="41"/>
      <c r="AQ325" s="41"/>
      <c r="AR325" s="41"/>
      <c r="AS325" s="41"/>
      <c r="AT325" s="41"/>
    </row>
    <row r="326" spans="1:56" s="12" customFormat="1" ht="45.75" customHeight="1">
      <c r="A326" s="39" t="s">
        <v>113</v>
      </c>
      <c r="B326" s="40" t="s">
        <v>318</v>
      </c>
      <c r="C326" s="39" t="str">
        <f>+$C$3</f>
        <v>Tên</v>
      </c>
      <c r="D326" s="34" t="str">
        <f>+$D$3</f>
        <v>Số máy</v>
      </c>
      <c r="E326" s="34" t="s">
        <v>30</v>
      </c>
      <c r="F326" s="39" t="str">
        <f>+$F$3</f>
        <v>%
học việc</v>
      </c>
      <c r="G326" s="38" t="str">
        <f>+$H$3</f>
        <v>Thời gian
Làm việc</v>
      </c>
      <c r="H326" s="37" t="str">
        <f>+$H$3</f>
        <v>Thời gian
Làm việc</v>
      </c>
      <c r="I326" s="19" t="str">
        <f>+$I$3</f>
        <v>Số lần
CM</v>
      </c>
      <c r="J326" s="11" t="str">
        <f>+$J$3</f>
        <v>Tổng TG trừ giờ</v>
      </c>
      <c r="K326" s="19" t="str">
        <f>+$K$3</f>
        <v>Thiếu sản lượng</v>
      </c>
      <c r="L326" s="19" t="str">
        <f>+$L$3</f>
        <v>Bật máy, xét máy</v>
      </c>
      <c r="M326" s="19" t="str">
        <f>+$M$3</f>
        <v>Chuyển mã</v>
      </c>
      <c r="N326" s="19" t="str">
        <f>+$N$3</f>
        <v>Chỉnh máy</v>
      </c>
      <c r="O326" s="19" t="str">
        <f>+O3</f>
        <v>Chờ chỉnh máy</v>
      </c>
      <c r="P326" s="19" t="str">
        <f>+P3</f>
        <v>Mất điện</v>
      </c>
      <c r="Q326" s="19" t="str">
        <f>+Q3</f>
        <v>Mất khí</v>
      </c>
      <c r="R326" s="19" t="str">
        <f>+R3</f>
        <v>Chờ hàng</v>
      </c>
      <c r="S326" s="19" t="str">
        <f>+$S$3</f>
        <v>bảo dưỡng máy</v>
      </c>
      <c r="T326" s="19" t="str">
        <f>+$T$3</f>
        <v>Nghỉ giải lao</v>
      </c>
      <c r="U326" s="19" t="str">
        <f>+$U$3</f>
        <v>Giao ca</v>
      </c>
      <c r="V326" s="19" t="str">
        <f>+$V$3</f>
        <v>Dừng máy đi hỗ trợ</v>
      </c>
      <c r="W326" s="19" t="str">
        <f>+$W$3</f>
        <v>Giặt cs/cân cs, tuốt-tái pp, GL</v>
      </c>
      <c r="X326" s="19" t="str">
        <f>+$X$3</f>
        <v>5s</v>
      </c>
      <c r="Y326" s="19" t="str">
        <f>+$Y$3</f>
        <v>Học việc, đào tạo</v>
      </c>
      <c r="Z326" s="19" t="str">
        <f>+Z3</f>
        <v>Đi muộn về sớm</v>
      </c>
      <c r="AA326" s="18" t="str">
        <f>+$AA$3</f>
        <v>SP</v>
      </c>
      <c r="AB326" s="36" t="str">
        <f>+$AB$3</f>
        <v>Định mức</v>
      </c>
      <c r="AC326" s="35" t="str">
        <f>+$AC$3</f>
        <v>TT</v>
      </c>
      <c r="AD326" s="34" t="s">
        <v>313</v>
      </c>
      <c r="AE326" s="33" t="s">
        <v>29</v>
      </c>
      <c r="AF326" s="32" t="s">
        <v>315</v>
      </c>
      <c r="AG326" s="32" t="s">
        <v>28</v>
      </c>
      <c r="AH326" s="32" t="str">
        <f>+$AH$3</f>
        <v>tổng NG</v>
      </c>
      <c r="AI326" s="32" t="s">
        <v>314</v>
      </c>
      <c r="AJ326" s="32" t="str">
        <f>+$AJ$3</f>
        <v>KQD</v>
      </c>
      <c r="AK326" s="32" t="str">
        <f>+$AK$3</f>
        <v>Vỡ
cao su</v>
      </c>
      <c r="AL326" s="32" t="str">
        <f>+$AL$3</f>
        <v>K xước
cong gãy</v>
      </c>
      <c r="AM326" s="32" t="str">
        <f>+$AM$3</f>
        <v>Cao su xoay</v>
      </c>
      <c r="AN326" s="32" t="str">
        <f>+$AN$3</f>
        <v>Cắt
 không đứt</v>
      </c>
      <c r="AO326" s="32" t="str">
        <f>+$AO$3</f>
        <v>bavia</v>
      </c>
      <c r="AP326" s="32" t="str">
        <f>+$AP$3</f>
        <v>CSH</v>
      </c>
      <c r="AQ326" s="32" t="str">
        <f>+$AQ$3</f>
        <v>ppcm</v>
      </c>
      <c r="AR326" s="32" t="str">
        <f>+$AR$3</f>
        <v>KT lớn</v>
      </c>
      <c r="AS326" s="32" t="str">
        <f>+$AS$3</f>
        <v>KT nhỏ</v>
      </c>
      <c r="AT326" s="32" t="str">
        <f>+$AT$3</f>
        <v>LCS</v>
      </c>
      <c r="AU326" s="32" t="str">
        <f>+$AU$3</f>
        <v>cắt lẹm</v>
      </c>
      <c r="AV326" s="32" t="str">
        <f>+$AV$3</f>
        <v>rách nvl</v>
      </c>
      <c r="AW326" s="32" t="s">
        <v>27</v>
      </c>
      <c r="AX326" s="32" t="str">
        <f>+$AX$3</f>
        <v>sót via</v>
      </c>
      <c r="AY326" s="32" t="str">
        <f>+$AY$3</f>
        <v>fure trục</v>
      </c>
      <c r="AZ326" s="32" t="s">
        <v>316</v>
      </c>
      <c r="BA326" s="32" t="s">
        <v>317</v>
      </c>
      <c r="BB326" s="32"/>
      <c r="BC326" s="31"/>
      <c r="BD326" s="31"/>
    </row>
    <row r="327" spans="1:56" s="12" customFormat="1" ht="18" customHeight="1">
      <c r="A327" s="26"/>
      <c r="B327" s="27"/>
      <c r="C327" s="30"/>
      <c r="D327" s="30"/>
      <c r="E327" s="29"/>
      <c r="F327" s="22"/>
      <c r="G327" s="21"/>
      <c r="H327" s="20"/>
      <c r="I327" s="19"/>
      <c r="J327" s="11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8"/>
      <c r="AB327" s="17"/>
      <c r="AC327" s="16"/>
      <c r="AD327" s="15"/>
      <c r="AE327" s="14"/>
      <c r="AF327" s="10"/>
      <c r="AG327" s="9"/>
      <c r="AH327" s="10"/>
      <c r="AI327" s="13"/>
    </row>
  </sheetData>
  <autoFilter ref="A326:HK515" xr:uid="{00000000-0009-0000-0000-000000000000}"/>
  <mergeCells count="109">
    <mergeCell ref="AJ2:AT2"/>
    <mergeCell ref="AW2:BG2"/>
    <mergeCell ref="AW4:AY4"/>
    <mergeCell ref="AZ4:BB4"/>
    <mergeCell ref="BC4:BE4"/>
    <mergeCell ref="BF4:BH4"/>
    <mergeCell ref="CG4:CI4"/>
    <mergeCell ref="CJ4:CL4"/>
    <mergeCell ref="BI4:BK4"/>
    <mergeCell ref="BL4:BN4"/>
    <mergeCell ref="BO4:BQ4"/>
    <mergeCell ref="BR4:BT4"/>
    <mergeCell ref="BU4:BW4"/>
    <mergeCell ref="BX4:BZ4"/>
    <mergeCell ref="CA4:CC4"/>
    <mergeCell ref="CD4:CF4"/>
    <mergeCell ref="C6:E9"/>
    <mergeCell ref="AV63:EK64"/>
    <mergeCell ref="AW66:AY66"/>
    <mergeCell ref="AZ66:BB66"/>
    <mergeCell ref="BC66:BE66"/>
    <mergeCell ref="BF66:BH66"/>
    <mergeCell ref="BI66:BK66"/>
    <mergeCell ref="DK4:DM4"/>
    <mergeCell ref="BL66:BN66"/>
    <mergeCell ref="BO66:BQ66"/>
    <mergeCell ref="BR66:BT66"/>
    <mergeCell ref="BU66:BW66"/>
    <mergeCell ref="BX66:BZ66"/>
    <mergeCell ref="CA66:CC66"/>
    <mergeCell ref="DK66:DM66"/>
    <mergeCell ref="CD66:CF66"/>
    <mergeCell ref="CG66:CI66"/>
    <mergeCell ref="EC4:EE4"/>
    <mergeCell ref="EF4:EH4"/>
    <mergeCell ref="DH4:DJ4"/>
    <mergeCell ref="DN4:DP4"/>
    <mergeCell ref="DQ4:DS4"/>
    <mergeCell ref="DT4:DV4"/>
    <mergeCell ref="DW4:DY4"/>
    <mergeCell ref="EI66:EK66"/>
    <mergeCell ref="CJ66:CL66"/>
    <mergeCell ref="CM66:CO66"/>
    <mergeCell ref="CP4:CR4"/>
    <mergeCell ref="CM4:CO4"/>
    <mergeCell ref="DQ66:DS66"/>
    <mergeCell ref="DT66:DV66"/>
    <mergeCell ref="DW66:DY66"/>
    <mergeCell ref="DZ66:EB66"/>
    <mergeCell ref="EC66:EE66"/>
    <mergeCell ref="CV66:CX66"/>
    <mergeCell ref="CY66:DA66"/>
    <mergeCell ref="DB66:DD66"/>
    <mergeCell ref="DE66:DG66"/>
    <mergeCell ref="DH66:DJ66"/>
    <mergeCell ref="DN66:DP66"/>
    <mergeCell ref="CS4:CU4"/>
    <mergeCell ref="CV4:CX4"/>
    <mergeCell ref="CY4:DA4"/>
    <mergeCell ref="DB4:DD4"/>
    <mergeCell ref="DE4:DG4"/>
    <mergeCell ref="EF66:EH66"/>
    <mergeCell ref="EI4:EK4"/>
    <mergeCell ref="DZ4:EB4"/>
    <mergeCell ref="BO154:BQ154"/>
    <mergeCell ref="BR154:BT154"/>
    <mergeCell ref="BU154:BW154"/>
    <mergeCell ref="BX154:BZ154"/>
    <mergeCell ref="CA154:CC154"/>
    <mergeCell ref="CD154:CF154"/>
    <mergeCell ref="CJ154:CL154"/>
    <mergeCell ref="CP66:CR66"/>
    <mergeCell ref="CS66:CU66"/>
    <mergeCell ref="CM154:CO154"/>
    <mergeCell ref="CP154:CR154"/>
    <mergeCell ref="CS154:CU154"/>
    <mergeCell ref="AW151:BE153"/>
    <mergeCell ref="D153:AD154"/>
    <mergeCell ref="AW154:AY154"/>
    <mergeCell ref="AZ154:BB154"/>
    <mergeCell ref="BC154:BE154"/>
    <mergeCell ref="BF154:BH154"/>
    <mergeCell ref="BI154:BK154"/>
    <mergeCell ref="BL154:BN154"/>
    <mergeCell ref="C229:C232"/>
    <mergeCell ref="EI154:EK154"/>
    <mergeCell ref="AJ226:AJ227"/>
    <mergeCell ref="AK226:AK227"/>
    <mergeCell ref="AL226:AL227"/>
    <mergeCell ref="AM226:AM227"/>
    <mergeCell ref="AN226:AN227"/>
    <mergeCell ref="AO226:AO227"/>
    <mergeCell ref="AP226:AP227"/>
    <mergeCell ref="AQ226:AQ227"/>
    <mergeCell ref="EF154:EH154"/>
    <mergeCell ref="CY154:DA154"/>
    <mergeCell ref="DB154:DD154"/>
    <mergeCell ref="DE154:DG154"/>
    <mergeCell ref="DH154:DJ154"/>
    <mergeCell ref="DK154:DM154"/>
    <mergeCell ref="DN154:DP154"/>
    <mergeCell ref="AT226:AT227"/>
    <mergeCell ref="DQ154:DS154"/>
    <mergeCell ref="DT154:DV154"/>
    <mergeCell ref="DW154:DY154"/>
    <mergeCell ref="DZ154:EB154"/>
    <mergeCell ref="EC154:EE154"/>
    <mergeCell ref="CG154:CI154"/>
    <mergeCell ref="CV154:CX154"/>
  </mergeCells>
  <conditionalFormatting sqref="AC327:AC393">
    <cfRule type="cellIs" dxfId="35" priority="1" stopIfTrue="1" operator="equal">
      <formula>1413</formula>
    </cfRule>
  </conditionalFormatting>
  <conditionalFormatting sqref="AC403:AC423">
    <cfRule type="cellIs" dxfId="34" priority="9" stopIfTrue="1" operator="equal">
      <formula>1413</formula>
    </cfRule>
  </conditionalFormatting>
  <conditionalFormatting sqref="AC445:AC479">
    <cfRule type="cellIs" dxfId="33" priority="10" stopIfTrue="1" operator="equal">
      <formula>1413</formula>
    </cfRule>
  </conditionalFormatting>
  <conditionalFormatting sqref="AC489:AC498">
    <cfRule type="cellIs" dxfId="32" priority="11" stopIfTrue="1" operator="equal">
      <formula>1413</formula>
    </cfRule>
  </conditionalFormatting>
  <conditionalFormatting sqref="AD6:AD63">
    <cfRule type="cellIs" dxfId="31" priority="19" stopIfTrue="1" operator="lessThan">
      <formula>0.8</formula>
    </cfRule>
    <cfRule type="cellIs" dxfId="30" priority="20" stopIfTrue="1" operator="between">
      <formula>0.8</formula>
      <formula>0.85</formula>
    </cfRule>
    <cfRule type="cellIs" dxfId="29" priority="21" stopIfTrue="1" operator="between">
      <formula>0.85</formula>
      <formula>0.9</formula>
    </cfRule>
    <cfRule type="cellIs" dxfId="28" priority="22" stopIfTrue="1" operator="greaterThan">
      <formula>0.9</formula>
    </cfRule>
    <cfRule type="cellIs" dxfId="27" priority="23" stopIfTrue="1" operator="greaterThan">
      <formula>1</formula>
    </cfRule>
    <cfRule type="cellIs" dxfId="26" priority="24" stopIfTrue="1" operator="lessThan">
      <formula>0.9</formula>
    </cfRule>
    <cfRule type="cellIs" dxfId="25" priority="25" stopIfTrue="1" operator="between">
      <formula>0.9</formula>
      <formula>0.95</formula>
    </cfRule>
  </conditionalFormatting>
  <conditionalFormatting sqref="AD68:AD152">
    <cfRule type="cellIs" dxfId="24" priority="12" stopIfTrue="1" operator="lessThan">
      <formula>0.8</formula>
    </cfRule>
    <cfRule type="cellIs" dxfId="23" priority="13" stopIfTrue="1" operator="between">
      <formula>0.8</formula>
      <formula>0.85</formula>
    </cfRule>
    <cfRule type="cellIs" dxfId="22" priority="14" stopIfTrue="1" operator="between">
      <formula>0.85</formula>
      <formula>0.9</formula>
    </cfRule>
    <cfRule type="cellIs" dxfId="21" priority="15" stopIfTrue="1" operator="greaterThan">
      <formula>0.9</formula>
    </cfRule>
    <cfRule type="cellIs" dxfId="20" priority="16" stopIfTrue="1" operator="greaterThan">
      <formula>1</formula>
    </cfRule>
    <cfRule type="cellIs" dxfId="19" priority="17" stopIfTrue="1" operator="lessThan">
      <formula>0.9</formula>
    </cfRule>
    <cfRule type="cellIs" dxfId="18" priority="18" stopIfTrue="1" operator="between">
      <formula>0.9</formula>
      <formula>0.95</formula>
    </cfRule>
  </conditionalFormatting>
  <conditionalFormatting sqref="AD156:AD225 AD229:AE318">
    <cfRule type="cellIs" dxfId="17" priority="34" stopIfTrue="1" operator="greaterThan">
      <formula>1</formula>
    </cfRule>
    <cfRule type="cellIs" dxfId="16" priority="35" stopIfTrue="1" operator="lessThan">
      <formula>0.9</formula>
    </cfRule>
    <cfRule type="cellIs" dxfId="15" priority="36" stopIfTrue="1" operator="between">
      <formula>0.9</formula>
      <formula>0.95</formula>
    </cfRule>
  </conditionalFormatting>
  <conditionalFormatting sqref="AD156:AD225">
    <cfRule type="cellIs" dxfId="14" priority="27" stopIfTrue="1" operator="between">
      <formula>0.85</formula>
      <formula>0.9</formula>
    </cfRule>
    <cfRule type="cellIs" dxfId="13" priority="28" stopIfTrue="1" operator="between">
      <formula>0.85</formula>
      <formula>0.9</formula>
    </cfRule>
    <cfRule type="cellIs" dxfId="12" priority="29" stopIfTrue="1" operator="between">
      <formula>0.8</formula>
      <formula>0.85</formula>
    </cfRule>
    <cfRule type="cellIs" dxfId="11" priority="30" stopIfTrue="1" operator="lessThan">
      <formula>0.8</formula>
    </cfRule>
    <cfRule type="cellIs" dxfId="10" priority="31" stopIfTrue="1" operator="greaterThan">
      <formula>0.9</formula>
    </cfRule>
  </conditionalFormatting>
  <conditionalFormatting sqref="AD327:AE514">
    <cfRule type="cellIs" dxfId="9" priority="2" stopIfTrue="1" operator="between">
      <formula>0.8</formula>
      <formula>0.85</formula>
    </cfRule>
    <cfRule type="cellIs" dxfId="8" priority="3" stopIfTrue="1" operator="lessThan">
      <formula>0.8</formula>
    </cfRule>
    <cfRule type="cellIs" dxfId="7" priority="4" stopIfTrue="1" operator="greaterThan">
      <formula>0.85</formula>
    </cfRule>
    <cfRule type="cellIs" dxfId="6" priority="5" stopIfTrue="1" operator="greaterThan">
      <formula>1</formula>
    </cfRule>
    <cfRule type="cellIs" dxfId="5" priority="6" stopIfTrue="1" operator="lessThan">
      <formula>0.9</formula>
    </cfRule>
    <cfRule type="cellIs" dxfId="4" priority="7" stopIfTrue="1" operator="between">
      <formula>0.9</formula>
      <formula>0.95</formula>
    </cfRule>
  </conditionalFormatting>
  <conditionalFormatting sqref="AI156 AI229">
    <cfRule type="cellIs" dxfId="3" priority="33" stopIfTrue="1" operator="greaterThan">
      <formula>0.005</formula>
    </cfRule>
  </conditionalFormatting>
  <conditionalFormatting sqref="AI327:AI514">
    <cfRule type="cellIs" dxfId="2" priority="8" stopIfTrue="1" operator="greaterThan">
      <formula>0.03</formula>
    </cfRule>
  </conditionalFormatting>
  <conditionalFormatting sqref="AJ4:AT4">
    <cfRule type="cellIs" dxfId="1" priority="32" stopIfTrue="1" operator="greaterThan">
      <formula>0.03</formula>
    </cfRule>
  </conditionalFormatting>
  <conditionalFormatting sqref="AJ325:AT325">
    <cfRule type="cellIs" dxfId="0" priority="26" stopIfTrue="1" operator="greaterThan">
      <formula>0.03</formula>
    </cfRule>
  </conditionalFormatting>
  <pageMargins left="0.70866141732283505" right="0.70866141732283505" top="0.74803149606299202" bottom="0.74803149606299202" header="0.31496062992126" footer="0.31496062992126"/>
  <pageSetup scale="39" orientation="landscape" r:id="rId1"/>
  <rowBreaks count="1" manualBreakCount="1">
    <brk id="481" max="135" man="1"/>
  </rowBreaks>
  <colBreaks count="1" manualBreakCount="1">
    <brk id="33" max="2128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Cắt lồng</vt:lpstr>
      <vt:lpstr>'Cắt lồng'!Print_Area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 Thang</dc:creator>
  <cp:lastModifiedBy>Chief Production Dept 2</cp:lastModifiedBy>
  <dcterms:created xsi:type="dcterms:W3CDTF">2026-07-17T10:21:45Z</dcterms:created>
  <dcterms:modified xsi:type="dcterms:W3CDTF">2026-07-20T07:28:49Z</dcterms:modified>
</cp:coreProperties>
</file>